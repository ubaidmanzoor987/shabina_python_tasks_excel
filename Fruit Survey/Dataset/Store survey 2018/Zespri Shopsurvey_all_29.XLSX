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6" r:id="rId2"/>
    <sheet name="nagoya" sheetId="27" r:id="rId3"/>
    <sheet name="osaka" sheetId="29" r:id="rId4"/>
    <sheet name="hiroshima" sheetId="30" r:id="rId5"/>
    <sheet name="fukuoka" sheetId="31" r:id="rId6"/>
    <sheet name="tokyo-east(ota)" sheetId="32" r:id="rId7"/>
    <sheet name="tokyo-west(kato)" sheetId="33"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miyagi!$A$1:$BA$130</definedName>
    <definedName name="_xlnm._FilterDatabase" localSheetId="2" hidden="1">nagoya!$A$1:$BA$52</definedName>
    <definedName name="_xlnm._FilterDatabase" localSheetId="3" hidden="1">osaka!$A$1:$BA$91</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concurrentCalc="0"/>
</workbook>
</file>

<file path=xl/calcChain.xml><?xml version="1.0" encoding="utf-8"?>
<calcChain xmlns="http://schemas.openxmlformats.org/spreadsheetml/2006/main">
  <c r="T97" i="33" l="1"/>
  <c r="V97" i="33"/>
  <c r="Q97" i="33"/>
  <c r="T96" i="33"/>
  <c r="V96" i="33"/>
  <c r="Q96" i="33"/>
  <c r="T95" i="33"/>
  <c r="V95" i="33"/>
  <c r="Q95" i="33"/>
  <c r="T94" i="33"/>
  <c r="V94" i="33"/>
  <c r="Q94" i="33"/>
  <c r="T93" i="33"/>
  <c r="V93" i="33"/>
  <c r="Q93" i="33"/>
  <c r="T92" i="33"/>
  <c r="V92" i="33"/>
  <c r="Q92" i="33"/>
  <c r="T91" i="33"/>
  <c r="V91" i="33"/>
  <c r="Q91" i="33"/>
  <c r="T90" i="33"/>
  <c r="V90" i="33"/>
  <c r="Q90" i="33"/>
  <c r="T89" i="33"/>
  <c r="V89" i="33"/>
  <c r="Q89" i="33"/>
  <c r="T88" i="33"/>
  <c r="V88" i="33"/>
  <c r="Q88" i="33"/>
  <c r="T87" i="33"/>
  <c r="V87" i="33"/>
  <c r="Q87" i="33"/>
  <c r="T86" i="33"/>
  <c r="V86" i="33"/>
  <c r="Q86" i="33"/>
  <c r="T85" i="33"/>
  <c r="V85" i="33"/>
  <c r="Q85" i="33"/>
  <c r="T84" i="33"/>
  <c r="V84" i="33"/>
  <c r="Q84" i="33"/>
  <c r="T83" i="33"/>
  <c r="V83" i="33"/>
  <c r="Q83" i="33"/>
  <c r="T82" i="33"/>
  <c r="V82" i="33"/>
  <c r="Q82" i="33"/>
  <c r="T81" i="33"/>
  <c r="V81" i="33"/>
  <c r="Q81" i="33"/>
  <c r="T80" i="33"/>
  <c r="V80" i="33"/>
  <c r="Q80" i="33"/>
  <c r="T79" i="33"/>
  <c r="V79" i="33"/>
  <c r="Q79" i="33"/>
  <c r="T78" i="33"/>
  <c r="V78" i="33"/>
  <c r="Q78" i="33"/>
  <c r="T77" i="33"/>
  <c r="V77" i="33"/>
  <c r="Q77" i="33"/>
  <c r="T76" i="33"/>
  <c r="V76" i="33"/>
  <c r="Q76" i="33"/>
  <c r="T75" i="33"/>
  <c r="V75" i="33"/>
  <c r="Q75" i="33"/>
  <c r="T74" i="33"/>
  <c r="V74" i="33"/>
  <c r="Q74" i="33"/>
  <c r="T73" i="33"/>
  <c r="V73" i="33"/>
  <c r="Q73" i="33"/>
  <c r="T72" i="33"/>
  <c r="V72" i="33"/>
  <c r="Q72" i="33"/>
  <c r="T71" i="33"/>
  <c r="V71" i="33"/>
  <c r="Q71" i="33"/>
  <c r="T70" i="33"/>
  <c r="V70" i="33"/>
  <c r="Q70" i="33"/>
  <c r="T69" i="33"/>
  <c r="V69" i="33"/>
  <c r="Q69" i="33"/>
  <c r="T68" i="33"/>
  <c r="V68" i="33"/>
  <c r="Q68" i="33"/>
  <c r="T67" i="33"/>
  <c r="V67" i="33"/>
  <c r="Q67" i="33"/>
  <c r="T66" i="33"/>
  <c r="V66" i="33"/>
  <c r="Q66" i="33"/>
  <c r="T65" i="33"/>
  <c r="V65" i="33"/>
  <c r="Q65" i="33"/>
  <c r="T64" i="33"/>
  <c r="V64" i="33"/>
  <c r="Q64" i="33"/>
  <c r="T63" i="33"/>
  <c r="V63" i="33"/>
  <c r="Q63" i="33"/>
  <c r="T62" i="33"/>
  <c r="V62" i="33"/>
  <c r="Q62" i="33"/>
  <c r="T61" i="33"/>
  <c r="V61" i="33"/>
  <c r="Q61" i="33"/>
  <c r="T60" i="33"/>
  <c r="V60" i="33"/>
  <c r="Q60" i="33"/>
  <c r="T59" i="33"/>
  <c r="V59" i="33"/>
  <c r="Q59" i="33"/>
  <c r="T58" i="33"/>
  <c r="V58" i="33"/>
  <c r="Q58" i="33"/>
  <c r="T57" i="33"/>
  <c r="V57" i="33"/>
  <c r="Q57" i="33"/>
  <c r="T56" i="33"/>
  <c r="V56" i="33"/>
  <c r="Q56" i="33"/>
  <c r="T55" i="33"/>
  <c r="V55" i="33"/>
  <c r="Q55" i="33"/>
  <c r="T54" i="33"/>
  <c r="V54" i="33"/>
  <c r="Q54" i="33"/>
  <c r="T53" i="33"/>
  <c r="V53" i="33"/>
  <c r="Q53" i="33"/>
  <c r="T52" i="33"/>
  <c r="V52" i="33"/>
  <c r="Q52" i="33"/>
  <c r="T51" i="33"/>
  <c r="V51" i="33"/>
  <c r="Q51" i="33"/>
  <c r="T50" i="33"/>
  <c r="V50" i="33"/>
  <c r="Q50" i="33"/>
  <c r="T49" i="33"/>
  <c r="V49" i="33"/>
  <c r="Q49" i="33"/>
  <c r="T48" i="33"/>
  <c r="V48" i="33"/>
  <c r="Q48" i="33"/>
  <c r="T47" i="33"/>
  <c r="V47" i="33"/>
  <c r="Q47" i="33"/>
  <c r="T46" i="33"/>
  <c r="V46" i="33"/>
  <c r="Q46" i="33"/>
  <c r="T45" i="33"/>
  <c r="V45" i="33"/>
  <c r="Q45" i="33"/>
  <c r="T44" i="33"/>
  <c r="V44" i="33"/>
  <c r="Q44" i="33"/>
  <c r="T43" i="33"/>
  <c r="V43" i="33"/>
  <c r="Q43" i="33"/>
  <c r="T42" i="33"/>
  <c r="V42" i="33"/>
  <c r="Q42" i="33"/>
  <c r="T41" i="33"/>
  <c r="V41" i="33"/>
  <c r="Q41" i="33"/>
  <c r="T40" i="33"/>
  <c r="V40" i="33"/>
  <c r="Q40" i="33"/>
  <c r="T39" i="33"/>
  <c r="V39" i="33"/>
  <c r="Q39" i="33"/>
  <c r="T38" i="33"/>
  <c r="V38" i="33"/>
  <c r="Q38" i="33"/>
  <c r="T37" i="33"/>
  <c r="V37" i="33"/>
  <c r="Q37" i="33"/>
  <c r="T36" i="33"/>
  <c r="V36" i="33"/>
  <c r="Q36" i="33"/>
  <c r="T35" i="33"/>
  <c r="V35" i="33"/>
  <c r="Q35" i="33"/>
  <c r="T34" i="33"/>
  <c r="V34" i="33"/>
  <c r="Q34" i="33"/>
  <c r="T33" i="33"/>
  <c r="V33" i="33"/>
  <c r="Q33" i="33"/>
  <c r="T32" i="33"/>
  <c r="V32" i="33"/>
  <c r="Q32" i="33"/>
  <c r="T31" i="33"/>
  <c r="V31" i="33"/>
  <c r="Q31" i="33"/>
  <c r="T30" i="33"/>
  <c r="V30" i="33"/>
  <c r="Q30" i="33"/>
  <c r="T29" i="33"/>
  <c r="V29" i="33"/>
  <c r="Q29" i="33"/>
  <c r="T28" i="33"/>
  <c r="V28" i="33"/>
  <c r="Q28" i="33"/>
  <c r="T27" i="33"/>
  <c r="V27" i="33"/>
  <c r="Q27" i="33"/>
  <c r="T26" i="33"/>
  <c r="V26" i="33"/>
  <c r="Q26" i="33"/>
  <c r="T25" i="33"/>
  <c r="V25" i="33"/>
  <c r="Q25" i="33"/>
  <c r="T24" i="33"/>
  <c r="V24" i="33"/>
  <c r="Q24" i="33"/>
  <c r="T23" i="33"/>
  <c r="V23" i="33"/>
  <c r="Q23" i="33"/>
  <c r="T22" i="33"/>
  <c r="V22" i="33"/>
  <c r="Q22" i="33"/>
  <c r="T21" i="33"/>
  <c r="V21" i="33"/>
  <c r="Q21" i="33"/>
  <c r="T20" i="33"/>
  <c r="V20" i="33"/>
  <c r="Q20" i="33"/>
  <c r="T19" i="33"/>
  <c r="V19" i="33"/>
  <c r="Q19" i="33"/>
  <c r="T18" i="33"/>
  <c r="V18" i="33"/>
  <c r="Q18" i="33"/>
  <c r="T17" i="33"/>
  <c r="V17" i="33"/>
  <c r="Q17" i="33"/>
  <c r="T16" i="33"/>
  <c r="V16" i="33"/>
  <c r="Q16" i="33"/>
  <c r="T15" i="33"/>
  <c r="V15" i="33"/>
  <c r="Q15" i="33"/>
  <c r="T14" i="33"/>
  <c r="V14" i="33"/>
  <c r="Q14" i="33"/>
  <c r="T13" i="33"/>
  <c r="V13" i="33"/>
  <c r="Q13" i="33"/>
  <c r="T12" i="33"/>
  <c r="V12" i="33"/>
  <c r="Q12" i="33"/>
  <c r="T11" i="33"/>
  <c r="V11" i="33"/>
  <c r="Q11" i="33"/>
  <c r="T10" i="33"/>
  <c r="V10" i="33"/>
  <c r="Q10" i="33"/>
  <c r="T9" i="33"/>
  <c r="V9" i="33"/>
  <c r="Q9" i="33"/>
  <c r="T8" i="33"/>
  <c r="V8" i="33"/>
  <c r="Q8" i="33"/>
  <c r="T7" i="33"/>
  <c r="V7" i="33"/>
  <c r="Q7" i="33"/>
  <c r="T6" i="33"/>
  <c r="V6" i="33"/>
  <c r="Q6" i="33"/>
  <c r="T5" i="33"/>
  <c r="V5" i="33"/>
  <c r="Q5" i="33"/>
  <c r="T4" i="33"/>
  <c r="V4" i="33"/>
  <c r="Q4" i="33"/>
  <c r="T3" i="33"/>
  <c r="V3" i="33"/>
  <c r="Q3" i="33"/>
  <c r="T2" i="33"/>
  <c r="V2" i="33"/>
  <c r="Q2" i="33"/>
  <c r="T91" i="32"/>
  <c r="V91" i="32"/>
  <c r="Q91" i="32"/>
  <c r="T90" i="32"/>
  <c r="V90" i="32"/>
  <c r="Q90" i="32"/>
  <c r="T89" i="32"/>
  <c r="V89" i="32"/>
  <c r="Q89" i="32"/>
  <c r="T88" i="32"/>
  <c r="V88" i="32"/>
  <c r="Q88" i="32"/>
  <c r="T87" i="32"/>
  <c r="V87" i="32"/>
  <c r="Q87" i="32"/>
  <c r="T86" i="32"/>
  <c r="V86" i="32"/>
  <c r="Q86" i="32"/>
  <c r="T85" i="32"/>
  <c r="V85" i="32"/>
  <c r="Q85" i="32"/>
  <c r="T84" i="32"/>
  <c r="V84" i="32"/>
  <c r="Q84" i="32"/>
  <c r="T83" i="32"/>
  <c r="V83" i="32"/>
  <c r="Q83" i="32"/>
  <c r="T82" i="32"/>
  <c r="V82" i="32"/>
  <c r="Q82" i="32"/>
  <c r="T81" i="32"/>
  <c r="V81" i="32"/>
  <c r="Q81" i="32"/>
  <c r="T80" i="32"/>
  <c r="V80" i="32"/>
  <c r="Q80" i="32"/>
  <c r="T79" i="32"/>
  <c r="V79" i="32"/>
  <c r="Q79" i="32"/>
  <c r="T78" i="32"/>
  <c r="V78" i="32"/>
  <c r="Q78" i="32"/>
  <c r="T77" i="32"/>
  <c r="V77" i="32"/>
  <c r="Q77" i="32"/>
  <c r="T76" i="32"/>
  <c r="V76" i="32"/>
  <c r="Q76" i="32"/>
  <c r="T75" i="32"/>
  <c r="V75" i="32"/>
  <c r="Q75" i="32"/>
  <c r="T74" i="32"/>
  <c r="V74" i="32"/>
  <c r="Q74" i="32"/>
  <c r="T73" i="32"/>
  <c r="V73" i="32"/>
  <c r="Q73" i="32"/>
  <c r="T72" i="32"/>
  <c r="V72" i="32"/>
  <c r="Q72" i="32"/>
  <c r="T71" i="32"/>
  <c r="V71" i="32"/>
  <c r="Q71" i="32"/>
  <c r="T70" i="32"/>
  <c r="V70" i="32"/>
  <c r="Q70" i="32"/>
  <c r="T69" i="32"/>
  <c r="V69" i="32"/>
  <c r="Q69" i="32"/>
  <c r="T68" i="32"/>
  <c r="V68" i="32"/>
  <c r="Q68" i="32"/>
  <c r="T67" i="32"/>
  <c r="V67" i="32"/>
  <c r="Q67" i="32"/>
  <c r="T66" i="32"/>
  <c r="V66" i="32"/>
  <c r="Q66" i="32"/>
  <c r="T65" i="32"/>
  <c r="V65" i="32"/>
  <c r="Q65" i="32"/>
  <c r="T64" i="32"/>
  <c r="V64" i="32"/>
  <c r="Q64" i="32"/>
  <c r="T63" i="32"/>
  <c r="V63" i="32"/>
  <c r="Q63" i="32"/>
  <c r="T62" i="32"/>
  <c r="V62" i="32"/>
  <c r="Q62" i="32"/>
  <c r="T61" i="32"/>
  <c r="V61" i="32"/>
  <c r="Q61" i="32"/>
  <c r="T60" i="32"/>
  <c r="V60" i="32"/>
  <c r="Q60" i="32"/>
  <c r="T59" i="32"/>
  <c r="V59" i="32"/>
  <c r="Q59" i="32"/>
  <c r="T58" i="32"/>
  <c r="V58" i="32"/>
  <c r="Q58" i="32"/>
  <c r="T57" i="32"/>
  <c r="V57" i="32"/>
  <c r="Q57" i="32"/>
  <c r="T56" i="32"/>
  <c r="V56" i="32"/>
  <c r="Q56" i="32"/>
  <c r="T55" i="32"/>
  <c r="V55" i="32"/>
  <c r="Q55" i="32"/>
  <c r="T54" i="32"/>
  <c r="V54" i="32"/>
  <c r="Q54" i="32"/>
  <c r="T53" i="32"/>
  <c r="V53" i="32"/>
  <c r="Q53" i="32"/>
  <c r="T52" i="32"/>
  <c r="V52" i="32"/>
  <c r="Q52" i="32"/>
  <c r="T51" i="32"/>
  <c r="V51" i="32"/>
  <c r="Q51" i="32"/>
  <c r="T50" i="32"/>
  <c r="V50" i="32"/>
  <c r="Q50" i="32"/>
  <c r="T49" i="32"/>
  <c r="V49" i="32"/>
  <c r="Q49" i="32"/>
  <c r="T48" i="32"/>
  <c r="V48" i="32"/>
  <c r="Q48" i="32"/>
  <c r="T47" i="32"/>
  <c r="V47" i="32"/>
  <c r="Q47" i="32"/>
  <c r="T46" i="32"/>
  <c r="V46" i="32"/>
  <c r="Q46" i="32"/>
  <c r="T45" i="32"/>
  <c r="V45" i="32"/>
  <c r="Q45" i="32"/>
  <c r="T44" i="32"/>
  <c r="V44" i="32"/>
  <c r="Q44" i="32"/>
  <c r="T43" i="32"/>
  <c r="V43" i="32"/>
  <c r="Q43" i="32"/>
  <c r="T42" i="32"/>
  <c r="V42" i="32"/>
  <c r="Q42" i="32"/>
  <c r="T41" i="32"/>
  <c r="V41" i="32"/>
  <c r="Q41" i="32"/>
  <c r="T40" i="32"/>
  <c r="V40" i="32"/>
  <c r="Q40" i="32"/>
  <c r="T39" i="32"/>
  <c r="V39" i="32"/>
  <c r="Q39" i="32"/>
  <c r="T38" i="32"/>
  <c r="V38" i="32"/>
  <c r="Q38" i="32"/>
  <c r="T37" i="32"/>
  <c r="V37" i="32"/>
  <c r="Q37" i="32"/>
  <c r="T36" i="32"/>
  <c r="V36" i="32"/>
  <c r="Q36" i="32"/>
  <c r="T35" i="32"/>
  <c r="V35" i="32"/>
  <c r="Q35" i="32"/>
  <c r="T34" i="32"/>
  <c r="V34" i="32"/>
  <c r="Q34" i="32"/>
  <c r="T33" i="32"/>
  <c r="V33" i="32"/>
  <c r="Q33" i="32"/>
  <c r="T32" i="32"/>
  <c r="V32" i="32"/>
  <c r="Q32" i="32"/>
  <c r="T31" i="32"/>
  <c r="V31" i="32"/>
  <c r="Q31" i="32"/>
  <c r="T30" i="32"/>
  <c r="V30" i="32"/>
  <c r="Q30" i="32"/>
  <c r="T29" i="32"/>
  <c r="V29" i="32"/>
  <c r="Q29" i="32"/>
  <c r="T28" i="32"/>
  <c r="V28" i="32"/>
  <c r="Q28" i="32"/>
  <c r="T27" i="32"/>
  <c r="V27" i="32"/>
  <c r="Q27" i="32"/>
  <c r="T26" i="32"/>
  <c r="V26" i="32"/>
  <c r="Q26" i="32"/>
  <c r="T25" i="32"/>
  <c r="V25" i="32"/>
  <c r="Q25" i="32"/>
  <c r="T24" i="32"/>
  <c r="V24" i="32"/>
  <c r="Q24" i="32"/>
  <c r="T23" i="32"/>
  <c r="V23" i="32"/>
  <c r="Q23" i="32"/>
  <c r="T22" i="32"/>
  <c r="V22" i="32"/>
  <c r="Q22" i="32"/>
  <c r="T21" i="32"/>
  <c r="V21" i="32"/>
  <c r="Q21" i="32"/>
  <c r="T20" i="32"/>
  <c r="V20" i="32"/>
  <c r="Q20" i="32"/>
  <c r="T19" i="32"/>
  <c r="V19" i="32"/>
  <c r="Q19" i="32"/>
  <c r="T18" i="32"/>
  <c r="V18" i="32"/>
  <c r="Q18" i="32"/>
  <c r="T17" i="32"/>
  <c r="V17" i="32"/>
  <c r="Q17" i="32"/>
  <c r="T16" i="32"/>
  <c r="V16" i="32"/>
  <c r="Q16" i="32"/>
  <c r="T15" i="32"/>
  <c r="V15" i="32"/>
  <c r="Q15" i="32"/>
  <c r="T14" i="32"/>
  <c r="Q14" i="32"/>
  <c r="T13" i="32"/>
  <c r="V13" i="32"/>
  <c r="Q13" i="32"/>
  <c r="T12" i="32"/>
  <c r="V12" i="32"/>
  <c r="Q12" i="32"/>
  <c r="T11" i="32"/>
  <c r="V11" i="32"/>
  <c r="Q11" i="32"/>
  <c r="T10" i="32"/>
  <c r="V10" i="32"/>
  <c r="Q10" i="32"/>
  <c r="T9" i="32"/>
  <c r="V9" i="32"/>
  <c r="Q9" i="32"/>
  <c r="T8" i="32"/>
  <c r="V8" i="32"/>
  <c r="Q8" i="32"/>
  <c r="T7" i="32"/>
  <c r="V7" i="32"/>
  <c r="Q7" i="32"/>
  <c r="T6" i="32"/>
  <c r="V6" i="32"/>
  <c r="Q6" i="32"/>
  <c r="T5" i="32"/>
  <c r="V5" i="32"/>
  <c r="Q5" i="32"/>
  <c r="T4" i="32"/>
  <c r="V4" i="32"/>
  <c r="Q4" i="32"/>
  <c r="T3" i="32"/>
  <c r="V3" i="32"/>
  <c r="Q3" i="32"/>
  <c r="T2" i="32"/>
  <c r="V2" i="32"/>
  <c r="Q2" i="32"/>
  <c r="V152" i="31"/>
  <c r="T152" i="31"/>
  <c r="Q152" i="31"/>
  <c r="V151" i="31"/>
  <c r="T151" i="31"/>
  <c r="Q151" i="31"/>
  <c r="V150" i="31"/>
  <c r="T150" i="31"/>
  <c r="Q150" i="31"/>
  <c r="V149" i="31"/>
  <c r="T149" i="31"/>
  <c r="Q149" i="31"/>
  <c r="V148" i="31"/>
  <c r="T148" i="31"/>
  <c r="Q148" i="31"/>
  <c r="V147" i="31"/>
  <c r="T147" i="31"/>
  <c r="Q147" i="31"/>
  <c r="V146" i="31"/>
  <c r="T146" i="31"/>
  <c r="Q146" i="31"/>
  <c r="V145" i="31"/>
  <c r="T145" i="31"/>
  <c r="Q145" i="31"/>
  <c r="V144" i="31"/>
  <c r="T144" i="31"/>
  <c r="Q144" i="31"/>
  <c r="V143" i="31"/>
  <c r="T143" i="31"/>
  <c r="Q143" i="31"/>
  <c r="V142" i="31"/>
  <c r="T142" i="31"/>
  <c r="Q142" i="31"/>
  <c r="V141" i="31"/>
  <c r="T141" i="31"/>
  <c r="Q141" i="31"/>
  <c r="V140" i="31"/>
  <c r="T140" i="31"/>
  <c r="Q140" i="31"/>
  <c r="V139" i="31"/>
  <c r="T139" i="31"/>
  <c r="Q139" i="31"/>
  <c r="V138" i="31"/>
  <c r="T138" i="31"/>
  <c r="Q138" i="31"/>
  <c r="V137" i="31"/>
  <c r="T137" i="31"/>
  <c r="Q137" i="31"/>
  <c r="V136" i="31"/>
  <c r="T136" i="31"/>
  <c r="Q136" i="31"/>
  <c r="V135" i="31"/>
  <c r="T135" i="31"/>
  <c r="Q135" i="31"/>
  <c r="V134" i="31"/>
  <c r="T134" i="31"/>
  <c r="Q134" i="31"/>
  <c r="V133" i="31"/>
  <c r="T133" i="31"/>
  <c r="Q133" i="31"/>
  <c r="V132" i="31"/>
  <c r="T132" i="31"/>
  <c r="Q132" i="31"/>
  <c r="V131" i="31"/>
  <c r="T131" i="31"/>
  <c r="Q131" i="31"/>
  <c r="V130" i="31"/>
  <c r="T130" i="31"/>
  <c r="Q130" i="31"/>
  <c r="V129" i="31"/>
  <c r="T129" i="31"/>
  <c r="Q129" i="31"/>
  <c r="V128" i="31"/>
  <c r="T128" i="31"/>
  <c r="Q128" i="31"/>
  <c r="V127" i="31"/>
  <c r="T127" i="31"/>
  <c r="Q127" i="31"/>
  <c r="V126" i="31"/>
  <c r="T126" i="31"/>
  <c r="Q126" i="31"/>
  <c r="V125" i="31"/>
  <c r="T125" i="31"/>
  <c r="Q125" i="31"/>
  <c r="V124" i="31"/>
  <c r="T124" i="31"/>
  <c r="Q124" i="31"/>
  <c r="V123" i="31"/>
  <c r="T123" i="31"/>
  <c r="Q123" i="31"/>
  <c r="V122" i="31"/>
  <c r="T122" i="31"/>
  <c r="Q122" i="31"/>
  <c r="V121" i="31"/>
  <c r="T121" i="31"/>
  <c r="Q121" i="31"/>
  <c r="V120" i="31"/>
  <c r="T120" i="31"/>
  <c r="Q120" i="31"/>
  <c r="V119" i="31"/>
  <c r="T119" i="31"/>
  <c r="Q119" i="31"/>
  <c r="V118" i="31"/>
  <c r="T118" i="31"/>
  <c r="Q118" i="31"/>
  <c r="V117" i="31"/>
  <c r="T117" i="31"/>
  <c r="Q117" i="31"/>
  <c r="V116" i="31"/>
  <c r="T116" i="31"/>
  <c r="Q116" i="31"/>
  <c r="V115" i="31"/>
  <c r="T115" i="31"/>
  <c r="Q115" i="31"/>
  <c r="V114" i="31"/>
  <c r="T114" i="31"/>
  <c r="Q114" i="31"/>
  <c r="V113" i="31"/>
  <c r="T113" i="31"/>
  <c r="Q113" i="31"/>
  <c r="V112" i="31"/>
  <c r="T112" i="31"/>
  <c r="Q112" i="31"/>
  <c r="V111" i="31"/>
  <c r="T111" i="31"/>
  <c r="Q111" i="31"/>
  <c r="V110" i="31"/>
  <c r="T110" i="31"/>
  <c r="Q110" i="31"/>
  <c r="V109" i="31"/>
  <c r="T109" i="31"/>
  <c r="Q109" i="31"/>
  <c r="V108" i="31"/>
  <c r="T108" i="31"/>
  <c r="Q108" i="31"/>
  <c r="V107" i="31"/>
  <c r="T107" i="31"/>
  <c r="Q107" i="31"/>
  <c r="V106" i="31"/>
  <c r="T106" i="31"/>
  <c r="Q106" i="31"/>
  <c r="V105" i="31"/>
  <c r="T105" i="31"/>
  <c r="Q105" i="31"/>
  <c r="V104" i="31"/>
  <c r="T104" i="31"/>
  <c r="Q104" i="31"/>
  <c r="V103" i="31"/>
  <c r="T103" i="31"/>
  <c r="Q103" i="31"/>
  <c r="V102" i="31"/>
  <c r="T102" i="31"/>
  <c r="Q102" i="31"/>
  <c r="V101" i="31"/>
  <c r="T101" i="31"/>
  <c r="Q101" i="31"/>
  <c r="T73" i="31"/>
  <c r="Q73" i="31"/>
  <c r="T72" i="31"/>
  <c r="Q72" i="31"/>
  <c r="T71" i="31"/>
  <c r="Q71" i="31"/>
  <c r="V70" i="31"/>
  <c r="T70" i="31"/>
  <c r="Q70" i="31"/>
  <c r="V69" i="31"/>
  <c r="T69" i="31"/>
  <c r="Q69" i="31"/>
  <c r="V68" i="31"/>
  <c r="T68" i="31"/>
  <c r="Q68" i="31"/>
  <c r="V67" i="31"/>
  <c r="T67" i="31"/>
  <c r="Q67" i="31"/>
  <c r="V66" i="31"/>
  <c r="T66" i="31"/>
  <c r="Q66" i="31"/>
  <c r="V65" i="31"/>
  <c r="T65" i="31"/>
  <c r="Q65" i="31"/>
  <c r="V64" i="31"/>
  <c r="T64" i="31"/>
  <c r="Q64" i="31"/>
  <c r="V63" i="31"/>
  <c r="T63" i="31"/>
  <c r="Q63" i="31"/>
  <c r="V62" i="31"/>
  <c r="T62" i="31"/>
  <c r="Q62" i="31"/>
  <c r="V61" i="31"/>
  <c r="T61" i="31"/>
  <c r="Q61" i="31"/>
  <c r="V60" i="31"/>
  <c r="T60" i="31"/>
  <c r="Q60" i="31"/>
  <c r="V59" i="31"/>
  <c r="T59" i="31"/>
  <c r="Q59" i="31"/>
  <c r="V58" i="31"/>
  <c r="T58" i="31"/>
  <c r="Q58" i="31"/>
  <c r="V57" i="31"/>
  <c r="T57" i="31"/>
  <c r="Q57" i="31"/>
  <c r="V56" i="31"/>
  <c r="T56" i="31"/>
  <c r="Q56" i="31"/>
  <c r="V55" i="31"/>
  <c r="T55" i="31"/>
  <c r="Q55" i="31"/>
  <c r="V54" i="31"/>
  <c r="T54" i="31"/>
  <c r="Q54" i="31"/>
  <c r="V53" i="31"/>
  <c r="T53" i="31"/>
  <c r="Q53" i="31"/>
  <c r="V52" i="31"/>
  <c r="T52" i="31"/>
  <c r="Q52" i="31"/>
  <c r="V51" i="31"/>
  <c r="T51" i="31"/>
  <c r="Q51" i="31"/>
  <c r="V50" i="31"/>
  <c r="T50" i="31"/>
  <c r="Q50" i="31"/>
  <c r="V49" i="31"/>
  <c r="T49" i="31"/>
  <c r="Q49" i="31"/>
  <c r="V48" i="31"/>
  <c r="T48" i="31"/>
  <c r="Q48" i="31"/>
  <c r="V47" i="31"/>
  <c r="T47" i="31"/>
  <c r="Q47" i="31"/>
  <c r="V46" i="31"/>
  <c r="T46" i="31"/>
  <c r="Q46" i="31"/>
  <c r="V45" i="31"/>
  <c r="T45" i="31"/>
  <c r="Q45" i="31"/>
  <c r="V44" i="31"/>
  <c r="T44" i="31"/>
  <c r="Q44" i="31"/>
  <c r="V43" i="31"/>
  <c r="T43" i="31"/>
  <c r="Q43" i="31"/>
  <c r="V42" i="31"/>
  <c r="T42" i="31"/>
  <c r="Q42" i="31"/>
  <c r="V41" i="31"/>
  <c r="T41" i="31"/>
  <c r="Q41" i="31"/>
  <c r="V40" i="31"/>
  <c r="T40" i="31"/>
  <c r="Q40" i="31"/>
  <c r="V39" i="31"/>
  <c r="T39" i="31"/>
  <c r="Q39" i="31"/>
  <c r="V38" i="31"/>
  <c r="T38" i="31"/>
  <c r="Q38" i="31"/>
  <c r="V37" i="31"/>
  <c r="T37" i="31"/>
  <c r="Q37" i="31"/>
  <c r="V36" i="31"/>
  <c r="T36" i="31"/>
  <c r="Q36" i="31"/>
  <c r="V35" i="31"/>
  <c r="T35" i="31"/>
  <c r="Q35" i="31"/>
  <c r="V34" i="31"/>
  <c r="T34" i="31"/>
  <c r="Q34" i="31"/>
  <c r="V33" i="31"/>
  <c r="T33" i="31"/>
  <c r="Q33" i="31"/>
  <c r="V32" i="31"/>
  <c r="T32" i="31"/>
  <c r="Q32" i="31"/>
  <c r="V31" i="31"/>
  <c r="T31" i="31"/>
  <c r="Q31" i="31"/>
  <c r="V30" i="31"/>
  <c r="T30" i="31"/>
  <c r="Q30" i="31"/>
  <c r="V29" i="31"/>
  <c r="T29" i="31"/>
  <c r="Q29" i="31"/>
  <c r="V28" i="31"/>
  <c r="T28" i="31"/>
  <c r="Q28" i="31"/>
  <c r="V27" i="31"/>
  <c r="T27" i="31"/>
  <c r="Q27" i="31"/>
  <c r="V26" i="31"/>
  <c r="T26" i="31"/>
  <c r="Q26" i="31"/>
  <c r="V25" i="31"/>
  <c r="T25" i="31"/>
  <c r="Q25" i="31"/>
  <c r="V24" i="31"/>
  <c r="T24" i="31"/>
  <c r="Q24" i="31"/>
  <c r="V23" i="31"/>
  <c r="T23" i="31"/>
  <c r="Q23" i="31"/>
  <c r="V22" i="31"/>
  <c r="T22" i="31"/>
  <c r="Q22" i="31"/>
  <c r="V21" i="31"/>
  <c r="T21" i="31"/>
  <c r="Q21" i="31"/>
  <c r="V20" i="31"/>
  <c r="T20" i="31"/>
  <c r="Q20" i="31"/>
  <c r="V19" i="31"/>
  <c r="T19" i="31"/>
  <c r="Q19" i="31"/>
  <c r="V18" i="31"/>
  <c r="T18" i="31"/>
  <c r="Q18" i="31"/>
  <c r="V17" i="31"/>
  <c r="T17" i="31"/>
  <c r="Q17" i="31"/>
  <c r="V16" i="31"/>
  <c r="T16" i="31"/>
  <c r="Q16" i="31"/>
  <c r="V15" i="31"/>
  <c r="T15" i="31"/>
  <c r="Q15" i="31"/>
  <c r="V14" i="31"/>
  <c r="T14" i="31"/>
  <c r="Q14" i="31"/>
  <c r="V13" i="31"/>
  <c r="T13" i="31"/>
  <c r="Q13" i="31"/>
  <c r="V12" i="31"/>
  <c r="T12" i="31"/>
  <c r="Q12" i="31"/>
  <c r="V11" i="31"/>
  <c r="T11" i="31"/>
  <c r="Q11" i="31"/>
  <c r="V10" i="31"/>
  <c r="T10" i="31"/>
  <c r="Q10" i="31"/>
  <c r="V9" i="31"/>
  <c r="T9" i="31"/>
  <c r="Q9" i="31"/>
  <c r="V8" i="31"/>
  <c r="T8" i="31"/>
  <c r="Q8" i="31"/>
  <c r="V7" i="31"/>
  <c r="T7" i="31"/>
  <c r="Q7" i="31"/>
  <c r="V6" i="31"/>
  <c r="T6" i="31"/>
  <c r="Q6" i="31"/>
  <c r="V5" i="31"/>
  <c r="T5" i="31"/>
  <c r="Q5" i="31"/>
  <c r="V4" i="31"/>
  <c r="T4" i="31"/>
  <c r="Q4" i="31"/>
  <c r="V3" i="31"/>
  <c r="T3" i="31"/>
  <c r="Q3" i="31"/>
  <c r="V2" i="31"/>
  <c r="T2" i="31"/>
  <c r="Q2" i="31"/>
  <c r="T85" i="30"/>
  <c r="V85" i="30"/>
  <c r="Q85" i="30"/>
  <c r="T84" i="30"/>
  <c r="V84" i="30"/>
  <c r="Q84" i="30"/>
  <c r="T83" i="30"/>
  <c r="V83" i="30"/>
  <c r="Q83" i="30"/>
  <c r="T82" i="30"/>
  <c r="V82" i="30"/>
  <c r="Q82" i="30"/>
  <c r="T81" i="30"/>
  <c r="V81" i="30"/>
  <c r="Q81" i="30"/>
  <c r="T80" i="30"/>
  <c r="V80" i="30"/>
  <c r="Q80" i="30"/>
  <c r="T70" i="30"/>
  <c r="V70" i="30"/>
  <c r="Q70" i="30"/>
  <c r="T69" i="30"/>
  <c r="V69" i="30"/>
  <c r="Q69" i="30"/>
  <c r="T68" i="30"/>
  <c r="V68" i="30"/>
  <c r="Q68" i="30"/>
  <c r="T67" i="30"/>
  <c r="V67" i="30"/>
  <c r="Q67" i="30"/>
  <c r="T66" i="30"/>
  <c r="V66" i="30"/>
  <c r="Q66" i="30"/>
  <c r="T65" i="30"/>
  <c r="V65" i="30"/>
  <c r="Q65" i="30"/>
  <c r="T64" i="30"/>
  <c r="V64" i="30"/>
  <c r="Q64" i="30"/>
  <c r="T63" i="30"/>
  <c r="V63" i="30"/>
  <c r="Q63" i="30"/>
  <c r="T62" i="30"/>
  <c r="V62" i="30"/>
  <c r="Q62" i="30"/>
  <c r="T61" i="30"/>
  <c r="V61" i="30"/>
  <c r="Q61" i="30"/>
  <c r="T60" i="30"/>
  <c r="V60" i="30"/>
  <c r="Q60" i="30"/>
  <c r="T59" i="30"/>
  <c r="V59" i="30"/>
  <c r="Q59" i="30"/>
  <c r="T58" i="30"/>
  <c r="V58" i="30"/>
  <c r="Q58" i="30"/>
  <c r="T57" i="30"/>
  <c r="V57" i="30"/>
  <c r="Q57" i="30"/>
  <c r="T56" i="30"/>
  <c r="V56" i="30"/>
  <c r="Q56" i="30"/>
  <c r="T55" i="30"/>
  <c r="V55" i="30"/>
  <c r="Q55" i="30"/>
  <c r="T54" i="30"/>
  <c r="V54" i="30"/>
  <c r="Q54" i="30"/>
  <c r="T53" i="30"/>
  <c r="V53" i="30"/>
  <c r="Q53" i="30"/>
  <c r="T52" i="30"/>
  <c r="V52" i="30"/>
  <c r="Q52" i="30"/>
  <c r="T51" i="30"/>
  <c r="V51" i="30"/>
  <c r="Q51" i="30"/>
  <c r="T50" i="30"/>
  <c r="V50" i="30"/>
  <c r="Q50" i="30"/>
  <c r="T49" i="30"/>
  <c r="V49" i="30"/>
  <c r="Q49" i="30"/>
  <c r="T48" i="30"/>
  <c r="V48" i="30"/>
  <c r="Q48" i="30"/>
  <c r="T47" i="30"/>
  <c r="V47" i="30"/>
  <c r="Q47" i="30"/>
  <c r="T46" i="30"/>
  <c r="V46" i="30"/>
  <c r="Q46" i="30"/>
  <c r="T45" i="30"/>
  <c r="V45" i="30"/>
  <c r="Q45" i="30"/>
  <c r="T44" i="30"/>
  <c r="V44" i="30"/>
  <c r="Q44" i="30"/>
  <c r="T43" i="30"/>
  <c r="V43" i="30"/>
  <c r="Q43" i="30"/>
  <c r="T42" i="30"/>
  <c r="V42" i="30"/>
  <c r="Q42" i="30"/>
  <c r="T41" i="30"/>
  <c r="V41" i="30"/>
  <c r="Q41" i="30"/>
  <c r="T40" i="30"/>
  <c r="V40" i="30"/>
  <c r="Q40" i="30"/>
  <c r="T39" i="30"/>
  <c r="V39" i="30"/>
  <c r="Q39" i="30"/>
  <c r="T38" i="30"/>
  <c r="V38" i="30"/>
  <c r="Q38" i="30"/>
  <c r="T37" i="30"/>
  <c r="V37" i="30"/>
  <c r="Q37" i="30"/>
  <c r="T36" i="30"/>
  <c r="V36" i="30"/>
  <c r="Q36" i="30"/>
  <c r="T35" i="30"/>
  <c r="V35" i="30"/>
  <c r="Q35" i="30"/>
  <c r="T34" i="30"/>
  <c r="V34" i="30"/>
  <c r="Q34" i="30"/>
  <c r="T33" i="30"/>
  <c r="V33" i="30"/>
  <c r="Q33" i="30"/>
  <c r="T32" i="30"/>
  <c r="V32" i="30"/>
  <c r="Q32" i="30"/>
  <c r="T31" i="30"/>
  <c r="V31" i="30"/>
  <c r="Q31" i="30"/>
  <c r="T30" i="30"/>
  <c r="V30" i="30"/>
  <c r="Q30" i="30"/>
  <c r="T29" i="30"/>
  <c r="V29" i="30"/>
  <c r="Q29" i="30"/>
  <c r="T28" i="30"/>
  <c r="V28" i="30"/>
  <c r="Q28" i="30"/>
  <c r="T27" i="30"/>
  <c r="V27" i="30"/>
  <c r="Q27" i="30"/>
  <c r="T26" i="30"/>
  <c r="V26" i="30"/>
  <c r="Q26" i="30"/>
  <c r="T25" i="30"/>
  <c r="V25" i="30"/>
  <c r="Q25" i="30"/>
  <c r="T24" i="30"/>
  <c r="V24" i="30"/>
  <c r="Q24" i="30"/>
  <c r="T23" i="30"/>
  <c r="V23" i="30"/>
  <c r="Q23" i="30"/>
  <c r="T22" i="30"/>
  <c r="V22" i="30"/>
  <c r="Q22" i="30"/>
  <c r="T21" i="30"/>
  <c r="V21" i="30"/>
  <c r="Q21" i="30"/>
  <c r="T20" i="30"/>
  <c r="V20" i="30"/>
  <c r="Q20" i="30"/>
  <c r="T19" i="30"/>
  <c r="V19" i="30"/>
  <c r="Q19" i="30"/>
  <c r="T18" i="30"/>
  <c r="V18" i="30"/>
  <c r="Q18" i="30"/>
  <c r="T17" i="30"/>
  <c r="V17" i="30"/>
  <c r="Q17" i="30"/>
  <c r="T16" i="30"/>
  <c r="V16" i="30"/>
  <c r="Q16" i="30"/>
  <c r="T15" i="30"/>
  <c r="V15" i="30"/>
  <c r="Q15" i="30"/>
  <c r="T14" i="30"/>
  <c r="V14" i="30"/>
  <c r="Q14" i="30"/>
  <c r="T13" i="30"/>
  <c r="V13" i="30"/>
  <c r="Q13" i="30"/>
  <c r="T12" i="30"/>
  <c r="V12" i="30"/>
  <c r="Q12" i="30"/>
  <c r="T11" i="30"/>
  <c r="V11" i="30"/>
  <c r="Q11" i="30"/>
  <c r="T10" i="30"/>
  <c r="V10" i="30"/>
  <c r="Q10" i="30"/>
  <c r="T9" i="30"/>
  <c r="V9" i="30"/>
  <c r="Q9" i="30"/>
  <c r="T8" i="30"/>
  <c r="V8" i="30"/>
  <c r="Q8" i="30"/>
  <c r="T7" i="30"/>
  <c r="V7" i="30"/>
  <c r="Q7" i="30"/>
  <c r="T6" i="30"/>
  <c r="V6" i="30"/>
  <c r="Q6" i="30"/>
  <c r="T5" i="30"/>
  <c r="V5" i="30"/>
  <c r="Q5" i="30"/>
  <c r="T4" i="30"/>
  <c r="V4" i="30"/>
  <c r="Q4" i="30"/>
  <c r="T3" i="30"/>
  <c r="V3" i="30"/>
  <c r="Q3" i="30"/>
  <c r="T2" i="30"/>
  <c r="V2" i="30"/>
  <c r="Q2" i="30"/>
  <c r="T91" i="29"/>
  <c r="V91" i="29"/>
  <c r="Q91" i="29"/>
  <c r="T90" i="29"/>
  <c r="V90" i="29"/>
  <c r="Q90" i="29"/>
  <c r="T89" i="29"/>
  <c r="V89" i="29"/>
  <c r="Q89" i="29"/>
  <c r="T88" i="29"/>
  <c r="V88" i="29"/>
  <c r="Q88" i="29"/>
  <c r="T87" i="29"/>
  <c r="V87" i="29"/>
  <c r="Q87" i="29"/>
  <c r="T86" i="29"/>
  <c r="V86" i="29"/>
  <c r="Q86" i="29"/>
  <c r="T85" i="29"/>
  <c r="V85" i="29"/>
  <c r="Q85" i="29"/>
  <c r="T84" i="29"/>
  <c r="V84" i="29"/>
  <c r="Q84" i="29"/>
  <c r="T83" i="29"/>
  <c r="V83" i="29"/>
  <c r="Q83" i="29"/>
  <c r="T82" i="29"/>
  <c r="V82" i="29"/>
  <c r="Q82" i="29"/>
  <c r="T81" i="29"/>
  <c r="V81" i="29"/>
  <c r="Q81" i="29"/>
  <c r="T80" i="29"/>
  <c r="V80" i="29"/>
  <c r="Q80" i="29"/>
  <c r="T79" i="29"/>
  <c r="V79" i="29"/>
  <c r="Q79" i="29"/>
  <c r="T78" i="29"/>
  <c r="V78" i="29"/>
  <c r="Q78" i="29"/>
  <c r="T77" i="29"/>
  <c r="V77" i="29"/>
  <c r="Q77" i="29"/>
  <c r="T76" i="29"/>
  <c r="V76" i="29"/>
  <c r="Q76" i="29"/>
  <c r="T75" i="29"/>
  <c r="V75" i="29"/>
  <c r="Q75" i="29"/>
  <c r="T74" i="29"/>
  <c r="V74" i="29"/>
  <c r="Q74" i="29"/>
  <c r="T73" i="29"/>
  <c r="V73" i="29"/>
  <c r="Q73" i="29"/>
  <c r="T72" i="29"/>
  <c r="V72" i="29"/>
  <c r="Q72" i="29"/>
  <c r="T71" i="29"/>
  <c r="V71" i="29"/>
  <c r="Q71" i="29"/>
  <c r="T70" i="29"/>
  <c r="V70" i="29"/>
  <c r="Q70" i="29"/>
  <c r="T69" i="29"/>
  <c r="V69" i="29"/>
  <c r="Q69" i="29"/>
  <c r="T68" i="29"/>
  <c r="V68" i="29"/>
  <c r="Q68" i="29"/>
  <c r="T67" i="29"/>
  <c r="V67" i="29"/>
  <c r="Q67" i="29"/>
  <c r="T66" i="29"/>
  <c r="V66" i="29"/>
  <c r="Q66" i="29"/>
  <c r="T65" i="29"/>
  <c r="V65" i="29"/>
  <c r="Q65" i="29"/>
  <c r="T64" i="29"/>
  <c r="V64" i="29"/>
  <c r="Q64" i="29"/>
  <c r="T63" i="29"/>
  <c r="V63" i="29"/>
  <c r="Q63" i="29"/>
  <c r="T62" i="29"/>
  <c r="V62" i="29"/>
  <c r="Q62" i="29"/>
  <c r="T61" i="29"/>
  <c r="V61" i="29"/>
  <c r="Q61" i="29"/>
  <c r="T60" i="29"/>
  <c r="V60" i="29"/>
  <c r="Q60" i="29"/>
  <c r="T59" i="29"/>
  <c r="V59" i="29"/>
  <c r="Q59" i="29"/>
  <c r="T58" i="29"/>
  <c r="V58" i="29"/>
  <c r="Q58" i="29"/>
  <c r="T57" i="29"/>
  <c r="V57" i="29"/>
  <c r="Q57" i="29"/>
  <c r="T56" i="29"/>
  <c r="V56" i="29"/>
  <c r="Q56" i="29"/>
  <c r="T55" i="29"/>
  <c r="V55" i="29"/>
  <c r="Q55" i="29"/>
  <c r="T54" i="29"/>
  <c r="V54" i="29"/>
  <c r="Q54" i="29"/>
  <c r="T53" i="29"/>
  <c r="V53" i="29"/>
  <c r="Q53" i="29"/>
  <c r="T52" i="29"/>
  <c r="V52" i="29"/>
  <c r="Q52" i="29"/>
  <c r="T51" i="29"/>
  <c r="V51" i="29"/>
  <c r="Q51" i="29"/>
  <c r="T50" i="29"/>
  <c r="V50" i="29"/>
  <c r="Q50" i="29"/>
  <c r="T49" i="29"/>
  <c r="V49" i="29"/>
  <c r="Q49" i="29"/>
  <c r="T48" i="29"/>
  <c r="V48" i="29"/>
  <c r="Q48" i="29"/>
  <c r="T47" i="29"/>
  <c r="V47" i="29"/>
  <c r="Q47" i="29"/>
  <c r="T46" i="29"/>
  <c r="V46" i="29"/>
  <c r="Q46" i="29"/>
  <c r="T45" i="29"/>
  <c r="V45" i="29"/>
  <c r="Q45" i="29"/>
  <c r="T44" i="29"/>
  <c r="V44" i="29"/>
  <c r="Q44" i="29"/>
  <c r="T43" i="29"/>
  <c r="V43" i="29"/>
  <c r="Q43" i="29"/>
  <c r="T42" i="29"/>
  <c r="V42" i="29"/>
  <c r="Q42" i="29"/>
  <c r="T41" i="29"/>
  <c r="V41" i="29"/>
  <c r="Q41" i="29"/>
  <c r="T40" i="29"/>
  <c r="V40" i="29"/>
  <c r="Q40" i="29"/>
  <c r="T39" i="29"/>
  <c r="V39" i="29"/>
  <c r="Q39" i="29"/>
  <c r="T38" i="29"/>
  <c r="V38" i="29"/>
  <c r="Q38" i="29"/>
  <c r="T37" i="29"/>
  <c r="V37" i="29"/>
  <c r="Q37" i="29"/>
  <c r="T36" i="29"/>
  <c r="V36" i="29"/>
  <c r="Q36" i="29"/>
  <c r="T35" i="29"/>
  <c r="V35" i="29"/>
  <c r="Q35" i="29"/>
  <c r="T34" i="29"/>
  <c r="V34" i="29"/>
  <c r="Q34" i="29"/>
  <c r="T33" i="29"/>
  <c r="V33" i="29"/>
  <c r="Q33" i="29"/>
  <c r="T32" i="29"/>
  <c r="V32" i="29"/>
  <c r="Q32" i="29"/>
  <c r="T31" i="29"/>
  <c r="V31" i="29"/>
  <c r="Q31" i="29"/>
  <c r="T30" i="29"/>
  <c r="V30" i="29"/>
  <c r="Q30" i="29"/>
  <c r="T29" i="29"/>
  <c r="V29" i="29"/>
  <c r="Q29" i="29"/>
  <c r="T28" i="29"/>
  <c r="V28" i="29"/>
  <c r="Q28" i="29"/>
  <c r="T27" i="29"/>
  <c r="V27" i="29"/>
  <c r="Q27" i="29"/>
  <c r="T26" i="29"/>
  <c r="V26" i="29"/>
  <c r="Q26" i="29"/>
  <c r="T25" i="29"/>
  <c r="V25" i="29"/>
  <c r="Q25" i="29"/>
  <c r="T24" i="29"/>
  <c r="V24" i="29"/>
  <c r="Q24" i="29"/>
  <c r="T23" i="29"/>
  <c r="V23" i="29"/>
  <c r="Q23" i="29"/>
  <c r="T22" i="29"/>
  <c r="V22" i="29"/>
  <c r="Q22" i="29"/>
  <c r="T21" i="29"/>
  <c r="V21" i="29"/>
  <c r="Q21" i="29"/>
  <c r="T20" i="29"/>
  <c r="V20" i="29"/>
  <c r="Q20" i="29"/>
  <c r="T19" i="29"/>
  <c r="V19" i="29"/>
  <c r="Q19" i="29"/>
  <c r="T18" i="29"/>
  <c r="V18" i="29"/>
  <c r="Q18" i="29"/>
  <c r="T17" i="29"/>
  <c r="V17" i="29"/>
  <c r="Q17" i="29"/>
  <c r="T16" i="29"/>
  <c r="V16" i="29"/>
  <c r="Q16" i="29"/>
  <c r="T15" i="29"/>
  <c r="V15" i="29"/>
  <c r="Q15" i="29"/>
  <c r="T14" i="29"/>
  <c r="V14" i="29"/>
  <c r="Q14" i="29"/>
  <c r="T13" i="29"/>
  <c r="V13" i="29"/>
  <c r="Q13" i="29"/>
  <c r="T12" i="29"/>
  <c r="V12" i="29"/>
  <c r="Q12" i="29"/>
  <c r="T11" i="29"/>
  <c r="V11" i="29"/>
  <c r="Q11" i="29"/>
  <c r="T10" i="29"/>
  <c r="V10" i="29"/>
  <c r="Q10" i="29"/>
  <c r="T9" i="29"/>
  <c r="V9" i="29"/>
  <c r="Q9" i="29"/>
  <c r="T8" i="29"/>
  <c r="V8" i="29"/>
  <c r="Q8" i="29"/>
  <c r="T7" i="29"/>
  <c r="V7" i="29"/>
  <c r="Q7" i="29"/>
  <c r="T6" i="29"/>
  <c r="V6" i="29"/>
  <c r="Q6" i="29"/>
  <c r="T5" i="29"/>
  <c r="V5" i="29"/>
  <c r="Q5" i="29"/>
  <c r="T4" i="29"/>
  <c r="V4" i="29"/>
  <c r="Q4" i="29"/>
  <c r="T3" i="29"/>
  <c r="V3" i="29"/>
  <c r="Q3" i="29"/>
  <c r="T2" i="29"/>
  <c r="V2" i="29"/>
  <c r="Q2" i="29"/>
  <c r="T67" i="27"/>
  <c r="V67" i="27"/>
  <c r="Q67" i="27"/>
  <c r="T66" i="27"/>
  <c r="V66" i="27"/>
  <c r="Q66" i="27"/>
  <c r="T65" i="27"/>
  <c r="V65" i="27"/>
  <c r="Q65" i="27"/>
  <c r="T64" i="27"/>
  <c r="V64" i="27"/>
  <c r="Q64" i="27"/>
  <c r="T63" i="27"/>
  <c r="V63" i="27"/>
  <c r="Q63" i="27"/>
  <c r="T62" i="27"/>
  <c r="V62" i="27"/>
  <c r="Q62" i="27"/>
  <c r="T61" i="27"/>
  <c r="V61" i="27"/>
  <c r="Q61" i="27"/>
  <c r="T60" i="27"/>
  <c r="V60" i="27"/>
  <c r="Q60" i="27"/>
  <c r="T59" i="27"/>
  <c r="V59" i="27"/>
  <c r="Q59" i="27"/>
  <c r="T58" i="27"/>
  <c r="V58" i="27"/>
  <c r="Q58" i="27"/>
  <c r="T57" i="27"/>
  <c r="V57" i="27"/>
  <c r="Q57" i="27"/>
  <c r="T56" i="27"/>
  <c r="V56" i="27"/>
  <c r="Q56" i="27"/>
  <c r="T55" i="27"/>
  <c r="V55" i="27"/>
  <c r="Q55" i="27"/>
  <c r="T54" i="27"/>
  <c r="V54" i="27"/>
  <c r="Q54" i="27"/>
  <c r="T53" i="27"/>
  <c r="V53" i="27"/>
  <c r="Q53" i="27"/>
  <c r="T52" i="27"/>
  <c r="V52" i="27"/>
  <c r="Q52" i="27"/>
  <c r="T51" i="27"/>
  <c r="V51" i="27"/>
  <c r="Q51" i="27"/>
  <c r="T50" i="27"/>
  <c r="V50" i="27"/>
  <c r="Q50" i="27"/>
  <c r="T49" i="27"/>
  <c r="V49" i="27"/>
  <c r="Q49" i="27"/>
  <c r="T48" i="27"/>
  <c r="V48" i="27"/>
  <c r="Q48" i="27"/>
  <c r="T47" i="27"/>
  <c r="V47" i="27"/>
  <c r="Q47" i="27"/>
  <c r="T46" i="27"/>
  <c r="V46" i="27"/>
  <c r="Q46" i="27"/>
  <c r="T45" i="27"/>
  <c r="V45" i="27"/>
  <c r="Q45" i="27"/>
  <c r="T44" i="27"/>
  <c r="V44" i="27"/>
  <c r="Q44" i="27"/>
  <c r="T43" i="27"/>
  <c r="V43" i="27"/>
  <c r="Q43" i="27"/>
  <c r="T42" i="27"/>
  <c r="V42" i="27"/>
  <c r="Q42" i="27"/>
  <c r="T41" i="27"/>
  <c r="V41" i="27"/>
  <c r="Q41" i="27"/>
  <c r="T40" i="27"/>
  <c r="V40" i="27"/>
  <c r="Q40" i="27"/>
  <c r="T39" i="27"/>
  <c r="V39" i="27"/>
  <c r="Q39" i="27"/>
  <c r="T38" i="27"/>
  <c r="V38" i="27"/>
  <c r="Q38" i="27"/>
  <c r="T37" i="27"/>
  <c r="V37" i="27"/>
  <c r="Q37" i="27"/>
  <c r="T36" i="27"/>
  <c r="V36" i="27"/>
  <c r="Q36" i="27"/>
  <c r="T35" i="27"/>
  <c r="V35" i="27"/>
  <c r="Q35" i="27"/>
  <c r="T34" i="27"/>
  <c r="V34" i="27"/>
  <c r="Q34" i="27"/>
  <c r="T33" i="27"/>
  <c r="V33" i="27"/>
  <c r="Q33" i="27"/>
  <c r="T32" i="27"/>
  <c r="V32" i="27"/>
  <c r="Q32" i="27"/>
  <c r="T31" i="27"/>
  <c r="V31" i="27"/>
  <c r="Q31" i="27"/>
  <c r="T30" i="27"/>
  <c r="V30" i="27"/>
  <c r="Q30" i="27"/>
  <c r="T29" i="27"/>
  <c r="V29" i="27"/>
  <c r="Q29" i="27"/>
  <c r="T28" i="27"/>
  <c r="V28" i="27"/>
  <c r="Q28" i="27"/>
  <c r="T27" i="27"/>
  <c r="V27" i="27"/>
  <c r="Q27" i="27"/>
  <c r="T26" i="27"/>
  <c r="V26" i="27"/>
  <c r="Q26" i="27"/>
  <c r="T25" i="27"/>
  <c r="V25" i="27"/>
  <c r="Q25" i="27"/>
  <c r="T24" i="27"/>
  <c r="V24" i="27"/>
  <c r="Q24" i="27"/>
  <c r="T23" i="27"/>
  <c r="V23" i="27"/>
  <c r="Q23" i="27"/>
  <c r="T22" i="27"/>
  <c r="V22" i="27"/>
  <c r="Q22" i="27"/>
  <c r="T21" i="27"/>
  <c r="V21" i="27"/>
  <c r="Q21" i="27"/>
  <c r="T20" i="27"/>
  <c r="V20" i="27"/>
  <c r="Q20" i="27"/>
  <c r="T19" i="27"/>
  <c r="V19" i="27"/>
  <c r="Q19" i="27"/>
  <c r="T18" i="27"/>
  <c r="V18" i="27"/>
  <c r="Q18" i="27"/>
  <c r="T17" i="27"/>
  <c r="V17" i="27"/>
  <c r="Q17" i="27"/>
  <c r="T16" i="27"/>
  <c r="V16" i="27"/>
  <c r="Q16" i="27"/>
  <c r="T15" i="27"/>
  <c r="V15" i="27"/>
  <c r="Q15" i="27"/>
  <c r="T14" i="27"/>
  <c r="V14" i="27"/>
  <c r="Q14" i="27"/>
  <c r="T13" i="27"/>
  <c r="V13" i="27"/>
  <c r="Q13" i="27"/>
  <c r="T12" i="27"/>
  <c r="V12" i="27"/>
  <c r="Q12" i="27"/>
  <c r="T11" i="27"/>
  <c r="V11" i="27"/>
  <c r="Q11" i="27"/>
  <c r="T10" i="27"/>
  <c r="V10" i="27"/>
  <c r="Q10" i="27"/>
  <c r="T9" i="27"/>
  <c r="V9" i="27"/>
  <c r="Q9" i="27"/>
  <c r="T8" i="27"/>
  <c r="V8" i="27"/>
  <c r="Q8" i="27"/>
  <c r="T7" i="27"/>
  <c r="V7" i="27"/>
  <c r="Q7" i="27"/>
  <c r="T6" i="27"/>
  <c r="V6" i="27"/>
  <c r="Q6" i="27"/>
  <c r="T5" i="27"/>
  <c r="V5" i="27"/>
  <c r="Q5" i="27"/>
  <c r="T4" i="27"/>
  <c r="V4" i="27"/>
  <c r="Q4" i="27"/>
  <c r="T3" i="27"/>
  <c r="V3" i="27"/>
  <c r="Q3" i="27"/>
  <c r="T2" i="27"/>
  <c r="V2" i="27"/>
  <c r="Q2" i="27"/>
  <c r="T127" i="26"/>
  <c r="V127" i="26"/>
  <c r="Q127" i="26"/>
  <c r="T126" i="26"/>
  <c r="V126" i="26"/>
  <c r="Q126" i="26"/>
  <c r="T125" i="26"/>
  <c r="V125" i="26"/>
  <c r="Q125" i="26"/>
  <c r="T124" i="26"/>
  <c r="V124" i="26"/>
  <c r="Q124" i="26"/>
  <c r="T123" i="26"/>
  <c r="V123" i="26"/>
  <c r="Q123" i="26"/>
  <c r="T122" i="26"/>
  <c r="V122" i="26"/>
  <c r="Q122" i="26"/>
  <c r="T121" i="26"/>
  <c r="V121" i="26"/>
  <c r="Q121" i="26"/>
  <c r="T120" i="26"/>
  <c r="V120" i="26"/>
  <c r="Q120" i="26"/>
  <c r="T119" i="26"/>
  <c r="V119" i="26"/>
  <c r="Q119" i="26"/>
  <c r="T118" i="26"/>
  <c r="V118" i="26"/>
  <c r="Q118" i="26"/>
  <c r="T117" i="26"/>
  <c r="V117" i="26"/>
  <c r="Q117" i="26"/>
  <c r="T116" i="26"/>
  <c r="V116" i="26"/>
  <c r="Q116" i="26"/>
  <c r="T115" i="26"/>
  <c r="V115" i="26"/>
  <c r="Q115" i="26"/>
  <c r="T114" i="26"/>
  <c r="V114" i="26"/>
  <c r="Q114" i="26"/>
  <c r="T113" i="26"/>
  <c r="V113" i="26"/>
  <c r="Q113" i="26"/>
  <c r="T112" i="26"/>
  <c r="V112" i="26"/>
  <c r="Q112" i="26"/>
  <c r="T111" i="26"/>
  <c r="V111" i="26"/>
  <c r="Q111" i="26"/>
  <c r="T110" i="26"/>
  <c r="V110" i="26"/>
  <c r="Q110" i="26"/>
  <c r="T109" i="26"/>
  <c r="V109" i="26"/>
  <c r="Q109" i="26"/>
  <c r="T108" i="26"/>
  <c r="V108" i="26"/>
  <c r="Q108" i="26"/>
  <c r="T107" i="26"/>
  <c r="V107" i="26"/>
  <c r="Q107" i="26"/>
  <c r="T106" i="26"/>
  <c r="V106" i="26"/>
  <c r="Q106" i="26"/>
  <c r="T105" i="26"/>
  <c r="V105" i="26"/>
  <c r="Q105" i="26"/>
  <c r="T104" i="26"/>
  <c r="V104" i="26"/>
  <c r="Q104" i="26"/>
  <c r="T103" i="26"/>
  <c r="V103" i="26"/>
  <c r="Q103" i="26"/>
  <c r="T102" i="26"/>
  <c r="V102" i="26"/>
  <c r="Q102" i="26"/>
  <c r="T101" i="26"/>
  <c r="V101" i="26"/>
  <c r="Q101" i="26"/>
  <c r="T100" i="26"/>
  <c r="V100" i="26"/>
  <c r="Q100" i="26"/>
  <c r="T99" i="26"/>
  <c r="V99" i="26"/>
  <c r="Q99" i="26"/>
  <c r="T98" i="26"/>
  <c r="V98" i="26"/>
  <c r="Q98" i="26"/>
  <c r="T97" i="26"/>
  <c r="V97" i="26"/>
  <c r="Q97" i="26"/>
  <c r="T96" i="26"/>
  <c r="V96" i="26"/>
  <c r="Q96" i="26"/>
  <c r="T95" i="26"/>
  <c r="V95" i="26"/>
  <c r="Q95" i="26"/>
  <c r="T94" i="26"/>
  <c r="V94" i="26"/>
  <c r="Q94" i="26"/>
  <c r="T93" i="26"/>
  <c r="V93" i="26"/>
  <c r="Q93" i="26"/>
  <c r="T92" i="26"/>
  <c r="V92" i="26"/>
  <c r="Q92" i="26"/>
  <c r="T91" i="26"/>
  <c r="V91" i="26"/>
  <c r="Q91" i="26"/>
  <c r="T90" i="26"/>
  <c r="V90" i="26"/>
  <c r="Q90" i="26"/>
  <c r="T89" i="26"/>
  <c r="V89" i="26"/>
  <c r="Q89" i="26"/>
  <c r="T88" i="26"/>
  <c r="V88" i="26"/>
  <c r="Q88" i="26"/>
  <c r="T87" i="26"/>
  <c r="V87" i="26"/>
  <c r="Q87" i="26"/>
  <c r="T86" i="26"/>
  <c r="V86" i="26"/>
  <c r="Q86" i="26"/>
  <c r="T85" i="26"/>
  <c r="V85" i="26"/>
  <c r="Q85" i="26"/>
  <c r="T84" i="26"/>
  <c r="V84" i="26"/>
  <c r="Q84" i="26"/>
  <c r="T83" i="26"/>
  <c r="V83" i="26"/>
  <c r="Q83" i="26"/>
  <c r="T82" i="26"/>
  <c r="V82" i="26"/>
  <c r="Q82" i="26"/>
  <c r="T81" i="26"/>
  <c r="V81" i="26"/>
  <c r="Q81" i="26"/>
  <c r="T80" i="26"/>
  <c r="V80" i="26"/>
  <c r="Q80" i="26"/>
  <c r="T79" i="26"/>
  <c r="V79" i="26"/>
  <c r="Q79" i="26"/>
  <c r="T78" i="26"/>
  <c r="V78" i="26"/>
  <c r="Q78" i="26"/>
  <c r="T77" i="26"/>
  <c r="V77" i="26"/>
  <c r="Q77" i="26"/>
  <c r="T76" i="26"/>
  <c r="V76" i="26"/>
  <c r="Q76" i="26"/>
  <c r="T75" i="26"/>
  <c r="V75" i="26"/>
  <c r="Q75" i="26"/>
  <c r="T74" i="26"/>
  <c r="V74" i="26"/>
  <c r="Q74" i="26"/>
  <c r="T73" i="26"/>
  <c r="V73" i="26"/>
  <c r="Q73" i="26"/>
  <c r="T72" i="26"/>
  <c r="V72" i="26"/>
  <c r="Q72" i="26"/>
  <c r="T71" i="26"/>
  <c r="V71" i="26"/>
  <c r="Q71" i="26"/>
  <c r="T70" i="26"/>
  <c r="V70" i="26"/>
  <c r="Q70" i="26"/>
  <c r="T69" i="26"/>
  <c r="V69" i="26"/>
  <c r="Q69" i="26"/>
  <c r="T68" i="26"/>
  <c r="V68" i="26"/>
  <c r="Q68" i="26"/>
  <c r="T67" i="26"/>
  <c r="V67" i="26"/>
  <c r="Q67" i="26"/>
  <c r="T66" i="26"/>
  <c r="V66" i="26"/>
  <c r="Q66" i="26"/>
  <c r="T65" i="26"/>
  <c r="V65" i="26"/>
  <c r="Q65" i="26"/>
  <c r="T64" i="26"/>
  <c r="V64" i="26"/>
  <c r="Q64" i="26"/>
  <c r="T63" i="26"/>
  <c r="V63" i="26"/>
  <c r="Q63" i="26"/>
  <c r="T62" i="26"/>
  <c r="V62" i="26"/>
  <c r="Q62" i="26"/>
  <c r="T61" i="26"/>
  <c r="V61" i="26"/>
  <c r="Q61" i="26"/>
  <c r="T60" i="26"/>
  <c r="V60" i="26"/>
  <c r="Q60" i="26"/>
  <c r="T59" i="26"/>
  <c r="V59" i="26"/>
  <c r="Q59" i="26"/>
  <c r="T58" i="26"/>
  <c r="V58" i="26"/>
  <c r="Q58" i="26"/>
  <c r="T57" i="26"/>
  <c r="V57" i="26"/>
  <c r="Q57" i="26"/>
  <c r="T56" i="26"/>
  <c r="V56" i="26"/>
  <c r="Q56" i="26"/>
  <c r="T55" i="26"/>
  <c r="V55" i="26"/>
  <c r="Q55" i="26"/>
  <c r="T54" i="26"/>
  <c r="V54" i="26"/>
  <c r="Q54" i="26"/>
  <c r="T53" i="26"/>
  <c r="V53" i="26"/>
  <c r="Q53" i="26"/>
  <c r="T52" i="26"/>
  <c r="V52" i="26"/>
  <c r="Q52" i="26"/>
  <c r="T51" i="26"/>
  <c r="V51" i="26"/>
  <c r="Q51" i="26"/>
  <c r="T50" i="26"/>
  <c r="V50" i="26"/>
  <c r="Q50" i="26"/>
  <c r="T49" i="26"/>
  <c r="V49" i="26"/>
  <c r="Q49" i="26"/>
  <c r="T48" i="26"/>
  <c r="V48" i="26"/>
  <c r="Q48" i="26"/>
  <c r="T47" i="26"/>
  <c r="V47" i="26"/>
  <c r="Q47" i="26"/>
  <c r="T46" i="26"/>
  <c r="V46" i="26"/>
  <c r="Q46" i="26"/>
  <c r="T45" i="26"/>
  <c r="V45" i="26"/>
  <c r="Q45" i="26"/>
  <c r="T44" i="26"/>
  <c r="V44" i="26"/>
  <c r="Q44" i="26"/>
  <c r="T43" i="26"/>
  <c r="V43" i="26"/>
  <c r="Q43" i="26"/>
  <c r="T42" i="26"/>
  <c r="V42" i="26"/>
  <c r="Q42" i="26"/>
  <c r="T41" i="26"/>
  <c r="V41" i="26"/>
  <c r="Q41" i="26"/>
  <c r="T40" i="26"/>
  <c r="V40" i="26"/>
  <c r="Q40" i="26"/>
  <c r="T39" i="26"/>
  <c r="V39" i="26"/>
  <c r="Q39" i="26"/>
  <c r="T38" i="26"/>
  <c r="V38" i="26"/>
  <c r="Q38" i="26"/>
  <c r="T37" i="26"/>
  <c r="V37" i="26"/>
  <c r="Q37" i="26"/>
  <c r="T36" i="26"/>
  <c r="V36" i="26"/>
  <c r="Q36" i="26"/>
  <c r="T35" i="26"/>
  <c r="V35" i="26"/>
  <c r="Q35" i="26"/>
  <c r="T34" i="26"/>
  <c r="V34" i="26"/>
  <c r="Q34" i="26"/>
  <c r="T33" i="26"/>
  <c r="V33" i="26"/>
  <c r="Q33" i="26"/>
  <c r="T32" i="26"/>
  <c r="V32" i="26"/>
  <c r="Q32" i="26"/>
  <c r="T31" i="26"/>
  <c r="V31" i="26"/>
  <c r="Q31" i="26"/>
  <c r="T30" i="26"/>
  <c r="V30" i="26"/>
  <c r="Q30" i="26"/>
  <c r="T29" i="26"/>
  <c r="V29" i="26"/>
  <c r="Q29" i="26"/>
  <c r="T28" i="26"/>
  <c r="V28" i="26"/>
  <c r="Q28" i="26"/>
  <c r="T27" i="26"/>
  <c r="V27" i="26"/>
  <c r="Q27" i="26"/>
  <c r="T26" i="26"/>
  <c r="V26" i="26"/>
  <c r="Q26" i="26"/>
  <c r="T25" i="26"/>
  <c r="V25" i="26"/>
  <c r="Q25" i="26"/>
  <c r="T24" i="26"/>
  <c r="V24" i="26"/>
  <c r="Q24" i="26"/>
  <c r="T23" i="26"/>
  <c r="V23" i="26"/>
  <c r="Q23" i="26"/>
  <c r="T22" i="26"/>
  <c r="V22" i="26"/>
  <c r="Q22" i="26"/>
  <c r="T21" i="26"/>
  <c r="V21" i="26"/>
  <c r="Q21" i="26"/>
  <c r="T20" i="26"/>
  <c r="V20" i="26"/>
  <c r="Q20" i="26"/>
  <c r="T19" i="26"/>
  <c r="V19" i="26"/>
  <c r="Q19" i="26"/>
  <c r="T18" i="26"/>
  <c r="V18" i="26"/>
  <c r="Q18" i="26"/>
  <c r="T17" i="26"/>
  <c r="V17" i="26"/>
  <c r="Q17" i="26"/>
  <c r="T16" i="26"/>
  <c r="V16" i="26"/>
  <c r="Q16" i="26"/>
  <c r="T15" i="26"/>
  <c r="V15" i="26"/>
  <c r="Q15" i="26"/>
  <c r="T14" i="26"/>
  <c r="V14" i="26"/>
  <c r="Q14" i="26"/>
  <c r="T13" i="26"/>
  <c r="V13" i="26"/>
  <c r="Q13" i="26"/>
  <c r="T12" i="26"/>
  <c r="V12" i="26"/>
  <c r="Q12" i="26"/>
  <c r="T11" i="26"/>
  <c r="V11" i="26"/>
  <c r="Q11" i="26"/>
  <c r="T10" i="26"/>
  <c r="V10" i="26"/>
  <c r="Q10" i="26"/>
  <c r="T9" i="26"/>
  <c r="V9" i="26"/>
  <c r="Q9" i="26"/>
  <c r="T8" i="26"/>
  <c r="V8" i="26"/>
  <c r="Q8" i="26"/>
  <c r="T7" i="26"/>
  <c r="V7" i="26"/>
  <c r="Q7" i="26"/>
  <c r="T6" i="26"/>
  <c r="V6" i="26"/>
  <c r="Q6" i="26"/>
  <c r="T5" i="26"/>
  <c r="V5" i="26"/>
  <c r="Q5" i="26"/>
  <c r="T4" i="26"/>
  <c r="V4" i="26"/>
  <c r="Q4" i="26"/>
  <c r="T3" i="26"/>
  <c r="V3" i="26"/>
  <c r="Q3" i="26"/>
  <c r="T2" i="26"/>
  <c r="V2" i="26"/>
  <c r="Q2" i="26"/>
  <c r="Q59" i="17"/>
  <c r="Q53" i="17"/>
  <c r="Q42" i="17"/>
  <c r="Q2" i="17"/>
  <c r="Q3" i="17"/>
  <c r="Q4" i="17"/>
  <c r="T59" i="17"/>
  <c r="V59" i="17"/>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c r="T118" i="17"/>
  <c r="V118" i="17"/>
  <c r="T117" i="17"/>
  <c r="V117" i="17"/>
  <c r="T116" i="17"/>
  <c r="V116" i="17"/>
  <c r="T115" i="17"/>
  <c r="V115" i="17"/>
  <c r="T114" i="17"/>
  <c r="V114" i="17"/>
  <c r="T113" i="17"/>
  <c r="V113" i="17"/>
  <c r="T112" i="17"/>
  <c r="V112" i="17"/>
  <c r="T111" i="17"/>
  <c r="V111" i="17"/>
  <c r="T110" i="17"/>
  <c r="V110" i="17"/>
  <c r="T109" i="17"/>
  <c r="V109" i="17"/>
  <c r="T108" i="17"/>
  <c r="V108" i="17"/>
  <c r="T107" i="17"/>
  <c r="V107" i="17"/>
  <c r="T106" i="17"/>
  <c r="V106" i="17"/>
  <c r="T105" i="17"/>
  <c r="V105" i="17"/>
  <c r="T104" i="17"/>
  <c r="V104" i="17"/>
  <c r="T103" i="17"/>
  <c r="V103" i="17"/>
  <c r="T102" i="17"/>
  <c r="V102" i="17"/>
  <c r="T101" i="17"/>
  <c r="V101" i="17"/>
  <c r="T100" i="17"/>
  <c r="V100" i="17"/>
  <c r="T99" i="17"/>
  <c r="V99" i="17"/>
  <c r="T98" i="17"/>
  <c r="V98" i="17"/>
  <c r="T97" i="17"/>
  <c r="V97" i="17"/>
  <c r="T96" i="17"/>
  <c r="V96" i="17"/>
  <c r="T95" i="17"/>
  <c r="V95" i="17"/>
  <c r="T94" i="17"/>
  <c r="V94" i="17"/>
  <c r="T93" i="17"/>
  <c r="V93" i="17"/>
  <c r="T92" i="17"/>
  <c r="V92" i="17"/>
  <c r="T91" i="17"/>
  <c r="V91" i="17"/>
  <c r="T90" i="17"/>
  <c r="V90" i="17"/>
  <c r="T89" i="17"/>
  <c r="V89" i="17"/>
  <c r="T88" i="17"/>
  <c r="V88" i="17"/>
  <c r="T87" i="17"/>
  <c r="V87" i="17"/>
  <c r="T86" i="17"/>
  <c r="V86" i="17"/>
  <c r="T85" i="17"/>
  <c r="V85" i="17"/>
  <c r="T84" i="17"/>
  <c r="V84" i="17"/>
  <c r="T83" i="17"/>
  <c r="V83" i="17"/>
  <c r="T82" i="17"/>
  <c r="V82" i="17"/>
  <c r="T81" i="17"/>
  <c r="V81" i="17"/>
  <c r="T80" i="17"/>
  <c r="V80" i="17"/>
  <c r="T79" i="17"/>
  <c r="V79" i="17"/>
  <c r="T78" i="17"/>
  <c r="V78" i="17"/>
  <c r="T77" i="17"/>
  <c r="V77" i="17"/>
  <c r="T76" i="17"/>
  <c r="V76" i="17"/>
  <c r="T75" i="17"/>
  <c r="V75" i="17"/>
  <c r="T74" i="17"/>
  <c r="V74" i="17"/>
  <c r="T73" i="17"/>
  <c r="V73" i="17"/>
  <c r="T72" i="17"/>
  <c r="V72" i="17"/>
  <c r="T71" i="17"/>
  <c r="V71" i="17"/>
  <c r="T70" i="17"/>
  <c r="V70" i="17"/>
  <c r="T69" i="17"/>
  <c r="V69" i="17"/>
  <c r="T68" i="17"/>
  <c r="V68" i="17"/>
  <c r="T67" i="17"/>
  <c r="V67" i="17"/>
  <c r="T66" i="17"/>
  <c r="V66" i="17"/>
  <c r="T65" i="17"/>
  <c r="V65" i="17"/>
  <c r="T64" i="17"/>
  <c r="V64" i="17"/>
  <c r="T63" i="17"/>
  <c r="V63" i="17"/>
  <c r="T62" i="17"/>
  <c r="V62" i="17"/>
  <c r="T61" i="17"/>
  <c r="V61" i="17"/>
  <c r="T60" i="17"/>
  <c r="V60" i="17"/>
  <c r="T58" i="17"/>
  <c r="V58" i="17"/>
  <c r="T57" i="17"/>
  <c r="V57" i="17"/>
  <c r="T56" i="17"/>
  <c r="V56" i="17"/>
  <c r="T55" i="17"/>
  <c r="V55" i="17"/>
  <c r="T54" i="17"/>
  <c r="V54" i="17"/>
  <c r="T53" i="17"/>
  <c r="V53" i="17"/>
  <c r="T52" i="17"/>
  <c r="V52" i="17"/>
  <c r="T51" i="17"/>
  <c r="V51" i="17"/>
  <c r="T50" i="17"/>
  <c r="V50" i="17"/>
  <c r="T49" i="17"/>
  <c r="V49" i="17"/>
  <c r="T48" i="17"/>
  <c r="V48" i="17"/>
  <c r="T47" i="17"/>
  <c r="V47" i="17"/>
  <c r="T46" i="17"/>
  <c r="V46" i="17"/>
  <c r="T45" i="17"/>
  <c r="V45" i="17"/>
  <c r="T44" i="17"/>
  <c r="V44" i="17"/>
  <c r="T43" i="17"/>
  <c r="V43" i="17"/>
  <c r="T42" i="17"/>
  <c r="V42" i="17"/>
  <c r="T41" i="17"/>
  <c r="V41" i="17"/>
  <c r="T40" i="17"/>
  <c r="V40" i="17"/>
  <c r="T39" i="17"/>
  <c r="V39" i="17"/>
  <c r="T38" i="17"/>
  <c r="V38" i="17"/>
  <c r="T37" i="17"/>
  <c r="V37" i="17"/>
  <c r="T36" i="17"/>
  <c r="V36" i="17"/>
  <c r="T35" i="17"/>
  <c r="V35" i="17"/>
  <c r="T34" i="17"/>
  <c r="V34" i="17"/>
  <c r="T33" i="17"/>
  <c r="V33" i="17"/>
  <c r="T32" i="17"/>
  <c r="V32" i="17"/>
  <c r="T31" i="17"/>
  <c r="V31" i="17"/>
  <c r="T30" i="17"/>
  <c r="V30" i="17"/>
  <c r="T29" i="17"/>
  <c r="V29" i="17"/>
  <c r="T28" i="17"/>
  <c r="V28" i="17"/>
  <c r="T27" i="17"/>
  <c r="V27" i="17"/>
  <c r="T26" i="17"/>
  <c r="V26" i="17"/>
  <c r="T25" i="17"/>
  <c r="V25" i="17"/>
  <c r="T24" i="17"/>
  <c r="V24" i="17"/>
  <c r="T23" i="17"/>
  <c r="V23" i="17"/>
  <c r="T22" i="17"/>
  <c r="V22" i="17"/>
  <c r="T21" i="17"/>
  <c r="V21" i="17"/>
  <c r="T20" i="17"/>
  <c r="V20" i="17"/>
  <c r="T19" i="17"/>
  <c r="V19" i="17"/>
  <c r="T18" i="17"/>
  <c r="V18" i="17"/>
  <c r="T17" i="17"/>
  <c r="V17" i="17"/>
  <c r="T16" i="17"/>
  <c r="V16" i="17"/>
  <c r="T15" i="17"/>
  <c r="V15" i="17"/>
  <c r="T14" i="17"/>
  <c r="V14" i="17"/>
  <c r="T13" i="17"/>
  <c r="V13" i="17"/>
  <c r="T12" i="17"/>
  <c r="V12" i="17"/>
  <c r="T11" i="17"/>
  <c r="V11" i="17"/>
  <c r="T10" i="17"/>
  <c r="V10" i="17"/>
  <c r="T9" i="17"/>
  <c r="V9" i="17"/>
  <c r="T8" i="17"/>
  <c r="V8" i="17"/>
  <c r="T7" i="17"/>
  <c r="V7" i="17"/>
  <c r="T6" i="17"/>
  <c r="V6" i="17"/>
  <c r="T5" i="17"/>
  <c r="V5" i="17"/>
  <c r="T4" i="17"/>
  <c r="V4" i="17"/>
  <c r="T3" i="17"/>
  <c r="V3" i="17"/>
  <c r="T2" i="17"/>
  <c r="V2" i="17"/>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<sst xmlns="http://schemas.openxmlformats.org/spreadsheetml/2006/main" count="10698" uniqueCount="569">
  <si>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</si>
  <si>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</si>
  <si>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</si>
  <si>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</si>
  <si>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</si>
  <si>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</si>
  <si>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</si>
  <si>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</si>
  <si>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</si>
  <si>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</si>
  <si>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</si>
  <si>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</si>
  <si>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</si>
  <si>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</si>
  <si>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</si>
  <si>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</si>
  <si>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</si>
  <si>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</si>
  <si>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</si>
  <si>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</si>
  <si>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</si>
  <si>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</si>
  <si>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</si>
  <si>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</si>
  <si>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</si>
  <si>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</si>
  <si>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</si>
  <si>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</si>
  <si>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</si>
  <si>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</si>
  <si>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</si>
  <si>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</si>
  <si>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</si>
  <si>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</si>
  <si>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</si>
  <si>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</si>
  <si>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</si>
  <si>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</si>
  <si>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</si>
  <si>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</si>
  <si>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</si>
  <si>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</si>
  <si>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</si>
  <si>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</si>
  <si>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</si>
  <si>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</si>
  <si>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</si>
  <si>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</si>
  <si>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</si>
  <si>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</si>
  <si>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</si>
  <si>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</si>
  <si>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</si>
  <si>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</si>
  <si>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</si>
  <si>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</si>
  <si>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</si>
  <si>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</si>
  <si>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</si>
  <si>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</si>
  <si>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</si>
  <si>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</si>
  <si>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</si>
  <si>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</si>
  <si>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</si>
  <si>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</si>
  <si>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</si>
  <si>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</si>
  <si>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</si>
  <si>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</si>
  <si>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</si>
  <si>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</si>
  <si>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</si>
  <si>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</si>
  <si>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</si>
  <si>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</si>
  <si>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</si>
  <si>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</si>
  <si>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</si>
  <si>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</si>
  <si>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</si>
  <si>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</si>
  <si>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</si>
  <si>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</si>
  <si>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</si>
  <si>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</si>
  <si>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</si>
  <si>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</si>
  <si>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</si>
  <si>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</si>
  <si>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</si>
  <si>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</si>
  <si>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</si>
  <si>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</si>
  <si>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</si>
  <si>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</si>
  <si>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</si>
  <si>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</si>
  <si>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</si>
  <si>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</si>
  <si>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</si>
  <si>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</si>
  <si>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</si>
  <si>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</si>
  <si>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</si>
  <si>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</si>
  <si>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</si>
  <si>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</si>
  <si>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</si>
  <si>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</si>
  <si>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</si>
  <si>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</si>
  <si>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</si>
  <si>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</si>
  <si>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</si>
  <si>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</si>
  <si>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</si>
  <si>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</si>
  <si>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</si>
  <si>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</si>
  <si>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</si>
  <si>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</si>
  <si>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</si>
  <si>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</si>
  <si>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</si>
  <si>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</si>
  <si>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</si>
  <si>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</si>
  <si>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</si>
  <si>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</si>
  <si>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</si>
  <si>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</si>
  <si>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</si>
  <si>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</si>
  <si>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</si>
  <si>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</si>
  <si>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</si>
  <si>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</si>
  <si>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</si>
  <si>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</si>
  <si>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トライアル</t>
  </si>
  <si>
    <t>ホクレンショップ</t>
  </si>
  <si>
    <t>スーパーアークス</t>
  </si>
  <si>
    <t>東光ストア</t>
  </si>
  <si>
    <t>ラルズマート</t>
  </si>
  <si>
    <t>とんでん店</t>
    <rPh sb="4" eb="5">
      <t>テン</t>
    </rPh>
    <phoneticPr fontId="3"/>
  </si>
  <si>
    <t>屯田店</t>
    <rPh sb="2" eb="3">
      <t>テン</t>
    </rPh>
    <phoneticPr fontId="3"/>
  </si>
  <si>
    <t>篠路店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</si>
  <si>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</si>
  <si>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</si>
  <si>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</si>
  <si>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</si>
  <si>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</si>
  <si>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</si>
  <si>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</si>
  <si>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</si>
  <si>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</si>
  <si>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</si>
  <si>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</si>
  <si>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検体
番号</t>
    <phoneticPr fontId="4"/>
  </si>
  <si>
    <t>GA</t>
  </si>
  <si>
    <t>CK</t>
    <phoneticPr fontId="4"/>
  </si>
  <si>
    <t>佐賀</t>
    <rPh sb="0" eb="2">
      <t>サガ</t>
    </rPh>
    <phoneticPr fontId="3"/>
  </si>
  <si>
    <t>ラフランス</t>
  </si>
  <si>
    <t>西友</t>
  </si>
  <si>
    <t>日進岩藤店</t>
    <rPh sb="0" eb="2">
      <t>ニッシン</t>
    </rPh>
    <phoneticPr fontId="4"/>
  </si>
  <si>
    <t>日進店</t>
    <rPh sb="0" eb="2">
      <t>ニッシン</t>
    </rPh>
    <rPh sb="2" eb="3">
      <t>ミセ</t>
    </rPh>
    <phoneticPr fontId="4"/>
  </si>
  <si>
    <t>その他レッド</t>
    <rPh sb="2" eb="3">
      <t>タ</t>
    </rPh>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</si>
  <si>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</si>
  <si>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</si>
  <si>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</si>
  <si>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</si>
  <si>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</si>
  <si>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</si>
  <si>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</si>
  <si>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</si>
  <si>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</si>
  <si>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</si>
  <si>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</si>
  <si>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</si>
  <si>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</si>
  <si>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</si>
  <si>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</si>
  <si>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</si>
  <si>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</si>
  <si>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</si>
  <si>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</si>
  <si>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</si>
  <si>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</si>
  <si>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</si>
  <si>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</si>
  <si>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</si>
  <si>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</si>
  <si>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</si>
  <si>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</si>
  <si>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</si>
  <si>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</si>
  <si>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</si>
  <si>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</si>
  <si>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</si>
  <si>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</si>
  <si>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</si>
  <si>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</si>
  <si>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</si>
  <si>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</si>
  <si>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</si>
  <si>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</si>
  <si>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</si>
  <si>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</si>
  <si>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</si>
  <si>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</si>
  <si>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</si>
  <si>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</si>
  <si>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</si>
  <si>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</si>
  <si>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</si>
  <si>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</si>
  <si>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</si>
  <si>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</si>
  <si>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</si>
  <si>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</si>
  <si>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</si>
  <si>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</si>
  <si>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</si>
  <si>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</si>
  <si>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</si>
  <si>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</si>
  <si>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</si>
  <si>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</si>
  <si>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</si>
  <si>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</si>
  <si>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</si>
  <si>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</si>
  <si>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</si>
  <si>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</si>
  <si>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県名</t>
    <phoneticPr fontId="3"/>
  </si>
  <si>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</si>
  <si>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</si>
  <si>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</si>
  <si>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</si>
  <si>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</si>
  <si>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</si>
  <si>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D'lish</t>
    <phoneticPr fontId="4"/>
  </si>
  <si>
    <t>中国</t>
    <phoneticPr fontId="4"/>
  </si>
  <si>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</si>
  <si>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</si>
  <si>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</si>
  <si>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</si>
  <si>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</si>
  <si>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</si>
  <si>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</si>
  <si>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</si>
  <si>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</si>
  <si>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</si>
  <si>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</si>
  <si>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</si>
  <si>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</si>
  <si>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</si>
  <si>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</si>
  <si>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</si>
  <si>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</si>
  <si>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</si>
  <si>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</si>
  <si>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</si>
  <si>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</si>
  <si>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</si>
  <si>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</si>
  <si>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</si>
  <si>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</si>
  <si>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</si>
  <si>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</si>
  <si>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</si>
  <si>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</si>
  <si>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</si>
  <si>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</si>
  <si>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</si>
  <si>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</si>
  <si>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</si>
  <si>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</si>
  <si>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</si>
  <si>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</si>
  <si>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</si>
  <si>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</si>
  <si>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</si>
  <si>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</si>
  <si>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</si>
  <si>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</si>
  <si>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</si>
  <si>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GK</t>
    <phoneticPr fontId="4"/>
  </si>
  <si>
    <t>OB</t>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</si>
  <si>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</si>
  <si>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</si>
  <si>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</si>
  <si>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</si>
  <si>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</si>
  <si>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</si>
  <si>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</si>
  <si>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</si>
  <si>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</si>
  <si>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</si>
  <si>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</si>
  <si>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</si>
  <si>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</si>
  <si>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</si>
  <si>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</si>
  <si>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</si>
  <si>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</si>
  <si>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</si>
  <si>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</si>
  <si>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</si>
  <si>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</si>
  <si>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</si>
  <si>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</si>
  <si>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</si>
  <si>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</si>
  <si>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</si>
  <si>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</si>
  <si>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</si>
  <si>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</si>
  <si>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</si>
  <si>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</si>
  <si>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</si>
  <si>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</si>
  <si>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</si>
  <si>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Green
Other
SIZE</t>
    <phoneticPr fontId="4"/>
  </si>
  <si>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</si>
  <si>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</si>
  <si>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</si>
  <si>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</si>
  <si>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</si>
  <si>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</si>
  <si>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</si>
  <si>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</si>
  <si>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</si>
  <si>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</si>
  <si>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</si>
  <si>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</si>
  <si>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</si>
  <si>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</si>
  <si>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</si>
  <si>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</si>
  <si>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</si>
  <si>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</si>
  <si>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</si>
  <si>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</si>
  <si>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</si>
  <si>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17.07.2018</t>
  </si>
  <si>
    <t>17.07.2018</t>
    <phoneticPr fontId="3"/>
  </si>
  <si>
    <t>シーズン</t>
    <phoneticPr fontId="4"/>
  </si>
  <si>
    <t>検体
番号</t>
    <phoneticPr fontId="4"/>
  </si>
  <si>
    <t>硬度
１</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</si>
  <si>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</si>
  <si>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</si>
  <si>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</si>
  <si>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</si>
  <si>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</si>
  <si>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</si>
  <si>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</si>
  <si>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</si>
  <si>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</si>
  <si>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16.07.2018</t>
    <phoneticPr fontId="3"/>
  </si>
  <si>
    <t>ﾆｭｰｼﾞｰﾗﾝﾄﾞ</t>
    <phoneticPr fontId="4"/>
  </si>
  <si>
    <t>16.07.2018</t>
  </si>
  <si>
    <t>D'lish</t>
    <phoneticPr fontId="4"/>
  </si>
  <si>
    <t>中国</t>
    <phoneticPr fontId="4"/>
  </si>
  <si>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</si>
  <si>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</si>
  <si>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</si>
  <si>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</si>
  <si>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</si>
  <si>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</si>
  <si>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</si>
  <si>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</si>
  <si>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</si>
  <si>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</si>
  <si>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シーズン</t>
    <phoneticPr fontId="4"/>
  </si>
  <si>
    <t>糖度</t>
    <phoneticPr fontId="4"/>
  </si>
  <si>
    <t>Weight</t>
    <phoneticPr fontId="4"/>
  </si>
  <si>
    <t>Currency</t>
    <phoneticPr fontId="4"/>
  </si>
  <si>
    <t>JP</t>
    <phoneticPr fontId="3"/>
  </si>
  <si>
    <t>21.07.2018</t>
    <phoneticPr fontId="3"/>
  </si>
  <si>
    <t>アオキスーパー</t>
  </si>
  <si>
    <t>アオキスーパー</t>
    <phoneticPr fontId="4"/>
  </si>
  <si>
    <t>ピアゴ</t>
    <phoneticPr fontId="4"/>
  </si>
  <si>
    <t>長久手南店</t>
    <phoneticPr fontId="4"/>
  </si>
  <si>
    <t>カネスエ</t>
    <phoneticPr fontId="4"/>
  </si>
  <si>
    <t>長久手店</t>
    <phoneticPr fontId="4"/>
  </si>
  <si>
    <t>HW</t>
    <phoneticPr fontId="4"/>
  </si>
  <si>
    <t>Del Monte</t>
    <phoneticPr fontId="4"/>
  </si>
  <si>
    <t>アピタ</t>
    <phoneticPr fontId="4"/>
  </si>
  <si>
    <t>マックスバリュ</t>
    <phoneticPr fontId="4"/>
  </si>
  <si>
    <t>HE</t>
    <phoneticPr fontId="4"/>
  </si>
  <si>
    <t>JP</t>
    <phoneticPr fontId="3"/>
  </si>
  <si>
    <t>21.07.2018</t>
    <phoneticPr fontId="3"/>
  </si>
  <si>
    <t>カネトク</t>
    <phoneticPr fontId="4"/>
  </si>
  <si>
    <t>JP</t>
    <phoneticPr fontId="3"/>
  </si>
  <si>
    <t>21.07.2018</t>
    <phoneticPr fontId="3"/>
  </si>
  <si>
    <t>マックスバリュ</t>
    <phoneticPr fontId="4"/>
  </si>
  <si>
    <t>長久手店</t>
    <phoneticPr fontId="4"/>
  </si>
  <si>
    <t>アピタ</t>
    <phoneticPr fontId="4"/>
  </si>
  <si>
    <t>JP</t>
    <phoneticPr fontId="3"/>
  </si>
  <si>
    <t>21.07.2018</t>
    <phoneticPr fontId="3"/>
  </si>
  <si>
    <t>アオキスーパー</t>
    <phoneticPr fontId="4"/>
  </si>
  <si>
    <t>長久手店</t>
    <phoneticPr fontId="4"/>
  </si>
  <si>
    <t>JP</t>
    <phoneticPr fontId="3"/>
  </si>
  <si>
    <t>21.07.2018</t>
    <phoneticPr fontId="3"/>
  </si>
  <si>
    <t>JP</t>
    <phoneticPr fontId="3"/>
  </si>
  <si>
    <t>21.07.2018</t>
    <phoneticPr fontId="3"/>
  </si>
  <si>
    <t>JP</t>
    <phoneticPr fontId="3"/>
  </si>
  <si>
    <t>21.07.2018</t>
    <phoneticPr fontId="3"/>
  </si>
  <si>
    <t>ピアゴ</t>
  </si>
  <si>
    <t>長久手南店</t>
  </si>
  <si>
    <t>ラフランス</t>
    <phoneticPr fontId="4"/>
  </si>
  <si>
    <t>カネスエ</t>
  </si>
  <si>
    <t>長久手店</t>
  </si>
  <si>
    <t>キラキラ</t>
    <phoneticPr fontId="4"/>
  </si>
  <si>
    <t>グリーンアイ</t>
    <phoneticPr fontId="4"/>
  </si>
  <si>
    <t>カネトク</t>
  </si>
  <si>
    <t>アピタ</t>
  </si>
  <si>
    <t>津久野店</t>
  </si>
  <si>
    <t>宮崎</t>
  </si>
  <si>
    <t>20.07.2018</t>
  </si>
  <si>
    <t>チェーン名</t>
    <phoneticPr fontId="3"/>
  </si>
  <si>
    <t>品種</t>
    <phoneticPr fontId="3"/>
  </si>
  <si>
    <r>
      <t xml:space="preserve">Green
Other
</t>
    </r>
    <r>
      <rPr>
        <b/>
        <sz val="8"/>
        <rFont val="ＭＳ Ｐゴシック"/>
        <family val="3"/>
        <charset val="128"/>
      </rPr>
      <t>最低重量</t>
    </r>
    <phoneticPr fontId="4"/>
  </si>
  <si>
    <r>
      <t xml:space="preserve">Gold
</t>
    </r>
    <r>
      <rPr>
        <b/>
        <sz val="8"/>
        <rFont val="ＭＳ Ｐゴシック"/>
        <family val="3"/>
        <charset val="128"/>
      </rPr>
      <t>最低重量</t>
    </r>
    <phoneticPr fontId="4"/>
  </si>
  <si>
    <t>Gold
SIZE</t>
    <phoneticPr fontId="4"/>
  </si>
  <si>
    <t>JP</t>
    <phoneticPr fontId="3"/>
  </si>
  <si>
    <t>21.07.2018</t>
    <phoneticPr fontId="3"/>
  </si>
  <si>
    <t>JPY</t>
    <phoneticPr fontId="3"/>
  </si>
  <si>
    <t>ﾆｭｰｼﾞｰﾗﾝﾄﾞ</t>
    <phoneticPr fontId="4"/>
  </si>
  <si>
    <t>JP</t>
    <phoneticPr fontId="3"/>
  </si>
  <si>
    <t>21.07.2018</t>
    <phoneticPr fontId="3"/>
  </si>
  <si>
    <t>D'lish</t>
    <phoneticPr fontId="4"/>
  </si>
  <si>
    <t>中国</t>
    <phoneticPr fontId="4"/>
  </si>
  <si>
    <t>HW</t>
    <phoneticPr fontId="4"/>
  </si>
  <si>
    <t>CK</t>
    <phoneticPr fontId="4"/>
  </si>
  <si>
    <t>Del Monte</t>
    <phoneticPr fontId="3"/>
  </si>
  <si>
    <t>GK</t>
    <phoneticPr fontId="4"/>
  </si>
  <si>
    <t>OB</t>
    <phoneticPr fontId="4"/>
  </si>
  <si>
    <t>HE</t>
    <phoneticPr fontId="4"/>
  </si>
  <si>
    <t>JPY</t>
    <phoneticPr fontId="3"/>
  </si>
  <si>
    <t>JPY</t>
    <phoneticPr fontId="3"/>
  </si>
  <si>
    <t>広島</t>
    <phoneticPr fontId="3"/>
  </si>
  <si>
    <t>バナナ</t>
    <phoneticPr fontId="4"/>
  </si>
  <si>
    <t>JPY</t>
    <phoneticPr fontId="3"/>
  </si>
  <si>
    <t>パパイヤ</t>
    <phoneticPr fontId="4"/>
  </si>
  <si>
    <t>JPY</t>
    <phoneticPr fontId="3"/>
  </si>
  <si>
    <t>びわ</t>
    <phoneticPr fontId="4"/>
  </si>
  <si>
    <t>JPY</t>
    <phoneticPr fontId="3"/>
  </si>
  <si>
    <t>メロン</t>
    <phoneticPr fontId="4"/>
  </si>
  <si>
    <t>桃</t>
    <phoneticPr fontId="4"/>
  </si>
  <si>
    <t>JPY</t>
    <phoneticPr fontId="3"/>
  </si>
  <si>
    <t>ブドウ</t>
    <phoneticPr fontId="4"/>
  </si>
  <si>
    <t>ラフランス</t>
    <phoneticPr fontId="4"/>
  </si>
  <si>
    <t>りんご</t>
    <phoneticPr fontId="4"/>
  </si>
  <si>
    <t>みかん</t>
    <phoneticPr fontId="4"/>
  </si>
  <si>
    <t>マンゴー</t>
    <phoneticPr fontId="3"/>
  </si>
  <si>
    <t>ひこさか</t>
    <phoneticPr fontId="3"/>
  </si>
  <si>
    <t>販売
ユニット
個数</t>
    <phoneticPr fontId="4"/>
  </si>
  <si>
    <t>U/P JPY</t>
    <phoneticPr fontId="4"/>
  </si>
  <si>
    <t>18.07.2018</t>
    <phoneticPr fontId="3"/>
  </si>
  <si>
    <t>マルショク</t>
    <phoneticPr fontId="3"/>
  </si>
  <si>
    <t>JPY</t>
    <phoneticPr fontId="4"/>
  </si>
  <si>
    <t>一般栽培</t>
    <phoneticPr fontId="4"/>
  </si>
  <si>
    <t>ﾆｭｰｼﾞｰﾗﾝﾄﾞ</t>
    <phoneticPr fontId="4"/>
  </si>
  <si>
    <t>JP</t>
    <phoneticPr fontId="3"/>
  </si>
  <si>
    <t>18.07.2018</t>
    <phoneticPr fontId="3"/>
  </si>
  <si>
    <t>マルショク</t>
    <phoneticPr fontId="3"/>
  </si>
  <si>
    <t>JPY</t>
    <phoneticPr fontId="4"/>
  </si>
  <si>
    <t>バナナ</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</si>
  <si>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</si>
  <si>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</si>
  <si>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</si>
  <si>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</si>
  <si>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</si>
  <si>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</si>
  <si>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</si>
  <si>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</si>
  <si>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GK</t>
    <phoneticPr fontId="4"/>
  </si>
  <si>
    <t>OB</t>
    <phoneticPr fontId="4"/>
  </si>
  <si>
    <t>18.07.2018</t>
    <phoneticPr fontId="3"/>
  </si>
  <si>
    <t>マルショク</t>
    <phoneticPr fontId="3"/>
  </si>
  <si>
    <t>JPY</t>
    <phoneticPr fontId="4"/>
  </si>
  <si>
    <t>HE</t>
    <phoneticPr fontId="4"/>
  </si>
  <si>
    <t>JP</t>
    <phoneticPr fontId="3"/>
  </si>
  <si>
    <t>18.07.2018</t>
    <phoneticPr fontId="3"/>
  </si>
  <si>
    <t>GA</t>
    <phoneticPr fontId="4"/>
  </si>
  <si>
    <t>18.07.2018</t>
    <phoneticPr fontId="3"/>
  </si>
  <si>
    <t>オレンジ</t>
    <phoneticPr fontId="3"/>
  </si>
  <si>
    <t>JP</t>
    <phoneticPr fontId="3"/>
  </si>
  <si>
    <t>18.07.2018</t>
    <phoneticPr fontId="3"/>
  </si>
  <si>
    <t>18.07.2018</t>
    <phoneticPr fontId="3"/>
  </si>
  <si>
    <t>18.07.2018</t>
    <phoneticPr fontId="3"/>
  </si>
  <si>
    <t>JPY</t>
    <phoneticPr fontId="4"/>
  </si>
  <si>
    <t>18.07.2018</t>
    <phoneticPr fontId="3"/>
  </si>
  <si>
    <t>JPY</t>
    <phoneticPr fontId="4"/>
  </si>
  <si>
    <t>JP</t>
    <phoneticPr fontId="3"/>
  </si>
  <si>
    <t>18.07.2018</t>
    <phoneticPr fontId="3"/>
  </si>
  <si>
    <t>JPY</t>
    <phoneticPr fontId="4"/>
  </si>
  <si>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</si>
  <si>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</si>
  <si>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</si>
  <si>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</si>
  <si>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</si>
  <si>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</si>
  <si>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</si>
  <si>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</si>
  <si>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</si>
  <si>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</si>
  <si>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</si>
  <si>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</si>
  <si>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</si>
  <si>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</si>
  <si>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</si>
  <si>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</si>
  <si>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</si>
  <si>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</si>
  <si>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</si>
  <si>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</si>
  <si>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18.07.2018</t>
    <phoneticPr fontId="3"/>
  </si>
  <si>
    <t>サミット</t>
  </si>
  <si>
    <t>JPY</t>
    <phoneticPr fontId="3"/>
  </si>
  <si>
    <t>カドヤ</t>
    <phoneticPr fontId="4"/>
  </si>
  <si>
    <t>ﾆｭｰｼﾞｰﾗﾝﾄﾞ</t>
    <phoneticPr fontId="4"/>
  </si>
  <si>
    <t>18.07.2018</t>
  </si>
  <si>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</si>
  <si>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</si>
  <si>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</si>
  <si>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</si>
  <si>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</si>
  <si>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</si>
  <si>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</si>
  <si>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</si>
  <si>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</si>
  <si>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</si>
  <si>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</si>
  <si>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</si>
  <si>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</si>
  <si>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</si>
  <si>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</si>
  <si>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</si>
  <si>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シーズン</t>
    <phoneticPr fontId="4"/>
  </si>
  <si>
    <t>検体
番号</t>
    <phoneticPr fontId="4"/>
  </si>
  <si>
    <t>硬度
１</t>
    <phoneticPr fontId="4"/>
  </si>
  <si>
    <t>硬度
２</t>
    <phoneticPr fontId="4"/>
  </si>
  <si>
    <t>糖度</t>
    <phoneticPr fontId="4"/>
  </si>
  <si>
    <t>Weight</t>
    <phoneticPr fontId="4"/>
  </si>
  <si>
    <t>U/P JPY</t>
    <phoneticPr fontId="4"/>
  </si>
  <si>
    <t>２番人気
果実</t>
    <phoneticPr fontId="3"/>
  </si>
  <si>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</si>
  <si>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</si>
  <si>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</si>
  <si>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</si>
  <si>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</si>
  <si>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18.07.2018</t>
    <phoneticPr fontId="3"/>
  </si>
  <si>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</si>
  <si>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</si>
  <si>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</si>
  <si>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</si>
  <si>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</si>
  <si>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</si>
  <si>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</si>
  <si>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</si>
  <si>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</si>
  <si>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18.07.2018</t>
    <phoneticPr fontId="3"/>
  </si>
  <si>
    <t>ビッグ・エー</t>
    <phoneticPr fontId="3"/>
  </si>
  <si>
    <t>東武ストア</t>
    <phoneticPr fontId="3"/>
  </si>
  <si>
    <t>桃</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</si>
</sst>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6">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theme="0" tint="-0.14990691854609822"/>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61">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0" fontId="10" fillId="0" borderId="0" xfId="1" applyFont="1" applyBorder="1"/>
    <xf numFmtId="0" fontId="1" fillId="0" borderId="0" xfId="1" applyFont="1" applyFill="1" applyBorder="1"/>
    <xf numFmtId="0" fontId="14" fillId="0" borderId="0" xfId="1" applyFont="1" applyFill="1"/>
    <xf numFmtId="178" fontId="1" fillId="3" borderId="0" xfId="1" applyNumberFormat="1" applyFont="1" applyFill="1"/>
    <xf numFmtId="14" fontId="0" fillId="4" borderId="45" xfId="1" applyNumberFormat="1" applyFont="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2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2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2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2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29.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467;&#12500;&#12540;Zespri%20Shopsurvey_ota_2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kato_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341</v>
      </c>
      <c r="B2" s="15" t="s">
        <v>343</v>
      </c>
      <c r="C2" s="15">
        <v>2018</v>
      </c>
      <c r="D2" s="50" t="s">
        <v>347</v>
      </c>
      <c r="E2" s="15" t="s">
        <v>142</v>
      </c>
      <c r="F2" s="15" t="s">
        <v>151</v>
      </c>
      <c r="G2" s="15" t="s">
        <v>36</v>
      </c>
      <c r="H2" s="15" t="s">
        <v>157</v>
      </c>
      <c r="I2" s="15" t="s">
        <v>155</v>
      </c>
      <c r="J2" s="15" t="s">
        <v>38</v>
      </c>
      <c r="K2" s="7" t="s">
        <v>156</v>
      </c>
      <c r="L2" s="7">
        <v>1</v>
      </c>
      <c r="N2" s="47">
        <v>1</v>
      </c>
      <c r="O2" s="15">
        <v>0.5</v>
      </c>
      <c r="P2" s="15">
        <v>0.5</v>
      </c>
      <c r="Q2" s="51">
        <f t="shared" ref="Q2:Q65" si="0">IF(OR(O2="",P2=""),"",AVERAGE(O2,P2))</f>
        <v>0.5</v>
      </c>
      <c r="R2" s="15">
        <v>12.8</v>
      </c>
      <c r="S2" s="15">
        <v>121</v>
      </c>
      <c r="T2" s="38">
        <f t="shared" ref="T2:T59" si="1">IF(H2="","",IF(OR(H2="GREEN",H2="GK"),IF(S2&gt;=$AX$2,VLOOKUP(S2,$AX$2:$AY$12,2,1),""),IF(S2&gt;=$AZ$2,VLOOKUP(S2,$AZ$2:$BA$12,2,1),"")))</f>
        <v>27</v>
      </c>
      <c r="U2" s="15">
        <v>96</v>
      </c>
      <c r="V2" s="38">
        <f t="shared" ref="V2:V65" si="2">IF(OR(N2="",U2="",T2=""),"",U2/N2*T2)</f>
        <v>2592</v>
      </c>
      <c r="W2" s="15">
        <v>3</v>
      </c>
      <c r="X2" s="15" t="s">
        <v>46</v>
      </c>
      <c r="Y2" s="15" t="s">
        <v>88</v>
      </c>
      <c r="Z2" s="15" t="s">
        <v>55</v>
      </c>
      <c r="AA2" s="15" t="s">
        <v>97</v>
      </c>
      <c r="AB2" s="39" t="s">
        <v>345</v>
      </c>
      <c r="AE2" s="17" t="s">
        <v>35</v>
      </c>
      <c r="AG2" s="49" t="s">
        <v>131</v>
      </c>
      <c r="AH2" s="49" t="s">
        <v>145</v>
      </c>
      <c r="AJ2" s="18" t="s">
        <v>36</v>
      </c>
      <c r="AL2" s="18" t="s">
        <v>127</v>
      </c>
      <c r="AN2" s="18" t="s">
        <v>37</v>
      </c>
      <c r="AP2" s="18" t="s">
        <v>38</v>
      </c>
      <c r="AR2" s="18" t="s">
        <v>120</v>
      </c>
      <c r="AT2" s="18" t="s">
        <v>39</v>
      </c>
      <c r="AV2" s="18" t="s">
        <v>40</v>
      </c>
      <c r="AX2" s="19">
        <v>1</v>
      </c>
      <c r="AY2" s="20">
        <v>50</v>
      </c>
      <c r="AZ2" s="20">
        <v>1</v>
      </c>
      <c r="BA2" s="21">
        <v>50</v>
      </c>
    </row>
    <row r="3" spans="1:53" x14ac:dyDescent="0.15">
      <c r="A3" s="15" t="s">
        <v>341</v>
      </c>
      <c r="B3" s="15" t="s">
        <v>342</v>
      </c>
      <c r="C3" s="15">
        <v>2018</v>
      </c>
      <c r="D3" s="37" t="s">
        <v>346</v>
      </c>
      <c r="E3" s="15" t="s">
        <v>142</v>
      </c>
      <c r="F3" s="7" t="s">
        <v>151</v>
      </c>
      <c r="G3" s="7" t="s">
        <v>36</v>
      </c>
      <c r="H3" s="15" t="s">
        <v>157</v>
      </c>
      <c r="I3" s="7" t="s">
        <v>155</v>
      </c>
      <c r="J3" s="15" t="s">
        <v>38</v>
      </c>
      <c r="K3" s="7" t="s">
        <v>156</v>
      </c>
      <c r="L3" s="7">
        <v>2</v>
      </c>
      <c r="N3" s="7">
        <v>1</v>
      </c>
      <c r="O3" s="34">
        <v>0.5</v>
      </c>
      <c r="P3" s="7">
        <v>0.5</v>
      </c>
      <c r="Q3" s="52">
        <f t="shared" si="0"/>
        <v>0.5</v>
      </c>
      <c r="R3" s="7">
        <v>13.8</v>
      </c>
      <c r="S3" s="7">
        <v>119</v>
      </c>
      <c r="T3" s="16">
        <f t="shared" si="1"/>
        <v>30</v>
      </c>
      <c r="U3" s="15">
        <v>96</v>
      </c>
      <c r="V3" s="16">
        <f t="shared" si="2"/>
        <v>2880</v>
      </c>
      <c r="W3" s="15">
        <v>3</v>
      </c>
      <c r="X3" s="15" t="s">
        <v>46</v>
      </c>
      <c r="Y3" s="216" t="s">
        <v>88</v>
      </c>
      <c r="Z3" s="216" t="s">
        <v>55</v>
      </c>
      <c r="AA3" s="216" t="s">
        <v>97</v>
      </c>
      <c r="AB3" s="39" t="s">
        <v>344</v>
      </c>
      <c r="AE3" s="22" t="s">
        <v>41</v>
      </c>
      <c r="AG3" s="49" t="s">
        <v>139</v>
      </c>
      <c r="AH3" s="49" t="s">
        <v>146</v>
      </c>
      <c r="AJ3" s="23" t="s">
        <v>42</v>
      </c>
      <c r="AL3" s="23" t="s">
        <v>128</v>
      </c>
      <c r="AN3" s="23" t="s">
        <v>43</v>
      </c>
      <c r="AP3" s="23" t="s">
        <v>44</v>
      </c>
      <c r="AR3" s="41" t="s">
        <v>45</v>
      </c>
      <c r="AT3" s="23" t="s">
        <v>46</v>
      </c>
      <c r="AV3" s="23" t="s">
        <v>47</v>
      </c>
      <c r="AX3" s="24">
        <v>72</v>
      </c>
      <c r="AY3" s="25">
        <v>46</v>
      </c>
      <c r="AZ3" s="25">
        <v>71</v>
      </c>
      <c r="BA3" s="26">
        <v>42</v>
      </c>
    </row>
    <row r="4" spans="1:53" x14ac:dyDescent="0.15">
      <c r="A4" s="15" t="s">
        <v>341</v>
      </c>
      <c r="B4" s="15" t="s">
        <v>342</v>
      </c>
      <c r="C4" s="15">
        <v>2018</v>
      </c>
      <c r="D4" s="37" t="s">
        <v>346</v>
      </c>
      <c r="E4" s="15" t="s">
        <v>142</v>
      </c>
      <c r="F4" s="7" t="s">
        <v>151</v>
      </c>
      <c r="G4" s="7" t="s">
        <v>36</v>
      </c>
      <c r="H4" s="15" t="s">
        <v>157</v>
      </c>
      <c r="I4" s="208" t="s">
        <v>155</v>
      </c>
      <c r="J4" s="15" t="s">
        <v>38</v>
      </c>
      <c r="K4" s="7" t="s">
        <v>156</v>
      </c>
      <c r="L4" s="7">
        <v>3</v>
      </c>
      <c r="N4" s="7">
        <v>1</v>
      </c>
      <c r="O4" s="7">
        <v>0.5</v>
      </c>
      <c r="P4" s="7">
        <v>0.5</v>
      </c>
      <c r="Q4" s="52">
        <f t="shared" si="0"/>
        <v>0.5</v>
      </c>
      <c r="R4" s="7">
        <v>13.1</v>
      </c>
      <c r="S4" s="7">
        <v>117</v>
      </c>
      <c r="T4" s="16">
        <f t="shared" si="1"/>
        <v>30</v>
      </c>
      <c r="U4" s="15">
        <v>96</v>
      </c>
      <c r="V4" s="16">
        <f t="shared" si="2"/>
        <v>2880</v>
      </c>
      <c r="W4" s="15">
        <v>3</v>
      </c>
      <c r="X4" s="15" t="s">
        <v>46</v>
      </c>
      <c r="Y4" s="216" t="s">
        <v>88</v>
      </c>
      <c r="Z4" s="216" t="s">
        <v>55</v>
      </c>
      <c r="AA4" s="216" t="s">
        <v>97</v>
      </c>
      <c r="AB4" s="39" t="s">
        <v>344</v>
      </c>
      <c r="AE4" s="22" t="s">
        <v>34</v>
      </c>
      <c r="AG4" s="49" t="s">
        <v>140</v>
      </c>
      <c r="AH4" s="49" t="s">
        <v>147</v>
      </c>
      <c r="AJ4" s="27" t="s">
        <v>48</v>
      </c>
      <c r="AL4" s="27" t="s">
        <v>129</v>
      </c>
      <c r="AN4" s="28" t="s">
        <v>49</v>
      </c>
      <c r="AP4" s="23" t="s">
        <v>93</v>
      </c>
      <c r="AR4" s="41" t="s">
        <v>121</v>
      </c>
      <c r="AT4" s="28"/>
      <c r="AV4" s="23" t="s">
        <v>50</v>
      </c>
      <c r="AX4" s="24">
        <v>75</v>
      </c>
      <c r="AY4" s="25">
        <v>42</v>
      </c>
      <c r="AZ4" s="25">
        <v>76</v>
      </c>
      <c r="BA4" s="26">
        <v>39</v>
      </c>
    </row>
    <row r="5" spans="1:53" x14ac:dyDescent="0.15">
      <c r="A5" s="15" t="s">
        <v>341</v>
      </c>
      <c r="B5" s="15" t="s">
        <v>342</v>
      </c>
      <c r="C5" s="15">
        <v>2018</v>
      </c>
      <c r="D5" s="37" t="s">
        <v>346</v>
      </c>
      <c r="E5" s="15" t="s">
        <v>142</v>
      </c>
      <c r="F5" s="15" t="s">
        <v>151</v>
      </c>
      <c r="G5" s="7" t="s">
        <v>36</v>
      </c>
      <c r="H5" s="15" t="s">
        <v>160</v>
      </c>
      <c r="I5" s="208" t="s">
        <v>155</v>
      </c>
      <c r="J5" s="15" t="s">
        <v>38</v>
      </c>
      <c r="K5" s="7" t="s">
        <v>156</v>
      </c>
      <c r="L5" s="7">
        <v>1</v>
      </c>
      <c r="N5" s="7">
        <v>1</v>
      </c>
      <c r="O5" s="7">
        <v>0.5</v>
      </c>
      <c r="P5" s="7">
        <v>0.5</v>
      </c>
      <c r="Q5" s="52">
        <f t="shared" si="0"/>
        <v>0.5</v>
      </c>
      <c r="R5" s="7">
        <v>16.8</v>
      </c>
      <c r="S5" s="7">
        <v>144</v>
      </c>
      <c r="T5" s="16">
        <f t="shared" si="1"/>
        <v>22</v>
      </c>
      <c r="U5" s="15">
        <v>145</v>
      </c>
      <c r="V5" s="16">
        <f t="shared" si="2"/>
        <v>3190</v>
      </c>
      <c r="W5" s="15">
        <v>18</v>
      </c>
      <c r="X5" s="15" t="s">
        <v>46</v>
      </c>
      <c r="Y5" s="216" t="s">
        <v>88</v>
      </c>
      <c r="Z5" s="216" t="s">
        <v>55</v>
      </c>
      <c r="AA5" s="216" t="s">
        <v>97</v>
      </c>
      <c r="AB5" s="39" t="s">
        <v>344</v>
      </c>
      <c r="AE5" s="22" t="s">
        <v>51</v>
      </c>
      <c r="AG5" s="49" t="s">
        <v>130</v>
      </c>
      <c r="AH5" s="49" t="s">
        <v>148</v>
      </c>
      <c r="AJ5" s="28"/>
      <c r="AL5" s="29" t="s">
        <v>66</v>
      </c>
      <c r="AN5" s="29" t="s">
        <v>52</v>
      </c>
      <c r="AP5" s="23" t="s">
        <v>119</v>
      </c>
      <c r="AR5" s="41" t="s">
        <v>54</v>
      </c>
      <c r="AV5" s="23" t="s">
        <v>55</v>
      </c>
      <c r="AX5" s="24">
        <v>84</v>
      </c>
      <c r="AY5" s="25">
        <v>39</v>
      </c>
      <c r="AZ5" s="25">
        <v>84</v>
      </c>
      <c r="BA5" s="26">
        <v>36</v>
      </c>
    </row>
    <row r="6" spans="1:53" x14ac:dyDescent="0.15">
      <c r="A6" s="15" t="s">
        <v>341</v>
      </c>
      <c r="B6" s="15" t="s">
        <v>342</v>
      </c>
      <c r="C6" s="15">
        <v>2018</v>
      </c>
      <c r="D6" s="37" t="s">
        <v>346</v>
      </c>
      <c r="E6" s="15" t="s">
        <v>142</v>
      </c>
      <c r="F6" s="7" t="s">
        <v>151</v>
      </c>
      <c r="G6" s="7" t="s">
        <v>36</v>
      </c>
      <c r="H6" s="216" t="s">
        <v>160</v>
      </c>
      <c r="I6" s="208" t="s">
        <v>155</v>
      </c>
      <c r="J6" s="216" t="s">
        <v>38</v>
      </c>
      <c r="K6" s="208" t="s">
        <v>156</v>
      </c>
      <c r="L6" s="7">
        <v>2</v>
      </c>
      <c r="N6" s="7">
        <v>1</v>
      </c>
      <c r="O6" s="7">
        <v>0.55000000000000004</v>
      </c>
      <c r="P6" s="7">
        <v>0.7</v>
      </c>
      <c r="Q6" s="52">
        <f t="shared" si="0"/>
        <v>0.625</v>
      </c>
      <c r="R6" s="7">
        <v>15.9</v>
      </c>
      <c r="S6" s="7">
        <v>143</v>
      </c>
      <c r="T6" s="16">
        <f t="shared" si="1"/>
        <v>22</v>
      </c>
      <c r="U6" s="216">
        <v>145</v>
      </c>
      <c r="V6" s="16">
        <f t="shared" si="2"/>
        <v>3190</v>
      </c>
      <c r="W6" s="15">
        <v>18</v>
      </c>
      <c r="X6" s="15" t="s">
        <v>46</v>
      </c>
      <c r="Y6" s="216" t="s">
        <v>88</v>
      </c>
      <c r="Z6" s="216" t="s">
        <v>55</v>
      </c>
      <c r="AA6" s="216" t="s">
        <v>97</v>
      </c>
      <c r="AB6" s="39" t="s">
        <v>344</v>
      </c>
      <c r="AE6" s="22" t="s">
        <v>56</v>
      </c>
      <c r="AG6" s="49" t="s">
        <v>132</v>
      </c>
      <c r="AH6" s="49" t="s">
        <v>149</v>
      </c>
      <c r="AL6" s="29" t="s">
        <v>99</v>
      </c>
      <c r="AN6" s="29" t="s">
        <v>57</v>
      </c>
      <c r="AP6" s="23" t="s">
        <v>53</v>
      </c>
      <c r="AR6" s="41" t="s">
        <v>59</v>
      </c>
      <c r="AV6" s="23" t="s">
        <v>60</v>
      </c>
      <c r="AX6" s="24">
        <v>97</v>
      </c>
      <c r="AY6" s="25">
        <v>36</v>
      </c>
      <c r="AZ6" s="25">
        <v>99</v>
      </c>
      <c r="BA6" s="26">
        <v>33</v>
      </c>
    </row>
    <row r="7" spans="1:53" ht="12" customHeight="1" x14ac:dyDescent="0.15">
      <c r="A7" s="15" t="s">
        <v>341</v>
      </c>
      <c r="B7" s="15" t="s">
        <v>342</v>
      </c>
      <c r="C7" s="15">
        <v>2018</v>
      </c>
      <c r="D7" s="37" t="s">
        <v>346</v>
      </c>
      <c r="E7" s="15" t="s">
        <v>142</v>
      </c>
      <c r="F7" s="7" t="s">
        <v>151</v>
      </c>
      <c r="G7" s="7" t="s">
        <v>36</v>
      </c>
      <c r="H7" s="216" t="s">
        <v>160</v>
      </c>
      <c r="I7" s="208" t="s">
        <v>155</v>
      </c>
      <c r="J7" s="216" t="s">
        <v>38</v>
      </c>
      <c r="K7" s="208" t="s">
        <v>156</v>
      </c>
      <c r="L7" s="7">
        <v>3</v>
      </c>
      <c r="N7" s="7">
        <v>1</v>
      </c>
      <c r="O7" s="7">
        <v>0.7</v>
      </c>
      <c r="P7" s="7">
        <v>0.6</v>
      </c>
      <c r="Q7" s="52">
        <f t="shared" si="0"/>
        <v>0.64999999999999991</v>
      </c>
      <c r="R7" s="34">
        <v>19.100000000000001</v>
      </c>
      <c r="S7" s="7">
        <v>144</v>
      </c>
      <c r="T7" s="16">
        <f t="shared" si="1"/>
        <v>22</v>
      </c>
      <c r="U7" s="216">
        <v>145</v>
      </c>
      <c r="V7" s="16">
        <f t="shared" si="2"/>
        <v>3190</v>
      </c>
      <c r="W7" s="15">
        <v>18</v>
      </c>
      <c r="X7" s="15" t="s">
        <v>46</v>
      </c>
      <c r="Y7" s="216" t="s">
        <v>88</v>
      </c>
      <c r="Z7" s="216" t="s">
        <v>55</v>
      </c>
      <c r="AA7" s="216" t="s">
        <v>97</v>
      </c>
      <c r="AB7" s="39" t="s">
        <v>344</v>
      </c>
      <c r="AE7" s="22" t="s">
        <v>61</v>
      </c>
      <c r="AG7" s="49" t="s">
        <v>141</v>
      </c>
      <c r="AH7" s="49" t="s">
        <v>150</v>
      </c>
      <c r="AL7" s="34" t="s">
        <v>109</v>
      </c>
      <c r="AP7" s="23" t="s">
        <v>58</v>
      </c>
      <c r="AR7" s="30" t="s">
        <v>122</v>
      </c>
      <c r="AV7" s="23" t="s">
        <v>64</v>
      </c>
      <c r="AX7" s="24">
        <v>109</v>
      </c>
      <c r="AY7" s="25">
        <v>33</v>
      </c>
      <c r="AZ7" s="25">
        <v>113</v>
      </c>
      <c r="BA7" s="26">
        <v>30</v>
      </c>
    </row>
    <row r="8" spans="1:53" ht="12.75" customHeight="1" x14ac:dyDescent="0.15">
      <c r="A8" s="15" t="s">
        <v>341</v>
      </c>
      <c r="B8" s="15" t="s">
        <v>342</v>
      </c>
      <c r="C8" s="15">
        <v>2018</v>
      </c>
      <c r="D8" s="37" t="s">
        <v>346</v>
      </c>
      <c r="E8" s="15" t="s">
        <v>133</v>
      </c>
      <c r="F8" s="7" t="s">
        <v>152</v>
      </c>
      <c r="G8" s="7" t="s">
        <v>36</v>
      </c>
      <c r="H8" s="15" t="s">
        <v>157</v>
      </c>
      <c r="I8" s="208" t="s">
        <v>155</v>
      </c>
      <c r="J8" s="15" t="s">
        <v>38</v>
      </c>
      <c r="K8" s="7" t="s">
        <v>156</v>
      </c>
      <c r="L8" s="7">
        <v>1</v>
      </c>
      <c r="N8" s="7">
        <v>1</v>
      </c>
      <c r="O8" s="7">
        <v>0.5</v>
      </c>
      <c r="P8" s="7">
        <v>0.5</v>
      </c>
      <c r="Q8" s="52">
        <f t="shared" si="0"/>
        <v>0.5</v>
      </c>
      <c r="R8" s="34">
        <v>14.1</v>
      </c>
      <c r="S8" s="7">
        <v>124</v>
      </c>
      <c r="T8" s="16">
        <f t="shared" si="1"/>
        <v>27</v>
      </c>
      <c r="U8" s="15">
        <v>105</v>
      </c>
      <c r="V8" s="16">
        <f t="shared" si="2"/>
        <v>2835</v>
      </c>
      <c r="W8" s="15">
        <v>3</v>
      </c>
      <c r="X8" s="15" t="s">
        <v>46</v>
      </c>
      <c r="Y8" s="216" t="s">
        <v>86</v>
      </c>
      <c r="Z8" s="216" t="s">
        <v>55</v>
      </c>
      <c r="AA8" s="216" t="s">
        <v>69</v>
      </c>
      <c r="AB8" s="39" t="s">
        <v>344</v>
      </c>
      <c r="AE8" s="22" t="s">
        <v>59</v>
      </c>
      <c r="AG8" s="49" t="s">
        <v>142</v>
      </c>
      <c r="AH8" s="49" t="s">
        <v>151</v>
      </c>
      <c r="AL8" s="34" t="s">
        <v>134</v>
      </c>
      <c r="AP8" s="23" t="s">
        <v>62</v>
      </c>
      <c r="AR8" s="41" t="s">
        <v>81</v>
      </c>
      <c r="AV8" s="23" t="s">
        <v>97</v>
      </c>
      <c r="AX8" s="24">
        <v>119</v>
      </c>
      <c r="AY8" s="25">
        <v>30</v>
      </c>
      <c r="AZ8" s="25">
        <v>121</v>
      </c>
      <c r="BA8" s="26">
        <v>27</v>
      </c>
    </row>
    <row r="9" spans="1:53" x14ac:dyDescent="0.15">
      <c r="A9" s="15" t="s">
        <v>341</v>
      </c>
      <c r="B9" s="15" t="s">
        <v>342</v>
      </c>
      <c r="C9" s="15">
        <v>2018</v>
      </c>
      <c r="D9" s="37" t="s">
        <v>346</v>
      </c>
      <c r="E9" s="15" t="s">
        <v>133</v>
      </c>
      <c r="F9" s="7" t="s">
        <v>152</v>
      </c>
      <c r="G9" s="7" t="s">
        <v>36</v>
      </c>
      <c r="H9" s="216" t="s">
        <v>157</v>
      </c>
      <c r="I9" s="208" t="s">
        <v>155</v>
      </c>
      <c r="J9" s="216" t="s">
        <v>38</v>
      </c>
      <c r="K9" s="208" t="s">
        <v>156</v>
      </c>
      <c r="L9" s="7">
        <v>2</v>
      </c>
      <c r="N9" s="7">
        <v>1</v>
      </c>
      <c r="O9" s="7">
        <v>0.5</v>
      </c>
      <c r="P9" s="7">
        <v>0.5</v>
      </c>
      <c r="Q9" s="52">
        <f t="shared" si="0"/>
        <v>0.5</v>
      </c>
      <c r="R9" s="7">
        <v>15.5</v>
      </c>
      <c r="S9" s="7">
        <v>125</v>
      </c>
      <c r="T9" s="16">
        <f t="shared" si="1"/>
        <v>27</v>
      </c>
      <c r="U9" s="216">
        <v>105</v>
      </c>
      <c r="V9" s="16">
        <f t="shared" si="2"/>
        <v>2835</v>
      </c>
      <c r="W9" s="15">
        <v>3</v>
      </c>
      <c r="X9" s="15" t="s">
        <v>46</v>
      </c>
      <c r="Y9" s="216" t="s">
        <v>86</v>
      </c>
      <c r="Z9" s="216" t="s">
        <v>55</v>
      </c>
      <c r="AA9" s="216" t="s">
        <v>69</v>
      </c>
      <c r="AB9" s="39" t="s">
        <v>344</v>
      </c>
      <c r="AE9" s="22" t="s">
        <v>98</v>
      </c>
      <c r="AG9" s="49" t="s">
        <v>133</v>
      </c>
      <c r="AH9" s="49" t="s">
        <v>152</v>
      </c>
      <c r="AL9" s="34"/>
      <c r="AP9" s="23" t="s">
        <v>95</v>
      </c>
      <c r="AR9" s="30" t="s">
        <v>89</v>
      </c>
      <c r="AV9" s="23" t="s">
        <v>102</v>
      </c>
      <c r="AX9" s="24">
        <v>128</v>
      </c>
      <c r="AY9" s="25">
        <v>27</v>
      </c>
      <c r="AZ9" s="25">
        <v>129</v>
      </c>
      <c r="BA9" s="26">
        <v>25</v>
      </c>
    </row>
    <row r="10" spans="1:53" x14ac:dyDescent="0.15">
      <c r="A10" s="15" t="s">
        <v>341</v>
      </c>
      <c r="B10" s="15" t="s">
        <v>342</v>
      </c>
      <c r="C10" s="15">
        <v>2018</v>
      </c>
      <c r="D10" s="37" t="s">
        <v>346</v>
      </c>
      <c r="E10" s="15" t="s">
        <v>133</v>
      </c>
      <c r="F10" s="7" t="s">
        <v>152</v>
      </c>
      <c r="G10" s="7" t="s">
        <v>36</v>
      </c>
      <c r="H10" s="216" t="s">
        <v>157</v>
      </c>
      <c r="I10" s="208" t="s">
        <v>155</v>
      </c>
      <c r="J10" s="216" t="s">
        <v>38</v>
      </c>
      <c r="K10" s="208" t="s">
        <v>156</v>
      </c>
      <c r="L10" s="7">
        <v>3</v>
      </c>
      <c r="N10" s="7">
        <v>1</v>
      </c>
      <c r="O10" s="7">
        <v>0.5</v>
      </c>
      <c r="P10" s="7">
        <v>0.5</v>
      </c>
      <c r="Q10" s="52">
        <f t="shared" si="0"/>
        <v>0.5</v>
      </c>
      <c r="R10" s="7">
        <v>13.5</v>
      </c>
      <c r="S10" s="7">
        <v>122</v>
      </c>
      <c r="T10" s="16">
        <f t="shared" si="1"/>
        <v>27</v>
      </c>
      <c r="U10" s="216">
        <v>105</v>
      </c>
      <c r="V10" s="16">
        <f t="shared" si="2"/>
        <v>2835</v>
      </c>
      <c r="W10" s="15">
        <v>3</v>
      </c>
      <c r="X10" s="15" t="s">
        <v>46</v>
      </c>
      <c r="Y10" s="216" t="s">
        <v>86</v>
      </c>
      <c r="Z10" s="216" t="s">
        <v>55</v>
      </c>
      <c r="AA10" s="216" t="s">
        <v>69</v>
      </c>
      <c r="AB10" s="39" t="s">
        <v>344</v>
      </c>
      <c r="AE10" s="22" t="s">
        <v>103</v>
      </c>
      <c r="AG10" s="49" t="s">
        <v>143</v>
      </c>
      <c r="AH10" s="49" t="s">
        <v>153</v>
      </c>
      <c r="AP10" s="23" t="s">
        <v>100</v>
      </c>
      <c r="AR10" s="30" t="s">
        <v>123</v>
      </c>
      <c r="AV10" s="23" t="s">
        <v>106</v>
      </c>
      <c r="AX10" s="24">
        <v>138</v>
      </c>
      <c r="AY10" s="25">
        <v>25</v>
      </c>
      <c r="AZ10" s="25">
        <v>138</v>
      </c>
      <c r="BA10" s="26">
        <v>22</v>
      </c>
    </row>
    <row r="11" spans="1:53" x14ac:dyDescent="0.15">
      <c r="A11" s="15" t="s">
        <v>341</v>
      </c>
      <c r="B11" s="15" t="s">
        <v>342</v>
      </c>
      <c r="C11" s="15">
        <v>2018</v>
      </c>
      <c r="D11" s="37" t="s">
        <v>346</v>
      </c>
      <c r="E11" s="15" t="s">
        <v>133</v>
      </c>
      <c r="F11" s="7" t="s">
        <v>152</v>
      </c>
      <c r="G11" s="7" t="s">
        <v>36</v>
      </c>
      <c r="H11" s="216" t="s">
        <v>157</v>
      </c>
      <c r="I11" s="7" t="s">
        <v>158</v>
      </c>
      <c r="J11" s="15" t="s">
        <v>38</v>
      </c>
      <c r="K11" s="7" t="s">
        <v>156</v>
      </c>
      <c r="L11" s="7">
        <v>1</v>
      </c>
      <c r="N11" s="7">
        <v>4</v>
      </c>
      <c r="O11" s="7">
        <v>0.6</v>
      </c>
      <c r="P11" s="7">
        <v>0.5</v>
      </c>
      <c r="Q11" s="52">
        <f t="shared" si="0"/>
        <v>0.55000000000000004</v>
      </c>
      <c r="R11" s="7">
        <v>12.6</v>
      </c>
      <c r="S11" s="7">
        <v>83</v>
      </c>
      <c r="T11" s="16">
        <f t="shared" si="1"/>
        <v>39</v>
      </c>
      <c r="U11" s="7">
        <v>429</v>
      </c>
      <c r="V11" s="16">
        <f t="shared" si="2"/>
        <v>4182.75</v>
      </c>
      <c r="W11" s="7">
        <v>3</v>
      </c>
      <c r="X11" s="15" t="s">
        <v>46</v>
      </c>
      <c r="Y11" s="216" t="s">
        <v>86</v>
      </c>
      <c r="Z11" s="216" t="s">
        <v>55</v>
      </c>
      <c r="AA11" s="216" t="s">
        <v>69</v>
      </c>
      <c r="AB11" s="39" t="s">
        <v>344</v>
      </c>
      <c r="AE11" s="22" t="s">
        <v>65</v>
      </c>
      <c r="AG11" s="49" t="s">
        <v>144</v>
      </c>
      <c r="AH11" s="49" t="s">
        <v>154</v>
      </c>
      <c r="AP11" s="23" t="s">
        <v>104</v>
      </c>
      <c r="AR11" s="30" t="s">
        <v>87</v>
      </c>
      <c r="AV11" s="23" t="s">
        <v>69</v>
      </c>
      <c r="AX11" s="24">
        <v>151</v>
      </c>
      <c r="AY11" s="25">
        <v>22</v>
      </c>
      <c r="AZ11" s="25">
        <v>152</v>
      </c>
      <c r="BA11" s="26">
        <v>18</v>
      </c>
    </row>
    <row r="12" spans="1:53" x14ac:dyDescent="0.15">
      <c r="A12" s="15" t="s">
        <v>341</v>
      </c>
      <c r="B12" s="15" t="s">
        <v>342</v>
      </c>
      <c r="C12" s="15">
        <v>2018</v>
      </c>
      <c r="D12" s="37" t="s">
        <v>346</v>
      </c>
      <c r="E12" s="15" t="s">
        <v>133</v>
      </c>
      <c r="F12" s="7" t="s">
        <v>152</v>
      </c>
      <c r="G12" s="7" t="s">
        <v>36</v>
      </c>
      <c r="H12" s="216" t="s">
        <v>157</v>
      </c>
      <c r="I12" s="208" t="s">
        <v>158</v>
      </c>
      <c r="J12" s="216" t="s">
        <v>38</v>
      </c>
      <c r="K12" s="208" t="s">
        <v>156</v>
      </c>
      <c r="L12" s="7">
        <v>2</v>
      </c>
      <c r="N12" s="7">
        <v>4</v>
      </c>
      <c r="O12" s="7">
        <v>0.5</v>
      </c>
      <c r="P12" s="7">
        <v>0.5</v>
      </c>
      <c r="Q12" s="52">
        <f t="shared" si="0"/>
        <v>0.5</v>
      </c>
      <c r="R12" s="34">
        <v>12.4</v>
      </c>
      <c r="S12" s="7">
        <v>91</v>
      </c>
      <c r="T12" s="16">
        <f t="shared" si="1"/>
        <v>36</v>
      </c>
      <c r="U12" s="208">
        <v>429</v>
      </c>
      <c r="V12" s="16">
        <f t="shared" si="2"/>
        <v>3861</v>
      </c>
      <c r="W12" s="7">
        <v>3</v>
      </c>
      <c r="X12" s="15" t="s">
        <v>46</v>
      </c>
      <c r="Y12" s="216" t="s">
        <v>86</v>
      </c>
      <c r="Z12" s="216" t="s">
        <v>55</v>
      </c>
      <c r="AA12" s="216" t="s">
        <v>69</v>
      </c>
      <c r="AB12" s="39" t="s">
        <v>344</v>
      </c>
      <c r="AE12" s="22" t="s">
        <v>70</v>
      </c>
      <c r="AG12" s="40"/>
      <c r="AH12" s="40"/>
      <c r="AP12" s="23" t="s">
        <v>67</v>
      </c>
      <c r="AR12" s="30" t="s">
        <v>124</v>
      </c>
      <c r="AV12" s="23" t="s">
        <v>72</v>
      </c>
      <c r="AX12" s="31">
        <v>180</v>
      </c>
      <c r="AY12" s="32">
        <v>18</v>
      </c>
      <c r="AZ12" s="32">
        <v>181</v>
      </c>
      <c r="BA12" s="33">
        <v>16</v>
      </c>
    </row>
    <row r="13" spans="1:53" x14ac:dyDescent="0.15">
      <c r="A13" s="15" t="s">
        <v>341</v>
      </c>
      <c r="B13" s="15" t="s">
        <v>342</v>
      </c>
      <c r="C13" s="15">
        <v>2018</v>
      </c>
      <c r="D13" s="37" t="s">
        <v>346</v>
      </c>
      <c r="E13" s="15" t="s">
        <v>133</v>
      </c>
      <c r="F13" s="7" t="s">
        <v>152</v>
      </c>
      <c r="G13" s="7" t="s">
        <v>36</v>
      </c>
      <c r="H13" s="216" t="s">
        <v>157</v>
      </c>
      <c r="I13" s="208" t="s">
        <v>158</v>
      </c>
      <c r="J13" s="216" t="s">
        <v>38</v>
      </c>
      <c r="K13" s="208" t="s">
        <v>156</v>
      </c>
      <c r="L13" s="7">
        <v>3</v>
      </c>
      <c r="N13" s="7">
        <v>4</v>
      </c>
      <c r="O13" s="7">
        <v>0.5</v>
      </c>
      <c r="P13" s="7">
        <v>0.5</v>
      </c>
      <c r="Q13" s="52">
        <f t="shared" si="0"/>
        <v>0.5</v>
      </c>
      <c r="R13" s="7">
        <v>13</v>
      </c>
      <c r="S13" s="7">
        <v>84</v>
      </c>
      <c r="T13" s="16">
        <f t="shared" si="1"/>
        <v>36</v>
      </c>
      <c r="U13" s="208">
        <v>429</v>
      </c>
      <c r="V13" s="16">
        <f t="shared" si="2"/>
        <v>3861</v>
      </c>
      <c r="W13" s="7">
        <v>3</v>
      </c>
      <c r="X13" s="15" t="s">
        <v>46</v>
      </c>
      <c r="Y13" s="216" t="s">
        <v>86</v>
      </c>
      <c r="Z13" s="216" t="s">
        <v>55</v>
      </c>
      <c r="AA13" s="216" t="s">
        <v>69</v>
      </c>
      <c r="AB13" s="39" t="s">
        <v>344</v>
      </c>
      <c r="AE13" s="22" t="s">
        <v>73</v>
      </c>
      <c r="AG13" s="23"/>
      <c r="AH13" s="23"/>
      <c r="AP13" s="23" t="s">
        <v>71</v>
      </c>
      <c r="AR13" s="30" t="s">
        <v>103</v>
      </c>
      <c r="AV13" s="23" t="s">
        <v>75</v>
      </c>
    </row>
    <row r="14" spans="1:53" x14ac:dyDescent="0.15">
      <c r="A14" s="15" t="s">
        <v>341</v>
      </c>
      <c r="B14" s="15" t="s">
        <v>342</v>
      </c>
      <c r="C14" s="15">
        <v>2018</v>
      </c>
      <c r="D14" s="37" t="s">
        <v>346</v>
      </c>
      <c r="E14" s="15" t="s">
        <v>133</v>
      </c>
      <c r="F14" s="7" t="s">
        <v>152</v>
      </c>
      <c r="G14" s="7" t="s">
        <v>36</v>
      </c>
      <c r="H14" s="15" t="s">
        <v>160</v>
      </c>
      <c r="I14" s="7" t="s">
        <v>155</v>
      </c>
      <c r="J14" s="15" t="s">
        <v>38</v>
      </c>
      <c r="K14" s="7" t="s">
        <v>156</v>
      </c>
      <c r="L14" s="7">
        <v>1</v>
      </c>
      <c r="N14" s="7">
        <v>1</v>
      </c>
      <c r="O14" s="7">
        <v>0.5</v>
      </c>
      <c r="P14" s="7">
        <v>0.6</v>
      </c>
      <c r="Q14" s="52">
        <f t="shared" si="0"/>
        <v>0.55000000000000004</v>
      </c>
      <c r="R14" s="7">
        <v>18.899999999999999</v>
      </c>
      <c r="S14" s="7">
        <v>120</v>
      </c>
      <c r="T14" s="16">
        <f t="shared" si="1"/>
        <v>30</v>
      </c>
      <c r="U14" s="7">
        <v>105</v>
      </c>
      <c r="V14" s="16">
        <f t="shared" si="2"/>
        <v>3150</v>
      </c>
      <c r="W14" s="7">
        <v>16</v>
      </c>
      <c r="X14" s="15" t="s">
        <v>46</v>
      </c>
      <c r="Y14" s="216" t="s">
        <v>86</v>
      </c>
      <c r="Z14" s="216" t="s">
        <v>55</v>
      </c>
      <c r="AA14" s="216" t="s">
        <v>69</v>
      </c>
      <c r="AB14" s="39" t="s">
        <v>344</v>
      </c>
      <c r="AE14" s="22" t="s">
        <v>76</v>
      </c>
      <c r="AG14" s="23"/>
      <c r="AH14" s="23"/>
      <c r="AP14" s="23" t="s">
        <v>74</v>
      </c>
      <c r="AR14" s="30" t="s">
        <v>125</v>
      </c>
      <c r="AV14" s="23" t="s">
        <v>78</v>
      </c>
    </row>
    <row r="15" spans="1:53" x14ac:dyDescent="0.15">
      <c r="A15" s="15" t="s">
        <v>341</v>
      </c>
      <c r="B15" s="15" t="s">
        <v>342</v>
      </c>
      <c r="C15" s="15">
        <v>2018</v>
      </c>
      <c r="D15" s="37" t="s">
        <v>346</v>
      </c>
      <c r="E15" s="15" t="s">
        <v>133</v>
      </c>
      <c r="F15" s="7" t="s">
        <v>152</v>
      </c>
      <c r="G15" s="7" t="s">
        <v>36</v>
      </c>
      <c r="H15" s="216" t="s">
        <v>160</v>
      </c>
      <c r="I15" s="208" t="s">
        <v>155</v>
      </c>
      <c r="J15" s="216" t="s">
        <v>38</v>
      </c>
      <c r="K15" s="208" t="s">
        <v>156</v>
      </c>
      <c r="L15" s="7">
        <v>2</v>
      </c>
      <c r="N15" s="7">
        <v>1</v>
      </c>
      <c r="O15" s="7">
        <v>0.6</v>
      </c>
      <c r="P15" s="7">
        <v>0.6</v>
      </c>
      <c r="Q15" s="52">
        <f t="shared" si="0"/>
        <v>0.6</v>
      </c>
      <c r="R15" s="7">
        <v>19.100000000000001</v>
      </c>
      <c r="S15" s="7">
        <v>123</v>
      </c>
      <c r="T15" s="16">
        <f t="shared" si="1"/>
        <v>27</v>
      </c>
      <c r="U15" s="208">
        <v>105</v>
      </c>
      <c r="V15" s="16">
        <f t="shared" si="2"/>
        <v>2835</v>
      </c>
      <c r="W15" s="7">
        <v>16</v>
      </c>
      <c r="X15" s="15" t="s">
        <v>46</v>
      </c>
      <c r="Y15" s="216" t="s">
        <v>86</v>
      </c>
      <c r="Z15" s="216" t="s">
        <v>55</v>
      </c>
      <c r="AA15" s="216" t="s">
        <v>69</v>
      </c>
      <c r="AB15" s="39" t="s">
        <v>344</v>
      </c>
      <c r="AE15" s="22" t="s">
        <v>79</v>
      </c>
      <c r="AG15" s="23"/>
      <c r="AH15" s="23"/>
      <c r="AP15" s="23" t="s">
        <v>77</v>
      </c>
      <c r="AR15" s="30" t="s">
        <v>94</v>
      </c>
      <c r="AV15" s="23" t="s">
        <v>107</v>
      </c>
    </row>
    <row r="16" spans="1:53" x14ac:dyDescent="0.15">
      <c r="A16" s="15" t="s">
        <v>341</v>
      </c>
      <c r="B16" s="15" t="s">
        <v>342</v>
      </c>
      <c r="C16" s="15">
        <v>2018</v>
      </c>
      <c r="D16" s="37" t="s">
        <v>346</v>
      </c>
      <c r="E16" s="15" t="s">
        <v>133</v>
      </c>
      <c r="F16" s="7" t="s">
        <v>152</v>
      </c>
      <c r="G16" s="7" t="s">
        <v>36</v>
      </c>
      <c r="H16" s="216" t="s">
        <v>160</v>
      </c>
      <c r="I16" s="208" t="s">
        <v>155</v>
      </c>
      <c r="J16" s="216" t="s">
        <v>38</v>
      </c>
      <c r="K16" s="208" t="s">
        <v>156</v>
      </c>
      <c r="L16" s="7">
        <v>3</v>
      </c>
      <c r="N16" s="7">
        <v>1</v>
      </c>
      <c r="O16" s="7">
        <v>0.5</v>
      </c>
      <c r="P16" s="7">
        <v>0.55000000000000004</v>
      </c>
      <c r="Q16" s="52">
        <f t="shared" si="0"/>
        <v>0.52500000000000002</v>
      </c>
      <c r="R16" s="7">
        <v>16</v>
      </c>
      <c r="S16" s="7">
        <v>120</v>
      </c>
      <c r="T16" s="16">
        <f t="shared" si="1"/>
        <v>30</v>
      </c>
      <c r="U16" s="208">
        <v>105</v>
      </c>
      <c r="V16" s="16">
        <f t="shared" si="2"/>
        <v>3150</v>
      </c>
      <c r="W16" s="7">
        <v>16</v>
      </c>
      <c r="X16" s="15" t="s">
        <v>46</v>
      </c>
      <c r="Y16" s="216" t="s">
        <v>86</v>
      </c>
      <c r="Z16" s="216" t="s">
        <v>55</v>
      </c>
      <c r="AA16" s="216" t="s">
        <v>69</v>
      </c>
      <c r="AB16" s="39" t="s">
        <v>344</v>
      </c>
      <c r="AE16" s="22" t="s">
        <v>82</v>
      </c>
      <c r="AG16" s="28"/>
      <c r="AH16" s="28"/>
      <c r="AP16" s="23" t="s">
        <v>80</v>
      </c>
      <c r="AR16" s="41" t="s">
        <v>63</v>
      </c>
      <c r="AV16" s="23" t="s">
        <v>84</v>
      </c>
    </row>
    <row r="17" spans="1:48" x14ac:dyDescent="0.15">
      <c r="A17" s="15" t="s">
        <v>341</v>
      </c>
      <c r="B17" s="15" t="s">
        <v>342</v>
      </c>
      <c r="C17" s="15">
        <v>2018</v>
      </c>
      <c r="D17" s="37" t="s">
        <v>346</v>
      </c>
      <c r="E17" s="15" t="s">
        <v>143</v>
      </c>
      <c r="F17" s="7" t="s">
        <v>153</v>
      </c>
      <c r="G17" s="7" t="s">
        <v>36</v>
      </c>
      <c r="H17" s="15" t="s">
        <v>157</v>
      </c>
      <c r="I17" s="208" t="s">
        <v>155</v>
      </c>
      <c r="J17" s="216" t="s">
        <v>38</v>
      </c>
      <c r="K17" s="208" t="s">
        <v>156</v>
      </c>
      <c r="L17" s="7">
        <v>1</v>
      </c>
      <c r="N17" s="7">
        <v>1</v>
      </c>
      <c r="O17" s="7">
        <v>0.65</v>
      </c>
      <c r="P17" s="7">
        <v>0.75</v>
      </c>
      <c r="Q17" s="52">
        <f t="shared" si="0"/>
        <v>0.7</v>
      </c>
      <c r="R17" s="7">
        <v>14.4</v>
      </c>
      <c r="S17" s="7">
        <v>153</v>
      </c>
      <c r="T17" s="16">
        <f t="shared" si="1"/>
        <v>18</v>
      </c>
      <c r="U17" s="7">
        <v>149</v>
      </c>
      <c r="V17" s="16">
        <f t="shared" si="2"/>
        <v>2682</v>
      </c>
      <c r="W17" s="7">
        <v>4</v>
      </c>
      <c r="X17" s="15" t="s">
        <v>46</v>
      </c>
      <c r="Y17" s="216" t="s">
        <v>55</v>
      </c>
      <c r="Z17" s="216" t="s">
        <v>86</v>
      </c>
      <c r="AA17" s="216" t="s">
        <v>88</v>
      </c>
      <c r="AB17" s="39" t="s">
        <v>344</v>
      </c>
      <c r="AE17" s="22" t="s">
        <v>85</v>
      </c>
      <c r="AP17" s="43" t="s">
        <v>110</v>
      </c>
      <c r="AR17" s="41" t="s">
        <v>96</v>
      </c>
      <c r="AV17" s="23" t="s">
        <v>86</v>
      </c>
    </row>
    <row r="18" spans="1:48" x14ac:dyDescent="0.15">
      <c r="A18" s="15" t="s">
        <v>341</v>
      </c>
      <c r="B18" s="15" t="s">
        <v>342</v>
      </c>
      <c r="C18" s="15">
        <v>2018</v>
      </c>
      <c r="D18" s="37" t="s">
        <v>346</v>
      </c>
      <c r="E18" s="15" t="s">
        <v>143</v>
      </c>
      <c r="F18" s="7" t="s">
        <v>153</v>
      </c>
      <c r="G18" s="7" t="s">
        <v>36</v>
      </c>
      <c r="H18" s="216" t="s">
        <v>157</v>
      </c>
      <c r="I18" s="208" t="s">
        <v>155</v>
      </c>
      <c r="J18" s="216" t="s">
        <v>38</v>
      </c>
      <c r="K18" s="208" t="s">
        <v>156</v>
      </c>
      <c r="L18" s="7">
        <v>2</v>
      </c>
      <c r="N18" s="7">
        <v>1</v>
      </c>
      <c r="O18" s="7">
        <v>0.6</v>
      </c>
      <c r="P18" s="7">
        <v>0.75</v>
      </c>
      <c r="Q18" s="52">
        <f t="shared" si="0"/>
        <v>0.67500000000000004</v>
      </c>
      <c r="R18" s="7">
        <v>15.5</v>
      </c>
      <c r="S18" s="7">
        <v>167</v>
      </c>
      <c r="T18" s="16">
        <f t="shared" si="1"/>
        <v>18</v>
      </c>
      <c r="U18" s="208">
        <v>149</v>
      </c>
      <c r="V18" s="16">
        <f t="shared" si="2"/>
        <v>2682</v>
      </c>
      <c r="W18" s="7">
        <v>4</v>
      </c>
      <c r="X18" s="15" t="s">
        <v>46</v>
      </c>
      <c r="Y18" s="216" t="s">
        <v>55</v>
      </c>
      <c r="Z18" s="216" t="s">
        <v>86</v>
      </c>
      <c r="AA18" s="216" t="s">
        <v>88</v>
      </c>
      <c r="AB18" s="39" t="s">
        <v>344</v>
      </c>
      <c r="AE18" s="22" t="s">
        <v>87</v>
      </c>
      <c r="AP18" s="43" t="s">
        <v>111</v>
      </c>
      <c r="AR18" s="41" t="s">
        <v>101</v>
      </c>
      <c r="AV18" s="23" t="s">
        <v>88</v>
      </c>
    </row>
    <row r="19" spans="1:48" x14ac:dyDescent="0.15">
      <c r="A19" s="15" t="s">
        <v>341</v>
      </c>
      <c r="B19" s="15" t="s">
        <v>342</v>
      </c>
      <c r="C19" s="15">
        <v>2018</v>
      </c>
      <c r="D19" s="37" t="s">
        <v>346</v>
      </c>
      <c r="E19" s="15" t="s">
        <v>143</v>
      </c>
      <c r="F19" s="7" t="s">
        <v>153</v>
      </c>
      <c r="G19" s="7" t="s">
        <v>36</v>
      </c>
      <c r="H19" s="216" t="s">
        <v>157</v>
      </c>
      <c r="I19" s="208" t="s">
        <v>155</v>
      </c>
      <c r="J19" s="216" t="s">
        <v>38</v>
      </c>
      <c r="K19" s="208" t="s">
        <v>156</v>
      </c>
      <c r="L19" s="7">
        <v>3</v>
      </c>
      <c r="N19" s="7">
        <v>1</v>
      </c>
      <c r="O19" s="7">
        <v>0.75</v>
      </c>
      <c r="P19" s="7">
        <v>0.7</v>
      </c>
      <c r="Q19" s="52">
        <f t="shared" si="0"/>
        <v>0.72499999999999998</v>
      </c>
      <c r="R19" s="7">
        <v>13.9</v>
      </c>
      <c r="S19" s="7">
        <v>156</v>
      </c>
      <c r="T19" s="16">
        <f t="shared" si="1"/>
        <v>18</v>
      </c>
      <c r="U19" s="208">
        <v>149</v>
      </c>
      <c r="V19" s="16">
        <f t="shared" si="2"/>
        <v>2682</v>
      </c>
      <c r="W19" s="7">
        <v>4</v>
      </c>
      <c r="X19" s="15" t="s">
        <v>46</v>
      </c>
      <c r="Y19" s="216" t="s">
        <v>55</v>
      </c>
      <c r="Z19" s="216" t="s">
        <v>86</v>
      </c>
      <c r="AA19" s="216" t="s">
        <v>88</v>
      </c>
      <c r="AB19" s="39" t="s">
        <v>344</v>
      </c>
      <c r="AE19" s="35" t="s">
        <v>89</v>
      </c>
      <c r="AP19" s="43" t="s">
        <v>112</v>
      </c>
      <c r="AR19" s="30" t="s">
        <v>126</v>
      </c>
      <c r="AV19" s="23" t="s">
        <v>90</v>
      </c>
    </row>
    <row r="20" spans="1:48" x14ac:dyDescent="0.15">
      <c r="A20" s="15" t="s">
        <v>341</v>
      </c>
      <c r="B20" s="15" t="s">
        <v>342</v>
      </c>
      <c r="C20" s="15">
        <v>2018</v>
      </c>
      <c r="D20" s="37" t="s">
        <v>346</v>
      </c>
      <c r="E20" s="15" t="s">
        <v>143</v>
      </c>
      <c r="F20" s="7" t="s">
        <v>153</v>
      </c>
      <c r="G20" s="7" t="s">
        <v>36</v>
      </c>
      <c r="H20" s="15" t="s">
        <v>160</v>
      </c>
      <c r="I20" s="208" t="s">
        <v>155</v>
      </c>
      <c r="J20" s="15" t="s">
        <v>38</v>
      </c>
      <c r="K20" s="7" t="s">
        <v>156</v>
      </c>
      <c r="L20" s="7">
        <v>1</v>
      </c>
      <c r="N20" s="7">
        <v>1</v>
      </c>
      <c r="O20" s="7">
        <v>0.5</v>
      </c>
      <c r="P20" s="34">
        <v>0.5</v>
      </c>
      <c r="Q20" s="52">
        <f t="shared" si="0"/>
        <v>0.5</v>
      </c>
      <c r="R20" s="7">
        <v>14.9</v>
      </c>
      <c r="S20" s="7">
        <v>141</v>
      </c>
      <c r="T20" s="16">
        <f t="shared" si="1"/>
        <v>22</v>
      </c>
      <c r="U20" s="7">
        <v>170</v>
      </c>
      <c r="V20" s="16">
        <f t="shared" si="2"/>
        <v>3740</v>
      </c>
      <c r="W20" s="7">
        <v>3</v>
      </c>
      <c r="X20" s="15" t="s">
        <v>46</v>
      </c>
      <c r="Y20" s="216" t="s">
        <v>55</v>
      </c>
      <c r="Z20" s="216" t="s">
        <v>86</v>
      </c>
      <c r="AA20" s="216" t="s">
        <v>88</v>
      </c>
      <c r="AB20" s="39" t="s">
        <v>344</v>
      </c>
      <c r="AE20" s="22"/>
      <c r="AP20" s="43" t="s">
        <v>113</v>
      </c>
      <c r="AR20" s="41" t="s">
        <v>105</v>
      </c>
      <c r="AV20" s="27" t="s">
        <v>135</v>
      </c>
    </row>
    <row r="21" spans="1:48" x14ac:dyDescent="0.15">
      <c r="A21" s="15" t="s">
        <v>341</v>
      </c>
      <c r="B21" s="15" t="s">
        <v>342</v>
      </c>
      <c r="C21" s="15">
        <v>2018</v>
      </c>
      <c r="D21" s="37" t="s">
        <v>346</v>
      </c>
      <c r="E21" s="15" t="s">
        <v>143</v>
      </c>
      <c r="F21" s="7" t="s">
        <v>153</v>
      </c>
      <c r="G21" s="7" t="s">
        <v>36</v>
      </c>
      <c r="H21" s="216" t="s">
        <v>160</v>
      </c>
      <c r="I21" s="208" t="s">
        <v>155</v>
      </c>
      <c r="J21" s="216" t="s">
        <v>38</v>
      </c>
      <c r="K21" s="208" t="s">
        <v>156</v>
      </c>
      <c r="L21" s="7">
        <v>2</v>
      </c>
      <c r="N21" s="7">
        <v>1</v>
      </c>
      <c r="O21" s="7">
        <v>0.5</v>
      </c>
      <c r="P21" s="7">
        <v>0.6</v>
      </c>
      <c r="Q21" s="52">
        <f t="shared" si="0"/>
        <v>0.55000000000000004</v>
      </c>
      <c r="R21" s="7">
        <v>19.7</v>
      </c>
      <c r="S21" s="7">
        <v>140</v>
      </c>
      <c r="T21" s="16">
        <f t="shared" si="1"/>
        <v>22</v>
      </c>
      <c r="U21" s="208">
        <v>170</v>
      </c>
      <c r="V21" s="16">
        <f t="shared" si="2"/>
        <v>3740</v>
      </c>
      <c r="W21" s="7">
        <v>3</v>
      </c>
      <c r="X21" s="15" t="s">
        <v>46</v>
      </c>
      <c r="Y21" s="216" t="s">
        <v>55</v>
      </c>
      <c r="Z21" s="216" t="s">
        <v>86</v>
      </c>
      <c r="AA21" s="216" t="s">
        <v>88</v>
      </c>
      <c r="AB21" s="39" t="s">
        <v>344</v>
      </c>
      <c r="AE21" s="22"/>
      <c r="AP21" s="43" t="s">
        <v>114</v>
      </c>
      <c r="AR21" s="41" t="s">
        <v>68</v>
      </c>
      <c r="AV21" s="27" t="s">
        <v>136</v>
      </c>
    </row>
    <row r="22" spans="1:48" x14ac:dyDescent="0.15">
      <c r="A22" s="15" t="s">
        <v>341</v>
      </c>
      <c r="B22" s="15" t="s">
        <v>342</v>
      </c>
      <c r="C22" s="15">
        <v>2018</v>
      </c>
      <c r="D22" s="37" t="s">
        <v>346</v>
      </c>
      <c r="E22" s="15" t="s">
        <v>143</v>
      </c>
      <c r="F22" s="7" t="s">
        <v>153</v>
      </c>
      <c r="G22" s="7" t="s">
        <v>36</v>
      </c>
      <c r="H22" s="216" t="s">
        <v>160</v>
      </c>
      <c r="I22" s="208" t="s">
        <v>155</v>
      </c>
      <c r="J22" s="216" t="s">
        <v>38</v>
      </c>
      <c r="K22" s="208" t="s">
        <v>156</v>
      </c>
      <c r="L22" s="7">
        <v>3</v>
      </c>
      <c r="N22" s="7">
        <v>1</v>
      </c>
      <c r="O22" s="34">
        <v>0.75</v>
      </c>
      <c r="P22" s="7">
        <v>0.75</v>
      </c>
      <c r="Q22" s="52">
        <f t="shared" si="0"/>
        <v>0.75</v>
      </c>
      <c r="R22" s="7">
        <v>18.899999999999999</v>
      </c>
      <c r="S22" s="7">
        <v>140</v>
      </c>
      <c r="T22" s="16">
        <f t="shared" si="1"/>
        <v>22</v>
      </c>
      <c r="U22" s="208">
        <v>170</v>
      </c>
      <c r="V22" s="16">
        <f t="shared" si="2"/>
        <v>3740</v>
      </c>
      <c r="W22" s="7">
        <v>3</v>
      </c>
      <c r="X22" s="15" t="s">
        <v>46</v>
      </c>
      <c r="Y22" s="216" t="s">
        <v>55</v>
      </c>
      <c r="Z22" s="216" t="s">
        <v>86</v>
      </c>
      <c r="AA22" s="216" t="s">
        <v>88</v>
      </c>
      <c r="AB22" s="39" t="s">
        <v>344</v>
      </c>
      <c r="AE22" s="35"/>
      <c r="AP22" s="43" t="s">
        <v>115</v>
      </c>
      <c r="AR22" s="41" t="s">
        <v>83</v>
      </c>
      <c r="AV22" s="27"/>
    </row>
    <row r="23" spans="1:48" x14ac:dyDescent="0.15">
      <c r="A23" s="15" t="s">
        <v>341</v>
      </c>
      <c r="B23" s="15" t="s">
        <v>342</v>
      </c>
      <c r="C23" s="15">
        <v>2018</v>
      </c>
      <c r="D23" s="37" t="s">
        <v>346</v>
      </c>
      <c r="E23" s="7" t="s">
        <v>144</v>
      </c>
      <c r="F23" s="7" t="s">
        <v>154</v>
      </c>
      <c r="G23" s="7" t="s">
        <v>36</v>
      </c>
      <c r="H23" s="15" t="s">
        <v>157</v>
      </c>
      <c r="I23" s="208" t="s">
        <v>155</v>
      </c>
      <c r="J23" s="15" t="s">
        <v>38</v>
      </c>
      <c r="K23" s="7" t="s">
        <v>156</v>
      </c>
      <c r="L23" s="7">
        <v>1</v>
      </c>
      <c r="N23" s="7">
        <v>1</v>
      </c>
      <c r="O23" s="34">
        <v>0.5</v>
      </c>
      <c r="P23" s="7">
        <v>0.5</v>
      </c>
      <c r="Q23" s="52">
        <f t="shared" si="0"/>
        <v>0.5</v>
      </c>
      <c r="R23" s="7">
        <v>15.7</v>
      </c>
      <c r="S23" s="7">
        <v>126</v>
      </c>
      <c r="T23" s="16">
        <f t="shared" si="1"/>
        <v>27</v>
      </c>
      <c r="U23" s="7">
        <v>96</v>
      </c>
      <c r="V23" s="16">
        <f t="shared" si="2"/>
        <v>2592</v>
      </c>
      <c r="W23" s="7">
        <v>2</v>
      </c>
      <c r="X23" s="15" t="s">
        <v>46</v>
      </c>
      <c r="Y23" s="216" t="s">
        <v>55</v>
      </c>
      <c r="Z23" s="216" t="s">
        <v>86</v>
      </c>
      <c r="AA23" s="216" t="s">
        <v>97</v>
      </c>
      <c r="AB23" s="39" t="s">
        <v>344</v>
      </c>
      <c r="AE23" s="22"/>
      <c r="AP23" s="43" t="s">
        <v>137</v>
      </c>
      <c r="AR23" s="41" t="s">
        <v>61</v>
      </c>
      <c r="AV23" s="27"/>
    </row>
    <row r="24" spans="1:48" x14ac:dyDescent="0.15">
      <c r="A24" s="15" t="s">
        <v>341</v>
      </c>
      <c r="B24" s="15" t="s">
        <v>342</v>
      </c>
      <c r="C24" s="15">
        <v>2018</v>
      </c>
      <c r="D24" s="37" t="s">
        <v>346</v>
      </c>
      <c r="E24" s="7" t="s">
        <v>144</v>
      </c>
      <c r="F24" s="7" t="s">
        <v>154</v>
      </c>
      <c r="G24" s="7" t="s">
        <v>36</v>
      </c>
      <c r="H24" s="216" t="s">
        <v>157</v>
      </c>
      <c r="I24" s="208" t="s">
        <v>155</v>
      </c>
      <c r="J24" s="15" t="s">
        <v>38</v>
      </c>
      <c r="K24" s="7" t="s">
        <v>156</v>
      </c>
      <c r="L24" s="7">
        <v>2</v>
      </c>
      <c r="N24" s="7">
        <v>1</v>
      </c>
      <c r="O24" s="7">
        <v>0.5</v>
      </c>
      <c r="P24" s="7">
        <v>0.5</v>
      </c>
      <c r="Q24" s="52">
        <f t="shared" si="0"/>
        <v>0.5</v>
      </c>
      <c r="R24" s="7">
        <v>16</v>
      </c>
      <c r="S24" s="7">
        <v>123</v>
      </c>
      <c r="T24" s="16">
        <f t="shared" si="1"/>
        <v>27</v>
      </c>
      <c r="U24" s="208">
        <v>96</v>
      </c>
      <c r="V24" s="16">
        <f t="shared" si="2"/>
        <v>2592</v>
      </c>
      <c r="W24" s="7">
        <v>2</v>
      </c>
      <c r="X24" s="15" t="s">
        <v>46</v>
      </c>
      <c r="Y24" s="216" t="s">
        <v>55</v>
      </c>
      <c r="Z24" s="216" t="s">
        <v>86</v>
      </c>
      <c r="AA24" s="216" t="s">
        <v>97</v>
      </c>
      <c r="AB24" s="39" t="s">
        <v>344</v>
      </c>
      <c r="AE24" s="22"/>
      <c r="AP24" s="43" t="s">
        <v>138</v>
      </c>
      <c r="AR24" s="41" t="s">
        <v>91</v>
      </c>
      <c r="AV24" s="27"/>
    </row>
    <row r="25" spans="1:48" x14ac:dyDescent="0.15">
      <c r="A25" s="15" t="s">
        <v>341</v>
      </c>
      <c r="B25" s="15" t="s">
        <v>342</v>
      </c>
      <c r="C25" s="15">
        <v>2018</v>
      </c>
      <c r="D25" s="37" t="s">
        <v>346</v>
      </c>
      <c r="E25" s="7" t="s">
        <v>144</v>
      </c>
      <c r="F25" s="7" t="s">
        <v>154</v>
      </c>
      <c r="G25" s="7" t="s">
        <v>36</v>
      </c>
      <c r="H25" s="216" t="s">
        <v>157</v>
      </c>
      <c r="I25" s="208" t="s">
        <v>155</v>
      </c>
      <c r="J25" s="15" t="s">
        <v>38</v>
      </c>
      <c r="K25" s="7" t="s">
        <v>156</v>
      </c>
      <c r="L25" s="7">
        <v>3</v>
      </c>
      <c r="N25" s="7">
        <v>1</v>
      </c>
      <c r="O25" s="7">
        <v>0.5</v>
      </c>
      <c r="P25" s="7">
        <v>0.5</v>
      </c>
      <c r="Q25" s="52">
        <f t="shared" si="0"/>
        <v>0.5</v>
      </c>
      <c r="R25" s="7">
        <v>16.3</v>
      </c>
      <c r="S25" s="7">
        <v>119</v>
      </c>
      <c r="T25" s="16">
        <f t="shared" si="1"/>
        <v>30</v>
      </c>
      <c r="U25" s="208">
        <v>96</v>
      </c>
      <c r="V25" s="16">
        <f t="shared" si="2"/>
        <v>2880</v>
      </c>
      <c r="W25" s="7">
        <v>2</v>
      </c>
      <c r="X25" s="15" t="s">
        <v>46</v>
      </c>
      <c r="Y25" s="216" t="s">
        <v>55</v>
      </c>
      <c r="Z25" s="216" t="s">
        <v>86</v>
      </c>
      <c r="AA25" s="216" t="s">
        <v>97</v>
      </c>
      <c r="AB25" s="39" t="s">
        <v>344</v>
      </c>
      <c r="AE25" s="35"/>
      <c r="AP25" s="43" t="s">
        <v>116</v>
      </c>
      <c r="AR25" s="42" t="s">
        <v>92</v>
      </c>
      <c r="AV25" s="27"/>
    </row>
    <row r="26" spans="1:48" x14ac:dyDescent="0.15">
      <c r="A26" s="15" t="s">
        <v>341</v>
      </c>
      <c r="B26" s="15" t="s">
        <v>342</v>
      </c>
      <c r="C26" s="15">
        <v>2018</v>
      </c>
      <c r="D26" s="37" t="s">
        <v>346</v>
      </c>
      <c r="E26" s="7" t="s">
        <v>144</v>
      </c>
      <c r="F26" s="7" t="s">
        <v>154</v>
      </c>
      <c r="G26" s="7" t="s">
        <v>36</v>
      </c>
      <c r="H26" s="15" t="s">
        <v>160</v>
      </c>
      <c r="I26" s="208" t="s">
        <v>155</v>
      </c>
      <c r="J26" s="15" t="s">
        <v>38</v>
      </c>
      <c r="K26" s="7" t="s">
        <v>156</v>
      </c>
      <c r="L26" s="7">
        <v>1</v>
      </c>
      <c r="N26" s="7">
        <v>1</v>
      </c>
      <c r="O26" s="7">
        <v>0.65</v>
      </c>
      <c r="P26" s="7">
        <v>0.7</v>
      </c>
      <c r="Q26" s="52">
        <f t="shared" si="0"/>
        <v>0.67500000000000004</v>
      </c>
      <c r="R26" s="7">
        <v>14.5</v>
      </c>
      <c r="S26" s="7">
        <v>138</v>
      </c>
      <c r="T26" s="16">
        <f t="shared" si="1"/>
        <v>22</v>
      </c>
      <c r="U26" s="7">
        <v>149</v>
      </c>
      <c r="V26" s="16">
        <f t="shared" si="2"/>
        <v>3278</v>
      </c>
      <c r="W26" s="7">
        <v>2</v>
      </c>
      <c r="X26" s="15" t="s">
        <v>46</v>
      </c>
      <c r="Y26" s="216" t="s">
        <v>55</v>
      </c>
      <c r="Z26" s="216" t="s">
        <v>86</v>
      </c>
      <c r="AA26" s="216" t="s">
        <v>97</v>
      </c>
      <c r="AB26" s="39" t="s">
        <v>344</v>
      </c>
      <c r="AE26" s="35"/>
      <c r="AP26" s="43" t="s">
        <v>117</v>
      </c>
      <c r="AR26" s="23" t="s">
        <v>294</v>
      </c>
      <c r="AV26" s="28"/>
    </row>
    <row r="27" spans="1:48" x14ac:dyDescent="0.15">
      <c r="A27" s="15" t="s">
        <v>341</v>
      </c>
      <c r="B27" s="15" t="s">
        <v>342</v>
      </c>
      <c r="C27" s="15">
        <v>2018</v>
      </c>
      <c r="D27" s="37" t="s">
        <v>346</v>
      </c>
      <c r="E27" s="7" t="s">
        <v>144</v>
      </c>
      <c r="F27" s="7" t="s">
        <v>154</v>
      </c>
      <c r="G27" s="7" t="s">
        <v>36</v>
      </c>
      <c r="H27" s="216" t="s">
        <v>160</v>
      </c>
      <c r="I27" s="208" t="s">
        <v>155</v>
      </c>
      <c r="J27" s="15" t="s">
        <v>38</v>
      </c>
      <c r="K27" s="7" t="s">
        <v>156</v>
      </c>
      <c r="L27" s="7">
        <v>2</v>
      </c>
      <c r="N27" s="7">
        <v>1</v>
      </c>
      <c r="O27" s="7">
        <v>0.6</v>
      </c>
      <c r="P27" s="7">
        <v>0.75</v>
      </c>
      <c r="Q27" s="52">
        <f t="shared" si="0"/>
        <v>0.67500000000000004</v>
      </c>
      <c r="R27" s="7">
        <v>14.7</v>
      </c>
      <c r="S27" s="7">
        <v>141</v>
      </c>
      <c r="T27" s="16">
        <f t="shared" si="1"/>
        <v>22</v>
      </c>
      <c r="U27" s="208">
        <v>149</v>
      </c>
      <c r="V27" s="16">
        <f t="shared" si="2"/>
        <v>3278</v>
      </c>
      <c r="W27" s="7">
        <v>2</v>
      </c>
      <c r="X27" s="15" t="s">
        <v>46</v>
      </c>
      <c r="Y27" s="216" t="s">
        <v>55</v>
      </c>
      <c r="Z27" s="216" t="s">
        <v>86</v>
      </c>
      <c r="AA27" s="216" t="s">
        <v>97</v>
      </c>
      <c r="AB27" s="39" t="s">
        <v>344</v>
      </c>
      <c r="AE27" s="28"/>
      <c r="AP27" s="43" t="s">
        <v>118</v>
      </c>
      <c r="AR27" s="23"/>
    </row>
    <row r="28" spans="1:48" x14ac:dyDescent="0.15">
      <c r="A28" s="15" t="s">
        <v>341</v>
      </c>
      <c r="B28" s="15" t="s">
        <v>342</v>
      </c>
      <c r="C28" s="15">
        <v>2018</v>
      </c>
      <c r="D28" s="37" t="s">
        <v>346</v>
      </c>
      <c r="E28" s="7" t="s">
        <v>144</v>
      </c>
      <c r="F28" s="7" t="s">
        <v>154</v>
      </c>
      <c r="G28" s="7" t="s">
        <v>36</v>
      </c>
      <c r="H28" s="216" t="s">
        <v>160</v>
      </c>
      <c r="I28" s="208" t="s">
        <v>155</v>
      </c>
      <c r="J28" s="15" t="s">
        <v>38</v>
      </c>
      <c r="K28" s="7" t="s">
        <v>156</v>
      </c>
      <c r="L28" s="7">
        <v>3</v>
      </c>
      <c r="N28" s="7">
        <v>1</v>
      </c>
      <c r="O28" s="7">
        <v>0.6</v>
      </c>
      <c r="P28" s="7">
        <v>0.6</v>
      </c>
      <c r="Q28" s="52">
        <f t="shared" si="0"/>
        <v>0.6</v>
      </c>
      <c r="R28" s="7">
        <v>15.8</v>
      </c>
      <c r="S28" s="7">
        <v>142</v>
      </c>
      <c r="T28" s="16">
        <f t="shared" si="1"/>
        <v>22</v>
      </c>
      <c r="U28" s="208">
        <v>149</v>
      </c>
      <c r="V28" s="16">
        <f t="shared" si="2"/>
        <v>3278</v>
      </c>
      <c r="W28" s="7">
        <v>2</v>
      </c>
      <c r="X28" s="15" t="s">
        <v>46</v>
      </c>
      <c r="Y28" s="216" t="s">
        <v>55</v>
      </c>
      <c r="Z28" s="216" t="s">
        <v>86</v>
      </c>
      <c r="AA28" s="216" t="s">
        <v>97</v>
      </c>
      <c r="AB28" s="39" t="s">
        <v>344</v>
      </c>
      <c r="AP28" s="27"/>
      <c r="AR28" s="23"/>
    </row>
    <row r="29" spans="1:48" x14ac:dyDescent="0.15">
      <c r="A29" s="15" t="s">
        <v>341</v>
      </c>
      <c r="B29" s="15" t="s">
        <v>342</v>
      </c>
      <c r="C29" s="15">
        <v>2018</v>
      </c>
      <c r="D29" s="37" t="s">
        <v>346</v>
      </c>
      <c r="E29" s="7" t="s">
        <v>131</v>
      </c>
      <c r="F29" s="7" t="s">
        <v>145</v>
      </c>
      <c r="G29" s="7" t="s">
        <v>36</v>
      </c>
      <c r="H29" s="15" t="s">
        <v>157</v>
      </c>
      <c r="I29" s="208" t="s">
        <v>155</v>
      </c>
      <c r="J29" s="15" t="s">
        <v>38</v>
      </c>
      <c r="K29" s="7" t="s">
        <v>156</v>
      </c>
      <c r="L29" s="7">
        <v>1</v>
      </c>
      <c r="N29" s="7">
        <v>1</v>
      </c>
      <c r="O29" s="7">
        <v>0.75</v>
      </c>
      <c r="P29" s="7">
        <v>0.85</v>
      </c>
      <c r="Q29" s="52">
        <f t="shared" si="0"/>
        <v>0.8</v>
      </c>
      <c r="R29" s="7">
        <v>15</v>
      </c>
      <c r="S29" s="7">
        <v>159</v>
      </c>
      <c r="T29" s="16">
        <f t="shared" si="1"/>
        <v>18</v>
      </c>
      <c r="U29" s="7">
        <v>138</v>
      </c>
      <c r="V29" s="16">
        <f t="shared" si="2"/>
        <v>2484</v>
      </c>
      <c r="W29" s="7">
        <v>3</v>
      </c>
      <c r="X29" s="15" t="s">
        <v>46</v>
      </c>
      <c r="Y29" s="216" t="s">
        <v>86</v>
      </c>
      <c r="Z29" s="216" t="s">
        <v>55</v>
      </c>
      <c r="AA29" s="216" t="s">
        <v>97</v>
      </c>
      <c r="AB29" s="39" t="s">
        <v>344</v>
      </c>
      <c r="AP29" s="27"/>
      <c r="AR29" s="27"/>
      <c r="AV29" s="28"/>
    </row>
    <row r="30" spans="1:48" x14ac:dyDescent="0.15">
      <c r="A30" s="15" t="s">
        <v>341</v>
      </c>
      <c r="B30" s="15" t="s">
        <v>342</v>
      </c>
      <c r="C30" s="15">
        <v>2018</v>
      </c>
      <c r="D30" s="37" t="s">
        <v>346</v>
      </c>
      <c r="E30" s="7" t="s">
        <v>131</v>
      </c>
      <c r="F30" s="7" t="s">
        <v>145</v>
      </c>
      <c r="G30" s="7" t="s">
        <v>36</v>
      </c>
      <c r="H30" s="216" t="s">
        <v>157</v>
      </c>
      <c r="I30" s="208" t="s">
        <v>155</v>
      </c>
      <c r="J30" s="15" t="s">
        <v>38</v>
      </c>
      <c r="K30" s="7" t="s">
        <v>156</v>
      </c>
      <c r="L30" s="7">
        <v>2</v>
      </c>
      <c r="N30" s="7">
        <v>1</v>
      </c>
      <c r="O30" s="7">
        <v>0.8</v>
      </c>
      <c r="P30" s="7">
        <v>0.85</v>
      </c>
      <c r="Q30" s="52">
        <f t="shared" si="0"/>
        <v>0.82499999999999996</v>
      </c>
      <c r="R30" s="7">
        <v>12.8</v>
      </c>
      <c r="S30" s="7">
        <v>169</v>
      </c>
      <c r="T30" s="16">
        <f t="shared" si="1"/>
        <v>18</v>
      </c>
      <c r="U30" s="208">
        <v>138</v>
      </c>
      <c r="V30" s="16">
        <f t="shared" si="2"/>
        <v>2484</v>
      </c>
      <c r="W30" s="7">
        <v>3</v>
      </c>
      <c r="X30" s="15" t="s">
        <v>46</v>
      </c>
      <c r="Y30" s="216" t="s">
        <v>86</v>
      </c>
      <c r="Z30" s="216" t="s">
        <v>55</v>
      </c>
      <c r="AA30" s="216" t="s">
        <v>97</v>
      </c>
      <c r="AB30" s="39" t="s">
        <v>344</v>
      </c>
      <c r="AP30" s="27"/>
      <c r="AR30" s="27"/>
    </row>
    <row r="31" spans="1:48" x14ac:dyDescent="0.15">
      <c r="A31" s="15" t="s">
        <v>341</v>
      </c>
      <c r="B31" s="15" t="s">
        <v>342</v>
      </c>
      <c r="C31" s="15">
        <v>2018</v>
      </c>
      <c r="D31" s="37" t="s">
        <v>346</v>
      </c>
      <c r="E31" s="7" t="s">
        <v>131</v>
      </c>
      <c r="F31" s="7" t="s">
        <v>145</v>
      </c>
      <c r="G31" s="7" t="s">
        <v>36</v>
      </c>
      <c r="H31" s="216" t="s">
        <v>157</v>
      </c>
      <c r="I31" s="208" t="s">
        <v>155</v>
      </c>
      <c r="J31" s="15" t="s">
        <v>38</v>
      </c>
      <c r="K31" s="7" t="s">
        <v>156</v>
      </c>
      <c r="L31" s="7">
        <v>3</v>
      </c>
      <c r="N31" s="7">
        <v>1</v>
      </c>
      <c r="O31" s="7">
        <v>0.6</v>
      </c>
      <c r="P31" s="7">
        <v>0.6</v>
      </c>
      <c r="Q31" s="52">
        <f t="shared" si="0"/>
        <v>0.6</v>
      </c>
      <c r="R31" s="7">
        <v>13.8</v>
      </c>
      <c r="S31" s="7">
        <v>171</v>
      </c>
      <c r="T31" s="16">
        <f t="shared" si="1"/>
        <v>18</v>
      </c>
      <c r="U31" s="208">
        <v>138</v>
      </c>
      <c r="V31" s="16">
        <f t="shared" si="2"/>
        <v>2484</v>
      </c>
      <c r="W31" s="7">
        <v>3</v>
      </c>
      <c r="X31" s="15" t="s">
        <v>46</v>
      </c>
      <c r="Y31" s="216" t="s">
        <v>86</v>
      </c>
      <c r="Z31" s="216" t="s">
        <v>55</v>
      </c>
      <c r="AA31" s="216" t="s">
        <v>97</v>
      </c>
      <c r="AB31" s="39" t="s">
        <v>344</v>
      </c>
      <c r="AP31" s="27"/>
      <c r="AR31" s="27"/>
    </row>
    <row r="32" spans="1:48" x14ac:dyDescent="0.15">
      <c r="A32" s="15" t="s">
        <v>341</v>
      </c>
      <c r="B32" s="15" t="s">
        <v>342</v>
      </c>
      <c r="C32" s="15">
        <v>2018</v>
      </c>
      <c r="D32" s="37" t="s">
        <v>346</v>
      </c>
      <c r="E32" s="7" t="s">
        <v>131</v>
      </c>
      <c r="F32" s="7" t="s">
        <v>145</v>
      </c>
      <c r="G32" s="7" t="s">
        <v>36</v>
      </c>
      <c r="H32" s="15" t="s">
        <v>160</v>
      </c>
      <c r="I32" s="208" t="s">
        <v>155</v>
      </c>
      <c r="J32" s="15" t="s">
        <v>38</v>
      </c>
      <c r="K32" s="7" t="s">
        <v>156</v>
      </c>
      <c r="L32" s="7">
        <v>1</v>
      </c>
      <c r="N32" s="7">
        <v>1</v>
      </c>
      <c r="O32" s="7">
        <v>0.65</v>
      </c>
      <c r="P32" s="7">
        <v>0.55000000000000004</v>
      </c>
      <c r="Q32" s="52">
        <f t="shared" si="0"/>
        <v>0.60000000000000009</v>
      </c>
      <c r="R32" s="7">
        <v>16</v>
      </c>
      <c r="S32" s="7">
        <v>129</v>
      </c>
      <c r="T32" s="16">
        <f t="shared" si="1"/>
        <v>25</v>
      </c>
      <c r="U32" s="7">
        <v>107</v>
      </c>
      <c r="V32" s="16">
        <f t="shared" si="2"/>
        <v>2675</v>
      </c>
      <c r="W32" s="7">
        <v>8</v>
      </c>
      <c r="X32" s="15" t="s">
        <v>46</v>
      </c>
      <c r="Y32" s="216" t="s">
        <v>86</v>
      </c>
      <c r="Z32" s="216" t="s">
        <v>55</v>
      </c>
      <c r="AA32" s="216" t="s">
        <v>97</v>
      </c>
      <c r="AB32" s="39" t="s">
        <v>344</v>
      </c>
      <c r="AP32" s="28"/>
      <c r="AR32" s="28"/>
    </row>
    <row r="33" spans="1:44" x14ac:dyDescent="0.15">
      <c r="A33" s="15" t="s">
        <v>341</v>
      </c>
      <c r="B33" s="15" t="s">
        <v>342</v>
      </c>
      <c r="C33" s="15">
        <v>2018</v>
      </c>
      <c r="D33" s="37" t="s">
        <v>346</v>
      </c>
      <c r="E33" s="7" t="s">
        <v>131</v>
      </c>
      <c r="F33" s="7" t="s">
        <v>145</v>
      </c>
      <c r="G33" s="7" t="s">
        <v>36</v>
      </c>
      <c r="H33" s="216" t="s">
        <v>160</v>
      </c>
      <c r="I33" s="208" t="s">
        <v>155</v>
      </c>
      <c r="J33" s="15" t="s">
        <v>38</v>
      </c>
      <c r="K33" s="7" t="s">
        <v>156</v>
      </c>
      <c r="L33" s="7">
        <v>2</v>
      </c>
      <c r="N33" s="7">
        <v>1</v>
      </c>
      <c r="O33" s="7">
        <v>0.55000000000000004</v>
      </c>
      <c r="P33" s="7">
        <v>0.55000000000000004</v>
      </c>
      <c r="Q33" s="52">
        <f t="shared" si="0"/>
        <v>0.55000000000000004</v>
      </c>
      <c r="R33" s="7">
        <v>16.5</v>
      </c>
      <c r="S33" s="7">
        <v>127</v>
      </c>
      <c r="T33" s="16">
        <f t="shared" si="1"/>
        <v>27</v>
      </c>
      <c r="U33" s="208">
        <v>107</v>
      </c>
      <c r="V33" s="16">
        <f t="shared" si="2"/>
        <v>2889</v>
      </c>
      <c r="W33" s="7">
        <v>8</v>
      </c>
      <c r="X33" s="15" t="s">
        <v>46</v>
      </c>
      <c r="Y33" s="216" t="s">
        <v>86</v>
      </c>
      <c r="Z33" s="216" t="s">
        <v>55</v>
      </c>
      <c r="AA33" s="216" t="s">
        <v>97</v>
      </c>
      <c r="AB33" s="39" t="s">
        <v>344</v>
      </c>
    </row>
    <row r="34" spans="1:44" x14ac:dyDescent="0.15">
      <c r="A34" s="15" t="s">
        <v>341</v>
      </c>
      <c r="B34" s="15" t="s">
        <v>342</v>
      </c>
      <c r="C34" s="15">
        <v>2018</v>
      </c>
      <c r="D34" s="37" t="s">
        <v>346</v>
      </c>
      <c r="E34" s="7" t="s">
        <v>131</v>
      </c>
      <c r="F34" s="7" t="s">
        <v>145</v>
      </c>
      <c r="G34" s="7" t="s">
        <v>36</v>
      </c>
      <c r="H34" s="216" t="s">
        <v>160</v>
      </c>
      <c r="I34" s="208" t="s">
        <v>155</v>
      </c>
      <c r="J34" s="15" t="s">
        <v>38</v>
      </c>
      <c r="K34" s="7" t="s">
        <v>156</v>
      </c>
      <c r="L34" s="7">
        <v>3</v>
      </c>
      <c r="N34" s="7">
        <v>1</v>
      </c>
      <c r="O34" s="7">
        <v>0.65</v>
      </c>
      <c r="P34" s="7">
        <v>0.65</v>
      </c>
      <c r="Q34" s="52">
        <f t="shared" si="0"/>
        <v>0.65</v>
      </c>
      <c r="R34" s="7">
        <v>14.4</v>
      </c>
      <c r="S34" s="7">
        <v>133</v>
      </c>
      <c r="T34" s="16">
        <f t="shared" si="1"/>
        <v>25</v>
      </c>
      <c r="U34" s="208">
        <v>107</v>
      </c>
      <c r="V34" s="16">
        <f t="shared" si="2"/>
        <v>2675</v>
      </c>
      <c r="W34" s="7">
        <v>8</v>
      </c>
      <c r="X34" s="15" t="s">
        <v>46</v>
      </c>
      <c r="Y34" s="216" t="s">
        <v>86</v>
      </c>
      <c r="Z34" s="216" t="s">
        <v>55</v>
      </c>
      <c r="AA34" s="216" t="s">
        <v>97</v>
      </c>
      <c r="AB34" s="39" t="s">
        <v>344</v>
      </c>
    </row>
    <row r="35" spans="1:44" x14ac:dyDescent="0.15">
      <c r="A35" s="15" t="s">
        <v>341</v>
      </c>
      <c r="B35" s="15" t="s">
        <v>342</v>
      </c>
      <c r="C35" s="15">
        <v>2018</v>
      </c>
      <c r="D35" s="37" t="s">
        <v>346</v>
      </c>
      <c r="E35" s="7" t="s">
        <v>139</v>
      </c>
      <c r="F35" s="7" t="s">
        <v>146</v>
      </c>
      <c r="G35" s="7" t="s">
        <v>36</v>
      </c>
      <c r="H35" s="216" t="s">
        <v>157</v>
      </c>
      <c r="I35" s="208" t="s">
        <v>155</v>
      </c>
      <c r="J35" s="15" t="s">
        <v>38</v>
      </c>
      <c r="K35" s="7" t="s">
        <v>156</v>
      </c>
      <c r="L35" s="7">
        <v>1</v>
      </c>
      <c r="N35" s="7">
        <v>1</v>
      </c>
      <c r="O35" s="7">
        <v>0.55000000000000004</v>
      </c>
      <c r="P35" s="7">
        <v>0.65</v>
      </c>
      <c r="Q35" s="52">
        <f t="shared" si="0"/>
        <v>0.60000000000000009</v>
      </c>
      <c r="R35" s="7">
        <v>14.3</v>
      </c>
      <c r="S35" s="7">
        <v>138</v>
      </c>
      <c r="T35" s="16">
        <f t="shared" si="1"/>
        <v>22</v>
      </c>
      <c r="U35" s="7">
        <v>100</v>
      </c>
      <c r="V35" s="16">
        <f t="shared" si="2"/>
        <v>2200</v>
      </c>
      <c r="W35" s="7">
        <v>6</v>
      </c>
      <c r="X35" s="15" t="s">
        <v>46</v>
      </c>
      <c r="Y35" s="216" t="s">
        <v>86</v>
      </c>
      <c r="Z35" s="216" t="s">
        <v>97</v>
      </c>
      <c r="AA35" s="216" t="s">
        <v>55</v>
      </c>
      <c r="AB35" s="39" t="s">
        <v>344</v>
      </c>
      <c r="AP35" s="28"/>
      <c r="AR35" s="28"/>
    </row>
    <row r="36" spans="1:44" x14ac:dyDescent="0.15">
      <c r="A36" s="15" t="s">
        <v>341</v>
      </c>
      <c r="B36" s="15" t="s">
        <v>342</v>
      </c>
      <c r="C36" s="15">
        <v>2018</v>
      </c>
      <c r="D36" s="37" t="s">
        <v>346</v>
      </c>
      <c r="E36" s="7" t="s">
        <v>139</v>
      </c>
      <c r="F36" s="7" t="s">
        <v>146</v>
      </c>
      <c r="G36" s="7" t="s">
        <v>36</v>
      </c>
      <c r="H36" s="216" t="s">
        <v>157</v>
      </c>
      <c r="I36" s="208" t="s">
        <v>155</v>
      </c>
      <c r="J36" s="15" t="s">
        <v>38</v>
      </c>
      <c r="K36" s="7" t="s">
        <v>156</v>
      </c>
      <c r="L36" s="7">
        <v>2</v>
      </c>
      <c r="N36" s="7">
        <v>1</v>
      </c>
      <c r="O36" s="7">
        <v>0.9</v>
      </c>
      <c r="P36" s="7">
        <v>0.9</v>
      </c>
      <c r="Q36" s="52">
        <f t="shared" si="0"/>
        <v>0.9</v>
      </c>
      <c r="R36" s="7">
        <v>15.5</v>
      </c>
      <c r="S36" s="7">
        <v>139</v>
      </c>
      <c r="T36" s="16">
        <f t="shared" si="1"/>
        <v>22</v>
      </c>
      <c r="U36" s="208">
        <v>100</v>
      </c>
      <c r="V36" s="16">
        <f t="shared" si="2"/>
        <v>2200</v>
      </c>
      <c r="W36" s="7">
        <v>6</v>
      </c>
      <c r="X36" s="15" t="s">
        <v>46</v>
      </c>
      <c r="Y36" s="216" t="s">
        <v>86</v>
      </c>
      <c r="Z36" s="216" t="s">
        <v>97</v>
      </c>
      <c r="AA36" s="216" t="s">
        <v>55</v>
      </c>
      <c r="AB36" s="39" t="s">
        <v>344</v>
      </c>
    </row>
    <row r="37" spans="1:44" x14ac:dyDescent="0.15">
      <c r="A37" s="15" t="s">
        <v>341</v>
      </c>
      <c r="B37" s="15" t="s">
        <v>342</v>
      </c>
      <c r="C37" s="15">
        <v>2018</v>
      </c>
      <c r="D37" s="37" t="s">
        <v>346</v>
      </c>
      <c r="E37" s="7" t="s">
        <v>139</v>
      </c>
      <c r="F37" s="7" t="s">
        <v>146</v>
      </c>
      <c r="G37" s="7" t="s">
        <v>36</v>
      </c>
      <c r="H37" s="216" t="s">
        <v>157</v>
      </c>
      <c r="I37" s="208" t="s">
        <v>155</v>
      </c>
      <c r="J37" s="15" t="s">
        <v>38</v>
      </c>
      <c r="K37" s="7" t="s">
        <v>156</v>
      </c>
      <c r="L37" s="7">
        <v>3</v>
      </c>
      <c r="N37" s="7">
        <v>1</v>
      </c>
      <c r="O37" s="34">
        <v>0.55000000000000004</v>
      </c>
      <c r="P37" s="34">
        <v>0.6</v>
      </c>
      <c r="Q37" s="52">
        <f t="shared" si="0"/>
        <v>0.57499999999999996</v>
      </c>
      <c r="R37" s="7">
        <v>14.7</v>
      </c>
      <c r="S37" s="7">
        <v>132</v>
      </c>
      <c r="T37" s="16">
        <f t="shared" si="1"/>
        <v>25</v>
      </c>
      <c r="U37" s="208">
        <v>100</v>
      </c>
      <c r="V37" s="16">
        <f t="shared" si="2"/>
        <v>2500</v>
      </c>
      <c r="W37" s="7">
        <v>6</v>
      </c>
      <c r="X37" s="15" t="s">
        <v>46</v>
      </c>
      <c r="Y37" s="216" t="s">
        <v>86</v>
      </c>
      <c r="Z37" s="216" t="s">
        <v>97</v>
      </c>
      <c r="AA37" s="216" t="s">
        <v>55</v>
      </c>
      <c r="AB37" s="39" t="s">
        <v>344</v>
      </c>
    </row>
    <row r="38" spans="1:44" x14ac:dyDescent="0.15">
      <c r="A38" s="15" t="s">
        <v>341</v>
      </c>
      <c r="B38" s="15" t="s">
        <v>342</v>
      </c>
      <c r="C38" s="15">
        <v>2018</v>
      </c>
      <c r="D38" s="37" t="s">
        <v>346</v>
      </c>
      <c r="E38" s="7" t="s">
        <v>139</v>
      </c>
      <c r="F38" s="7" t="s">
        <v>146</v>
      </c>
      <c r="G38" s="7" t="s">
        <v>36</v>
      </c>
      <c r="H38" s="216" t="s">
        <v>160</v>
      </c>
      <c r="I38" s="7" t="s">
        <v>155</v>
      </c>
      <c r="J38" s="216" t="s">
        <v>38</v>
      </c>
      <c r="K38" s="208" t="s">
        <v>156</v>
      </c>
      <c r="L38" s="7">
        <v>1</v>
      </c>
      <c r="N38" s="7">
        <v>1</v>
      </c>
      <c r="O38" s="34">
        <v>0.6</v>
      </c>
      <c r="P38" s="34">
        <v>0.55000000000000004</v>
      </c>
      <c r="Q38" s="52">
        <f t="shared" si="0"/>
        <v>0.57499999999999996</v>
      </c>
      <c r="R38" s="7">
        <v>16.5</v>
      </c>
      <c r="S38" s="7">
        <v>173</v>
      </c>
      <c r="T38" s="16">
        <f t="shared" si="1"/>
        <v>18</v>
      </c>
      <c r="U38" s="7">
        <v>171</v>
      </c>
      <c r="V38" s="16">
        <f t="shared" si="2"/>
        <v>3078</v>
      </c>
      <c r="W38" s="7">
        <v>15</v>
      </c>
      <c r="X38" s="15" t="s">
        <v>46</v>
      </c>
      <c r="Y38" s="216" t="s">
        <v>86</v>
      </c>
      <c r="Z38" s="216" t="s">
        <v>97</v>
      </c>
      <c r="AA38" s="216" t="s">
        <v>55</v>
      </c>
      <c r="AB38" s="39" t="s">
        <v>344</v>
      </c>
    </row>
    <row r="39" spans="1:44" x14ac:dyDescent="0.15">
      <c r="A39" s="15" t="s">
        <v>341</v>
      </c>
      <c r="B39" s="15" t="s">
        <v>342</v>
      </c>
      <c r="C39" s="15">
        <v>2018</v>
      </c>
      <c r="D39" s="37" t="s">
        <v>346</v>
      </c>
      <c r="E39" s="7" t="s">
        <v>139</v>
      </c>
      <c r="F39" s="7" t="s">
        <v>146</v>
      </c>
      <c r="G39" s="7" t="s">
        <v>36</v>
      </c>
      <c r="H39" s="216" t="s">
        <v>160</v>
      </c>
      <c r="I39" s="208" t="s">
        <v>155</v>
      </c>
      <c r="J39" s="216" t="s">
        <v>38</v>
      </c>
      <c r="K39" s="208" t="s">
        <v>156</v>
      </c>
      <c r="L39" s="7">
        <v>2</v>
      </c>
      <c r="N39" s="7">
        <v>1</v>
      </c>
      <c r="O39" s="7">
        <v>0.75</v>
      </c>
      <c r="P39" s="7">
        <v>0.75</v>
      </c>
      <c r="Q39" s="52">
        <f t="shared" si="0"/>
        <v>0.75</v>
      </c>
      <c r="R39" s="34">
        <v>15</v>
      </c>
      <c r="S39" s="7">
        <v>170</v>
      </c>
      <c r="T39" s="16">
        <f t="shared" si="1"/>
        <v>18</v>
      </c>
      <c r="U39" s="208">
        <v>171</v>
      </c>
      <c r="V39" s="16">
        <f t="shared" si="2"/>
        <v>3078</v>
      </c>
      <c r="W39" s="7">
        <v>15</v>
      </c>
      <c r="X39" s="15" t="s">
        <v>46</v>
      </c>
      <c r="Y39" s="216" t="s">
        <v>86</v>
      </c>
      <c r="Z39" s="216" t="s">
        <v>97</v>
      </c>
      <c r="AA39" s="216" t="s">
        <v>55</v>
      </c>
      <c r="AB39" s="39" t="s">
        <v>344</v>
      </c>
    </row>
    <row r="40" spans="1:44" x14ac:dyDescent="0.15">
      <c r="A40" s="15" t="s">
        <v>341</v>
      </c>
      <c r="B40" s="15" t="s">
        <v>342</v>
      </c>
      <c r="C40" s="15">
        <v>2018</v>
      </c>
      <c r="D40" s="37" t="s">
        <v>346</v>
      </c>
      <c r="E40" s="7" t="s">
        <v>139</v>
      </c>
      <c r="F40" s="7" t="s">
        <v>146</v>
      </c>
      <c r="G40" s="7" t="s">
        <v>36</v>
      </c>
      <c r="H40" s="216" t="s">
        <v>160</v>
      </c>
      <c r="I40" s="208" t="s">
        <v>155</v>
      </c>
      <c r="J40" s="216" t="s">
        <v>38</v>
      </c>
      <c r="K40" s="208" t="s">
        <v>156</v>
      </c>
      <c r="L40" s="7">
        <v>3</v>
      </c>
      <c r="N40" s="7">
        <v>1</v>
      </c>
      <c r="O40" s="7">
        <v>0.5</v>
      </c>
      <c r="P40" s="7">
        <v>0.6</v>
      </c>
      <c r="Q40" s="52">
        <f t="shared" si="0"/>
        <v>0.55000000000000004</v>
      </c>
      <c r="R40" s="7">
        <v>19.3</v>
      </c>
      <c r="S40" s="7">
        <v>164</v>
      </c>
      <c r="T40" s="16">
        <f t="shared" si="1"/>
        <v>18</v>
      </c>
      <c r="U40" s="208">
        <v>171</v>
      </c>
      <c r="V40" s="16">
        <f t="shared" si="2"/>
        <v>3078</v>
      </c>
      <c r="W40" s="7">
        <v>15</v>
      </c>
      <c r="X40" s="15" t="s">
        <v>46</v>
      </c>
      <c r="Y40" s="216" t="s">
        <v>86</v>
      </c>
      <c r="Z40" s="216" t="s">
        <v>97</v>
      </c>
      <c r="AA40" s="216" t="s">
        <v>55</v>
      </c>
      <c r="AB40" s="39" t="s">
        <v>344</v>
      </c>
    </row>
    <row r="41" spans="1:44" ht="12.75" customHeight="1" x14ac:dyDescent="0.15">
      <c r="A41" s="15" t="s">
        <v>341</v>
      </c>
      <c r="B41" s="15" t="s">
        <v>342</v>
      </c>
      <c r="C41" s="15">
        <v>2018</v>
      </c>
      <c r="D41" s="37" t="s">
        <v>346</v>
      </c>
      <c r="E41" s="7" t="s">
        <v>140</v>
      </c>
      <c r="F41" s="7" t="s">
        <v>147</v>
      </c>
      <c r="G41" s="7" t="s">
        <v>36</v>
      </c>
      <c r="H41" s="15" t="s">
        <v>157</v>
      </c>
      <c r="I41" s="7" t="s">
        <v>155</v>
      </c>
      <c r="J41" s="15" t="s">
        <v>38</v>
      </c>
      <c r="K41" s="7" t="s">
        <v>156</v>
      </c>
      <c r="L41" s="7">
        <v>1</v>
      </c>
      <c r="N41" s="7">
        <v>1</v>
      </c>
      <c r="O41" s="7">
        <v>0.5</v>
      </c>
      <c r="P41" s="7">
        <v>0.5</v>
      </c>
      <c r="Q41" s="52">
        <f t="shared" si="0"/>
        <v>0.5</v>
      </c>
      <c r="R41" s="7">
        <v>16</v>
      </c>
      <c r="S41" s="7">
        <v>148</v>
      </c>
      <c r="T41" s="16">
        <f t="shared" si="1"/>
        <v>22</v>
      </c>
      <c r="U41" s="7">
        <v>99</v>
      </c>
      <c r="V41" s="16">
        <f t="shared" si="2"/>
        <v>2178</v>
      </c>
      <c r="W41" s="7">
        <v>4</v>
      </c>
      <c r="X41" s="15" t="s">
        <v>46</v>
      </c>
      <c r="Y41" s="216" t="s">
        <v>86</v>
      </c>
      <c r="Z41" s="216" t="s">
        <v>97</v>
      </c>
      <c r="AA41" s="216" t="s">
        <v>88</v>
      </c>
      <c r="AB41" s="39" t="s">
        <v>344</v>
      </c>
    </row>
    <row r="42" spans="1:44" x14ac:dyDescent="0.15">
      <c r="A42" s="15" t="s">
        <v>341</v>
      </c>
      <c r="B42" s="15" t="s">
        <v>342</v>
      </c>
      <c r="C42" s="15">
        <v>2018</v>
      </c>
      <c r="D42" s="37" t="s">
        <v>346</v>
      </c>
      <c r="E42" s="7" t="s">
        <v>140</v>
      </c>
      <c r="F42" s="7" t="s">
        <v>147</v>
      </c>
      <c r="G42" s="7" t="s">
        <v>36</v>
      </c>
      <c r="H42" s="216" t="s">
        <v>157</v>
      </c>
      <c r="I42" s="208" t="s">
        <v>155</v>
      </c>
      <c r="J42" s="15" t="s">
        <v>38</v>
      </c>
      <c r="K42" s="7" t="s">
        <v>156</v>
      </c>
      <c r="L42" s="7">
        <v>2</v>
      </c>
      <c r="N42" s="7">
        <v>1</v>
      </c>
      <c r="O42" s="7">
        <v>0.5</v>
      </c>
      <c r="P42" s="7">
        <v>0.5</v>
      </c>
      <c r="Q42" s="52">
        <f t="shared" si="0"/>
        <v>0.5</v>
      </c>
      <c r="R42" s="7">
        <v>16.3</v>
      </c>
      <c r="S42" s="7">
        <v>148</v>
      </c>
      <c r="T42" s="16">
        <f t="shared" si="1"/>
        <v>22</v>
      </c>
      <c r="U42" s="208">
        <v>99</v>
      </c>
      <c r="V42" s="16">
        <f t="shared" si="2"/>
        <v>2178</v>
      </c>
      <c r="W42" s="7">
        <v>4</v>
      </c>
      <c r="X42" s="15" t="s">
        <v>46</v>
      </c>
      <c r="Y42" s="216" t="s">
        <v>86</v>
      </c>
      <c r="Z42" s="216" t="s">
        <v>97</v>
      </c>
      <c r="AA42" s="216" t="s">
        <v>88</v>
      </c>
      <c r="AB42" s="39" t="s">
        <v>344</v>
      </c>
    </row>
    <row r="43" spans="1:44" x14ac:dyDescent="0.15">
      <c r="A43" s="15" t="s">
        <v>341</v>
      </c>
      <c r="B43" s="15" t="s">
        <v>342</v>
      </c>
      <c r="C43" s="15">
        <v>2018</v>
      </c>
      <c r="D43" s="37" t="s">
        <v>346</v>
      </c>
      <c r="E43" s="7" t="s">
        <v>140</v>
      </c>
      <c r="F43" s="7" t="s">
        <v>147</v>
      </c>
      <c r="G43" s="7" t="s">
        <v>36</v>
      </c>
      <c r="H43" s="216" t="s">
        <v>157</v>
      </c>
      <c r="I43" s="208" t="s">
        <v>155</v>
      </c>
      <c r="J43" s="15" t="s">
        <v>38</v>
      </c>
      <c r="K43" s="7" t="s">
        <v>156</v>
      </c>
      <c r="L43" s="7">
        <v>3</v>
      </c>
      <c r="N43" s="7">
        <v>1</v>
      </c>
      <c r="O43" s="7">
        <v>0.5</v>
      </c>
      <c r="P43" s="7">
        <v>0.5</v>
      </c>
      <c r="Q43" s="52">
        <f t="shared" si="0"/>
        <v>0.5</v>
      </c>
      <c r="R43" s="7">
        <v>16.5</v>
      </c>
      <c r="S43" s="7">
        <v>143</v>
      </c>
      <c r="T43" s="16">
        <f t="shared" si="1"/>
        <v>22</v>
      </c>
      <c r="U43" s="208">
        <v>99</v>
      </c>
      <c r="V43" s="16">
        <f t="shared" si="2"/>
        <v>2178</v>
      </c>
      <c r="W43" s="7">
        <v>4</v>
      </c>
      <c r="X43" s="15" t="s">
        <v>46</v>
      </c>
      <c r="Y43" s="216" t="s">
        <v>86</v>
      </c>
      <c r="Z43" s="216" t="s">
        <v>97</v>
      </c>
      <c r="AA43" s="216" t="s">
        <v>88</v>
      </c>
      <c r="AB43" s="39" t="s">
        <v>344</v>
      </c>
    </row>
    <row r="44" spans="1:44" x14ac:dyDescent="0.15">
      <c r="A44" s="15" t="s">
        <v>341</v>
      </c>
      <c r="B44" s="15" t="s">
        <v>342</v>
      </c>
      <c r="C44" s="15">
        <v>2018</v>
      </c>
      <c r="D44" s="37" t="s">
        <v>346</v>
      </c>
      <c r="E44" s="7" t="s">
        <v>140</v>
      </c>
      <c r="F44" s="7" t="s">
        <v>147</v>
      </c>
      <c r="G44" s="7" t="s">
        <v>36</v>
      </c>
      <c r="H44" s="15" t="s">
        <v>205</v>
      </c>
      <c r="I44" s="208" t="s">
        <v>155</v>
      </c>
      <c r="J44" s="15" t="s">
        <v>38</v>
      </c>
      <c r="K44" s="7" t="s">
        <v>156</v>
      </c>
      <c r="L44" s="7">
        <v>1</v>
      </c>
      <c r="N44" s="7">
        <v>5</v>
      </c>
      <c r="O44" s="7">
        <v>0.5</v>
      </c>
      <c r="P44" s="7">
        <v>0.5</v>
      </c>
      <c r="Q44" s="52">
        <f t="shared" si="0"/>
        <v>0.5</v>
      </c>
      <c r="R44" s="7">
        <v>17.5</v>
      </c>
      <c r="S44" s="7">
        <v>88</v>
      </c>
      <c r="T44" s="16">
        <f t="shared" si="1"/>
        <v>36</v>
      </c>
      <c r="U44" s="7">
        <v>399</v>
      </c>
      <c r="V44" s="16">
        <f t="shared" si="2"/>
        <v>2872.7999999999997</v>
      </c>
      <c r="W44" s="7">
        <v>2</v>
      </c>
      <c r="X44" s="15" t="s">
        <v>46</v>
      </c>
      <c r="Y44" s="216" t="s">
        <v>86</v>
      </c>
      <c r="Z44" s="216" t="s">
        <v>97</v>
      </c>
      <c r="AA44" s="216" t="s">
        <v>88</v>
      </c>
      <c r="AB44" s="39" t="s">
        <v>344</v>
      </c>
    </row>
    <row r="45" spans="1:44" x14ac:dyDescent="0.15">
      <c r="A45" s="15" t="s">
        <v>341</v>
      </c>
      <c r="B45" s="15" t="s">
        <v>342</v>
      </c>
      <c r="C45" s="15">
        <v>2018</v>
      </c>
      <c r="D45" s="37" t="s">
        <v>346</v>
      </c>
      <c r="E45" s="7" t="s">
        <v>140</v>
      </c>
      <c r="F45" s="7" t="s">
        <v>147</v>
      </c>
      <c r="G45" s="7" t="s">
        <v>36</v>
      </c>
      <c r="H45" s="216" t="s">
        <v>205</v>
      </c>
      <c r="I45" s="208" t="s">
        <v>155</v>
      </c>
      <c r="J45" s="15" t="s">
        <v>38</v>
      </c>
      <c r="K45" s="7" t="s">
        <v>156</v>
      </c>
      <c r="L45" s="7">
        <v>2</v>
      </c>
      <c r="N45" s="7">
        <v>5</v>
      </c>
      <c r="O45" s="7">
        <v>0.5</v>
      </c>
      <c r="P45" s="7">
        <v>0.5</v>
      </c>
      <c r="Q45" s="52">
        <f t="shared" si="0"/>
        <v>0.5</v>
      </c>
      <c r="R45" s="7">
        <v>20</v>
      </c>
      <c r="S45" s="7">
        <v>89</v>
      </c>
      <c r="T45" s="16">
        <f t="shared" si="1"/>
        <v>36</v>
      </c>
      <c r="U45" s="208">
        <v>399</v>
      </c>
      <c r="V45" s="16">
        <f t="shared" si="2"/>
        <v>2872.7999999999997</v>
      </c>
      <c r="W45" s="7">
        <v>2</v>
      </c>
      <c r="X45" s="15" t="s">
        <v>46</v>
      </c>
      <c r="Y45" s="216" t="s">
        <v>86</v>
      </c>
      <c r="Z45" s="216" t="s">
        <v>97</v>
      </c>
      <c r="AA45" s="216" t="s">
        <v>88</v>
      </c>
      <c r="AB45" s="39" t="s">
        <v>344</v>
      </c>
    </row>
    <row r="46" spans="1:44" x14ac:dyDescent="0.15">
      <c r="A46" s="15" t="s">
        <v>341</v>
      </c>
      <c r="B46" s="15" t="s">
        <v>342</v>
      </c>
      <c r="C46" s="15">
        <v>2018</v>
      </c>
      <c r="D46" s="37" t="s">
        <v>346</v>
      </c>
      <c r="E46" s="7" t="s">
        <v>140</v>
      </c>
      <c r="F46" s="7" t="s">
        <v>147</v>
      </c>
      <c r="G46" s="7" t="s">
        <v>36</v>
      </c>
      <c r="H46" s="216" t="s">
        <v>205</v>
      </c>
      <c r="I46" s="208" t="s">
        <v>155</v>
      </c>
      <c r="J46" s="15" t="s">
        <v>38</v>
      </c>
      <c r="K46" s="7" t="s">
        <v>156</v>
      </c>
      <c r="L46" s="7">
        <v>3</v>
      </c>
      <c r="N46" s="7">
        <v>5</v>
      </c>
      <c r="O46" s="7">
        <v>0.5</v>
      </c>
      <c r="P46" s="34">
        <v>0.5</v>
      </c>
      <c r="Q46" s="52">
        <f t="shared" si="0"/>
        <v>0.5</v>
      </c>
      <c r="R46" s="7">
        <v>14.5</v>
      </c>
      <c r="S46" s="7">
        <v>91</v>
      </c>
      <c r="T46" s="16">
        <f t="shared" si="1"/>
        <v>36</v>
      </c>
      <c r="U46" s="208">
        <v>399</v>
      </c>
      <c r="V46" s="16">
        <f t="shared" si="2"/>
        <v>2872.7999999999997</v>
      </c>
      <c r="W46" s="7">
        <v>2</v>
      </c>
      <c r="X46" s="15" t="s">
        <v>46</v>
      </c>
      <c r="Y46" s="216" t="s">
        <v>86</v>
      </c>
      <c r="Z46" s="216" t="s">
        <v>97</v>
      </c>
      <c r="AA46" s="216" t="s">
        <v>88</v>
      </c>
      <c r="AB46" s="39" t="s">
        <v>344</v>
      </c>
    </row>
    <row r="47" spans="1:44" x14ac:dyDescent="0.15">
      <c r="A47" s="15" t="s">
        <v>341</v>
      </c>
      <c r="B47" s="15" t="s">
        <v>342</v>
      </c>
      <c r="C47" s="15">
        <v>2018</v>
      </c>
      <c r="D47" s="37" t="s">
        <v>346</v>
      </c>
      <c r="E47" s="7" t="s">
        <v>140</v>
      </c>
      <c r="F47" s="7" t="s">
        <v>147</v>
      </c>
      <c r="G47" s="7" t="s">
        <v>36</v>
      </c>
      <c r="H47" s="15" t="s">
        <v>160</v>
      </c>
      <c r="I47" s="208" t="s">
        <v>155</v>
      </c>
      <c r="J47" s="15" t="s">
        <v>38</v>
      </c>
      <c r="K47" s="7" t="s">
        <v>156</v>
      </c>
      <c r="L47" s="7">
        <v>1</v>
      </c>
      <c r="N47" s="7">
        <v>1</v>
      </c>
      <c r="O47" s="7">
        <v>0.55000000000000004</v>
      </c>
      <c r="P47" s="7">
        <v>0.6</v>
      </c>
      <c r="Q47" s="52">
        <f t="shared" si="0"/>
        <v>0.57499999999999996</v>
      </c>
      <c r="R47" s="7">
        <v>14.6</v>
      </c>
      <c r="S47" s="7">
        <v>122</v>
      </c>
      <c r="T47" s="16">
        <f t="shared" si="1"/>
        <v>27</v>
      </c>
      <c r="U47" s="7">
        <v>99</v>
      </c>
      <c r="V47" s="16">
        <f t="shared" si="2"/>
        <v>2673</v>
      </c>
      <c r="W47" s="7">
        <v>4</v>
      </c>
      <c r="X47" s="15" t="s">
        <v>46</v>
      </c>
      <c r="Y47" s="216" t="s">
        <v>86</v>
      </c>
      <c r="Z47" s="216" t="s">
        <v>97</v>
      </c>
      <c r="AA47" s="216" t="s">
        <v>88</v>
      </c>
      <c r="AB47" s="39" t="s">
        <v>344</v>
      </c>
    </row>
    <row r="48" spans="1:44" x14ac:dyDescent="0.15">
      <c r="A48" s="15" t="s">
        <v>341</v>
      </c>
      <c r="B48" s="15" t="s">
        <v>342</v>
      </c>
      <c r="C48" s="15">
        <v>2018</v>
      </c>
      <c r="D48" s="37" t="s">
        <v>346</v>
      </c>
      <c r="E48" s="7" t="s">
        <v>140</v>
      </c>
      <c r="F48" s="7" t="s">
        <v>147</v>
      </c>
      <c r="G48" s="7" t="s">
        <v>36</v>
      </c>
      <c r="H48" s="216" t="s">
        <v>160</v>
      </c>
      <c r="I48" s="208" t="s">
        <v>155</v>
      </c>
      <c r="J48" s="15" t="s">
        <v>38</v>
      </c>
      <c r="K48" s="7" t="s">
        <v>156</v>
      </c>
      <c r="L48" s="7">
        <v>2</v>
      </c>
      <c r="N48" s="7">
        <v>1</v>
      </c>
      <c r="O48" s="7">
        <v>0.6</v>
      </c>
      <c r="P48" s="7">
        <v>0.6</v>
      </c>
      <c r="Q48" s="52">
        <f t="shared" si="0"/>
        <v>0.6</v>
      </c>
      <c r="R48" s="7">
        <v>14.7</v>
      </c>
      <c r="S48" s="7">
        <v>128</v>
      </c>
      <c r="T48" s="16">
        <f t="shared" si="1"/>
        <v>27</v>
      </c>
      <c r="U48" s="208">
        <v>99</v>
      </c>
      <c r="V48" s="16">
        <f t="shared" si="2"/>
        <v>2673</v>
      </c>
      <c r="W48" s="7">
        <v>4</v>
      </c>
      <c r="X48" s="15" t="s">
        <v>46</v>
      </c>
      <c r="Y48" s="216" t="s">
        <v>86</v>
      </c>
      <c r="Z48" s="216" t="s">
        <v>97</v>
      </c>
      <c r="AA48" s="216" t="s">
        <v>88</v>
      </c>
      <c r="AB48" s="39" t="s">
        <v>344</v>
      </c>
    </row>
    <row r="49" spans="1:29" x14ac:dyDescent="0.15">
      <c r="A49" s="15" t="s">
        <v>341</v>
      </c>
      <c r="B49" s="15" t="s">
        <v>342</v>
      </c>
      <c r="C49" s="15">
        <v>2018</v>
      </c>
      <c r="D49" s="37" t="s">
        <v>346</v>
      </c>
      <c r="E49" s="7" t="s">
        <v>140</v>
      </c>
      <c r="F49" s="7" t="s">
        <v>147</v>
      </c>
      <c r="G49" s="7" t="s">
        <v>36</v>
      </c>
      <c r="H49" s="216" t="s">
        <v>160</v>
      </c>
      <c r="I49" s="208" t="s">
        <v>155</v>
      </c>
      <c r="J49" s="15" t="s">
        <v>38</v>
      </c>
      <c r="K49" s="7" t="s">
        <v>156</v>
      </c>
      <c r="L49" s="7">
        <v>3</v>
      </c>
      <c r="N49" s="7">
        <v>1</v>
      </c>
      <c r="O49" s="7">
        <v>0.5</v>
      </c>
      <c r="P49" s="34">
        <v>0.5</v>
      </c>
      <c r="Q49" s="52">
        <f t="shared" si="0"/>
        <v>0.5</v>
      </c>
      <c r="R49" s="7">
        <v>20.5</v>
      </c>
      <c r="S49" s="7">
        <v>125</v>
      </c>
      <c r="T49" s="16">
        <f t="shared" si="1"/>
        <v>27</v>
      </c>
      <c r="U49" s="208">
        <v>99</v>
      </c>
      <c r="V49" s="16">
        <f t="shared" si="2"/>
        <v>2673</v>
      </c>
      <c r="W49" s="7">
        <v>4</v>
      </c>
      <c r="X49" s="15" t="s">
        <v>46</v>
      </c>
      <c r="Y49" s="216" t="s">
        <v>86</v>
      </c>
      <c r="Z49" s="216" t="s">
        <v>97</v>
      </c>
      <c r="AA49" s="216" t="s">
        <v>88</v>
      </c>
      <c r="AB49" s="39" t="s">
        <v>344</v>
      </c>
    </row>
    <row r="50" spans="1:29" x14ac:dyDescent="0.15">
      <c r="A50" s="15" t="s">
        <v>341</v>
      </c>
      <c r="B50" s="15" t="s">
        <v>342</v>
      </c>
      <c r="C50" s="15">
        <v>2018</v>
      </c>
      <c r="D50" s="37" t="s">
        <v>346</v>
      </c>
      <c r="E50" s="7" t="s">
        <v>130</v>
      </c>
      <c r="F50" s="7" t="s">
        <v>148</v>
      </c>
      <c r="G50" s="7" t="s">
        <v>36</v>
      </c>
      <c r="H50" s="15" t="s">
        <v>205</v>
      </c>
      <c r="I50" s="208" t="s">
        <v>155</v>
      </c>
      <c r="J50" s="15" t="s">
        <v>38</v>
      </c>
      <c r="K50" s="7" t="s">
        <v>156</v>
      </c>
      <c r="L50" s="7">
        <v>1</v>
      </c>
      <c r="N50" s="7">
        <v>1</v>
      </c>
      <c r="O50" s="7">
        <v>0.5</v>
      </c>
      <c r="P50" s="7">
        <v>0.5</v>
      </c>
      <c r="Q50" s="52">
        <f t="shared" si="0"/>
        <v>0.5</v>
      </c>
      <c r="R50" s="7">
        <v>13.9</v>
      </c>
      <c r="S50" s="7">
        <v>116</v>
      </c>
      <c r="T50" s="16">
        <f t="shared" si="1"/>
        <v>30</v>
      </c>
      <c r="U50" s="208">
        <v>96</v>
      </c>
      <c r="V50" s="16">
        <f t="shared" si="2"/>
        <v>2880</v>
      </c>
      <c r="W50" s="7">
        <v>6</v>
      </c>
      <c r="X50" s="15" t="s">
        <v>46</v>
      </c>
      <c r="Y50" s="216" t="s">
        <v>97</v>
      </c>
      <c r="Z50" s="216" t="s">
        <v>86</v>
      </c>
      <c r="AA50" s="216" t="s">
        <v>88</v>
      </c>
      <c r="AB50" s="39" t="s">
        <v>344</v>
      </c>
    </row>
    <row r="51" spans="1:29" x14ac:dyDescent="0.15">
      <c r="A51" s="15" t="s">
        <v>341</v>
      </c>
      <c r="B51" s="15" t="s">
        <v>342</v>
      </c>
      <c r="C51" s="15">
        <v>2018</v>
      </c>
      <c r="D51" s="37" t="s">
        <v>346</v>
      </c>
      <c r="E51" s="7" t="s">
        <v>130</v>
      </c>
      <c r="F51" s="7" t="s">
        <v>148</v>
      </c>
      <c r="G51" s="7" t="s">
        <v>36</v>
      </c>
      <c r="H51" s="216" t="s">
        <v>205</v>
      </c>
      <c r="I51" s="208" t="s">
        <v>155</v>
      </c>
      <c r="J51" s="15" t="s">
        <v>38</v>
      </c>
      <c r="K51" s="7" t="s">
        <v>156</v>
      </c>
      <c r="L51" s="7">
        <v>2</v>
      </c>
      <c r="N51" s="7">
        <v>1</v>
      </c>
      <c r="O51" s="7">
        <v>0.55000000000000004</v>
      </c>
      <c r="P51" s="7">
        <v>0.5</v>
      </c>
      <c r="Q51" s="52">
        <f t="shared" si="0"/>
        <v>0.52500000000000002</v>
      </c>
      <c r="R51" s="7">
        <v>14.1</v>
      </c>
      <c r="S51" s="7">
        <v>122</v>
      </c>
      <c r="T51" s="16">
        <f t="shared" si="1"/>
        <v>27</v>
      </c>
      <c r="U51" s="208">
        <v>96</v>
      </c>
      <c r="V51" s="16">
        <f t="shared" si="2"/>
        <v>2592</v>
      </c>
      <c r="W51" s="7">
        <v>6</v>
      </c>
      <c r="X51" s="15" t="s">
        <v>46</v>
      </c>
      <c r="Y51" s="216" t="s">
        <v>97</v>
      </c>
      <c r="Z51" s="216" t="s">
        <v>86</v>
      </c>
      <c r="AA51" s="216" t="s">
        <v>88</v>
      </c>
      <c r="AB51" s="39" t="s">
        <v>344</v>
      </c>
    </row>
    <row r="52" spans="1:29" x14ac:dyDescent="0.15">
      <c r="A52" s="15" t="s">
        <v>341</v>
      </c>
      <c r="B52" s="15" t="s">
        <v>342</v>
      </c>
      <c r="C52" s="15">
        <v>2018</v>
      </c>
      <c r="D52" s="37" t="s">
        <v>346</v>
      </c>
      <c r="E52" s="7" t="s">
        <v>130</v>
      </c>
      <c r="F52" s="7" t="s">
        <v>148</v>
      </c>
      <c r="G52" s="7" t="s">
        <v>36</v>
      </c>
      <c r="H52" s="216" t="s">
        <v>205</v>
      </c>
      <c r="I52" s="208" t="s">
        <v>155</v>
      </c>
      <c r="J52" s="15" t="s">
        <v>38</v>
      </c>
      <c r="K52" s="7" t="s">
        <v>156</v>
      </c>
      <c r="L52" s="7">
        <v>3</v>
      </c>
      <c r="N52" s="7">
        <v>1</v>
      </c>
      <c r="O52" s="7">
        <v>0.5</v>
      </c>
      <c r="P52" s="7">
        <v>0.5</v>
      </c>
      <c r="Q52" s="52">
        <f t="shared" si="0"/>
        <v>0.5</v>
      </c>
      <c r="R52" s="7">
        <v>13</v>
      </c>
      <c r="S52" s="7">
        <v>124</v>
      </c>
      <c r="T52" s="16">
        <f t="shared" si="1"/>
        <v>27</v>
      </c>
      <c r="U52" s="208">
        <v>96</v>
      </c>
      <c r="V52" s="16">
        <f t="shared" si="2"/>
        <v>2592</v>
      </c>
      <c r="W52" s="7">
        <v>6</v>
      </c>
      <c r="X52" s="15" t="s">
        <v>46</v>
      </c>
      <c r="Y52" s="216" t="s">
        <v>97</v>
      </c>
      <c r="Z52" s="216" t="s">
        <v>86</v>
      </c>
      <c r="AA52" s="216" t="s">
        <v>88</v>
      </c>
      <c r="AB52" s="39" t="s">
        <v>344</v>
      </c>
    </row>
    <row r="53" spans="1:29" x14ac:dyDescent="0.15">
      <c r="A53" s="15" t="s">
        <v>341</v>
      </c>
      <c r="B53" s="15" t="s">
        <v>342</v>
      </c>
      <c r="C53" s="15">
        <v>2018</v>
      </c>
      <c r="D53" s="37" t="s">
        <v>346</v>
      </c>
      <c r="E53" s="7" t="s">
        <v>130</v>
      </c>
      <c r="F53" s="7" t="s">
        <v>148</v>
      </c>
      <c r="G53" s="7" t="s">
        <v>36</v>
      </c>
      <c r="H53" s="15" t="s">
        <v>160</v>
      </c>
      <c r="I53" s="208" t="s">
        <v>155</v>
      </c>
      <c r="J53" s="15" t="s">
        <v>38</v>
      </c>
      <c r="K53" s="7" t="s">
        <v>156</v>
      </c>
      <c r="L53" s="7">
        <v>1</v>
      </c>
      <c r="N53" s="7">
        <v>1</v>
      </c>
      <c r="O53" s="7">
        <v>0.6</v>
      </c>
      <c r="P53" s="7">
        <v>0.6</v>
      </c>
      <c r="Q53" s="52">
        <f t="shared" si="0"/>
        <v>0.6</v>
      </c>
      <c r="R53" s="7">
        <v>18.600000000000001</v>
      </c>
      <c r="S53" s="7">
        <v>147</v>
      </c>
      <c r="T53" s="16">
        <f t="shared" si="1"/>
        <v>22</v>
      </c>
      <c r="U53" s="7">
        <v>145</v>
      </c>
      <c r="V53" s="16">
        <f t="shared" si="2"/>
        <v>3190</v>
      </c>
      <c r="W53" s="7">
        <v>12</v>
      </c>
      <c r="X53" s="15" t="s">
        <v>46</v>
      </c>
      <c r="Y53" s="216" t="s">
        <v>97</v>
      </c>
      <c r="Z53" s="216" t="s">
        <v>86</v>
      </c>
      <c r="AA53" s="216" t="s">
        <v>88</v>
      </c>
      <c r="AB53" s="39" t="s">
        <v>344</v>
      </c>
      <c r="AC53" s="36"/>
    </row>
    <row r="54" spans="1:29" x14ac:dyDescent="0.15">
      <c r="A54" s="15" t="s">
        <v>341</v>
      </c>
      <c r="B54" s="15" t="s">
        <v>342</v>
      </c>
      <c r="C54" s="15">
        <v>2018</v>
      </c>
      <c r="D54" s="37" t="s">
        <v>346</v>
      </c>
      <c r="E54" s="7" t="s">
        <v>130</v>
      </c>
      <c r="F54" s="7" t="s">
        <v>148</v>
      </c>
      <c r="G54" s="7" t="s">
        <v>36</v>
      </c>
      <c r="H54" s="216" t="s">
        <v>160</v>
      </c>
      <c r="I54" s="208" t="s">
        <v>155</v>
      </c>
      <c r="J54" s="216" t="s">
        <v>38</v>
      </c>
      <c r="K54" s="7" t="s">
        <v>156</v>
      </c>
      <c r="L54" s="7">
        <v>2</v>
      </c>
      <c r="N54" s="7">
        <v>1</v>
      </c>
      <c r="O54" s="7">
        <v>0.65</v>
      </c>
      <c r="P54" s="7">
        <v>0.8</v>
      </c>
      <c r="Q54" s="52">
        <f t="shared" si="0"/>
        <v>0.72500000000000009</v>
      </c>
      <c r="R54" s="7">
        <v>14.2</v>
      </c>
      <c r="S54" s="7">
        <v>144</v>
      </c>
      <c r="T54" s="16">
        <f t="shared" si="1"/>
        <v>22</v>
      </c>
      <c r="U54" s="208">
        <v>145</v>
      </c>
      <c r="V54" s="16">
        <f t="shared" si="2"/>
        <v>3190</v>
      </c>
      <c r="W54" s="7">
        <v>12</v>
      </c>
      <c r="X54" s="15" t="s">
        <v>46</v>
      </c>
      <c r="Y54" s="216" t="s">
        <v>97</v>
      </c>
      <c r="Z54" s="216" t="s">
        <v>86</v>
      </c>
      <c r="AA54" s="216" t="s">
        <v>88</v>
      </c>
      <c r="AB54" s="39" t="s">
        <v>344</v>
      </c>
      <c r="AC54" s="36"/>
    </row>
    <row r="55" spans="1:29" x14ac:dyDescent="0.15">
      <c r="A55" s="15" t="s">
        <v>341</v>
      </c>
      <c r="B55" s="15" t="s">
        <v>342</v>
      </c>
      <c r="C55" s="15">
        <v>2018</v>
      </c>
      <c r="D55" s="37" t="s">
        <v>346</v>
      </c>
      <c r="E55" s="7" t="s">
        <v>130</v>
      </c>
      <c r="F55" s="7" t="s">
        <v>148</v>
      </c>
      <c r="G55" s="7" t="s">
        <v>36</v>
      </c>
      <c r="H55" s="216" t="s">
        <v>160</v>
      </c>
      <c r="I55" s="208" t="s">
        <v>155</v>
      </c>
      <c r="J55" s="216" t="s">
        <v>38</v>
      </c>
      <c r="K55" s="7" t="s">
        <v>156</v>
      </c>
      <c r="L55" s="7">
        <v>3</v>
      </c>
      <c r="N55" s="208">
        <v>1</v>
      </c>
      <c r="O55" s="7">
        <v>0.55000000000000004</v>
      </c>
      <c r="P55" s="7">
        <v>0.7</v>
      </c>
      <c r="Q55" s="52">
        <f t="shared" si="0"/>
        <v>0.625</v>
      </c>
      <c r="R55" s="7">
        <v>17.7</v>
      </c>
      <c r="S55" s="7">
        <v>148</v>
      </c>
      <c r="T55" s="16">
        <f t="shared" si="1"/>
        <v>22</v>
      </c>
      <c r="U55" s="208">
        <v>145</v>
      </c>
      <c r="V55" s="16">
        <f t="shared" si="2"/>
        <v>3190</v>
      </c>
      <c r="W55" s="7">
        <v>12</v>
      </c>
      <c r="X55" s="15" t="s">
        <v>46</v>
      </c>
      <c r="Y55" s="216" t="s">
        <v>97</v>
      </c>
      <c r="Z55" s="216" t="s">
        <v>86</v>
      </c>
      <c r="AA55" s="216" t="s">
        <v>88</v>
      </c>
      <c r="AB55" s="39" t="s">
        <v>344</v>
      </c>
      <c r="AC55" s="36"/>
    </row>
    <row r="56" spans="1:29" x14ac:dyDescent="0.15">
      <c r="A56" s="15" t="s">
        <v>341</v>
      </c>
      <c r="B56" s="15" t="s">
        <v>342</v>
      </c>
      <c r="C56" s="15">
        <v>2018</v>
      </c>
      <c r="D56" s="37" t="s">
        <v>346</v>
      </c>
      <c r="E56" s="7" t="s">
        <v>132</v>
      </c>
      <c r="F56" s="7" t="s">
        <v>149</v>
      </c>
      <c r="G56" s="7" t="s">
        <v>36</v>
      </c>
      <c r="H56" s="15" t="s">
        <v>157</v>
      </c>
      <c r="I56" s="208" t="s">
        <v>155</v>
      </c>
      <c r="J56" s="15" t="s">
        <v>38</v>
      </c>
      <c r="K56" s="7" t="s">
        <v>156</v>
      </c>
      <c r="L56" s="7">
        <v>1</v>
      </c>
      <c r="N56" s="208">
        <v>1</v>
      </c>
      <c r="O56" s="7">
        <v>0.9</v>
      </c>
      <c r="P56" s="7">
        <v>0.8</v>
      </c>
      <c r="Q56" s="52">
        <f t="shared" si="0"/>
        <v>0.85000000000000009</v>
      </c>
      <c r="R56" s="7">
        <v>14.9</v>
      </c>
      <c r="S56" s="7">
        <v>172</v>
      </c>
      <c r="T56" s="16">
        <f t="shared" si="1"/>
        <v>18</v>
      </c>
      <c r="U56" s="208">
        <v>97</v>
      </c>
      <c r="V56" s="16">
        <f t="shared" si="2"/>
        <v>1746</v>
      </c>
      <c r="W56" s="7">
        <v>14</v>
      </c>
      <c r="X56" s="15" t="s">
        <v>46</v>
      </c>
      <c r="Y56" s="216" t="s">
        <v>86</v>
      </c>
      <c r="Z56" s="216" t="s">
        <v>55</v>
      </c>
      <c r="AA56" s="216" t="s">
        <v>97</v>
      </c>
      <c r="AB56" s="39" t="s">
        <v>344</v>
      </c>
    </row>
    <row r="57" spans="1:29" x14ac:dyDescent="0.15">
      <c r="A57" s="15" t="s">
        <v>341</v>
      </c>
      <c r="B57" s="15" t="s">
        <v>342</v>
      </c>
      <c r="C57" s="15">
        <v>2018</v>
      </c>
      <c r="D57" s="37" t="s">
        <v>346</v>
      </c>
      <c r="E57" s="7" t="s">
        <v>132</v>
      </c>
      <c r="F57" s="7" t="s">
        <v>149</v>
      </c>
      <c r="G57" s="7" t="s">
        <v>36</v>
      </c>
      <c r="H57" s="216" t="s">
        <v>157</v>
      </c>
      <c r="I57" s="208" t="s">
        <v>155</v>
      </c>
      <c r="J57" s="15" t="s">
        <v>38</v>
      </c>
      <c r="K57" s="7" t="s">
        <v>156</v>
      </c>
      <c r="L57" s="7">
        <v>2</v>
      </c>
      <c r="N57" s="208">
        <v>1</v>
      </c>
      <c r="O57" s="7">
        <v>0.65</v>
      </c>
      <c r="P57" s="7">
        <v>0.7</v>
      </c>
      <c r="Q57" s="52">
        <f t="shared" si="0"/>
        <v>0.67500000000000004</v>
      </c>
      <c r="R57" s="7">
        <v>16</v>
      </c>
      <c r="S57" s="7">
        <v>176</v>
      </c>
      <c r="T57" s="16">
        <f t="shared" si="1"/>
        <v>18</v>
      </c>
      <c r="U57" s="208">
        <v>97</v>
      </c>
      <c r="V57" s="16">
        <f t="shared" si="2"/>
        <v>1746</v>
      </c>
      <c r="W57" s="7">
        <v>14</v>
      </c>
      <c r="X57" s="15" t="s">
        <v>46</v>
      </c>
      <c r="Y57" s="216" t="s">
        <v>86</v>
      </c>
      <c r="Z57" s="216" t="s">
        <v>55</v>
      </c>
      <c r="AA57" s="216" t="s">
        <v>97</v>
      </c>
      <c r="AB57" s="39" t="s">
        <v>344</v>
      </c>
    </row>
    <row r="58" spans="1:29" x14ac:dyDescent="0.15">
      <c r="A58" s="15" t="s">
        <v>341</v>
      </c>
      <c r="B58" s="15" t="s">
        <v>342</v>
      </c>
      <c r="C58" s="15">
        <v>2018</v>
      </c>
      <c r="D58" s="37" t="s">
        <v>346</v>
      </c>
      <c r="E58" s="7" t="s">
        <v>132</v>
      </c>
      <c r="F58" s="7" t="s">
        <v>149</v>
      </c>
      <c r="G58" s="7" t="s">
        <v>36</v>
      </c>
      <c r="H58" s="216" t="s">
        <v>157</v>
      </c>
      <c r="I58" s="208" t="s">
        <v>155</v>
      </c>
      <c r="J58" s="15" t="s">
        <v>38</v>
      </c>
      <c r="K58" s="7" t="s">
        <v>156</v>
      </c>
      <c r="L58" s="7">
        <v>3</v>
      </c>
      <c r="N58" s="208">
        <v>1</v>
      </c>
      <c r="O58" s="7">
        <v>1.05</v>
      </c>
      <c r="P58" s="7">
        <v>1</v>
      </c>
      <c r="Q58" s="52">
        <f t="shared" si="0"/>
        <v>1.0249999999999999</v>
      </c>
      <c r="R58" s="7">
        <v>14.6</v>
      </c>
      <c r="S58" s="7">
        <v>176</v>
      </c>
      <c r="T58" s="16">
        <f t="shared" si="1"/>
        <v>18</v>
      </c>
      <c r="U58" s="208">
        <v>97</v>
      </c>
      <c r="V58" s="16">
        <f t="shared" si="2"/>
        <v>1746</v>
      </c>
      <c r="W58" s="7">
        <v>14</v>
      </c>
      <c r="X58" s="15" t="s">
        <v>46</v>
      </c>
      <c r="Y58" s="216" t="s">
        <v>86</v>
      </c>
      <c r="Z58" s="216" t="s">
        <v>55</v>
      </c>
      <c r="AA58" s="216" t="s">
        <v>97</v>
      </c>
      <c r="AB58" s="39" t="s">
        <v>344</v>
      </c>
    </row>
    <row r="59" spans="1:29" x14ac:dyDescent="0.15">
      <c r="A59" s="15" t="s">
        <v>341</v>
      </c>
      <c r="B59" s="15" t="s">
        <v>342</v>
      </c>
      <c r="C59" s="15">
        <v>2018</v>
      </c>
      <c r="D59" s="37" t="s">
        <v>346</v>
      </c>
      <c r="E59" s="7" t="s">
        <v>132</v>
      </c>
      <c r="F59" s="7" t="s">
        <v>149</v>
      </c>
      <c r="G59" s="7" t="s">
        <v>36</v>
      </c>
      <c r="H59" s="15" t="s">
        <v>160</v>
      </c>
      <c r="I59" s="208" t="s">
        <v>155</v>
      </c>
      <c r="J59" s="15" t="s">
        <v>38</v>
      </c>
      <c r="K59" s="7" t="s">
        <v>156</v>
      </c>
      <c r="L59" s="7">
        <v>1</v>
      </c>
      <c r="N59" s="208">
        <v>1</v>
      </c>
      <c r="O59" s="7">
        <v>0.55000000000000004</v>
      </c>
      <c r="P59" s="7">
        <v>0.55000000000000004</v>
      </c>
      <c r="Q59" s="52">
        <f t="shared" si="0"/>
        <v>0.55000000000000004</v>
      </c>
      <c r="R59" s="7">
        <v>17.5</v>
      </c>
      <c r="S59" s="7">
        <v>148</v>
      </c>
      <c r="T59" s="16">
        <f t="shared" si="1"/>
        <v>22</v>
      </c>
      <c r="U59" s="7">
        <v>97</v>
      </c>
      <c r="V59" s="16">
        <f t="shared" si="2"/>
        <v>2134</v>
      </c>
      <c r="W59" s="7">
        <v>13</v>
      </c>
      <c r="X59" s="15" t="s">
        <v>46</v>
      </c>
      <c r="Y59" s="216" t="s">
        <v>86</v>
      </c>
      <c r="Z59" s="216" t="s">
        <v>55</v>
      </c>
      <c r="AA59" s="216" t="s">
        <v>97</v>
      </c>
      <c r="AB59" s="39" t="s">
        <v>344</v>
      </c>
    </row>
    <row r="60" spans="1:29" x14ac:dyDescent="0.15">
      <c r="A60" s="15" t="s">
        <v>341</v>
      </c>
      <c r="B60" s="15" t="s">
        <v>342</v>
      </c>
      <c r="C60" s="15">
        <v>2018</v>
      </c>
      <c r="D60" s="37" t="s">
        <v>346</v>
      </c>
      <c r="E60" s="7" t="s">
        <v>132</v>
      </c>
      <c r="F60" s="7" t="s">
        <v>149</v>
      </c>
      <c r="G60" s="7" t="s">
        <v>36</v>
      </c>
      <c r="H60" s="216" t="s">
        <v>160</v>
      </c>
      <c r="I60" s="208" t="s">
        <v>155</v>
      </c>
      <c r="J60" s="15" t="s">
        <v>38</v>
      </c>
      <c r="K60" s="7" t="s">
        <v>156</v>
      </c>
      <c r="L60" s="7">
        <v>2</v>
      </c>
      <c r="N60" s="7">
        <v>1</v>
      </c>
      <c r="O60" s="7">
        <v>0.5</v>
      </c>
      <c r="P60" s="7">
        <v>0.55000000000000004</v>
      </c>
      <c r="Q60" s="52">
        <f t="shared" si="0"/>
        <v>0.52500000000000002</v>
      </c>
      <c r="R60" s="7">
        <v>18.7</v>
      </c>
      <c r="S60" s="7">
        <v>140</v>
      </c>
      <c r="T60" s="16">
        <f>IF(H60="","",IF(OR(H60="GREEN",H60="GK"),IF(S60&gt;=$AX$2,VLOOKUP(S60,$AX$2:$AY$12,2,1),""),IF(S60&gt;=$AZ$2,VLOOKUP(S60,$AZ$2:$BA$12,2,1),"")))</f>
        <v>22</v>
      </c>
      <c r="U60" s="208">
        <v>97</v>
      </c>
      <c r="V60" s="16">
        <f t="shared" si="2"/>
        <v>2134</v>
      </c>
      <c r="W60" s="7">
        <v>13</v>
      </c>
      <c r="X60" s="15" t="s">
        <v>46</v>
      </c>
      <c r="Y60" s="216" t="s">
        <v>86</v>
      </c>
      <c r="Z60" s="216" t="s">
        <v>55</v>
      </c>
      <c r="AA60" s="216" t="s">
        <v>97</v>
      </c>
      <c r="AB60" s="39" t="s">
        <v>344</v>
      </c>
    </row>
    <row r="61" spans="1:29" x14ac:dyDescent="0.15">
      <c r="A61" s="15" t="s">
        <v>341</v>
      </c>
      <c r="B61" s="15" t="s">
        <v>342</v>
      </c>
      <c r="C61" s="15">
        <v>2018</v>
      </c>
      <c r="D61" s="37" t="s">
        <v>346</v>
      </c>
      <c r="E61" s="7" t="s">
        <v>132</v>
      </c>
      <c r="F61" s="7" t="s">
        <v>149</v>
      </c>
      <c r="G61" s="7" t="s">
        <v>36</v>
      </c>
      <c r="H61" s="216" t="s">
        <v>160</v>
      </c>
      <c r="I61" s="208" t="s">
        <v>155</v>
      </c>
      <c r="J61" s="15" t="s">
        <v>38</v>
      </c>
      <c r="K61" s="7" t="s">
        <v>156</v>
      </c>
      <c r="L61" s="7">
        <v>3</v>
      </c>
      <c r="N61" s="7">
        <v>1</v>
      </c>
      <c r="O61" s="7">
        <v>0.5</v>
      </c>
      <c r="P61" s="7">
        <v>0.5</v>
      </c>
      <c r="Q61" s="52">
        <f t="shared" si="0"/>
        <v>0.5</v>
      </c>
      <c r="R61" s="7">
        <v>17</v>
      </c>
      <c r="S61" s="7">
        <v>146</v>
      </c>
      <c r="T61" s="16">
        <f>IF(H61="","",IF(OR(H61="GREEN",H61="GK"),IF(S61&gt;=$AX$2,VLOOKUP(S61,$AX$2:$AY$12,2,1),""),IF(S61&gt;=$AZ$2,VLOOKUP(S61,$AZ$2:$BA$12,2,1),"")))</f>
        <v>22</v>
      </c>
      <c r="U61" s="208">
        <v>97</v>
      </c>
      <c r="V61" s="16">
        <f t="shared" si="2"/>
        <v>2134</v>
      </c>
      <c r="W61" s="7">
        <v>13</v>
      </c>
      <c r="X61" s="15" t="s">
        <v>46</v>
      </c>
      <c r="Y61" s="216" t="s">
        <v>86</v>
      </c>
      <c r="Z61" s="216" t="s">
        <v>55</v>
      </c>
      <c r="AA61" s="216" t="s">
        <v>97</v>
      </c>
      <c r="AB61" s="39" t="s">
        <v>344</v>
      </c>
    </row>
    <row r="62" spans="1:29" x14ac:dyDescent="0.15">
      <c r="A62" s="15" t="s">
        <v>341</v>
      </c>
      <c r="B62" s="15" t="s">
        <v>342</v>
      </c>
      <c r="C62" s="15">
        <v>2018</v>
      </c>
      <c r="D62" s="37" t="s">
        <v>346</v>
      </c>
      <c r="E62" s="7" t="s">
        <v>141</v>
      </c>
      <c r="F62" s="7" t="s">
        <v>150</v>
      </c>
      <c r="G62" s="7" t="s">
        <v>36</v>
      </c>
      <c r="H62" s="15" t="s">
        <v>157</v>
      </c>
      <c r="I62" s="208" t="s">
        <v>155</v>
      </c>
      <c r="J62" s="15" t="s">
        <v>38</v>
      </c>
      <c r="K62" s="7" t="s">
        <v>156</v>
      </c>
      <c r="L62" s="7">
        <v>1</v>
      </c>
      <c r="N62" s="7">
        <v>1</v>
      </c>
      <c r="O62" s="7">
        <v>0.9</v>
      </c>
      <c r="P62" s="7">
        <v>0.8</v>
      </c>
      <c r="Q62" s="52">
        <f t="shared" si="0"/>
        <v>0.85000000000000009</v>
      </c>
      <c r="R62" s="7">
        <v>14.4</v>
      </c>
      <c r="S62" s="7">
        <v>130</v>
      </c>
      <c r="T62" s="16">
        <f t="shared" ref="T62:T120" si="3">IF(H62="","",IF(OR(H62="GREEN",H62="GK"),IF(S62&gt;=$AX$2,VLOOKUP(S62,$AX$2:$AY$12,2,1),""),IF(S62&gt;=$AZ$2,VLOOKUP(S62,$AZ$2:$BA$12,2,1),"")))</f>
        <v>25</v>
      </c>
      <c r="U62" s="7">
        <v>105</v>
      </c>
      <c r="V62" s="16">
        <f t="shared" si="2"/>
        <v>2625</v>
      </c>
      <c r="W62" s="7">
        <v>11</v>
      </c>
      <c r="X62" s="216" t="s">
        <v>46</v>
      </c>
      <c r="Y62" s="216" t="s">
        <v>97</v>
      </c>
      <c r="Z62" s="216" t="s">
        <v>55</v>
      </c>
      <c r="AA62" s="216" t="s">
        <v>86</v>
      </c>
      <c r="AB62" s="39" t="s">
        <v>344</v>
      </c>
    </row>
    <row r="63" spans="1:29" x14ac:dyDescent="0.15">
      <c r="A63" s="15" t="s">
        <v>341</v>
      </c>
      <c r="B63" s="15" t="s">
        <v>342</v>
      </c>
      <c r="C63" s="15">
        <v>2018</v>
      </c>
      <c r="D63" s="37" t="s">
        <v>346</v>
      </c>
      <c r="E63" s="7" t="s">
        <v>141</v>
      </c>
      <c r="F63" s="7" t="s">
        <v>150</v>
      </c>
      <c r="G63" s="7" t="s">
        <v>36</v>
      </c>
      <c r="H63" s="216" t="s">
        <v>157</v>
      </c>
      <c r="I63" s="208" t="s">
        <v>155</v>
      </c>
      <c r="J63" s="15" t="s">
        <v>38</v>
      </c>
      <c r="K63" s="7" t="s">
        <v>156</v>
      </c>
      <c r="L63" s="7">
        <v>2</v>
      </c>
      <c r="N63" s="7">
        <v>1</v>
      </c>
      <c r="O63" s="7">
        <v>0.7</v>
      </c>
      <c r="P63" s="7">
        <v>0.7</v>
      </c>
      <c r="Q63" s="52">
        <f t="shared" si="0"/>
        <v>0.7</v>
      </c>
      <c r="R63" s="7">
        <v>15.2</v>
      </c>
      <c r="S63" s="7">
        <v>128</v>
      </c>
      <c r="T63" s="16">
        <f t="shared" si="3"/>
        <v>27</v>
      </c>
      <c r="U63" s="208">
        <v>105</v>
      </c>
      <c r="V63" s="16">
        <f t="shared" si="2"/>
        <v>2835</v>
      </c>
      <c r="W63" s="7">
        <v>11</v>
      </c>
      <c r="X63" s="216" t="s">
        <v>46</v>
      </c>
      <c r="Y63" s="216" t="s">
        <v>97</v>
      </c>
      <c r="Z63" s="216" t="s">
        <v>55</v>
      </c>
      <c r="AA63" s="216" t="s">
        <v>86</v>
      </c>
      <c r="AB63" s="39" t="s">
        <v>344</v>
      </c>
    </row>
    <row r="64" spans="1:29" x14ac:dyDescent="0.15">
      <c r="A64" s="15" t="s">
        <v>341</v>
      </c>
      <c r="B64" s="15" t="s">
        <v>342</v>
      </c>
      <c r="C64" s="15">
        <v>2018</v>
      </c>
      <c r="D64" s="37" t="s">
        <v>346</v>
      </c>
      <c r="E64" s="7" t="s">
        <v>141</v>
      </c>
      <c r="F64" s="7" t="s">
        <v>150</v>
      </c>
      <c r="G64" s="7" t="s">
        <v>36</v>
      </c>
      <c r="H64" s="216" t="s">
        <v>157</v>
      </c>
      <c r="I64" s="208" t="s">
        <v>155</v>
      </c>
      <c r="J64" s="15" t="s">
        <v>38</v>
      </c>
      <c r="K64" s="7" t="s">
        <v>156</v>
      </c>
      <c r="L64" s="7">
        <v>3</v>
      </c>
      <c r="N64" s="7">
        <v>1</v>
      </c>
      <c r="O64" s="7">
        <v>0.65</v>
      </c>
      <c r="P64" s="7">
        <v>0.7</v>
      </c>
      <c r="Q64" s="52">
        <f t="shared" si="0"/>
        <v>0.67500000000000004</v>
      </c>
      <c r="R64" s="7">
        <v>13.8</v>
      </c>
      <c r="S64" s="7">
        <v>127</v>
      </c>
      <c r="T64" s="16">
        <f t="shared" si="3"/>
        <v>27</v>
      </c>
      <c r="U64" s="208">
        <v>105</v>
      </c>
      <c r="V64" s="16">
        <f t="shared" si="2"/>
        <v>2835</v>
      </c>
      <c r="W64" s="7">
        <v>11</v>
      </c>
      <c r="X64" s="216" t="s">
        <v>46</v>
      </c>
      <c r="Y64" s="216" t="s">
        <v>97</v>
      </c>
      <c r="Z64" s="216" t="s">
        <v>55</v>
      </c>
      <c r="AA64" s="216" t="s">
        <v>86</v>
      </c>
      <c r="AB64" s="39" t="s">
        <v>344</v>
      </c>
    </row>
    <row r="65" spans="1:28" x14ac:dyDescent="0.15">
      <c r="A65" s="15" t="s">
        <v>341</v>
      </c>
      <c r="B65" s="15" t="s">
        <v>342</v>
      </c>
      <c r="C65" s="15">
        <v>2018</v>
      </c>
      <c r="D65" s="37" t="s">
        <v>346</v>
      </c>
      <c r="E65" s="7" t="s">
        <v>141</v>
      </c>
      <c r="F65" s="7" t="s">
        <v>150</v>
      </c>
      <c r="G65" s="7" t="s">
        <v>36</v>
      </c>
      <c r="H65" s="15" t="s">
        <v>160</v>
      </c>
      <c r="I65" s="208" t="s">
        <v>155</v>
      </c>
      <c r="J65" s="15" t="s">
        <v>38</v>
      </c>
      <c r="K65" s="7" t="s">
        <v>156</v>
      </c>
      <c r="L65" s="7">
        <v>1</v>
      </c>
      <c r="N65" s="7">
        <v>1</v>
      </c>
      <c r="O65" s="7">
        <v>0.55000000000000004</v>
      </c>
      <c r="P65" s="7">
        <v>0.55000000000000004</v>
      </c>
      <c r="Q65" s="52">
        <f t="shared" si="0"/>
        <v>0.55000000000000004</v>
      </c>
      <c r="R65" s="7">
        <v>16.5</v>
      </c>
      <c r="S65" s="7">
        <v>136</v>
      </c>
      <c r="T65" s="16">
        <f t="shared" si="3"/>
        <v>25</v>
      </c>
      <c r="U65" s="7">
        <v>116</v>
      </c>
      <c r="V65" s="16">
        <f t="shared" si="2"/>
        <v>2900</v>
      </c>
      <c r="W65" s="7">
        <v>8</v>
      </c>
      <c r="X65" s="216" t="s">
        <v>46</v>
      </c>
      <c r="Y65" s="216" t="s">
        <v>97</v>
      </c>
      <c r="Z65" s="216" t="s">
        <v>55</v>
      </c>
      <c r="AA65" s="216" t="s">
        <v>86</v>
      </c>
      <c r="AB65" s="39" t="s">
        <v>344</v>
      </c>
    </row>
    <row r="66" spans="1:28" x14ac:dyDescent="0.15">
      <c r="A66" s="15" t="s">
        <v>341</v>
      </c>
      <c r="B66" s="15" t="s">
        <v>342</v>
      </c>
      <c r="C66" s="15">
        <v>2018</v>
      </c>
      <c r="D66" s="37" t="s">
        <v>346</v>
      </c>
      <c r="E66" s="7" t="s">
        <v>141</v>
      </c>
      <c r="F66" s="7" t="s">
        <v>150</v>
      </c>
      <c r="G66" s="7" t="s">
        <v>36</v>
      </c>
      <c r="H66" s="216" t="s">
        <v>160</v>
      </c>
      <c r="I66" s="208" t="s">
        <v>155</v>
      </c>
      <c r="J66" s="15" t="s">
        <v>38</v>
      </c>
      <c r="K66" s="7" t="s">
        <v>156</v>
      </c>
      <c r="L66" s="7">
        <v>2</v>
      </c>
      <c r="N66" s="7">
        <v>1</v>
      </c>
      <c r="O66" s="7">
        <v>0.75</v>
      </c>
      <c r="P66" s="7">
        <v>0.6</v>
      </c>
      <c r="Q66" s="52">
        <f t="shared" ref="Q66:Q77" si="4">IF(OR(O66="",P66=""),"",AVERAGE(O66,P66))</f>
        <v>0.67500000000000004</v>
      </c>
      <c r="R66" s="7">
        <v>18.399999999999999</v>
      </c>
      <c r="S66" s="7">
        <v>134</v>
      </c>
      <c r="T66" s="16">
        <f t="shared" si="3"/>
        <v>25</v>
      </c>
      <c r="U66" s="208">
        <v>116</v>
      </c>
      <c r="V66" s="16">
        <f t="shared" ref="V66:V70" si="5">IF(OR(N66="",U66="",T66=""),"",U66/N66*T66)</f>
        <v>2900</v>
      </c>
      <c r="W66" s="7">
        <v>8</v>
      </c>
      <c r="X66" s="216" t="s">
        <v>46</v>
      </c>
      <c r="Y66" s="216" t="s">
        <v>97</v>
      </c>
      <c r="Z66" s="216" t="s">
        <v>55</v>
      </c>
      <c r="AA66" s="216" t="s">
        <v>86</v>
      </c>
      <c r="AB66" s="39" t="s">
        <v>344</v>
      </c>
    </row>
    <row r="67" spans="1:28" x14ac:dyDescent="0.15">
      <c r="A67" s="15" t="s">
        <v>341</v>
      </c>
      <c r="B67" s="15" t="s">
        <v>342</v>
      </c>
      <c r="C67" s="15">
        <v>2018</v>
      </c>
      <c r="D67" s="37" t="s">
        <v>346</v>
      </c>
      <c r="E67" s="7" t="s">
        <v>141</v>
      </c>
      <c r="F67" s="7" t="s">
        <v>150</v>
      </c>
      <c r="G67" s="7" t="s">
        <v>36</v>
      </c>
      <c r="H67" s="216" t="s">
        <v>160</v>
      </c>
      <c r="I67" s="208" t="s">
        <v>155</v>
      </c>
      <c r="J67" s="15" t="s">
        <v>38</v>
      </c>
      <c r="K67" s="7" t="s">
        <v>156</v>
      </c>
      <c r="L67" s="7">
        <v>3</v>
      </c>
      <c r="N67" s="7">
        <v>1</v>
      </c>
      <c r="O67" s="7">
        <v>0.6</v>
      </c>
      <c r="P67" s="7">
        <v>0.55000000000000004</v>
      </c>
      <c r="Q67" s="52">
        <f t="shared" si="4"/>
        <v>0.57499999999999996</v>
      </c>
      <c r="R67" s="7">
        <v>15.6</v>
      </c>
      <c r="S67" s="7">
        <v>123</v>
      </c>
      <c r="T67" s="16">
        <f t="shared" si="3"/>
        <v>27</v>
      </c>
      <c r="U67" s="208">
        <v>116</v>
      </c>
      <c r="V67" s="16">
        <f t="shared" si="5"/>
        <v>3132</v>
      </c>
      <c r="W67" s="7">
        <v>8</v>
      </c>
      <c r="X67" s="216" t="s">
        <v>46</v>
      </c>
      <c r="Y67" s="216" t="s">
        <v>97</v>
      </c>
      <c r="Z67" s="216" t="s">
        <v>55</v>
      </c>
      <c r="AA67" s="216" t="s">
        <v>86</v>
      </c>
      <c r="AB67" s="39" t="s">
        <v>344</v>
      </c>
    </row>
    <row r="68" spans="1:28" x14ac:dyDescent="0.15">
      <c r="A68" s="15"/>
      <c r="B68" s="15"/>
      <c r="C68" s="15"/>
      <c r="D68" s="37"/>
      <c r="H68" s="15"/>
      <c r="I68" s="208"/>
      <c r="J68" s="15"/>
      <c r="Q68" s="52" t="str">
        <f t="shared" si="4"/>
        <v/>
      </c>
      <c r="T68" s="16" t="str">
        <f t="shared" si="3"/>
        <v/>
      </c>
      <c r="V68" s="16" t="str">
        <f t="shared" si="5"/>
        <v/>
      </c>
      <c r="X68" s="216"/>
      <c r="Y68" s="216"/>
      <c r="Z68" s="216"/>
      <c r="AA68" s="216"/>
      <c r="AB68" s="39"/>
    </row>
    <row r="69" spans="1:28" x14ac:dyDescent="0.15">
      <c r="A69" s="15"/>
      <c r="B69" s="15"/>
      <c r="C69" s="15"/>
      <c r="D69" s="37"/>
      <c r="H69" s="216"/>
      <c r="I69" s="208"/>
      <c r="J69" s="15"/>
      <c r="N69" s="208"/>
      <c r="Q69" s="52" t="str">
        <f t="shared" si="4"/>
        <v/>
      </c>
      <c r="T69" s="16" t="str">
        <f t="shared" si="3"/>
        <v/>
      </c>
      <c r="U69" s="208"/>
      <c r="V69" s="16" t="str">
        <f t="shared" si="5"/>
        <v/>
      </c>
      <c r="X69" s="216"/>
      <c r="Y69" s="216"/>
      <c r="Z69" s="216"/>
      <c r="AA69" s="216"/>
      <c r="AB69" s="39"/>
    </row>
    <row r="70" spans="1:28" x14ac:dyDescent="0.15">
      <c r="A70" s="15"/>
      <c r="B70" s="15"/>
      <c r="C70" s="15"/>
      <c r="D70" s="37"/>
      <c r="H70" s="216"/>
      <c r="I70" s="208"/>
      <c r="J70" s="15"/>
      <c r="N70" s="208"/>
      <c r="Q70" s="52" t="str">
        <f t="shared" si="4"/>
        <v/>
      </c>
      <c r="T70" s="16" t="str">
        <f t="shared" si="3"/>
        <v/>
      </c>
      <c r="U70" s="208"/>
      <c r="V70" s="16" t="str">
        <f t="shared" si="5"/>
        <v/>
      </c>
      <c r="X70" s="216"/>
      <c r="Y70" s="216"/>
      <c r="Z70" s="216"/>
      <c r="AA70" s="216"/>
      <c r="AB70" s="39"/>
    </row>
    <row r="71" spans="1:28" x14ac:dyDescent="0.15">
      <c r="A71" s="15"/>
      <c r="B71" s="15"/>
      <c r="C71" s="15"/>
      <c r="D71" s="37"/>
      <c r="H71" s="15"/>
      <c r="I71" s="208"/>
      <c r="J71" s="15"/>
      <c r="N71" s="208"/>
      <c r="Q71" s="52" t="str">
        <f t="shared" si="4"/>
        <v/>
      </c>
      <c r="T71" s="16" t="str">
        <f t="shared" si="3"/>
        <v/>
      </c>
      <c r="V71" s="16" t="str">
        <f>IF(OR(N71="",U71="",T71=""),"",U71/N71*T71)</f>
        <v/>
      </c>
      <c r="X71" s="15"/>
      <c r="Y71" s="15"/>
      <c r="Z71" s="15"/>
      <c r="AA71" s="15"/>
      <c r="AB71" s="39"/>
    </row>
    <row r="72" spans="1:28" x14ac:dyDescent="0.15">
      <c r="A72" s="15"/>
      <c r="B72" s="15"/>
      <c r="C72" s="15"/>
      <c r="D72" s="37"/>
      <c r="H72" s="216"/>
      <c r="I72" s="208"/>
      <c r="J72" s="216"/>
      <c r="K72" s="208"/>
      <c r="N72" s="208"/>
      <c r="Q72" s="52" t="str">
        <f t="shared" si="4"/>
        <v/>
      </c>
      <c r="T72" s="16" t="str">
        <f t="shared" si="3"/>
        <v/>
      </c>
      <c r="U72" s="208"/>
      <c r="V72" s="16" t="str">
        <f t="shared" ref="V72:V74" si="6">IF(OR(N72="",U72="",T72=""),"",U72/N72*T72)</f>
        <v/>
      </c>
      <c r="X72" s="15"/>
      <c r="Y72" s="216"/>
      <c r="Z72" s="216"/>
      <c r="AA72" s="216"/>
      <c r="AB72" s="39"/>
    </row>
    <row r="73" spans="1:28" x14ac:dyDescent="0.15">
      <c r="A73" s="15"/>
      <c r="B73" s="15"/>
      <c r="C73" s="15"/>
      <c r="D73" s="37"/>
      <c r="H73" s="216"/>
      <c r="I73" s="208"/>
      <c r="J73" s="216"/>
      <c r="K73" s="208"/>
      <c r="N73" s="208"/>
      <c r="Q73" s="52" t="str">
        <f t="shared" si="4"/>
        <v/>
      </c>
      <c r="T73" s="16" t="str">
        <f t="shared" si="3"/>
        <v/>
      </c>
      <c r="U73" s="208"/>
      <c r="V73" s="16" t="str">
        <f>IF(OR(N73="",U73="",T73=""),"",U73/N73*T73)</f>
        <v/>
      </c>
      <c r="X73" s="15"/>
      <c r="Y73" s="216"/>
      <c r="Z73" s="216"/>
      <c r="AA73" s="216"/>
      <c r="AB73" s="39"/>
    </row>
    <row r="74" spans="1:28" x14ac:dyDescent="0.15">
      <c r="A74" s="15"/>
      <c r="B74" s="15"/>
      <c r="C74" s="15"/>
      <c r="D74" s="37"/>
      <c r="H74" s="15"/>
      <c r="I74" s="208"/>
      <c r="J74" s="15"/>
      <c r="N74" s="208"/>
      <c r="Q74" s="52" t="str">
        <f t="shared" si="4"/>
        <v/>
      </c>
      <c r="T74" s="16" t="str">
        <f t="shared" si="3"/>
        <v/>
      </c>
      <c r="V74" s="16" t="str">
        <f t="shared" si="6"/>
        <v/>
      </c>
      <c r="X74" s="15"/>
      <c r="Y74" s="216"/>
      <c r="Z74" s="216"/>
      <c r="AA74" s="216"/>
      <c r="AB74" s="39"/>
    </row>
    <row r="75" spans="1:28" x14ac:dyDescent="0.15">
      <c r="A75" s="15"/>
      <c r="B75" s="15"/>
      <c r="C75" s="15"/>
      <c r="D75" s="37"/>
      <c r="H75" s="216"/>
      <c r="I75" s="208"/>
      <c r="J75" s="15"/>
      <c r="N75" s="208"/>
      <c r="Q75" s="52" t="str">
        <f t="shared" si="4"/>
        <v/>
      </c>
      <c r="T75" s="16" t="str">
        <f t="shared" si="3"/>
        <v/>
      </c>
      <c r="U75" s="208"/>
      <c r="V75" s="16" t="str">
        <f>IF(OR(N75="",U75="",T75=""),"",U75/N75*T75)</f>
        <v/>
      </c>
      <c r="X75" s="15"/>
      <c r="Y75" s="216"/>
      <c r="Z75" s="216"/>
      <c r="AA75" s="216"/>
      <c r="AB75" s="39"/>
    </row>
    <row r="76" spans="1:28" x14ac:dyDescent="0.15">
      <c r="A76" s="15"/>
      <c r="B76" s="15"/>
      <c r="C76" s="15"/>
      <c r="D76" s="37"/>
      <c r="H76" s="216"/>
      <c r="I76" s="208"/>
      <c r="J76" s="15"/>
      <c r="N76" s="208"/>
      <c r="Q76" s="52" t="str">
        <f t="shared" si="4"/>
        <v/>
      </c>
      <c r="T76" s="16" t="str">
        <f t="shared" si="3"/>
        <v/>
      </c>
      <c r="U76" s="208"/>
      <c r="V76" s="16" t="str">
        <f>IF(OR(N76="",U76="",T76=""),"",U76/N76*T76)</f>
        <v/>
      </c>
      <c r="X76" s="15"/>
      <c r="Y76" s="216"/>
      <c r="Z76" s="216"/>
      <c r="AA76" s="216"/>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8"/>
  <sheetViews>
    <sheetView zoomScale="70" zoomScaleNormal="70" workbookViewId="0">
      <selection activeCell="AB2" sqref="AB2"/>
    </sheetView>
  </sheetViews>
  <sheetFormatPr defaultColWidth="9" defaultRowHeight="13.5" x14ac:dyDescent="0.15"/>
  <cols>
    <col min="1" max="3" width="9" style="237"/>
    <col min="4" max="4" width="11" style="237" bestFit="1" customWidth="1"/>
    <col min="5" max="5" width="10.875" style="237" bestFit="1" customWidth="1"/>
    <col min="6" max="16" width="9" style="237"/>
    <col min="17" max="17" width="9" style="57"/>
    <col min="18" max="18" width="9" style="237"/>
    <col min="19" max="19" width="11.625" style="237" bestFit="1" customWidth="1"/>
    <col min="20" max="20" width="9" style="57"/>
    <col min="21" max="21" width="9" style="237"/>
    <col min="22" max="22" width="9" style="58"/>
    <col min="23" max="32" width="9" style="237"/>
    <col min="33" max="33" width="14.375" style="237" bestFit="1" customWidth="1"/>
    <col min="34" max="34" width="11.375" style="237" bestFit="1" customWidth="1"/>
    <col min="35" max="16384" width="9" style="237"/>
  </cols>
  <sheetData>
    <row r="1" spans="1:53" ht="45" x14ac:dyDescent="0.15">
      <c r="A1" s="240" t="s">
        <v>0</v>
      </c>
      <c r="B1" s="202" t="s">
        <v>1</v>
      </c>
      <c r="C1" s="202" t="s">
        <v>348</v>
      </c>
      <c r="D1" s="203" t="s">
        <v>3</v>
      </c>
      <c r="E1" s="241" t="s">
        <v>4</v>
      </c>
      <c r="F1" s="241" t="s">
        <v>5</v>
      </c>
      <c r="G1" s="241" t="s">
        <v>6</v>
      </c>
      <c r="H1" s="241" t="s">
        <v>7</v>
      </c>
      <c r="I1" s="241" t="s">
        <v>8</v>
      </c>
      <c r="J1" s="241" t="s">
        <v>9</v>
      </c>
      <c r="K1" s="241" t="s">
        <v>10</v>
      </c>
      <c r="L1" s="203" t="s">
        <v>349</v>
      </c>
      <c r="M1" s="203" t="s">
        <v>12</v>
      </c>
      <c r="N1" s="203" t="s">
        <v>13</v>
      </c>
      <c r="O1" s="203" t="s">
        <v>351</v>
      </c>
      <c r="P1" s="203" t="s">
        <v>352</v>
      </c>
      <c r="Q1" s="53" t="s">
        <v>16</v>
      </c>
      <c r="R1" s="203" t="s">
        <v>353</v>
      </c>
      <c r="S1" s="203" t="s">
        <v>354</v>
      </c>
      <c r="T1" s="53" t="s">
        <v>19</v>
      </c>
      <c r="U1" s="205" t="s">
        <v>108</v>
      </c>
      <c r="V1" s="54" t="s">
        <v>20</v>
      </c>
      <c r="W1" s="203" t="s">
        <v>21</v>
      </c>
      <c r="X1" s="241" t="s">
        <v>22</v>
      </c>
      <c r="Y1" s="241" t="s">
        <v>23</v>
      </c>
      <c r="Z1" s="241" t="s">
        <v>24</v>
      </c>
      <c r="AA1" s="241" t="s">
        <v>25</v>
      </c>
      <c r="AB1" s="242" t="s">
        <v>355</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356</v>
      </c>
      <c r="AY1" s="214" t="s">
        <v>357</v>
      </c>
      <c r="AZ1" s="214" t="s">
        <v>358</v>
      </c>
      <c r="BA1" s="215" t="s">
        <v>359</v>
      </c>
    </row>
    <row r="2" spans="1:53" s="55" customFormat="1" x14ac:dyDescent="0.15">
      <c r="A2" s="55" t="s">
        <v>41</v>
      </c>
      <c r="B2" s="237" t="s">
        <v>342</v>
      </c>
      <c r="C2" s="152">
        <v>2018</v>
      </c>
      <c r="D2" s="56" t="s">
        <v>360</v>
      </c>
      <c r="E2" s="237" t="s">
        <v>133</v>
      </c>
      <c r="F2" s="237" t="s">
        <v>300</v>
      </c>
      <c r="G2" s="55" t="s">
        <v>42</v>
      </c>
      <c r="H2" s="55" t="s">
        <v>157</v>
      </c>
      <c r="I2" s="55" t="s">
        <v>155</v>
      </c>
      <c r="J2" s="55" t="s">
        <v>38</v>
      </c>
      <c r="K2" s="55" t="s">
        <v>156</v>
      </c>
      <c r="L2" s="237">
        <v>1</v>
      </c>
      <c r="M2" s="237"/>
      <c r="N2" s="55">
        <v>1</v>
      </c>
      <c r="O2" s="55">
        <v>0.45</v>
      </c>
      <c r="P2" s="55">
        <v>0.5</v>
      </c>
      <c r="Q2" s="82">
        <f t="shared" ref="Q2:Q65" si="0">IF(OR(O2="",P2=""),"",AVERAGE(O2,P2))</f>
        <v>0.47499999999999998</v>
      </c>
      <c r="R2" s="55">
        <v>14.1</v>
      </c>
      <c r="S2" s="55">
        <v>117</v>
      </c>
      <c r="T2" s="57">
        <f t="shared" ref="T2:T65" si="1">IF(H2="","",IF(OR(H2="GREEN",H2="GK"),IF(S2&gt;=$AX$2,VLOOKUP(S2,$AX$2:$AY$10,2,1),""),IF(S2&gt;=$AZ$2,VLOOKUP(S2,$AZ$2:$BA$10,2,1),"")))</f>
        <v>30</v>
      </c>
      <c r="U2" s="237">
        <v>84</v>
      </c>
      <c r="V2" s="58">
        <f t="shared" ref="V2:V65" si="2">IF(OR(N2="",U2="",T2=""),"",U2/N2*T2)</f>
        <v>2520</v>
      </c>
      <c r="W2" s="237">
        <v>4</v>
      </c>
      <c r="X2" s="55" t="s">
        <v>46</v>
      </c>
      <c r="Y2" s="55" t="s">
        <v>97</v>
      </c>
      <c r="Z2" s="55" t="s">
        <v>88</v>
      </c>
      <c r="AA2" s="55" t="s">
        <v>69</v>
      </c>
      <c r="AB2" s="55" t="s">
        <v>345</v>
      </c>
      <c r="AE2" s="218" t="s">
        <v>35</v>
      </c>
      <c r="AG2" s="59" t="s">
        <v>133</v>
      </c>
      <c r="AH2" s="60" t="s">
        <v>300</v>
      </c>
      <c r="AJ2" s="243" t="s">
        <v>36</v>
      </c>
      <c r="AL2" s="243" t="s">
        <v>127</v>
      </c>
      <c r="AN2" s="243" t="s">
        <v>37</v>
      </c>
      <c r="AP2" s="243" t="s">
        <v>38</v>
      </c>
      <c r="AR2" s="243" t="s">
        <v>361</v>
      </c>
      <c r="AT2" s="243" t="s">
        <v>39</v>
      </c>
      <c r="AV2" s="243" t="s">
        <v>40</v>
      </c>
      <c r="AX2" s="61">
        <v>1</v>
      </c>
      <c r="AY2" s="62">
        <v>50</v>
      </c>
      <c r="AZ2" s="62">
        <v>1</v>
      </c>
      <c r="BA2" s="63">
        <v>50</v>
      </c>
    </row>
    <row r="3" spans="1:53" x14ac:dyDescent="0.15">
      <c r="A3" s="55" t="s">
        <v>41</v>
      </c>
      <c r="B3" s="237" t="s">
        <v>342</v>
      </c>
      <c r="C3" s="152">
        <v>2018</v>
      </c>
      <c r="D3" s="56" t="s">
        <v>360</v>
      </c>
      <c r="E3" s="237" t="s">
        <v>133</v>
      </c>
      <c r="F3" s="237" t="s">
        <v>300</v>
      </c>
      <c r="G3" s="55" t="s">
        <v>42</v>
      </c>
      <c r="H3" s="55" t="s">
        <v>157</v>
      </c>
      <c r="I3" s="55" t="s">
        <v>155</v>
      </c>
      <c r="J3" s="55" t="s">
        <v>38</v>
      </c>
      <c r="K3" s="55" t="s">
        <v>156</v>
      </c>
      <c r="L3" s="237">
        <v>2</v>
      </c>
      <c r="N3" s="55">
        <v>1</v>
      </c>
      <c r="O3" s="55">
        <v>0.65</v>
      </c>
      <c r="P3" s="55">
        <v>0.5</v>
      </c>
      <c r="Q3" s="82">
        <f t="shared" si="0"/>
        <v>0.57499999999999996</v>
      </c>
      <c r="R3" s="55">
        <v>16</v>
      </c>
      <c r="S3" s="55">
        <v>120</v>
      </c>
      <c r="T3" s="57">
        <f t="shared" si="1"/>
        <v>30</v>
      </c>
      <c r="U3" s="237">
        <v>84</v>
      </c>
      <c r="V3" s="58">
        <f t="shared" si="2"/>
        <v>2520</v>
      </c>
      <c r="W3" s="237">
        <v>4</v>
      </c>
      <c r="X3" s="55" t="s">
        <v>46</v>
      </c>
      <c r="Y3" s="55" t="s">
        <v>97</v>
      </c>
      <c r="Z3" s="55" t="s">
        <v>88</v>
      </c>
      <c r="AA3" s="55" t="s">
        <v>69</v>
      </c>
      <c r="AB3" s="55" t="s">
        <v>344</v>
      </c>
      <c r="AE3" s="223" t="s">
        <v>41</v>
      </c>
      <c r="AG3" s="64" t="s">
        <v>295</v>
      </c>
      <c r="AH3" s="64" t="s">
        <v>300</v>
      </c>
      <c r="AJ3" s="65" t="s">
        <v>42</v>
      </c>
      <c r="AL3" s="65" t="s">
        <v>128</v>
      </c>
      <c r="AN3" s="65" t="s">
        <v>43</v>
      </c>
      <c r="AP3" s="65" t="s">
        <v>44</v>
      </c>
      <c r="AR3" s="231" t="s">
        <v>45</v>
      </c>
      <c r="AT3" s="65" t="s">
        <v>46</v>
      </c>
      <c r="AV3" s="65" t="s">
        <v>47</v>
      </c>
      <c r="AX3" s="66">
        <v>72</v>
      </c>
      <c r="AY3" s="67">
        <v>46</v>
      </c>
      <c r="AZ3" s="67">
        <v>71</v>
      </c>
      <c r="BA3" s="68">
        <v>42</v>
      </c>
    </row>
    <row r="4" spans="1:53" x14ac:dyDescent="0.15">
      <c r="A4" s="55" t="s">
        <v>41</v>
      </c>
      <c r="B4" s="237" t="s">
        <v>342</v>
      </c>
      <c r="C4" s="152">
        <v>2018</v>
      </c>
      <c r="D4" s="56" t="s">
        <v>362</v>
      </c>
      <c r="E4" s="237" t="s">
        <v>133</v>
      </c>
      <c r="F4" s="237" t="s">
        <v>300</v>
      </c>
      <c r="G4" s="55" t="s">
        <v>42</v>
      </c>
      <c r="H4" s="55" t="s">
        <v>157</v>
      </c>
      <c r="I4" s="55" t="s">
        <v>155</v>
      </c>
      <c r="J4" s="55" t="s">
        <v>38</v>
      </c>
      <c r="K4" s="55" t="s">
        <v>156</v>
      </c>
      <c r="L4" s="237">
        <v>3</v>
      </c>
      <c r="N4" s="55">
        <v>1</v>
      </c>
      <c r="O4" s="55">
        <v>0.45</v>
      </c>
      <c r="P4" s="55">
        <v>0.5</v>
      </c>
      <c r="Q4" s="82">
        <f t="shared" si="0"/>
        <v>0.47499999999999998</v>
      </c>
      <c r="R4" s="55">
        <v>15.1</v>
      </c>
      <c r="S4" s="55">
        <v>124</v>
      </c>
      <c r="T4" s="57">
        <f t="shared" si="1"/>
        <v>27</v>
      </c>
      <c r="U4" s="237">
        <v>84</v>
      </c>
      <c r="V4" s="58">
        <f t="shared" si="2"/>
        <v>2268</v>
      </c>
      <c r="W4" s="237">
        <v>4</v>
      </c>
      <c r="X4" s="55" t="s">
        <v>46</v>
      </c>
      <c r="Y4" s="55" t="s">
        <v>97</v>
      </c>
      <c r="Z4" s="55" t="s">
        <v>88</v>
      </c>
      <c r="AA4" s="55" t="s">
        <v>69</v>
      </c>
      <c r="AB4" s="55" t="s">
        <v>344</v>
      </c>
      <c r="AE4" s="223" t="s">
        <v>34</v>
      </c>
      <c r="AG4" s="64" t="s">
        <v>295</v>
      </c>
      <c r="AH4" s="64" t="s">
        <v>301</v>
      </c>
      <c r="AJ4" s="69" t="s">
        <v>48</v>
      </c>
      <c r="AL4" s="69" t="s">
        <v>129</v>
      </c>
      <c r="AN4" s="244" t="s">
        <v>49</v>
      </c>
      <c r="AP4" s="65" t="s">
        <v>363</v>
      </c>
      <c r="AR4" s="231" t="s">
        <v>364</v>
      </c>
      <c r="AT4" s="244"/>
      <c r="AV4" s="65" t="s">
        <v>50</v>
      </c>
      <c r="AX4" s="66">
        <v>75</v>
      </c>
      <c r="AY4" s="67">
        <v>42</v>
      </c>
      <c r="AZ4" s="67">
        <v>76</v>
      </c>
      <c r="BA4" s="68">
        <v>39</v>
      </c>
    </row>
    <row r="5" spans="1:53" s="55" customFormat="1" ht="13.5" customHeight="1" x14ac:dyDescent="0.15">
      <c r="A5" s="55" t="s">
        <v>41</v>
      </c>
      <c r="B5" s="237" t="s">
        <v>342</v>
      </c>
      <c r="C5" s="152">
        <v>2018</v>
      </c>
      <c r="D5" s="56" t="s">
        <v>362</v>
      </c>
      <c r="E5" s="237" t="s">
        <v>133</v>
      </c>
      <c r="F5" s="237" t="s">
        <v>300</v>
      </c>
      <c r="G5" s="55" t="s">
        <v>42</v>
      </c>
      <c r="H5" s="55" t="s">
        <v>160</v>
      </c>
      <c r="I5" s="55" t="s">
        <v>155</v>
      </c>
      <c r="J5" s="55" t="s">
        <v>38</v>
      </c>
      <c r="K5" s="55" t="s">
        <v>156</v>
      </c>
      <c r="L5" s="237">
        <v>1</v>
      </c>
      <c r="N5" s="55">
        <v>1</v>
      </c>
      <c r="O5" s="55">
        <v>0.7</v>
      </c>
      <c r="P5" s="55">
        <v>0.65</v>
      </c>
      <c r="Q5" s="82">
        <f t="shared" si="0"/>
        <v>0.67500000000000004</v>
      </c>
      <c r="R5" s="55">
        <v>15.8</v>
      </c>
      <c r="S5" s="55">
        <v>128</v>
      </c>
      <c r="T5" s="77">
        <f t="shared" si="1"/>
        <v>27</v>
      </c>
      <c r="U5" s="55">
        <v>149</v>
      </c>
      <c r="V5" s="78">
        <f t="shared" si="2"/>
        <v>4023</v>
      </c>
      <c r="W5" s="55">
        <v>2</v>
      </c>
      <c r="X5" s="55" t="s">
        <v>46</v>
      </c>
      <c r="Y5" s="55" t="s">
        <v>97</v>
      </c>
      <c r="Z5" s="55" t="s">
        <v>88</v>
      </c>
      <c r="AA5" s="55" t="s">
        <v>69</v>
      </c>
      <c r="AB5" s="55" t="s">
        <v>344</v>
      </c>
      <c r="AC5" s="237"/>
      <c r="AD5" s="237"/>
      <c r="AE5" s="70" t="s">
        <v>365</v>
      </c>
      <c r="AG5" s="64" t="s">
        <v>296</v>
      </c>
      <c r="AH5" s="64" t="s">
        <v>300</v>
      </c>
      <c r="AJ5" s="71"/>
      <c r="AL5" s="72" t="s">
        <v>366</v>
      </c>
      <c r="AN5" s="72" t="s">
        <v>367</v>
      </c>
      <c r="AP5" s="231" t="s">
        <v>368</v>
      </c>
      <c r="AR5" s="231" t="s">
        <v>54</v>
      </c>
      <c r="AV5" s="231" t="s">
        <v>55</v>
      </c>
      <c r="AX5" s="73">
        <v>84</v>
      </c>
      <c r="AY5" s="74">
        <v>39</v>
      </c>
      <c r="AZ5" s="74">
        <v>84</v>
      </c>
      <c r="BA5" s="75">
        <v>36</v>
      </c>
    </row>
    <row r="6" spans="1:53" x14ac:dyDescent="0.15">
      <c r="A6" s="55" t="s">
        <v>41</v>
      </c>
      <c r="B6" s="237" t="s">
        <v>342</v>
      </c>
      <c r="C6" s="152">
        <v>2018</v>
      </c>
      <c r="D6" s="56" t="s">
        <v>362</v>
      </c>
      <c r="E6" s="237" t="s">
        <v>133</v>
      </c>
      <c r="F6" s="237" t="s">
        <v>300</v>
      </c>
      <c r="G6" s="55" t="s">
        <v>42</v>
      </c>
      <c r="H6" s="55" t="s">
        <v>160</v>
      </c>
      <c r="I6" s="55" t="s">
        <v>155</v>
      </c>
      <c r="J6" s="55" t="s">
        <v>38</v>
      </c>
      <c r="K6" s="55" t="s">
        <v>156</v>
      </c>
      <c r="L6" s="237">
        <v>2</v>
      </c>
      <c r="N6" s="55">
        <v>1</v>
      </c>
      <c r="O6" s="55">
        <v>0.4</v>
      </c>
      <c r="P6" s="55">
        <v>0.6</v>
      </c>
      <c r="Q6" s="82">
        <f t="shared" si="0"/>
        <v>0.5</v>
      </c>
      <c r="R6" s="55">
        <v>16.399999999999999</v>
      </c>
      <c r="S6" s="55">
        <v>130</v>
      </c>
      <c r="T6" s="77">
        <f t="shared" si="1"/>
        <v>25</v>
      </c>
      <c r="U6" s="55">
        <v>149</v>
      </c>
      <c r="V6" s="58">
        <f t="shared" si="2"/>
        <v>3725</v>
      </c>
      <c r="W6" s="237">
        <v>2</v>
      </c>
      <c r="X6" s="55" t="s">
        <v>46</v>
      </c>
      <c r="Y6" s="55" t="s">
        <v>97</v>
      </c>
      <c r="Z6" s="55" t="s">
        <v>88</v>
      </c>
      <c r="AA6" s="55" t="s">
        <v>69</v>
      </c>
      <c r="AB6" s="55" t="s">
        <v>344</v>
      </c>
      <c r="AE6" s="223" t="s">
        <v>56</v>
      </c>
      <c r="AG6" s="64" t="s">
        <v>296</v>
      </c>
      <c r="AH6" s="64" t="s">
        <v>302</v>
      </c>
      <c r="AL6" s="72" t="s">
        <v>369</v>
      </c>
      <c r="AN6" s="72" t="s">
        <v>370</v>
      </c>
      <c r="AP6" s="65" t="s">
        <v>53</v>
      </c>
      <c r="AR6" s="231" t="s">
        <v>59</v>
      </c>
      <c r="AV6" s="65" t="s">
        <v>60</v>
      </c>
      <c r="AX6" s="66">
        <v>97</v>
      </c>
      <c r="AY6" s="67">
        <v>36</v>
      </c>
      <c r="AZ6" s="67">
        <v>99</v>
      </c>
      <c r="BA6" s="68">
        <v>33</v>
      </c>
    </row>
    <row r="7" spans="1:53" x14ac:dyDescent="0.15">
      <c r="A7" s="55" t="s">
        <v>41</v>
      </c>
      <c r="B7" s="237" t="s">
        <v>342</v>
      </c>
      <c r="C7" s="152">
        <v>2018</v>
      </c>
      <c r="D7" s="56" t="s">
        <v>362</v>
      </c>
      <c r="E7" s="237" t="s">
        <v>133</v>
      </c>
      <c r="F7" s="237" t="s">
        <v>300</v>
      </c>
      <c r="G7" s="55" t="s">
        <v>42</v>
      </c>
      <c r="H7" s="55" t="s">
        <v>160</v>
      </c>
      <c r="I7" s="55" t="s">
        <v>155</v>
      </c>
      <c r="J7" s="55" t="s">
        <v>38</v>
      </c>
      <c r="K7" s="55" t="s">
        <v>156</v>
      </c>
      <c r="L7" s="237">
        <v>3</v>
      </c>
      <c r="N7" s="55">
        <v>1</v>
      </c>
      <c r="O7" s="55">
        <v>0.7</v>
      </c>
      <c r="P7" s="55">
        <v>0.75</v>
      </c>
      <c r="Q7" s="82">
        <f t="shared" si="0"/>
        <v>0.72499999999999998</v>
      </c>
      <c r="R7" s="55">
        <v>14.8</v>
      </c>
      <c r="S7" s="55">
        <v>124</v>
      </c>
      <c r="T7" s="77">
        <f t="shared" si="1"/>
        <v>27</v>
      </c>
      <c r="U7" s="55">
        <v>149</v>
      </c>
      <c r="V7" s="58">
        <f t="shared" si="2"/>
        <v>4023</v>
      </c>
      <c r="W7" s="237">
        <v>2</v>
      </c>
      <c r="X7" s="55" t="s">
        <v>46</v>
      </c>
      <c r="Y7" s="55" t="s">
        <v>97</v>
      </c>
      <c r="Z7" s="55" t="s">
        <v>88</v>
      </c>
      <c r="AA7" s="55" t="s">
        <v>69</v>
      </c>
      <c r="AB7" s="55" t="s">
        <v>344</v>
      </c>
      <c r="AE7" s="223" t="s">
        <v>61</v>
      </c>
      <c r="AG7" s="64" t="s">
        <v>297</v>
      </c>
      <c r="AH7" s="64" t="s">
        <v>302</v>
      </c>
      <c r="AL7" s="76" t="s">
        <v>371</v>
      </c>
      <c r="AP7" s="65" t="s">
        <v>58</v>
      </c>
      <c r="AR7" s="231" t="s">
        <v>122</v>
      </c>
      <c r="AV7" s="65" t="s">
        <v>64</v>
      </c>
      <c r="AX7" s="66">
        <v>109</v>
      </c>
      <c r="AY7" s="67">
        <v>33</v>
      </c>
      <c r="AZ7" s="67">
        <v>113</v>
      </c>
      <c r="BA7" s="68">
        <v>30</v>
      </c>
    </row>
    <row r="8" spans="1:53" x14ac:dyDescent="0.15">
      <c r="A8" s="55" t="s">
        <v>41</v>
      </c>
      <c r="B8" s="237" t="s">
        <v>342</v>
      </c>
      <c r="C8" s="152">
        <v>2018</v>
      </c>
      <c r="D8" s="56" t="s">
        <v>362</v>
      </c>
      <c r="E8" s="237" t="s">
        <v>133</v>
      </c>
      <c r="F8" s="237" t="s">
        <v>300</v>
      </c>
      <c r="G8" s="55" t="s">
        <v>42</v>
      </c>
      <c r="H8" s="55" t="s">
        <v>160</v>
      </c>
      <c r="I8" s="55" t="s">
        <v>155</v>
      </c>
      <c r="J8" s="55" t="s">
        <v>38</v>
      </c>
      <c r="K8" s="55" t="s">
        <v>156</v>
      </c>
      <c r="L8" s="237">
        <v>1</v>
      </c>
      <c r="M8" s="55"/>
      <c r="N8" s="55">
        <v>6</v>
      </c>
      <c r="O8" s="55">
        <v>0.45</v>
      </c>
      <c r="P8" s="55">
        <v>0.5</v>
      </c>
      <c r="Q8" s="82">
        <f t="shared" si="0"/>
        <v>0.47499999999999998</v>
      </c>
      <c r="R8" s="55">
        <v>17.399999999999999</v>
      </c>
      <c r="S8" s="55">
        <v>141</v>
      </c>
      <c r="T8" s="77">
        <f t="shared" si="1"/>
        <v>22</v>
      </c>
      <c r="U8" s="55">
        <v>861</v>
      </c>
      <c r="V8" s="78">
        <f t="shared" si="2"/>
        <v>3157</v>
      </c>
      <c r="W8" s="55">
        <v>2</v>
      </c>
      <c r="X8" s="55" t="s">
        <v>46</v>
      </c>
      <c r="Y8" s="55" t="s">
        <v>97</v>
      </c>
      <c r="Z8" s="55" t="s">
        <v>88</v>
      </c>
      <c r="AA8" s="55" t="s">
        <v>69</v>
      </c>
      <c r="AB8" s="55" t="s">
        <v>344</v>
      </c>
      <c r="AC8" s="55"/>
      <c r="AD8" s="55"/>
      <c r="AE8" s="223" t="s">
        <v>59</v>
      </c>
      <c r="AG8" s="64" t="s">
        <v>298</v>
      </c>
      <c r="AH8" s="64" t="s">
        <v>303</v>
      </c>
      <c r="AL8" s="76" t="s">
        <v>372</v>
      </c>
      <c r="AP8" s="65" t="s">
        <v>62</v>
      </c>
      <c r="AR8" s="231" t="s">
        <v>81</v>
      </c>
      <c r="AV8" s="65" t="s">
        <v>97</v>
      </c>
      <c r="AX8" s="66">
        <v>119</v>
      </c>
      <c r="AY8" s="67">
        <v>30</v>
      </c>
      <c r="AZ8" s="67">
        <v>121</v>
      </c>
      <c r="BA8" s="68">
        <v>27</v>
      </c>
    </row>
    <row r="9" spans="1:53" x14ac:dyDescent="0.15">
      <c r="A9" s="55" t="s">
        <v>41</v>
      </c>
      <c r="B9" s="237" t="s">
        <v>342</v>
      </c>
      <c r="C9" s="152">
        <v>2018</v>
      </c>
      <c r="D9" s="56" t="s">
        <v>362</v>
      </c>
      <c r="E9" s="237" t="s">
        <v>133</v>
      </c>
      <c r="F9" s="237" t="s">
        <v>300</v>
      </c>
      <c r="G9" s="55" t="s">
        <v>42</v>
      </c>
      <c r="H9" s="55" t="s">
        <v>160</v>
      </c>
      <c r="I9" s="55" t="s">
        <v>155</v>
      </c>
      <c r="J9" s="55" t="s">
        <v>38</v>
      </c>
      <c r="K9" s="55" t="s">
        <v>156</v>
      </c>
      <c r="L9" s="237">
        <v>2</v>
      </c>
      <c r="N9" s="55">
        <v>6</v>
      </c>
      <c r="O9" s="55">
        <v>0.6</v>
      </c>
      <c r="P9" s="55">
        <v>0.75</v>
      </c>
      <c r="Q9" s="82">
        <f t="shared" si="0"/>
        <v>0.67500000000000004</v>
      </c>
      <c r="R9" s="55">
        <v>17.100000000000001</v>
      </c>
      <c r="S9" s="55">
        <v>134</v>
      </c>
      <c r="T9" s="77">
        <f t="shared" si="1"/>
        <v>25</v>
      </c>
      <c r="U9" s="55">
        <v>861</v>
      </c>
      <c r="V9" s="58">
        <f t="shared" si="2"/>
        <v>3587.5</v>
      </c>
      <c r="W9" s="237">
        <v>2</v>
      </c>
      <c r="X9" s="55" t="s">
        <v>46</v>
      </c>
      <c r="Y9" s="55" t="s">
        <v>97</v>
      </c>
      <c r="Z9" s="55" t="s">
        <v>88</v>
      </c>
      <c r="AA9" s="55" t="s">
        <v>69</v>
      </c>
      <c r="AB9" s="55" t="s">
        <v>344</v>
      </c>
      <c r="AE9" s="223" t="s">
        <v>98</v>
      </c>
      <c r="AG9" s="64" t="s">
        <v>298</v>
      </c>
      <c r="AH9" s="64" t="s">
        <v>304</v>
      </c>
      <c r="AL9" s="72"/>
      <c r="AP9" s="65" t="s">
        <v>95</v>
      </c>
      <c r="AR9" s="231" t="s">
        <v>89</v>
      </c>
      <c r="AV9" s="65" t="s">
        <v>102</v>
      </c>
      <c r="AX9" s="66">
        <v>128</v>
      </c>
      <c r="AY9" s="67">
        <v>27</v>
      </c>
      <c r="AZ9" s="67">
        <v>129</v>
      </c>
      <c r="BA9" s="68">
        <v>25</v>
      </c>
    </row>
    <row r="10" spans="1:53" x14ac:dyDescent="0.15">
      <c r="A10" s="55" t="s">
        <v>41</v>
      </c>
      <c r="B10" s="237" t="s">
        <v>342</v>
      </c>
      <c r="C10" s="152">
        <v>2018</v>
      </c>
      <c r="D10" s="56" t="s">
        <v>362</v>
      </c>
      <c r="E10" s="237" t="s">
        <v>133</v>
      </c>
      <c r="F10" s="237" t="s">
        <v>300</v>
      </c>
      <c r="G10" s="55" t="s">
        <v>42</v>
      </c>
      <c r="H10" s="55" t="s">
        <v>160</v>
      </c>
      <c r="I10" s="55" t="s">
        <v>155</v>
      </c>
      <c r="J10" s="55" t="s">
        <v>38</v>
      </c>
      <c r="K10" s="55" t="s">
        <v>156</v>
      </c>
      <c r="L10" s="237">
        <v>3</v>
      </c>
      <c r="N10" s="55">
        <v>6</v>
      </c>
      <c r="O10" s="55">
        <v>0.5</v>
      </c>
      <c r="P10" s="55">
        <v>0.5</v>
      </c>
      <c r="Q10" s="82">
        <f t="shared" si="0"/>
        <v>0.5</v>
      </c>
      <c r="R10" s="55">
        <v>14.2</v>
      </c>
      <c r="S10" s="55">
        <v>128</v>
      </c>
      <c r="T10" s="77">
        <f t="shared" si="1"/>
        <v>27</v>
      </c>
      <c r="U10" s="55">
        <v>861</v>
      </c>
      <c r="V10" s="58">
        <f t="shared" si="2"/>
        <v>3874.5</v>
      </c>
      <c r="W10" s="237">
        <v>2</v>
      </c>
      <c r="X10" s="55" t="s">
        <v>46</v>
      </c>
      <c r="Y10" s="55" t="s">
        <v>97</v>
      </c>
      <c r="Z10" s="55" t="s">
        <v>88</v>
      </c>
      <c r="AA10" s="55" t="s">
        <v>69</v>
      </c>
      <c r="AB10" s="55" t="s">
        <v>344</v>
      </c>
      <c r="AE10" s="223" t="s">
        <v>103</v>
      </c>
      <c r="AG10" s="64" t="s">
        <v>299</v>
      </c>
      <c r="AH10" s="64" t="s">
        <v>305</v>
      </c>
      <c r="AL10" s="76"/>
      <c r="AP10" s="65" t="s">
        <v>100</v>
      </c>
      <c r="AR10" s="231" t="s">
        <v>123</v>
      </c>
      <c r="AV10" s="65" t="s">
        <v>106</v>
      </c>
      <c r="AX10" s="66">
        <v>138</v>
      </c>
      <c r="AY10" s="67">
        <v>25</v>
      </c>
      <c r="AZ10" s="67">
        <v>138</v>
      </c>
      <c r="BA10" s="68">
        <v>22</v>
      </c>
    </row>
    <row r="11" spans="1:53" x14ac:dyDescent="0.15">
      <c r="A11" s="55" t="s">
        <v>41</v>
      </c>
      <c r="B11" s="237" t="s">
        <v>342</v>
      </c>
      <c r="C11" s="152">
        <v>2018</v>
      </c>
      <c r="D11" s="56" t="s">
        <v>362</v>
      </c>
      <c r="E11" s="237" t="s">
        <v>133</v>
      </c>
      <c r="F11" s="237" t="s">
        <v>300</v>
      </c>
      <c r="G11" s="55" t="s">
        <v>42</v>
      </c>
      <c r="H11" s="55" t="s">
        <v>157</v>
      </c>
      <c r="I11" s="55" t="s">
        <v>158</v>
      </c>
      <c r="J11" s="55" t="s">
        <v>38</v>
      </c>
      <c r="K11" s="55" t="s">
        <v>156</v>
      </c>
      <c r="L11" s="237">
        <v>1</v>
      </c>
      <c r="M11" s="55"/>
      <c r="N11" s="55">
        <v>8</v>
      </c>
      <c r="O11" s="55">
        <v>0.8</v>
      </c>
      <c r="P11" s="55">
        <v>0.7</v>
      </c>
      <c r="Q11" s="82">
        <f t="shared" si="0"/>
        <v>0.75</v>
      </c>
      <c r="R11" s="55">
        <v>13</v>
      </c>
      <c r="S11" s="55">
        <v>111</v>
      </c>
      <c r="T11" s="77">
        <f t="shared" si="1"/>
        <v>33</v>
      </c>
      <c r="U11" s="55">
        <v>645</v>
      </c>
      <c r="V11" s="78">
        <f t="shared" si="2"/>
        <v>2660.625</v>
      </c>
      <c r="W11" s="55">
        <v>2</v>
      </c>
      <c r="X11" s="55" t="s">
        <v>46</v>
      </c>
      <c r="Y11" s="55" t="s">
        <v>97</v>
      </c>
      <c r="Z11" s="55" t="s">
        <v>88</v>
      </c>
      <c r="AA11" s="55" t="s">
        <v>69</v>
      </c>
      <c r="AB11" s="55" t="s">
        <v>344</v>
      </c>
      <c r="AE11" s="223" t="s">
        <v>65</v>
      </c>
      <c r="AG11" s="64" t="s">
        <v>164</v>
      </c>
      <c r="AH11" s="64" t="s">
        <v>306</v>
      </c>
      <c r="AL11" s="76"/>
      <c r="AP11" s="65" t="s">
        <v>104</v>
      </c>
      <c r="AR11" s="231" t="s">
        <v>87</v>
      </c>
      <c r="AV11" s="65" t="s">
        <v>69</v>
      </c>
      <c r="AX11" s="66">
        <v>151</v>
      </c>
      <c r="AY11" s="67">
        <v>22</v>
      </c>
      <c r="AZ11" s="67">
        <v>152</v>
      </c>
      <c r="BA11" s="68">
        <v>18</v>
      </c>
    </row>
    <row r="12" spans="1:53" x14ac:dyDescent="0.15">
      <c r="A12" s="55" t="s">
        <v>41</v>
      </c>
      <c r="B12" s="237" t="s">
        <v>342</v>
      </c>
      <c r="C12" s="152">
        <v>2018</v>
      </c>
      <c r="D12" s="56" t="s">
        <v>362</v>
      </c>
      <c r="E12" s="237" t="s">
        <v>133</v>
      </c>
      <c r="F12" s="237" t="s">
        <v>300</v>
      </c>
      <c r="G12" s="55" t="s">
        <v>42</v>
      </c>
      <c r="H12" s="55" t="s">
        <v>157</v>
      </c>
      <c r="I12" s="55" t="s">
        <v>158</v>
      </c>
      <c r="J12" s="55" t="s">
        <v>38</v>
      </c>
      <c r="K12" s="55" t="s">
        <v>156</v>
      </c>
      <c r="L12" s="237">
        <v>2</v>
      </c>
      <c r="N12" s="55">
        <v>8</v>
      </c>
      <c r="O12" s="55">
        <v>0.65</v>
      </c>
      <c r="P12" s="55">
        <v>0.5</v>
      </c>
      <c r="Q12" s="82">
        <f t="shared" si="0"/>
        <v>0.57499999999999996</v>
      </c>
      <c r="R12" s="55">
        <v>15.8</v>
      </c>
      <c r="S12" s="55">
        <v>108</v>
      </c>
      <c r="T12" s="77">
        <f t="shared" si="1"/>
        <v>33</v>
      </c>
      <c r="U12" s="55">
        <v>645</v>
      </c>
      <c r="V12" s="78">
        <f t="shared" si="2"/>
        <v>2660.625</v>
      </c>
      <c r="W12" s="55">
        <v>2</v>
      </c>
      <c r="X12" s="55" t="s">
        <v>46</v>
      </c>
      <c r="Y12" s="55" t="s">
        <v>97</v>
      </c>
      <c r="Z12" s="55" t="s">
        <v>88</v>
      </c>
      <c r="AA12" s="55" t="s">
        <v>69</v>
      </c>
      <c r="AB12" s="55" t="s">
        <v>344</v>
      </c>
      <c r="AE12" s="223" t="s">
        <v>70</v>
      </c>
      <c r="AG12" s="70"/>
      <c r="AH12" s="70"/>
      <c r="AL12" s="76"/>
      <c r="AP12" s="65" t="s">
        <v>67</v>
      </c>
      <c r="AR12" s="231" t="s">
        <v>124</v>
      </c>
      <c r="AV12" s="65" t="s">
        <v>72</v>
      </c>
      <c r="AX12" s="79">
        <v>180</v>
      </c>
      <c r="AY12" s="80">
        <v>18</v>
      </c>
      <c r="AZ12" s="80">
        <v>181</v>
      </c>
      <c r="BA12" s="81">
        <v>16</v>
      </c>
    </row>
    <row r="13" spans="1:53" x14ac:dyDescent="0.15">
      <c r="A13" s="55" t="s">
        <v>41</v>
      </c>
      <c r="B13" s="237" t="s">
        <v>342</v>
      </c>
      <c r="C13" s="152">
        <v>2018</v>
      </c>
      <c r="D13" s="56" t="s">
        <v>362</v>
      </c>
      <c r="E13" s="237" t="s">
        <v>133</v>
      </c>
      <c r="F13" s="237" t="s">
        <v>300</v>
      </c>
      <c r="G13" s="55" t="s">
        <v>42</v>
      </c>
      <c r="H13" s="55" t="s">
        <v>157</v>
      </c>
      <c r="I13" s="55" t="s">
        <v>158</v>
      </c>
      <c r="J13" s="55" t="s">
        <v>38</v>
      </c>
      <c r="K13" s="55" t="s">
        <v>156</v>
      </c>
      <c r="L13" s="237">
        <v>3</v>
      </c>
      <c r="N13" s="55">
        <v>8</v>
      </c>
      <c r="O13" s="55">
        <v>0.35</v>
      </c>
      <c r="P13" s="55">
        <v>0.4</v>
      </c>
      <c r="Q13" s="82">
        <f t="shared" si="0"/>
        <v>0.375</v>
      </c>
      <c r="R13" s="55">
        <v>15.7</v>
      </c>
      <c r="S13" s="55">
        <v>117</v>
      </c>
      <c r="T13" s="77">
        <f t="shared" si="1"/>
        <v>30</v>
      </c>
      <c r="U13" s="55">
        <v>645</v>
      </c>
      <c r="V13" s="78">
        <f t="shared" si="2"/>
        <v>2418.75</v>
      </c>
      <c r="W13" s="237">
        <v>2</v>
      </c>
      <c r="X13" s="55" t="s">
        <v>46</v>
      </c>
      <c r="Y13" s="55" t="s">
        <v>97</v>
      </c>
      <c r="Z13" s="55" t="s">
        <v>88</v>
      </c>
      <c r="AA13" s="55" t="s">
        <v>69</v>
      </c>
      <c r="AB13" s="55" t="s">
        <v>344</v>
      </c>
      <c r="AE13" s="223" t="s">
        <v>73</v>
      </c>
      <c r="AG13" s="231"/>
      <c r="AH13" s="231"/>
      <c r="AP13" s="65" t="s">
        <v>71</v>
      </c>
      <c r="AR13" s="231" t="s">
        <v>103</v>
      </c>
      <c r="AV13" s="65" t="s">
        <v>75</v>
      </c>
    </row>
    <row r="14" spans="1:53" x14ac:dyDescent="0.15">
      <c r="A14" s="55" t="s">
        <v>41</v>
      </c>
      <c r="B14" s="237" t="s">
        <v>342</v>
      </c>
      <c r="C14" s="152">
        <v>2018</v>
      </c>
      <c r="D14" s="56" t="s">
        <v>362</v>
      </c>
      <c r="E14" s="237" t="s">
        <v>295</v>
      </c>
      <c r="F14" s="55" t="s">
        <v>300</v>
      </c>
      <c r="G14" s="55" t="s">
        <v>42</v>
      </c>
      <c r="H14" s="55" t="s">
        <v>160</v>
      </c>
      <c r="I14" s="55" t="s">
        <v>155</v>
      </c>
      <c r="J14" s="55" t="s">
        <v>38</v>
      </c>
      <c r="K14" s="55" t="s">
        <v>156</v>
      </c>
      <c r="L14" s="237">
        <v>1</v>
      </c>
      <c r="M14" s="55"/>
      <c r="N14" s="55">
        <v>6</v>
      </c>
      <c r="O14" s="55">
        <v>0.4</v>
      </c>
      <c r="P14" s="55">
        <v>0.4</v>
      </c>
      <c r="Q14" s="82">
        <f t="shared" si="0"/>
        <v>0.4</v>
      </c>
      <c r="R14" s="55">
        <v>17</v>
      </c>
      <c r="S14" s="55">
        <v>116</v>
      </c>
      <c r="T14" s="77">
        <f t="shared" si="1"/>
        <v>30</v>
      </c>
      <c r="U14" s="55">
        <v>645</v>
      </c>
      <c r="V14" s="78">
        <f t="shared" si="2"/>
        <v>3225</v>
      </c>
      <c r="W14" s="55">
        <v>1</v>
      </c>
      <c r="X14" s="55" t="s">
        <v>46</v>
      </c>
      <c r="Y14" s="55" t="s">
        <v>88</v>
      </c>
      <c r="Z14" s="55" t="s">
        <v>97</v>
      </c>
      <c r="AA14" s="55" t="s">
        <v>69</v>
      </c>
      <c r="AB14" s="55" t="s">
        <v>344</v>
      </c>
      <c r="AE14" s="223" t="s">
        <v>76</v>
      </c>
      <c r="AG14" s="231"/>
      <c r="AH14" s="231"/>
      <c r="AP14" s="65" t="s">
        <v>74</v>
      </c>
      <c r="AR14" s="231" t="s">
        <v>125</v>
      </c>
      <c r="AV14" s="65" t="s">
        <v>78</v>
      </c>
    </row>
    <row r="15" spans="1:53" x14ac:dyDescent="0.15">
      <c r="A15" s="55" t="s">
        <v>41</v>
      </c>
      <c r="B15" s="237" t="s">
        <v>342</v>
      </c>
      <c r="C15" s="152">
        <v>2018</v>
      </c>
      <c r="D15" s="56" t="s">
        <v>362</v>
      </c>
      <c r="E15" s="237" t="s">
        <v>295</v>
      </c>
      <c r="F15" s="55" t="s">
        <v>300</v>
      </c>
      <c r="G15" s="55" t="s">
        <v>42</v>
      </c>
      <c r="H15" s="55" t="s">
        <v>160</v>
      </c>
      <c r="I15" s="55" t="s">
        <v>155</v>
      </c>
      <c r="J15" s="55" t="s">
        <v>38</v>
      </c>
      <c r="K15" s="55" t="s">
        <v>156</v>
      </c>
      <c r="L15" s="237">
        <v>2</v>
      </c>
      <c r="N15" s="55">
        <v>6</v>
      </c>
      <c r="O15" s="55">
        <v>0.6</v>
      </c>
      <c r="P15" s="55">
        <v>0.55000000000000004</v>
      </c>
      <c r="Q15" s="82">
        <f t="shared" si="0"/>
        <v>0.57499999999999996</v>
      </c>
      <c r="R15" s="55">
        <v>15.2</v>
      </c>
      <c r="S15" s="55">
        <v>117</v>
      </c>
      <c r="T15" s="77">
        <f t="shared" si="1"/>
        <v>30</v>
      </c>
      <c r="U15" s="55">
        <v>645</v>
      </c>
      <c r="V15" s="78">
        <f t="shared" si="2"/>
        <v>3225</v>
      </c>
      <c r="W15" s="55">
        <v>1</v>
      </c>
      <c r="X15" s="55" t="s">
        <v>46</v>
      </c>
      <c r="Y15" s="55" t="s">
        <v>88</v>
      </c>
      <c r="Z15" s="55" t="s">
        <v>97</v>
      </c>
      <c r="AA15" s="55" t="s">
        <v>69</v>
      </c>
      <c r="AB15" s="55" t="s">
        <v>344</v>
      </c>
      <c r="AE15" s="223" t="s">
        <v>79</v>
      </c>
      <c r="AG15" s="231"/>
      <c r="AH15" s="231"/>
      <c r="AP15" s="65" t="s">
        <v>77</v>
      </c>
      <c r="AR15" s="231" t="s">
        <v>94</v>
      </c>
      <c r="AV15" s="65" t="s">
        <v>107</v>
      </c>
    </row>
    <row r="16" spans="1:53" x14ac:dyDescent="0.15">
      <c r="A16" s="55" t="s">
        <v>41</v>
      </c>
      <c r="B16" s="237" t="s">
        <v>342</v>
      </c>
      <c r="C16" s="152">
        <v>2018</v>
      </c>
      <c r="D16" s="56" t="s">
        <v>362</v>
      </c>
      <c r="E16" s="237" t="s">
        <v>295</v>
      </c>
      <c r="F16" s="55" t="s">
        <v>300</v>
      </c>
      <c r="G16" s="55" t="s">
        <v>42</v>
      </c>
      <c r="H16" s="55" t="s">
        <v>160</v>
      </c>
      <c r="I16" s="55" t="s">
        <v>155</v>
      </c>
      <c r="J16" s="55" t="s">
        <v>38</v>
      </c>
      <c r="K16" s="55" t="s">
        <v>156</v>
      </c>
      <c r="L16" s="237">
        <v>3</v>
      </c>
      <c r="N16" s="55">
        <v>6</v>
      </c>
      <c r="O16" s="55">
        <v>0.5</v>
      </c>
      <c r="P16" s="55">
        <v>0.4</v>
      </c>
      <c r="Q16" s="82">
        <f t="shared" si="0"/>
        <v>0.45</v>
      </c>
      <c r="R16" s="55">
        <v>13.1</v>
      </c>
      <c r="S16" s="55">
        <v>114</v>
      </c>
      <c r="T16" s="77">
        <f t="shared" si="1"/>
        <v>30</v>
      </c>
      <c r="U16" s="55">
        <v>645</v>
      </c>
      <c r="V16" s="78">
        <f t="shared" si="2"/>
        <v>3225</v>
      </c>
      <c r="W16" s="237">
        <v>1</v>
      </c>
      <c r="X16" s="55" t="s">
        <v>46</v>
      </c>
      <c r="Y16" s="55" t="s">
        <v>88</v>
      </c>
      <c r="Z16" s="55" t="s">
        <v>97</v>
      </c>
      <c r="AA16" s="55" t="s">
        <v>69</v>
      </c>
      <c r="AB16" s="55" t="s">
        <v>344</v>
      </c>
      <c r="AE16" s="223" t="s">
        <v>82</v>
      </c>
      <c r="AG16" s="71"/>
      <c r="AH16" s="71"/>
      <c r="AP16" s="65" t="s">
        <v>80</v>
      </c>
      <c r="AR16" s="231" t="s">
        <v>63</v>
      </c>
      <c r="AV16" s="65" t="s">
        <v>84</v>
      </c>
    </row>
    <row r="17" spans="1:49" x14ac:dyDescent="0.15">
      <c r="A17" s="55" t="s">
        <v>41</v>
      </c>
      <c r="B17" s="237" t="s">
        <v>342</v>
      </c>
      <c r="C17" s="152">
        <v>2018</v>
      </c>
      <c r="D17" s="56" t="s">
        <v>362</v>
      </c>
      <c r="E17" s="237" t="s">
        <v>295</v>
      </c>
      <c r="F17" s="55" t="s">
        <v>300</v>
      </c>
      <c r="G17" s="55" t="s">
        <v>42</v>
      </c>
      <c r="H17" s="55" t="s">
        <v>160</v>
      </c>
      <c r="I17" s="55" t="s">
        <v>155</v>
      </c>
      <c r="J17" s="55" t="s">
        <v>38</v>
      </c>
      <c r="K17" s="55" t="s">
        <v>156</v>
      </c>
      <c r="L17" s="237">
        <v>1</v>
      </c>
      <c r="M17" s="55"/>
      <c r="N17" s="55">
        <v>1</v>
      </c>
      <c r="O17" s="55">
        <v>0.4</v>
      </c>
      <c r="P17" s="55">
        <v>0.5</v>
      </c>
      <c r="Q17" s="82">
        <f t="shared" si="0"/>
        <v>0.45</v>
      </c>
      <c r="R17" s="55">
        <v>14.2</v>
      </c>
      <c r="S17" s="55">
        <v>128</v>
      </c>
      <c r="T17" s="77">
        <f t="shared" si="1"/>
        <v>27</v>
      </c>
      <c r="U17" s="55">
        <v>105</v>
      </c>
      <c r="V17" s="78">
        <f t="shared" si="2"/>
        <v>2835</v>
      </c>
      <c r="W17" s="55">
        <v>3</v>
      </c>
      <c r="X17" s="55" t="s">
        <v>46</v>
      </c>
      <c r="Y17" s="55" t="s">
        <v>88</v>
      </c>
      <c r="Z17" s="55" t="s">
        <v>97</v>
      </c>
      <c r="AA17" s="55" t="s">
        <v>69</v>
      </c>
      <c r="AB17" s="55" t="s">
        <v>344</v>
      </c>
      <c r="AE17" s="223" t="s">
        <v>85</v>
      </c>
      <c r="AP17" s="239" t="s">
        <v>110</v>
      </c>
      <c r="AR17" s="231" t="s">
        <v>96</v>
      </c>
      <c r="AV17" s="65" t="s">
        <v>86</v>
      </c>
    </row>
    <row r="18" spans="1:49" x14ac:dyDescent="0.15">
      <c r="A18" s="55" t="s">
        <v>41</v>
      </c>
      <c r="B18" s="237" t="s">
        <v>342</v>
      </c>
      <c r="C18" s="152">
        <v>2018</v>
      </c>
      <c r="D18" s="56" t="s">
        <v>362</v>
      </c>
      <c r="E18" s="237" t="s">
        <v>295</v>
      </c>
      <c r="F18" s="55" t="s">
        <v>300</v>
      </c>
      <c r="G18" s="55" t="s">
        <v>42</v>
      </c>
      <c r="H18" s="55" t="s">
        <v>160</v>
      </c>
      <c r="I18" s="55" t="s">
        <v>155</v>
      </c>
      <c r="J18" s="55" t="s">
        <v>38</v>
      </c>
      <c r="K18" s="55" t="s">
        <v>156</v>
      </c>
      <c r="L18" s="237">
        <v>2</v>
      </c>
      <c r="N18" s="55">
        <v>1</v>
      </c>
      <c r="O18" s="55">
        <v>0.35</v>
      </c>
      <c r="P18" s="55">
        <v>0.5</v>
      </c>
      <c r="Q18" s="57">
        <f t="shared" si="0"/>
        <v>0.42499999999999999</v>
      </c>
      <c r="R18" s="237">
        <v>16.8</v>
      </c>
      <c r="S18" s="237">
        <v>124</v>
      </c>
      <c r="T18" s="77">
        <f t="shared" si="1"/>
        <v>27</v>
      </c>
      <c r="U18" s="55">
        <v>105</v>
      </c>
      <c r="V18" s="58">
        <f t="shared" si="2"/>
        <v>2835</v>
      </c>
      <c r="W18" s="237">
        <v>3</v>
      </c>
      <c r="X18" s="55" t="s">
        <v>46</v>
      </c>
      <c r="Y18" s="55" t="s">
        <v>88</v>
      </c>
      <c r="Z18" s="55" t="s">
        <v>97</v>
      </c>
      <c r="AA18" s="55" t="s">
        <v>69</v>
      </c>
      <c r="AB18" s="55" t="s">
        <v>344</v>
      </c>
      <c r="AE18" s="223" t="s">
        <v>87</v>
      </c>
      <c r="AP18" s="239" t="s">
        <v>111</v>
      </c>
      <c r="AR18" s="231" t="s">
        <v>101</v>
      </c>
      <c r="AV18" s="65" t="s">
        <v>88</v>
      </c>
    </row>
    <row r="19" spans="1:49" x14ac:dyDescent="0.15">
      <c r="A19" s="55" t="s">
        <v>41</v>
      </c>
      <c r="B19" s="237" t="s">
        <v>342</v>
      </c>
      <c r="C19" s="152">
        <v>2018</v>
      </c>
      <c r="D19" s="56" t="s">
        <v>362</v>
      </c>
      <c r="E19" s="237" t="s">
        <v>295</v>
      </c>
      <c r="F19" s="55" t="s">
        <v>300</v>
      </c>
      <c r="G19" s="55" t="s">
        <v>42</v>
      </c>
      <c r="H19" s="55" t="s">
        <v>160</v>
      </c>
      <c r="I19" s="55" t="s">
        <v>155</v>
      </c>
      <c r="J19" s="55" t="s">
        <v>38</v>
      </c>
      <c r="K19" s="55" t="s">
        <v>156</v>
      </c>
      <c r="L19" s="237">
        <v>3</v>
      </c>
      <c r="N19" s="55">
        <v>1</v>
      </c>
      <c r="O19" s="55">
        <v>0.25</v>
      </c>
      <c r="P19" s="55">
        <v>0.35</v>
      </c>
      <c r="Q19" s="57">
        <f t="shared" si="0"/>
        <v>0.3</v>
      </c>
      <c r="R19" s="237">
        <v>17.399999999999999</v>
      </c>
      <c r="S19" s="237">
        <v>131</v>
      </c>
      <c r="T19" s="77">
        <f t="shared" si="1"/>
        <v>25</v>
      </c>
      <c r="U19" s="55">
        <v>105</v>
      </c>
      <c r="V19" s="58">
        <f t="shared" si="2"/>
        <v>2625</v>
      </c>
      <c r="W19" s="237">
        <v>3</v>
      </c>
      <c r="X19" s="55" t="s">
        <v>46</v>
      </c>
      <c r="Y19" s="55" t="s">
        <v>88</v>
      </c>
      <c r="Z19" s="55" t="s">
        <v>97</v>
      </c>
      <c r="AA19" s="55" t="s">
        <v>69</v>
      </c>
      <c r="AB19" s="55" t="s">
        <v>344</v>
      </c>
      <c r="AE19" s="236" t="s">
        <v>89</v>
      </c>
      <c r="AP19" s="239" t="s">
        <v>112</v>
      </c>
      <c r="AR19" s="231" t="s">
        <v>126</v>
      </c>
      <c r="AV19" s="65" t="s">
        <v>90</v>
      </c>
    </row>
    <row r="20" spans="1:49" x14ac:dyDescent="0.15">
      <c r="A20" s="55" t="s">
        <v>41</v>
      </c>
      <c r="B20" s="237" t="s">
        <v>342</v>
      </c>
      <c r="C20" s="152">
        <v>2018</v>
      </c>
      <c r="D20" s="56" t="s">
        <v>362</v>
      </c>
      <c r="E20" s="237" t="s">
        <v>295</v>
      </c>
      <c r="F20" s="55" t="s">
        <v>300</v>
      </c>
      <c r="G20" s="55" t="s">
        <v>42</v>
      </c>
      <c r="H20" s="55" t="s">
        <v>160</v>
      </c>
      <c r="I20" s="55" t="s">
        <v>155</v>
      </c>
      <c r="J20" s="55" t="s">
        <v>38</v>
      </c>
      <c r="K20" s="55" t="s">
        <v>156</v>
      </c>
      <c r="L20" s="237">
        <v>1</v>
      </c>
      <c r="N20" s="55">
        <v>3</v>
      </c>
      <c r="O20" s="55">
        <v>0.65</v>
      </c>
      <c r="P20" s="55">
        <v>0.4</v>
      </c>
      <c r="Q20" s="57">
        <f t="shared" si="0"/>
        <v>0.52500000000000002</v>
      </c>
      <c r="R20" s="237">
        <v>18.100000000000001</v>
      </c>
      <c r="S20" s="237">
        <v>129</v>
      </c>
      <c r="T20" s="57">
        <f t="shared" si="1"/>
        <v>25</v>
      </c>
      <c r="U20" s="55">
        <v>429</v>
      </c>
      <c r="V20" s="58">
        <f t="shared" si="2"/>
        <v>3575</v>
      </c>
      <c r="W20" s="237">
        <v>1</v>
      </c>
      <c r="X20" s="55" t="s">
        <v>46</v>
      </c>
      <c r="Y20" s="55" t="s">
        <v>88</v>
      </c>
      <c r="Z20" s="55" t="s">
        <v>97</v>
      </c>
      <c r="AA20" s="55" t="s">
        <v>69</v>
      </c>
      <c r="AB20" s="55" t="s">
        <v>344</v>
      </c>
      <c r="AE20" s="236"/>
      <c r="AP20" s="239" t="s">
        <v>113</v>
      </c>
      <c r="AR20" s="231" t="s">
        <v>105</v>
      </c>
      <c r="AV20" s="69" t="s">
        <v>373</v>
      </c>
    </row>
    <row r="21" spans="1:49" x14ac:dyDescent="0.15">
      <c r="A21" s="55" t="s">
        <v>41</v>
      </c>
      <c r="B21" s="237" t="s">
        <v>342</v>
      </c>
      <c r="C21" s="152">
        <v>2018</v>
      </c>
      <c r="D21" s="56" t="s">
        <v>362</v>
      </c>
      <c r="E21" s="237" t="s">
        <v>295</v>
      </c>
      <c r="F21" s="55" t="s">
        <v>300</v>
      </c>
      <c r="G21" s="55" t="s">
        <v>42</v>
      </c>
      <c r="H21" s="55" t="s">
        <v>160</v>
      </c>
      <c r="I21" s="55" t="s">
        <v>155</v>
      </c>
      <c r="J21" s="55" t="s">
        <v>38</v>
      </c>
      <c r="K21" s="55" t="s">
        <v>156</v>
      </c>
      <c r="L21" s="237">
        <v>2</v>
      </c>
      <c r="N21" s="55">
        <v>3</v>
      </c>
      <c r="O21" s="55">
        <v>0.7</v>
      </c>
      <c r="P21" s="55">
        <v>0.7</v>
      </c>
      <c r="Q21" s="57">
        <f t="shared" si="0"/>
        <v>0.7</v>
      </c>
      <c r="R21" s="237">
        <v>15.8</v>
      </c>
      <c r="S21" s="237">
        <v>131</v>
      </c>
      <c r="T21" s="57">
        <f t="shared" si="1"/>
        <v>25</v>
      </c>
      <c r="U21" s="55">
        <v>429</v>
      </c>
      <c r="V21" s="58">
        <f t="shared" si="2"/>
        <v>3575</v>
      </c>
      <c r="W21" s="237">
        <v>1</v>
      </c>
      <c r="X21" s="55" t="s">
        <v>46</v>
      </c>
      <c r="Y21" s="55" t="s">
        <v>88</v>
      </c>
      <c r="Z21" s="55" t="s">
        <v>97</v>
      </c>
      <c r="AA21" s="55" t="s">
        <v>69</v>
      </c>
      <c r="AB21" s="55" t="s">
        <v>344</v>
      </c>
      <c r="AE21" s="244"/>
      <c r="AP21" s="239" t="s">
        <v>114</v>
      </c>
      <c r="AR21" s="231" t="s">
        <v>68</v>
      </c>
      <c r="AV21" s="69" t="s">
        <v>374</v>
      </c>
    </row>
    <row r="22" spans="1:49" x14ac:dyDescent="0.15">
      <c r="A22" s="55" t="s">
        <v>41</v>
      </c>
      <c r="B22" s="237" t="s">
        <v>342</v>
      </c>
      <c r="C22" s="152">
        <v>2018</v>
      </c>
      <c r="D22" s="56" t="s">
        <v>362</v>
      </c>
      <c r="E22" s="237" t="s">
        <v>295</v>
      </c>
      <c r="F22" s="55" t="s">
        <v>300</v>
      </c>
      <c r="G22" s="55" t="s">
        <v>42</v>
      </c>
      <c r="H22" s="55" t="s">
        <v>160</v>
      </c>
      <c r="I22" s="55" t="s">
        <v>155</v>
      </c>
      <c r="J22" s="55" t="s">
        <v>38</v>
      </c>
      <c r="K22" s="55" t="s">
        <v>156</v>
      </c>
      <c r="L22" s="237">
        <v>3</v>
      </c>
      <c r="N22" s="55">
        <v>3</v>
      </c>
      <c r="O22" s="55">
        <v>0.6</v>
      </c>
      <c r="P22" s="55">
        <v>0.7</v>
      </c>
      <c r="Q22" s="57">
        <f t="shared" si="0"/>
        <v>0.64999999999999991</v>
      </c>
      <c r="R22" s="237">
        <v>19.399999999999999</v>
      </c>
      <c r="S22" s="237">
        <v>130</v>
      </c>
      <c r="T22" s="57">
        <f t="shared" si="1"/>
        <v>25</v>
      </c>
      <c r="U22" s="55">
        <v>429</v>
      </c>
      <c r="V22" s="58">
        <f t="shared" si="2"/>
        <v>3575</v>
      </c>
      <c r="W22" s="237">
        <v>1</v>
      </c>
      <c r="X22" s="55" t="s">
        <v>46</v>
      </c>
      <c r="Y22" s="55" t="s">
        <v>88</v>
      </c>
      <c r="Z22" s="55" t="s">
        <v>97</v>
      </c>
      <c r="AA22" s="55" t="s">
        <v>69</v>
      </c>
      <c r="AB22" s="55" t="s">
        <v>344</v>
      </c>
      <c r="AP22" s="239" t="s">
        <v>115</v>
      </c>
      <c r="AR22" s="231" t="s">
        <v>83</v>
      </c>
      <c r="AV22" s="69"/>
    </row>
    <row r="23" spans="1:49" x14ac:dyDescent="0.15">
      <c r="A23" s="55" t="s">
        <v>41</v>
      </c>
      <c r="B23" s="237" t="s">
        <v>342</v>
      </c>
      <c r="C23" s="152">
        <v>2018</v>
      </c>
      <c r="D23" s="56" t="s">
        <v>362</v>
      </c>
      <c r="E23" s="237" t="s">
        <v>295</v>
      </c>
      <c r="F23" s="55" t="s">
        <v>300</v>
      </c>
      <c r="G23" s="55" t="s">
        <v>42</v>
      </c>
      <c r="H23" s="55" t="s">
        <v>160</v>
      </c>
      <c r="I23" s="55" t="s">
        <v>155</v>
      </c>
      <c r="J23" s="55" t="s">
        <v>38</v>
      </c>
      <c r="K23" s="55" t="s">
        <v>156</v>
      </c>
      <c r="L23" s="237">
        <v>1</v>
      </c>
      <c r="M23" s="55"/>
      <c r="N23" s="55">
        <v>10</v>
      </c>
      <c r="O23" s="55">
        <v>0.7</v>
      </c>
      <c r="P23" s="55">
        <v>0.65</v>
      </c>
      <c r="Q23" s="57">
        <f t="shared" si="0"/>
        <v>0.67500000000000004</v>
      </c>
      <c r="R23" s="237">
        <v>15.4</v>
      </c>
      <c r="S23" s="237">
        <v>107</v>
      </c>
      <c r="T23" s="77">
        <f t="shared" si="1"/>
        <v>33</v>
      </c>
      <c r="U23" s="55">
        <v>1058</v>
      </c>
      <c r="V23" s="78">
        <f t="shared" si="2"/>
        <v>3491.4</v>
      </c>
      <c r="W23" s="55">
        <v>1</v>
      </c>
      <c r="X23" s="55" t="s">
        <v>46</v>
      </c>
      <c r="Y23" s="55" t="s">
        <v>88</v>
      </c>
      <c r="Z23" s="55" t="s">
        <v>97</v>
      </c>
      <c r="AA23" s="55" t="s">
        <v>69</v>
      </c>
      <c r="AB23" s="55" t="s">
        <v>344</v>
      </c>
      <c r="AP23" s="239" t="s">
        <v>117</v>
      </c>
      <c r="AR23" s="244" t="s">
        <v>294</v>
      </c>
      <c r="AV23" s="244"/>
    </row>
    <row r="24" spans="1:49" x14ac:dyDescent="0.15">
      <c r="A24" s="55" t="s">
        <v>41</v>
      </c>
      <c r="B24" s="237" t="s">
        <v>342</v>
      </c>
      <c r="C24" s="152">
        <v>2018</v>
      </c>
      <c r="D24" s="56" t="s">
        <v>362</v>
      </c>
      <c r="E24" s="237" t="s">
        <v>295</v>
      </c>
      <c r="F24" s="55" t="s">
        <v>300</v>
      </c>
      <c r="G24" s="55" t="s">
        <v>42</v>
      </c>
      <c r="H24" s="55" t="s">
        <v>160</v>
      </c>
      <c r="I24" s="55" t="s">
        <v>155</v>
      </c>
      <c r="J24" s="55" t="s">
        <v>38</v>
      </c>
      <c r="K24" s="55" t="s">
        <v>156</v>
      </c>
      <c r="L24" s="237">
        <v>2</v>
      </c>
      <c r="N24" s="55">
        <v>10</v>
      </c>
      <c r="O24" s="55">
        <v>0.6</v>
      </c>
      <c r="P24" s="55">
        <v>0.5</v>
      </c>
      <c r="Q24" s="57">
        <f t="shared" si="0"/>
        <v>0.55000000000000004</v>
      </c>
      <c r="R24" s="237">
        <v>14.1</v>
      </c>
      <c r="S24" s="237">
        <v>109</v>
      </c>
      <c r="T24" s="77">
        <f t="shared" si="1"/>
        <v>33</v>
      </c>
      <c r="U24" s="55">
        <v>1058</v>
      </c>
      <c r="V24" s="58">
        <f t="shared" si="2"/>
        <v>3491.4</v>
      </c>
      <c r="W24" s="237">
        <v>1</v>
      </c>
      <c r="X24" s="55" t="s">
        <v>46</v>
      </c>
      <c r="Y24" s="55" t="s">
        <v>88</v>
      </c>
      <c r="Z24" s="55" t="s">
        <v>97</v>
      </c>
      <c r="AA24" s="55" t="s">
        <v>69</v>
      </c>
      <c r="AB24" s="55" t="s">
        <v>344</v>
      </c>
      <c r="AP24" s="239" t="s">
        <v>118</v>
      </c>
    </row>
    <row r="25" spans="1:49" x14ac:dyDescent="0.15">
      <c r="A25" s="55" t="s">
        <v>41</v>
      </c>
      <c r="B25" s="237" t="s">
        <v>342</v>
      </c>
      <c r="C25" s="152">
        <v>2018</v>
      </c>
      <c r="D25" s="56" t="s">
        <v>362</v>
      </c>
      <c r="E25" s="237" t="s">
        <v>295</v>
      </c>
      <c r="F25" s="55" t="s">
        <v>300</v>
      </c>
      <c r="G25" s="55" t="s">
        <v>42</v>
      </c>
      <c r="H25" s="55" t="s">
        <v>160</v>
      </c>
      <c r="I25" s="55" t="s">
        <v>155</v>
      </c>
      <c r="J25" s="55" t="s">
        <v>38</v>
      </c>
      <c r="K25" s="55" t="s">
        <v>156</v>
      </c>
      <c r="L25" s="237">
        <v>3</v>
      </c>
      <c r="N25" s="55">
        <v>10</v>
      </c>
      <c r="O25" s="55">
        <v>0.5</v>
      </c>
      <c r="P25" s="55">
        <v>0.45</v>
      </c>
      <c r="Q25" s="57">
        <f t="shared" si="0"/>
        <v>0.47499999999999998</v>
      </c>
      <c r="R25" s="237">
        <v>13.2</v>
      </c>
      <c r="S25" s="237">
        <v>111</v>
      </c>
      <c r="T25" s="77">
        <f t="shared" si="1"/>
        <v>33</v>
      </c>
      <c r="U25" s="55">
        <v>1058</v>
      </c>
      <c r="V25" s="58">
        <f t="shared" si="2"/>
        <v>3491.4</v>
      </c>
      <c r="W25" s="237">
        <v>1</v>
      </c>
      <c r="X25" s="55" t="s">
        <v>46</v>
      </c>
      <c r="Y25" s="55" t="s">
        <v>88</v>
      </c>
      <c r="Z25" s="55" t="s">
        <v>97</v>
      </c>
      <c r="AA25" s="55" t="s">
        <v>69</v>
      </c>
      <c r="AB25" s="55" t="s">
        <v>344</v>
      </c>
    </row>
    <row r="26" spans="1:49" x14ac:dyDescent="0.15">
      <c r="A26" s="55" t="s">
        <v>41</v>
      </c>
      <c r="B26" s="237" t="s">
        <v>342</v>
      </c>
      <c r="C26" s="152">
        <v>2018</v>
      </c>
      <c r="D26" s="56" t="s">
        <v>362</v>
      </c>
      <c r="E26" s="237" t="s">
        <v>295</v>
      </c>
      <c r="F26" s="55" t="s">
        <v>300</v>
      </c>
      <c r="G26" s="55" t="s">
        <v>42</v>
      </c>
      <c r="H26" s="55" t="s">
        <v>157</v>
      </c>
      <c r="I26" s="55" t="s">
        <v>155</v>
      </c>
      <c r="J26" s="55" t="s">
        <v>38</v>
      </c>
      <c r="K26" s="55" t="s">
        <v>156</v>
      </c>
      <c r="L26" s="237">
        <v>1</v>
      </c>
      <c r="M26" s="55"/>
      <c r="N26" s="55">
        <v>3</v>
      </c>
      <c r="O26" s="55">
        <v>0.7</v>
      </c>
      <c r="P26" s="55">
        <v>0.6</v>
      </c>
      <c r="Q26" s="57">
        <f t="shared" si="0"/>
        <v>0.64999999999999991</v>
      </c>
      <c r="R26" s="237">
        <v>13.8</v>
      </c>
      <c r="S26" s="237">
        <v>131</v>
      </c>
      <c r="T26" s="77">
        <f t="shared" si="1"/>
        <v>25</v>
      </c>
      <c r="U26" s="55">
        <v>429</v>
      </c>
      <c r="V26" s="78">
        <f t="shared" si="2"/>
        <v>3575</v>
      </c>
      <c r="W26" s="55">
        <v>1</v>
      </c>
      <c r="X26" s="55" t="s">
        <v>46</v>
      </c>
      <c r="Y26" s="55" t="s">
        <v>88</v>
      </c>
      <c r="Z26" s="55" t="s">
        <v>97</v>
      </c>
      <c r="AA26" s="55" t="s">
        <v>69</v>
      </c>
      <c r="AB26" s="55" t="s">
        <v>344</v>
      </c>
    </row>
    <row r="27" spans="1:49" x14ac:dyDescent="0.15">
      <c r="A27" s="55" t="s">
        <v>41</v>
      </c>
      <c r="B27" s="237" t="s">
        <v>342</v>
      </c>
      <c r="C27" s="152">
        <v>2018</v>
      </c>
      <c r="D27" s="56" t="s">
        <v>362</v>
      </c>
      <c r="E27" s="237" t="s">
        <v>295</v>
      </c>
      <c r="F27" s="55" t="s">
        <v>300</v>
      </c>
      <c r="G27" s="55" t="s">
        <v>42</v>
      </c>
      <c r="H27" s="55" t="s">
        <v>157</v>
      </c>
      <c r="I27" s="55" t="s">
        <v>155</v>
      </c>
      <c r="J27" s="55" t="s">
        <v>38</v>
      </c>
      <c r="K27" s="55" t="s">
        <v>156</v>
      </c>
      <c r="L27" s="237">
        <v>2</v>
      </c>
      <c r="N27" s="55">
        <v>3</v>
      </c>
      <c r="O27" s="55">
        <v>0.8</v>
      </c>
      <c r="P27" s="55">
        <v>0.75</v>
      </c>
      <c r="Q27" s="57">
        <f t="shared" si="0"/>
        <v>0.77500000000000002</v>
      </c>
      <c r="R27" s="237">
        <v>15.7</v>
      </c>
      <c r="S27" s="237">
        <v>124</v>
      </c>
      <c r="T27" s="77">
        <f t="shared" si="1"/>
        <v>27</v>
      </c>
      <c r="U27" s="55">
        <v>429</v>
      </c>
      <c r="V27" s="78">
        <f t="shared" si="2"/>
        <v>3861</v>
      </c>
      <c r="W27" s="55">
        <v>1</v>
      </c>
      <c r="X27" s="55" t="s">
        <v>46</v>
      </c>
      <c r="Y27" s="55" t="s">
        <v>88</v>
      </c>
      <c r="Z27" s="55" t="s">
        <v>97</v>
      </c>
      <c r="AA27" s="55" t="s">
        <v>69</v>
      </c>
      <c r="AB27" s="55" t="s">
        <v>344</v>
      </c>
    </row>
    <row r="28" spans="1:49" x14ac:dyDescent="0.15">
      <c r="A28" s="55" t="s">
        <v>41</v>
      </c>
      <c r="B28" s="237" t="s">
        <v>342</v>
      </c>
      <c r="C28" s="152">
        <v>2018</v>
      </c>
      <c r="D28" s="56" t="s">
        <v>362</v>
      </c>
      <c r="E28" s="237" t="s">
        <v>295</v>
      </c>
      <c r="F28" s="55" t="s">
        <v>300</v>
      </c>
      <c r="G28" s="55" t="s">
        <v>42</v>
      </c>
      <c r="H28" s="55" t="s">
        <v>157</v>
      </c>
      <c r="I28" s="55" t="s">
        <v>155</v>
      </c>
      <c r="J28" s="55" t="s">
        <v>38</v>
      </c>
      <c r="K28" s="55" t="s">
        <v>156</v>
      </c>
      <c r="L28" s="237">
        <v>3</v>
      </c>
      <c r="N28" s="55">
        <v>3</v>
      </c>
      <c r="O28" s="55">
        <v>0.9</v>
      </c>
      <c r="P28" s="55">
        <v>1</v>
      </c>
      <c r="Q28" s="57">
        <f t="shared" si="0"/>
        <v>0.95</v>
      </c>
      <c r="R28" s="237">
        <v>15.4</v>
      </c>
      <c r="S28" s="237">
        <v>125</v>
      </c>
      <c r="T28" s="77">
        <f t="shared" si="1"/>
        <v>27</v>
      </c>
      <c r="U28" s="55">
        <v>429</v>
      </c>
      <c r="V28" s="78">
        <f t="shared" si="2"/>
        <v>3861</v>
      </c>
      <c r="W28" s="237">
        <v>1</v>
      </c>
      <c r="X28" s="55" t="s">
        <v>46</v>
      </c>
      <c r="Y28" s="55" t="s">
        <v>88</v>
      </c>
      <c r="Z28" s="55" t="s">
        <v>97</v>
      </c>
      <c r="AA28" s="55" t="s">
        <v>69</v>
      </c>
      <c r="AB28" s="55" t="s">
        <v>344</v>
      </c>
    </row>
    <row r="29" spans="1:49" x14ac:dyDescent="0.15">
      <c r="A29" s="55" t="s">
        <v>41</v>
      </c>
      <c r="B29" s="237" t="s">
        <v>342</v>
      </c>
      <c r="C29" s="152">
        <v>2018</v>
      </c>
      <c r="D29" s="56" t="s">
        <v>362</v>
      </c>
      <c r="E29" s="237" t="s">
        <v>295</v>
      </c>
      <c r="F29" s="237" t="s">
        <v>300</v>
      </c>
      <c r="G29" s="55" t="s">
        <v>42</v>
      </c>
      <c r="H29" s="55" t="s">
        <v>157</v>
      </c>
      <c r="I29" s="55" t="s">
        <v>155</v>
      </c>
      <c r="J29" s="55" t="s">
        <v>38</v>
      </c>
      <c r="K29" s="55" t="s">
        <v>156</v>
      </c>
      <c r="L29" s="237">
        <v>1</v>
      </c>
      <c r="M29" s="55"/>
      <c r="N29" s="55">
        <v>1</v>
      </c>
      <c r="O29" s="55">
        <v>0.35</v>
      </c>
      <c r="P29" s="55">
        <v>0.2</v>
      </c>
      <c r="Q29" s="57">
        <f t="shared" si="0"/>
        <v>0.27500000000000002</v>
      </c>
      <c r="R29" s="237">
        <v>13.8</v>
      </c>
      <c r="S29" s="237">
        <v>128</v>
      </c>
      <c r="T29" s="77">
        <f t="shared" si="1"/>
        <v>27</v>
      </c>
      <c r="U29" s="55">
        <v>105</v>
      </c>
      <c r="V29" s="78">
        <f t="shared" si="2"/>
        <v>2835</v>
      </c>
      <c r="W29" s="55">
        <v>3</v>
      </c>
      <c r="X29" s="55" t="s">
        <v>46</v>
      </c>
      <c r="Y29" s="55" t="s">
        <v>88</v>
      </c>
      <c r="Z29" s="55" t="s">
        <v>97</v>
      </c>
      <c r="AA29" s="55" t="s">
        <v>69</v>
      </c>
      <c r="AB29" s="55" t="s">
        <v>344</v>
      </c>
    </row>
    <row r="30" spans="1:49" x14ac:dyDescent="0.15">
      <c r="A30" s="55" t="s">
        <v>41</v>
      </c>
      <c r="B30" s="237" t="s">
        <v>342</v>
      </c>
      <c r="C30" s="152">
        <v>2018</v>
      </c>
      <c r="D30" s="56" t="s">
        <v>362</v>
      </c>
      <c r="E30" s="237" t="s">
        <v>295</v>
      </c>
      <c r="F30" s="237" t="s">
        <v>300</v>
      </c>
      <c r="G30" s="55" t="s">
        <v>42</v>
      </c>
      <c r="H30" s="55" t="s">
        <v>157</v>
      </c>
      <c r="I30" s="55" t="s">
        <v>155</v>
      </c>
      <c r="J30" s="55" t="s">
        <v>38</v>
      </c>
      <c r="K30" s="55" t="s">
        <v>156</v>
      </c>
      <c r="L30" s="237">
        <v>2</v>
      </c>
      <c r="N30" s="55">
        <v>1</v>
      </c>
      <c r="O30" s="55">
        <v>0.2</v>
      </c>
      <c r="P30" s="55">
        <v>0.3</v>
      </c>
      <c r="Q30" s="57">
        <f t="shared" si="0"/>
        <v>0.25</v>
      </c>
      <c r="R30" s="237">
        <v>15</v>
      </c>
      <c r="S30" s="237">
        <v>124</v>
      </c>
      <c r="T30" s="77">
        <f t="shared" si="1"/>
        <v>27</v>
      </c>
      <c r="U30" s="55">
        <v>105</v>
      </c>
      <c r="V30" s="58">
        <f t="shared" si="2"/>
        <v>2835</v>
      </c>
      <c r="W30" s="237">
        <v>3</v>
      </c>
      <c r="X30" s="55" t="s">
        <v>46</v>
      </c>
      <c r="Y30" s="55" t="s">
        <v>88</v>
      </c>
      <c r="Z30" s="55" t="s">
        <v>97</v>
      </c>
      <c r="AA30" s="55" t="s">
        <v>69</v>
      </c>
      <c r="AB30" s="55" t="s">
        <v>344</v>
      </c>
      <c r="AE30" s="253"/>
      <c r="AF30" s="253"/>
      <c r="AG30" s="253"/>
      <c r="AH30" s="253"/>
      <c r="AI30" s="253"/>
      <c r="AJ30" s="253"/>
      <c r="AK30" s="253"/>
      <c r="AL30" s="253"/>
      <c r="AM30" s="253"/>
      <c r="AN30" s="253"/>
      <c r="AO30" s="253"/>
      <c r="AP30" s="253"/>
      <c r="AQ30" s="253"/>
      <c r="AR30" s="253"/>
      <c r="AS30" s="253"/>
      <c r="AT30" s="253"/>
      <c r="AU30" s="253"/>
      <c r="AV30" s="253"/>
      <c r="AW30" s="253"/>
    </row>
    <row r="31" spans="1:49" x14ac:dyDescent="0.15">
      <c r="A31" s="55" t="s">
        <v>41</v>
      </c>
      <c r="B31" s="237" t="s">
        <v>342</v>
      </c>
      <c r="C31" s="152">
        <v>2018</v>
      </c>
      <c r="D31" s="56" t="s">
        <v>362</v>
      </c>
      <c r="E31" s="237" t="s">
        <v>295</v>
      </c>
      <c r="F31" s="237" t="s">
        <v>300</v>
      </c>
      <c r="G31" s="55" t="s">
        <v>42</v>
      </c>
      <c r="H31" s="55" t="s">
        <v>157</v>
      </c>
      <c r="I31" s="55" t="s">
        <v>155</v>
      </c>
      <c r="J31" s="55" t="s">
        <v>38</v>
      </c>
      <c r="K31" s="55" t="s">
        <v>156</v>
      </c>
      <c r="L31" s="237">
        <v>3</v>
      </c>
      <c r="N31" s="55">
        <v>1</v>
      </c>
      <c r="O31" s="55">
        <v>0.2</v>
      </c>
      <c r="P31" s="55">
        <v>0.2</v>
      </c>
      <c r="Q31" s="57">
        <f t="shared" si="0"/>
        <v>0.2</v>
      </c>
      <c r="R31" s="237">
        <v>12.9</v>
      </c>
      <c r="S31" s="55">
        <v>122</v>
      </c>
      <c r="T31" s="77">
        <f t="shared" si="1"/>
        <v>27</v>
      </c>
      <c r="U31" s="55">
        <v>105</v>
      </c>
      <c r="V31" s="58">
        <f t="shared" si="2"/>
        <v>2835</v>
      </c>
      <c r="W31" s="237">
        <v>3</v>
      </c>
      <c r="X31" s="55" t="s">
        <v>46</v>
      </c>
      <c r="Y31" s="55" t="s">
        <v>88</v>
      </c>
      <c r="Z31" s="55" t="s">
        <v>97</v>
      </c>
      <c r="AA31" s="55" t="s">
        <v>69</v>
      </c>
      <c r="AB31" s="55" t="s">
        <v>344</v>
      </c>
      <c r="AE31" s="253"/>
      <c r="AF31" s="253"/>
      <c r="AG31" s="253"/>
      <c r="AH31" s="253"/>
      <c r="AI31" s="253"/>
      <c r="AJ31" s="253"/>
      <c r="AK31" s="253"/>
      <c r="AL31" s="253"/>
      <c r="AM31" s="253"/>
      <c r="AN31" s="253"/>
      <c r="AO31" s="253"/>
      <c r="AP31" s="253"/>
      <c r="AQ31" s="253"/>
      <c r="AR31" s="253"/>
      <c r="AS31" s="253"/>
      <c r="AT31" s="253"/>
      <c r="AU31" s="253"/>
      <c r="AV31" s="253"/>
      <c r="AW31" s="253"/>
    </row>
    <row r="32" spans="1:49" x14ac:dyDescent="0.15">
      <c r="A32" s="55" t="s">
        <v>41</v>
      </c>
      <c r="B32" s="237" t="s">
        <v>342</v>
      </c>
      <c r="C32" s="152">
        <v>2018</v>
      </c>
      <c r="D32" s="56" t="s">
        <v>362</v>
      </c>
      <c r="E32" s="237" t="s">
        <v>295</v>
      </c>
      <c r="F32" s="237" t="s">
        <v>301</v>
      </c>
      <c r="G32" s="55" t="s">
        <v>42</v>
      </c>
      <c r="H32" s="55" t="s">
        <v>157</v>
      </c>
      <c r="I32" s="55" t="s">
        <v>155</v>
      </c>
      <c r="J32" s="55" t="s">
        <v>38</v>
      </c>
      <c r="K32" s="55" t="s">
        <v>156</v>
      </c>
      <c r="L32" s="237">
        <v>1</v>
      </c>
      <c r="M32" s="55"/>
      <c r="N32" s="55">
        <v>1</v>
      </c>
      <c r="O32" s="237">
        <v>0.4</v>
      </c>
      <c r="P32" s="237">
        <v>0.3</v>
      </c>
      <c r="Q32" s="57">
        <f t="shared" si="0"/>
        <v>0.35</v>
      </c>
      <c r="R32" s="237">
        <v>15.8</v>
      </c>
      <c r="S32" s="55">
        <v>124</v>
      </c>
      <c r="T32" s="77">
        <f t="shared" si="1"/>
        <v>27</v>
      </c>
      <c r="U32" s="55">
        <v>105</v>
      </c>
      <c r="V32" s="78">
        <f t="shared" si="2"/>
        <v>2835</v>
      </c>
      <c r="W32" s="55">
        <v>2</v>
      </c>
      <c r="X32" s="55" t="s">
        <v>46</v>
      </c>
      <c r="Y32" s="55" t="s">
        <v>97</v>
      </c>
      <c r="Z32" s="55" t="s">
        <v>88</v>
      </c>
      <c r="AA32" s="55" t="s">
        <v>69</v>
      </c>
      <c r="AB32" s="55" t="s">
        <v>344</v>
      </c>
      <c r="AE32" s="256"/>
      <c r="AF32" s="253"/>
      <c r="AG32" s="257"/>
      <c r="AH32" s="257"/>
      <c r="AI32" s="253"/>
      <c r="AJ32" s="253"/>
      <c r="AK32" s="253"/>
      <c r="AL32" s="253"/>
      <c r="AM32" s="253"/>
      <c r="AN32" s="253"/>
      <c r="AO32" s="253"/>
      <c r="AP32" s="253"/>
      <c r="AQ32" s="253"/>
      <c r="AR32" s="257"/>
      <c r="AS32" s="253"/>
      <c r="AT32" s="253"/>
      <c r="AU32" s="253"/>
      <c r="AV32" s="253"/>
      <c r="AW32" s="253"/>
    </row>
    <row r="33" spans="1:49" x14ac:dyDescent="0.15">
      <c r="A33" s="55" t="s">
        <v>41</v>
      </c>
      <c r="B33" s="237" t="s">
        <v>342</v>
      </c>
      <c r="C33" s="152">
        <v>2018</v>
      </c>
      <c r="D33" s="56" t="s">
        <v>362</v>
      </c>
      <c r="E33" s="237" t="s">
        <v>295</v>
      </c>
      <c r="F33" s="237" t="s">
        <v>301</v>
      </c>
      <c r="G33" s="55" t="s">
        <v>42</v>
      </c>
      <c r="H33" s="55" t="s">
        <v>157</v>
      </c>
      <c r="I33" s="55" t="s">
        <v>155</v>
      </c>
      <c r="J33" s="55" t="s">
        <v>38</v>
      </c>
      <c r="K33" s="55" t="s">
        <v>156</v>
      </c>
      <c r="L33" s="237">
        <v>2</v>
      </c>
      <c r="N33" s="55">
        <v>1</v>
      </c>
      <c r="O33" s="237">
        <v>0.2</v>
      </c>
      <c r="P33" s="237">
        <v>0.2</v>
      </c>
      <c r="Q33" s="57">
        <f t="shared" si="0"/>
        <v>0.2</v>
      </c>
      <c r="R33" s="237">
        <v>14.5</v>
      </c>
      <c r="S33" s="55">
        <v>120</v>
      </c>
      <c r="T33" s="77">
        <f t="shared" si="1"/>
        <v>30</v>
      </c>
      <c r="U33" s="55">
        <v>105</v>
      </c>
      <c r="V33" s="58">
        <f t="shared" si="2"/>
        <v>3150</v>
      </c>
      <c r="W33" s="237">
        <v>2</v>
      </c>
      <c r="X33" s="55" t="s">
        <v>46</v>
      </c>
      <c r="Y33" s="55" t="s">
        <v>97</v>
      </c>
      <c r="Z33" s="55" t="s">
        <v>88</v>
      </c>
      <c r="AA33" s="55" t="s">
        <v>69</v>
      </c>
      <c r="AB33" s="55" t="s">
        <v>344</v>
      </c>
      <c r="AE33" s="256"/>
      <c r="AF33" s="253"/>
      <c r="AG33" s="257"/>
      <c r="AH33" s="257"/>
      <c r="AI33" s="253"/>
      <c r="AJ33" s="253"/>
      <c r="AK33" s="253"/>
      <c r="AL33" s="253"/>
      <c r="AM33" s="253"/>
      <c r="AN33" s="253"/>
      <c r="AO33" s="253"/>
      <c r="AP33" s="253"/>
      <c r="AQ33" s="253"/>
      <c r="AR33" s="257"/>
      <c r="AS33" s="253"/>
      <c r="AT33" s="253"/>
      <c r="AU33" s="253"/>
      <c r="AV33" s="253"/>
      <c r="AW33" s="253"/>
    </row>
    <row r="34" spans="1:49" x14ac:dyDescent="0.15">
      <c r="A34" s="55" t="s">
        <v>41</v>
      </c>
      <c r="B34" s="237" t="s">
        <v>342</v>
      </c>
      <c r="C34" s="152">
        <v>2018</v>
      </c>
      <c r="D34" s="56" t="s">
        <v>362</v>
      </c>
      <c r="E34" s="237" t="s">
        <v>295</v>
      </c>
      <c r="F34" s="237" t="s">
        <v>301</v>
      </c>
      <c r="G34" s="55" t="s">
        <v>42</v>
      </c>
      <c r="H34" s="55" t="s">
        <v>157</v>
      </c>
      <c r="I34" s="55" t="s">
        <v>155</v>
      </c>
      <c r="J34" s="55" t="s">
        <v>38</v>
      </c>
      <c r="K34" s="55" t="s">
        <v>156</v>
      </c>
      <c r="L34" s="237">
        <v>3</v>
      </c>
      <c r="N34" s="55">
        <v>1</v>
      </c>
      <c r="O34" s="55">
        <v>0.25</v>
      </c>
      <c r="P34" s="55">
        <v>0.3</v>
      </c>
      <c r="Q34" s="82">
        <f t="shared" si="0"/>
        <v>0.27500000000000002</v>
      </c>
      <c r="R34" s="55">
        <v>14.2</v>
      </c>
      <c r="S34" s="55">
        <v>127</v>
      </c>
      <c r="T34" s="77">
        <f t="shared" si="1"/>
        <v>27</v>
      </c>
      <c r="U34" s="55">
        <v>105</v>
      </c>
      <c r="V34" s="58">
        <f t="shared" si="2"/>
        <v>2835</v>
      </c>
      <c r="W34" s="237">
        <v>2</v>
      </c>
      <c r="X34" s="55" t="s">
        <v>46</v>
      </c>
      <c r="Y34" s="55" t="s">
        <v>97</v>
      </c>
      <c r="Z34" s="55" t="s">
        <v>88</v>
      </c>
      <c r="AA34" s="55" t="s">
        <v>69</v>
      </c>
      <c r="AB34" s="55" t="s">
        <v>344</v>
      </c>
      <c r="AE34" s="256"/>
      <c r="AF34" s="253"/>
      <c r="AG34" s="257"/>
      <c r="AH34" s="257"/>
      <c r="AI34" s="253"/>
      <c r="AJ34" s="253"/>
      <c r="AK34" s="253"/>
      <c r="AL34" s="253"/>
      <c r="AM34" s="253"/>
      <c r="AN34" s="253"/>
      <c r="AO34" s="253"/>
      <c r="AP34" s="253"/>
      <c r="AQ34" s="253"/>
      <c r="AR34" s="257"/>
      <c r="AS34" s="253"/>
      <c r="AT34" s="253"/>
      <c r="AU34" s="253"/>
      <c r="AV34" s="253"/>
      <c r="AW34" s="253"/>
    </row>
    <row r="35" spans="1:49" x14ac:dyDescent="0.15">
      <c r="A35" s="55" t="s">
        <v>41</v>
      </c>
      <c r="B35" s="237" t="s">
        <v>342</v>
      </c>
      <c r="C35" s="152">
        <v>2018</v>
      </c>
      <c r="D35" s="56" t="s">
        <v>362</v>
      </c>
      <c r="E35" s="237" t="s">
        <v>295</v>
      </c>
      <c r="F35" s="237" t="s">
        <v>301</v>
      </c>
      <c r="G35" s="55" t="s">
        <v>42</v>
      </c>
      <c r="H35" s="55" t="s">
        <v>157</v>
      </c>
      <c r="I35" s="55" t="s">
        <v>158</v>
      </c>
      <c r="J35" s="55" t="s">
        <v>38</v>
      </c>
      <c r="K35" s="55" t="s">
        <v>156</v>
      </c>
      <c r="L35" s="237">
        <v>1</v>
      </c>
      <c r="M35" s="55"/>
      <c r="N35" s="55">
        <v>3</v>
      </c>
      <c r="O35" s="237">
        <v>0.8</v>
      </c>
      <c r="P35" s="237">
        <v>0.3</v>
      </c>
      <c r="Q35" s="57">
        <f t="shared" si="0"/>
        <v>0.55000000000000004</v>
      </c>
      <c r="R35" s="237">
        <v>12.8</v>
      </c>
      <c r="S35" s="55">
        <v>128</v>
      </c>
      <c r="T35" s="77">
        <f t="shared" si="1"/>
        <v>27</v>
      </c>
      <c r="U35" s="55">
        <v>321</v>
      </c>
      <c r="V35" s="78">
        <f t="shared" si="2"/>
        <v>2889</v>
      </c>
      <c r="W35" s="55">
        <v>2</v>
      </c>
      <c r="X35" s="55" t="s">
        <v>46</v>
      </c>
      <c r="Y35" s="55" t="s">
        <v>97</v>
      </c>
      <c r="Z35" s="55" t="s">
        <v>88</v>
      </c>
      <c r="AA35" s="55" t="s">
        <v>69</v>
      </c>
      <c r="AB35" s="55" t="s">
        <v>344</v>
      </c>
      <c r="AE35" s="256"/>
      <c r="AF35" s="253"/>
      <c r="AG35" s="257"/>
      <c r="AH35" s="257"/>
      <c r="AI35" s="253"/>
      <c r="AJ35" s="253"/>
      <c r="AK35" s="253"/>
      <c r="AL35" s="253"/>
      <c r="AM35" s="253"/>
      <c r="AN35" s="253"/>
      <c r="AO35" s="253"/>
      <c r="AP35" s="253"/>
      <c r="AQ35" s="253"/>
      <c r="AR35" s="257"/>
      <c r="AS35" s="253"/>
      <c r="AT35" s="253"/>
      <c r="AU35" s="253"/>
      <c r="AV35" s="253"/>
      <c r="AW35" s="253"/>
    </row>
    <row r="36" spans="1:49" x14ac:dyDescent="0.15">
      <c r="A36" s="55" t="s">
        <v>41</v>
      </c>
      <c r="B36" s="237" t="s">
        <v>342</v>
      </c>
      <c r="C36" s="152">
        <v>2018</v>
      </c>
      <c r="D36" s="56" t="s">
        <v>362</v>
      </c>
      <c r="E36" s="237" t="s">
        <v>295</v>
      </c>
      <c r="F36" s="237" t="s">
        <v>301</v>
      </c>
      <c r="G36" s="55" t="s">
        <v>42</v>
      </c>
      <c r="H36" s="55" t="s">
        <v>157</v>
      </c>
      <c r="I36" s="55" t="s">
        <v>158</v>
      </c>
      <c r="J36" s="55" t="s">
        <v>38</v>
      </c>
      <c r="K36" s="55" t="s">
        <v>156</v>
      </c>
      <c r="L36" s="237">
        <v>2</v>
      </c>
      <c r="N36" s="55">
        <v>3</v>
      </c>
      <c r="O36" s="237">
        <v>0.7</v>
      </c>
      <c r="P36" s="237">
        <v>0.2</v>
      </c>
      <c r="Q36" s="57">
        <f t="shared" si="0"/>
        <v>0.44999999999999996</v>
      </c>
      <c r="R36" s="237">
        <v>13.8</v>
      </c>
      <c r="S36" s="55">
        <v>131</v>
      </c>
      <c r="T36" s="77">
        <f t="shared" si="1"/>
        <v>25</v>
      </c>
      <c r="U36" s="55">
        <v>321</v>
      </c>
      <c r="V36" s="58">
        <f t="shared" si="2"/>
        <v>2675</v>
      </c>
      <c r="W36" s="237">
        <v>2</v>
      </c>
      <c r="X36" s="55" t="s">
        <v>46</v>
      </c>
      <c r="Y36" s="55" t="s">
        <v>97</v>
      </c>
      <c r="Z36" s="55" t="s">
        <v>88</v>
      </c>
      <c r="AA36" s="55" t="s">
        <v>69</v>
      </c>
      <c r="AB36" s="55" t="s">
        <v>344</v>
      </c>
      <c r="AE36" s="256"/>
      <c r="AF36" s="253"/>
      <c r="AG36" s="257"/>
      <c r="AH36" s="257"/>
      <c r="AI36" s="253"/>
      <c r="AJ36" s="253"/>
      <c r="AK36" s="253"/>
      <c r="AL36" s="253"/>
      <c r="AM36" s="253"/>
      <c r="AN36" s="253"/>
      <c r="AO36" s="253"/>
      <c r="AP36" s="253"/>
      <c r="AQ36" s="253"/>
      <c r="AR36" s="257"/>
      <c r="AS36" s="253"/>
      <c r="AT36" s="253"/>
      <c r="AU36" s="253"/>
      <c r="AV36" s="253"/>
      <c r="AW36" s="253"/>
    </row>
    <row r="37" spans="1:49" x14ac:dyDescent="0.15">
      <c r="A37" s="55" t="s">
        <v>41</v>
      </c>
      <c r="B37" s="237" t="s">
        <v>342</v>
      </c>
      <c r="C37" s="152">
        <v>2018</v>
      </c>
      <c r="D37" s="56" t="s">
        <v>362</v>
      </c>
      <c r="E37" s="237" t="s">
        <v>295</v>
      </c>
      <c r="F37" s="237" t="s">
        <v>301</v>
      </c>
      <c r="G37" s="55" t="s">
        <v>42</v>
      </c>
      <c r="H37" s="55" t="s">
        <v>157</v>
      </c>
      <c r="I37" s="55" t="s">
        <v>158</v>
      </c>
      <c r="J37" s="55" t="s">
        <v>38</v>
      </c>
      <c r="K37" s="55" t="s">
        <v>156</v>
      </c>
      <c r="L37" s="237">
        <v>3</v>
      </c>
      <c r="N37" s="55">
        <v>3</v>
      </c>
      <c r="O37" s="55">
        <v>0.9</v>
      </c>
      <c r="P37" s="55">
        <v>0.3</v>
      </c>
      <c r="Q37" s="82">
        <f t="shared" si="0"/>
        <v>0.6</v>
      </c>
      <c r="R37" s="55">
        <v>15.8</v>
      </c>
      <c r="S37" s="55">
        <v>127</v>
      </c>
      <c r="T37" s="77">
        <f t="shared" si="1"/>
        <v>27</v>
      </c>
      <c r="U37" s="55">
        <v>321</v>
      </c>
      <c r="V37" s="58">
        <f t="shared" si="2"/>
        <v>2889</v>
      </c>
      <c r="W37" s="237">
        <v>2</v>
      </c>
      <c r="X37" s="55" t="s">
        <v>46</v>
      </c>
      <c r="Y37" s="55" t="s">
        <v>97</v>
      </c>
      <c r="Z37" s="55" t="s">
        <v>88</v>
      </c>
      <c r="AA37" s="55" t="s">
        <v>69</v>
      </c>
      <c r="AB37" s="55" t="s">
        <v>344</v>
      </c>
      <c r="AE37" s="256"/>
      <c r="AF37" s="253"/>
      <c r="AG37" s="257"/>
      <c r="AH37" s="257"/>
      <c r="AI37" s="253"/>
      <c r="AJ37" s="253"/>
      <c r="AK37" s="253"/>
      <c r="AL37" s="253"/>
      <c r="AM37" s="253"/>
      <c r="AN37" s="253"/>
      <c r="AO37" s="253"/>
      <c r="AP37" s="253"/>
      <c r="AQ37" s="253"/>
      <c r="AR37" s="257"/>
      <c r="AS37" s="253"/>
      <c r="AT37" s="253"/>
      <c r="AU37" s="253"/>
      <c r="AV37" s="253"/>
      <c r="AW37" s="253"/>
    </row>
    <row r="38" spans="1:49" x14ac:dyDescent="0.15">
      <c r="A38" s="55" t="s">
        <v>41</v>
      </c>
      <c r="B38" s="237" t="s">
        <v>342</v>
      </c>
      <c r="C38" s="152">
        <v>2018</v>
      </c>
      <c r="D38" s="56" t="s">
        <v>362</v>
      </c>
      <c r="E38" s="237" t="s">
        <v>295</v>
      </c>
      <c r="F38" s="237" t="s">
        <v>301</v>
      </c>
      <c r="G38" s="55" t="s">
        <v>42</v>
      </c>
      <c r="H38" s="55" t="s">
        <v>157</v>
      </c>
      <c r="I38" s="55" t="s">
        <v>155</v>
      </c>
      <c r="J38" s="55" t="s">
        <v>38</v>
      </c>
      <c r="K38" s="55" t="s">
        <v>156</v>
      </c>
      <c r="L38" s="237">
        <v>1</v>
      </c>
      <c r="M38" s="55"/>
      <c r="N38" s="55">
        <v>6</v>
      </c>
      <c r="O38" s="55">
        <v>0.45</v>
      </c>
      <c r="P38" s="55">
        <v>0.5</v>
      </c>
      <c r="Q38" s="82">
        <f t="shared" si="0"/>
        <v>0.47499999999999998</v>
      </c>
      <c r="R38" s="55">
        <v>16.399999999999999</v>
      </c>
      <c r="S38" s="55">
        <v>108</v>
      </c>
      <c r="T38" s="77">
        <f t="shared" si="1"/>
        <v>33</v>
      </c>
      <c r="U38" s="55">
        <v>429</v>
      </c>
      <c r="V38" s="78">
        <f t="shared" si="2"/>
        <v>2359.5</v>
      </c>
      <c r="W38" s="55">
        <v>2</v>
      </c>
      <c r="X38" s="55" t="s">
        <v>46</v>
      </c>
      <c r="Y38" s="55" t="s">
        <v>97</v>
      </c>
      <c r="Z38" s="55" t="s">
        <v>88</v>
      </c>
      <c r="AA38" s="55" t="s">
        <v>69</v>
      </c>
      <c r="AB38" s="55" t="s">
        <v>344</v>
      </c>
      <c r="AE38" s="253"/>
      <c r="AF38" s="253"/>
      <c r="AG38" s="253"/>
      <c r="AH38" s="253"/>
      <c r="AI38" s="253"/>
      <c r="AJ38" s="253"/>
      <c r="AK38" s="253"/>
      <c r="AL38" s="253"/>
      <c r="AM38" s="253"/>
      <c r="AN38" s="253"/>
      <c r="AO38" s="253"/>
      <c r="AP38" s="253"/>
      <c r="AQ38" s="253"/>
      <c r="AR38" s="253"/>
      <c r="AS38" s="253"/>
      <c r="AT38" s="253"/>
      <c r="AU38" s="253"/>
      <c r="AV38" s="253"/>
      <c r="AW38" s="253"/>
    </row>
    <row r="39" spans="1:49" x14ac:dyDescent="0.15">
      <c r="A39" s="55" t="s">
        <v>41</v>
      </c>
      <c r="B39" s="237" t="s">
        <v>342</v>
      </c>
      <c r="C39" s="152">
        <v>2018</v>
      </c>
      <c r="D39" s="56" t="s">
        <v>362</v>
      </c>
      <c r="E39" s="237" t="s">
        <v>295</v>
      </c>
      <c r="F39" s="237" t="s">
        <v>301</v>
      </c>
      <c r="G39" s="55" t="s">
        <v>42</v>
      </c>
      <c r="H39" s="55" t="s">
        <v>157</v>
      </c>
      <c r="I39" s="55" t="s">
        <v>155</v>
      </c>
      <c r="J39" s="55" t="s">
        <v>38</v>
      </c>
      <c r="K39" s="55" t="s">
        <v>156</v>
      </c>
      <c r="L39" s="237">
        <v>2</v>
      </c>
      <c r="N39" s="55">
        <v>6</v>
      </c>
      <c r="O39" s="55">
        <v>0.65</v>
      </c>
      <c r="P39" s="55">
        <v>0.55000000000000004</v>
      </c>
      <c r="Q39" s="82">
        <f t="shared" si="0"/>
        <v>0.60000000000000009</v>
      </c>
      <c r="R39" s="55">
        <v>14.4</v>
      </c>
      <c r="S39" s="55">
        <v>101</v>
      </c>
      <c r="T39" s="77">
        <f t="shared" si="1"/>
        <v>33</v>
      </c>
      <c r="U39" s="55">
        <v>429</v>
      </c>
      <c r="V39" s="78">
        <f t="shared" si="2"/>
        <v>2359.5</v>
      </c>
      <c r="W39" s="55">
        <v>2</v>
      </c>
      <c r="X39" s="55" t="s">
        <v>46</v>
      </c>
      <c r="Y39" s="55" t="s">
        <v>97</v>
      </c>
      <c r="Z39" s="55" t="s">
        <v>88</v>
      </c>
      <c r="AA39" s="55" t="s">
        <v>69</v>
      </c>
      <c r="AB39" s="55" t="s">
        <v>344</v>
      </c>
    </row>
    <row r="40" spans="1:49" x14ac:dyDescent="0.15">
      <c r="A40" s="55" t="s">
        <v>41</v>
      </c>
      <c r="B40" s="237" t="s">
        <v>342</v>
      </c>
      <c r="C40" s="152">
        <v>2018</v>
      </c>
      <c r="D40" s="56" t="s">
        <v>362</v>
      </c>
      <c r="E40" s="237" t="s">
        <v>295</v>
      </c>
      <c r="F40" s="237" t="s">
        <v>301</v>
      </c>
      <c r="G40" s="55" t="s">
        <v>42</v>
      </c>
      <c r="H40" s="55" t="s">
        <v>157</v>
      </c>
      <c r="I40" s="55" t="s">
        <v>155</v>
      </c>
      <c r="J40" s="55" t="s">
        <v>38</v>
      </c>
      <c r="K40" s="55" t="s">
        <v>156</v>
      </c>
      <c r="L40" s="237">
        <v>3</v>
      </c>
      <c r="N40" s="55">
        <v>6</v>
      </c>
      <c r="O40" s="55">
        <v>0.6</v>
      </c>
      <c r="P40" s="55">
        <v>0.65</v>
      </c>
      <c r="Q40" s="82">
        <f t="shared" si="0"/>
        <v>0.625</v>
      </c>
      <c r="R40" s="55">
        <v>14.7</v>
      </c>
      <c r="S40" s="55">
        <v>102</v>
      </c>
      <c r="T40" s="77">
        <f t="shared" si="1"/>
        <v>33</v>
      </c>
      <c r="U40" s="55">
        <v>429</v>
      </c>
      <c r="V40" s="78">
        <f t="shared" si="2"/>
        <v>2359.5</v>
      </c>
      <c r="W40" s="237">
        <v>2</v>
      </c>
      <c r="X40" s="55" t="s">
        <v>46</v>
      </c>
      <c r="Y40" s="55" t="s">
        <v>97</v>
      </c>
      <c r="Z40" s="55" t="s">
        <v>88</v>
      </c>
      <c r="AA40" s="55" t="s">
        <v>69</v>
      </c>
      <c r="AB40" s="55" t="s">
        <v>344</v>
      </c>
    </row>
    <row r="41" spans="1:49" x14ac:dyDescent="0.15">
      <c r="A41" s="55" t="s">
        <v>41</v>
      </c>
      <c r="B41" s="237" t="s">
        <v>342</v>
      </c>
      <c r="C41" s="152">
        <v>2018</v>
      </c>
      <c r="D41" s="56" t="s">
        <v>362</v>
      </c>
      <c r="E41" s="237" t="s">
        <v>295</v>
      </c>
      <c r="F41" s="237" t="s">
        <v>301</v>
      </c>
      <c r="G41" s="55" t="s">
        <v>42</v>
      </c>
      <c r="H41" s="55" t="s">
        <v>160</v>
      </c>
      <c r="I41" s="55" t="s">
        <v>155</v>
      </c>
      <c r="J41" s="55" t="s">
        <v>38</v>
      </c>
      <c r="K41" s="55" t="s">
        <v>156</v>
      </c>
      <c r="L41" s="237">
        <v>1</v>
      </c>
      <c r="M41" s="55"/>
      <c r="N41" s="55">
        <v>1</v>
      </c>
      <c r="O41" s="55">
        <v>0.25</v>
      </c>
      <c r="P41" s="55">
        <v>0.2</v>
      </c>
      <c r="Q41" s="82">
        <f t="shared" si="0"/>
        <v>0.22500000000000001</v>
      </c>
      <c r="R41" s="55">
        <v>14.8</v>
      </c>
      <c r="S41" s="55">
        <v>132</v>
      </c>
      <c r="T41" s="77">
        <f t="shared" si="1"/>
        <v>25</v>
      </c>
      <c r="U41" s="55">
        <v>105</v>
      </c>
      <c r="V41" s="78">
        <f t="shared" si="2"/>
        <v>2625</v>
      </c>
      <c r="W41" s="55">
        <v>2</v>
      </c>
      <c r="X41" s="55" t="s">
        <v>46</v>
      </c>
      <c r="Y41" s="55" t="s">
        <v>97</v>
      </c>
      <c r="Z41" s="55" t="s">
        <v>88</v>
      </c>
      <c r="AA41" s="55" t="s">
        <v>69</v>
      </c>
      <c r="AB41" s="55" t="s">
        <v>344</v>
      </c>
      <c r="AE41" s="253"/>
      <c r="AF41" s="253"/>
      <c r="AG41" s="253"/>
      <c r="AH41" s="253"/>
      <c r="AI41" s="253"/>
      <c r="AJ41" s="253"/>
      <c r="AK41" s="253"/>
      <c r="AL41" s="253"/>
      <c r="AM41" s="253"/>
      <c r="AN41" s="253"/>
      <c r="AO41" s="253"/>
      <c r="AP41" s="253"/>
      <c r="AQ41" s="253"/>
      <c r="AR41" s="253"/>
      <c r="AS41" s="253"/>
      <c r="AT41" s="253"/>
      <c r="AU41" s="253"/>
      <c r="AV41" s="253"/>
      <c r="AW41" s="253"/>
    </row>
    <row r="42" spans="1:49" x14ac:dyDescent="0.15">
      <c r="A42" s="55" t="s">
        <v>41</v>
      </c>
      <c r="B42" s="237" t="s">
        <v>342</v>
      </c>
      <c r="C42" s="152">
        <v>2018</v>
      </c>
      <c r="D42" s="56" t="s">
        <v>362</v>
      </c>
      <c r="E42" s="237" t="s">
        <v>295</v>
      </c>
      <c r="F42" s="237" t="s">
        <v>301</v>
      </c>
      <c r="G42" s="55" t="s">
        <v>42</v>
      </c>
      <c r="H42" s="55" t="s">
        <v>160</v>
      </c>
      <c r="I42" s="55" t="s">
        <v>155</v>
      </c>
      <c r="J42" s="55" t="s">
        <v>38</v>
      </c>
      <c r="K42" s="55" t="s">
        <v>156</v>
      </c>
      <c r="L42" s="237">
        <v>2</v>
      </c>
      <c r="N42" s="55">
        <v>1</v>
      </c>
      <c r="O42" s="55">
        <v>0.2</v>
      </c>
      <c r="P42" s="55">
        <v>0.2</v>
      </c>
      <c r="Q42" s="82">
        <f t="shared" si="0"/>
        <v>0.2</v>
      </c>
      <c r="R42" s="55">
        <v>14.7</v>
      </c>
      <c r="S42" s="55">
        <v>129</v>
      </c>
      <c r="T42" s="77">
        <f t="shared" si="1"/>
        <v>25</v>
      </c>
      <c r="U42" s="55">
        <v>105</v>
      </c>
      <c r="V42" s="58">
        <f t="shared" si="2"/>
        <v>2625</v>
      </c>
      <c r="W42" s="237">
        <v>2</v>
      </c>
      <c r="X42" s="55" t="s">
        <v>46</v>
      </c>
      <c r="Y42" s="55" t="s">
        <v>97</v>
      </c>
      <c r="Z42" s="55" t="s">
        <v>88</v>
      </c>
      <c r="AA42" s="55" t="s">
        <v>69</v>
      </c>
      <c r="AB42" s="55" t="s">
        <v>344</v>
      </c>
    </row>
    <row r="43" spans="1:49" x14ac:dyDescent="0.15">
      <c r="A43" s="55" t="s">
        <v>41</v>
      </c>
      <c r="B43" s="237" t="s">
        <v>342</v>
      </c>
      <c r="C43" s="152">
        <v>2018</v>
      </c>
      <c r="D43" s="56" t="s">
        <v>362</v>
      </c>
      <c r="E43" s="237" t="s">
        <v>295</v>
      </c>
      <c r="F43" s="237" t="s">
        <v>301</v>
      </c>
      <c r="G43" s="55" t="s">
        <v>42</v>
      </c>
      <c r="H43" s="55" t="s">
        <v>160</v>
      </c>
      <c r="I43" s="55" t="s">
        <v>155</v>
      </c>
      <c r="J43" s="55" t="s">
        <v>38</v>
      </c>
      <c r="K43" s="55" t="s">
        <v>156</v>
      </c>
      <c r="L43" s="237">
        <v>3</v>
      </c>
      <c r="N43" s="55">
        <v>1</v>
      </c>
      <c r="O43" s="55">
        <v>0.2</v>
      </c>
      <c r="P43" s="55">
        <v>0.2</v>
      </c>
      <c r="Q43" s="82">
        <f t="shared" si="0"/>
        <v>0.2</v>
      </c>
      <c r="R43" s="55">
        <v>13.2</v>
      </c>
      <c r="S43" s="55">
        <v>127</v>
      </c>
      <c r="T43" s="77">
        <f t="shared" si="1"/>
        <v>27</v>
      </c>
      <c r="U43" s="55">
        <v>105</v>
      </c>
      <c r="V43" s="58">
        <f t="shared" si="2"/>
        <v>2835</v>
      </c>
      <c r="W43" s="237">
        <v>2</v>
      </c>
      <c r="X43" s="55" t="s">
        <v>46</v>
      </c>
      <c r="Y43" s="55" t="s">
        <v>97</v>
      </c>
      <c r="Z43" s="55" t="s">
        <v>88</v>
      </c>
      <c r="AA43" s="55" t="s">
        <v>69</v>
      </c>
      <c r="AB43" s="55" t="s">
        <v>344</v>
      </c>
    </row>
    <row r="44" spans="1:49" x14ac:dyDescent="0.15">
      <c r="A44" s="55" t="s">
        <v>41</v>
      </c>
      <c r="B44" s="237" t="s">
        <v>342</v>
      </c>
      <c r="C44" s="152">
        <v>2018</v>
      </c>
      <c r="D44" s="56" t="s">
        <v>362</v>
      </c>
      <c r="E44" s="237" t="s">
        <v>295</v>
      </c>
      <c r="F44" s="237" t="s">
        <v>301</v>
      </c>
      <c r="G44" s="55" t="s">
        <v>42</v>
      </c>
      <c r="H44" s="55" t="s">
        <v>160</v>
      </c>
      <c r="I44" s="55" t="s">
        <v>158</v>
      </c>
      <c r="J44" s="55" t="s">
        <v>38</v>
      </c>
      <c r="K44" s="55" t="s">
        <v>156</v>
      </c>
      <c r="L44" s="237">
        <v>1</v>
      </c>
      <c r="M44" s="55"/>
      <c r="N44" s="55">
        <v>3</v>
      </c>
      <c r="O44" s="55">
        <v>0.4</v>
      </c>
      <c r="P44" s="55">
        <v>0.45</v>
      </c>
      <c r="Q44" s="82">
        <f t="shared" si="0"/>
        <v>0.42500000000000004</v>
      </c>
      <c r="R44" s="55">
        <v>12.8</v>
      </c>
      <c r="S44" s="55">
        <v>134</v>
      </c>
      <c r="T44" s="77">
        <f t="shared" si="1"/>
        <v>25</v>
      </c>
      <c r="U44" s="55">
        <v>429</v>
      </c>
      <c r="V44" s="78">
        <f t="shared" si="2"/>
        <v>3575</v>
      </c>
      <c r="W44" s="55">
        <v>2</v>
      </c>
      <c r="X44" s="55" t="s">
        <v>46</v>
      </c>
      <c r="Y44" s="55" t="s">
        <v>97</v>
      </c>
      <c r="Z44" s="55" t="s">
        <v>88</v>
      </c>
      <c r="AA44" s="55" t="s">
        <v>69</v>
      </c>
      <c r="AB44" s="55" t="s">
        <v>344</v>
      </c>
      <c r="AE44" s="253"/>
      <c r="AF44" s="253"/>
      <c r="AG44" s="253"/>
      <c r="AH44" s="253"/>
      <c r="AI44" s="253"/>
      <c r="AJ44" s="253"/>
      <c r="AK44" s="253"/>
      <c r="AL44" s="253"/>
      <c r="AM44" s="253"/>
      <c r="AN44" s="253"/>
      <c r="AO44" s="253"/>
      <c r="AP44" s="253"/>
      <c r="AQ44" s="253"/>
      <c r="AR44" s="253"/>
      <c r="AS44" s="253"/>
      <c r="AT44" s="253"/>
      <c r="AU44" s="253"/>
      <c r="AV44" s="253"/>
      <c r="AW44" s="253"/>
    </row>
    <row r="45" spans="1:49" x14ac:dyDescent="0.15">
      <c r="A45" s="55" t="s">
        <v>41</v>
      </c>
      <c r="B45" s="237" t="s">
        <v>342</v>
      </c>
      <c r="C45" s="152">
        <v>2018</v>
      </c>
      <c r="D45" s="56" t="s">
        <v>362</v>
      </c>
      <c r="E45" s="237" t="s">
        <v>295</v>
      </c>
      <c r="F45" s="237" t="s">
        <v>301</v>
      </c>
      <c r="G45" s="55" t="s">
        <v>42</v>
      </c>
      <c r="H45" s="55" t="s">
        <v>160</v>
      </c>
      <c r="I45" s="55" t="s">
        <v>158</v>
      </c>
      <c r="J45" s="55" t="s">
        <v>38</v>
      </c>
      <c r="K45" s="55" t="s">
        <v>156</v>
      </c>
      <c r="L45" s="237">
        <v>2</v>
      </c>
      <c r="N45" s="55">
        <v>3</v>
      </c>
      <c r="O45" s="55">
        <v>0.55000000000000004</v>
      </c>
      <c r="P45" s="55">
        <v>0.5</v>
      </c>
      <c r="Q45" s="82">
        <f t="shared" si="0"/>
        <v>0.52500000000000002</v>
      </c>
      <c r="R45" s="55">
        <v>13.3</v>
      </c>
      <c r="S45" s="55">
        <v>130</v>
      </c>
      <c r="T45" s="77">
        <f t="shared" si="1"/>
        <v>25</v>
      </c>
      <c r="U45" s="55">
        <v>429</v>
      </c>
      <c r="V45" s="58">
        <f t="shared" si="2"/>
        <v>3575</v>
      </c>
      <c r="W45" s="237">
        <v>2</v>
      </c>
      <c r="X45" s="55" t="s">
        <v>46</v>
      </c>
      <c r="Y45" s="55" t="s">
        <v>97</v>
      </c>
      <c r="Z45" s="55" t="s">
        <v>88</v>
      </c>
      <c r="AA45" s="55" t="s">
        <v>69</v>
      </c>
      <c r="AB45" s="55" t="s">
        <v>344</v>
      </c>
    </row>
    <row r="46" spans="1:49" x14ac:dyDescent="0.15">
      <c r="A46" s="55" t="s">
        <v>41</v>
      </c>
      <c r="B46" s="237" t="s">
        <v>342</v>
      </c>
      <c r="C46" s="152">
        <v>2018</v>
      </c>
      <c r="D46" s="56" t="s">
        <v>362</v>
      </c>
      <c r="E46" s="237" t="s">
        <v>295</v>
      </c>
      <c r="F46" s="237" t="s">
        <v>301</v>
      </c>
      <c r="G46" s="55" t="s">
        <v>42</v>
      </c>
      <c r="H46" s="55" t="s">
        <v>160</v>
      </c>
      <c r="I46" s="55" t="s">
        <v>158</v>
      </c>
      <c r="J46" s="55" t="s">
        <v>38</v>
      </c>
      <c r="K46" s="55" t="s">
        <v>156</v>
      </c>
      <c r="L46" s="237">
        <v>3</v>
      </c>
      <c r="N46" s="55">
        <v>3</v>
      </c>
      <c r="O46" s="55">
        <v>0.4</v>
      </c>
      <c r="P46" s="55">
        <v>0.35</v>
      </c>
      <c r="Q46" s="82">
        <f t="shared" si="0"/>
        <v>0.375</v>
      </c>
      <c r="R46" s="55">
        <v>13.1</v>
      </c>
      <c r="S46" s="55">
        <v>128</v>
      </c>
      <c r="T46" s="77">
        <f t="shared" si="1"/>
        <v>27</v>
      </c>
      <c r="U46" s="55">
        <v>429</v>
      </c>
      <c r="V46" s="58">
        <f t="shared" si="2"/>
        <v>3861</v>
      </c>
      <c r="W46" s="237">
        <v>2</v>
      </c>
      <c r="X46" s="55" t="s">
        <v>46</v>
      </c>
      <c r="Y46" s="55" t="s">
        <v>97</v>
      </c>
      <c r="Z46" s="55" t="s">
        <v>88</v>
      </c>
      <c r="AA46" s="55" t="s">
        <v>69</v>
      </c>
      <c r="AB46" s="55" t="s">
        <v>344</v>
      </c>
    </row>
    <row r="47" spans="1:49" x14ac:dyDescent="0.15">
      <c r="A47" s="55" t="s">
        <v>41</v>
      </c>
      <c r="B47" s="237" t="s">
        <v>342</v>
      </c>
      <c r="C47" s="152">
        <v>2018</v>
      </c>
      <c r="D47" s="56" t="s">
        <v>362</v>
      </c>
      <c r="E47" s="237" t="s">
        <v>295</v>
      </c>
      <c r="F47" s="237" t="s">
        <v>301</v>
      </c>
      <c r="G47" s="55" t="s">
        <v>42</v>
      </c>
      <c r="H47" s="55" t="s">
        <v>160</v>
      </c>
      <c r="I47" s="55" t="s">
        <v>155</v>
      </c>
      <c r="J47" s="55" t="s">
        <v>38</v>
      </c>
      <c r="K47" s="55" t="s">
        <v>156</v>
      </c>
      <c r="L47" s="237">
        <v>1</v>
      </c>
      <c r="N47" s="55">
        <v>5</v>
      </c>
      <c r="O47" s="55">
        <v>0.45</v>
      </c>
      <c r="P47" s="55">
        <v>0.65</v>
      </c>
      <c r="Q47" s="82">
        <f t="shared" si="0"/>
        <v>0.55000000000000004</v>
      </c>
      <c r="R47" s="55">
        <v>15.6</v>
      </c>
      <c r="S47" s="55">
        <v>114</v>
      </c>
      <c r="T47" s="57">
        <f t="shared" si="1"/>
        <v>30</v>
      </c>
      <c r="U47" s="55">
        <v>537</v>
      </c>
      <c r="V47" s="58">
        <f t="shared" si="2"/>
        <v>3222</v>
      </c>
      <c r="W47" s="237">
        <v>2</v>
      </c>
      <c r="X47" s="55" t="s">
        <v>46</v>
      </c>
      <c r="Y47" s="55" t="s">
        <v>97</v>
      </c>
      <c r="Z47" s="55" t="s">
        <v>88</v>
      </c>
      <c r="AA47" s="55" t="s">
        <v>69</v>
      </c>
      <c r="AB47" s="55" t="s">
        <v>344</v>
      </c>
    </row>
    <row r="48" spans="1:49" x14ac:dyDescent="0.15">
      <c r="A48" s="55" t="s">
        <v>41</v>
      </c>
      <c r="B48" s="237" t="s">
        <v>342</v>
      </c>
      <c r="C48" s="152">
        <v>2018</v>
      </c>
      <c r="D48" s="56" t="s">
        <v>362</v>
      </c>
      <c r="E48" s="237" t="s">
        <v>295</v>
      </c>
      <c r="F48" s="237" t="s">
        <v>301</v>
      </c>
      <c r="G48" s="55" t="s">
        <v>42</v>
      </c>
      <c r="H48" s="55" t="s">
        <v>160</v>
      </c>
      <c r="I48" s="55" t="s">
        <v>155</v>
      </c>
      <c r="J48" s="55" t="s">
        <v>38</v>
      </c>
      <c r="K48" s="55" t="s">
        <v>156</v>
      </c>
      <c r="L48" s="237">
        <v>2</v>
      </c>
      <c r="N48" s="55">
        <v>5</v>
      </c>
      <c r="O48" s="55">
        <v>0.8</v>
      </c>
      <c r="P48" s="55">
        <v>0.7</v>
      </c>
      <c r="Q48" s="82">
        <f t="shared" si="0"/>
        <v>0.75</v>
      </c>
      <c r="R48" s="55">
        <v>16.100000000000001</v>
      </c>
      <c r="S48" s="55">
        <v>112</v>
      </c>
      <c r="T48" s="57">
        <f t="shared" si="1"/>
        <v>33</v>
      </c>
      <c r="U48" s="55">
        <v>537</v>
      </c>
      <c r="V48" s="58">
        <f t="shared" si="2"/>
        <v>3544.2000000000003</v>
      </c>
      <c r="W48" s="237">
        <v>2</v>
      </c>
      <c r="X48" s="55" t="s">
        <v>46</v>
      </c>
      <c r="Y48" s="55" t="s">
        <v>97</v>
      </c>
      <c r="Z48" s="55" t="s">
        <v>88</v>
      </c>
      <c r="AA48" s="55" t="s">
        <v>69</v>
      </c>
      <c r="AB48" s="55" t="s">
        <v>344</v>
      </c>
    </row>
    <row r="49" spans="1:30" x14ac:dyDescent="0.15">
      <c r="A49" s="55" t="s">
        <v>41</v>
      </c>
      <c r="B49" s="237" t="s">
        <v>342</v>
      </c>
      <c r="C49" s="152">
        <v>2018</v>
      </c>
      <c r="D49" s="56" t="s">
        <v>362</v>
      </c>
      <c r="E49" s="237" t="s">
        <v>295</v>
      </c>
      <c r="F49" s="237" t="s">
        <v>301</v>
      </c>
      <c r="G49" s="55" t="s">
        <v>42</v>
      </c>
      <c r="H49" s="55" t="s">
        <v>160</v>
      </c>
      <c r="I49" s="55" t="s">
        <v>155</v>
      </c>
      <c r="J49" s="55" t="s">
        <v>38</v>
      </c>
      <c r="K49" s="55" t="s">
        <v>156</v>
      </c>
      <c r="L49" s="237">
        <v>3</v>
      </c>
      <c r="N49" s="55">
        <v>5</v>
      </c>
      <c r="O49" s="55">
        <v>0.85</v>
      </c>
      <c r="P49" s="55">
        <v>0.85</v>
      </c>
      <c r="Q49" s="82">
        <f t="shared" si="0"/>
        <v>0.85</v>
      </c>
      <c r="R49" s="55">
        <v>17.399999999999999</v>
      </c>
      <c r="S49" s="55">
        <v>112</v>
      </c>
      <c r="T49" s="57">
        <f t="shared" si="1"/>
        <v>33</v>
      </c>
      <c r="U49" s="55">
        <v>537</v>
      </c>
      <c r="V49" s="58">
        <f t="shared" si="2"/>
        <v>3544.2000000000003</v>
      </c>
      <c r="W49" s="237">
        <v>2</v>
      </c>
      <c r="X49" s="55" t="s">
        <v>46</v>
      </c>
      <c r="Y49" s="55" t="s">
        <v>97</v>
      </c>
      <c r="Z49" s="55" t="s">
        <v>88</v>
      </c>
      <c r="AA49" s="55" t="s">
        <v>69</v>
      </c>
      <c r="AB49" s="55" t="s">
        <v>344</v>
      </c>
    </row>
    <row r="50" spans="1:30" x14ac:dyDescent="0.15">
      <c r="A50" s="55" t="s">
        <v>41</v>
      </c>
      <c r="B50" s="237" t="s">
        <v>342</v>
      </c>
      <c r="C50" s="152">
        <v>2018</v>
      </c>
      <c r="D50" s="56" t="s">
        <v>362</v>
      </c>
      <c r="E50" s="237" t="s">
        <v>296</v>
      </c>
      <c r="F50" s="237" t="s">
        <v>300</v>
      </c>
      <c r="G50" s="55" t="s">
        <v>42</v>
      </c>
      <c r="H50" s="55" t="s">
        <v>157</v>
      </c>
      <c r="I50" s="55" t="s">
        <v>155</v>
      </c>
      <c r="J50" s="55" t="s">
        <v>38</v>
      </c>
      <c r="K50" s="55" t="s">
        <v>156</v>
      </c>
      <c r="L50" s="237">
        <v>1</v>
      </c>
      <c r="N50" s="55">
        <v>1</v>
      </c>
      <c r="O50" s="55">
        <v>0.8</v>
      </c>
      <c r="P50" s="55">
        <v>0.85</v>
      </c>
      <c r="Q50" s="82">
        <f t="shared" si="0"/>
        <v>0.82499999999999996</v>
      </c>
      <c r="R50" s="55">
        <v>14.8</v>
      </c>
      <c r="S50" s="55">
        <v>128</v>
      </c>
      <c r="T50" s="57">
        <f t="shared" si="1"/>
        <v>27</v>
      </c>
      <c r="U50" s="237">
        <v>108</v>
      </c>
      <c r="V50" s="58">
        <f t="shared" si="2"/>
        <v>2916</v>
      </c>
      <c r="W50" s="237">
        <v>6</v>
      </c>
      <c r="X50" s="55" t="s">
        <v>46</v>
      </c>
      <c r="Y50" s="55" t="s">
        <v>97</v>
      </c>
      <c r="Z50" s="55" t="s">
        <v>86</v>
      </c>
      <c r="AA50" s="55" t="s">
        <v>55</v>
      </c>
      <c r="AB50" s="55" t="s">
        <v>344</v>
      </c>
    </row>
    <row r="51" spans="1:30" x14ac:dyDescent="0.15">
      <c r="A51" s="55" t="s">
        <v>41</v>
      </c>
      <c r="B51" s="237" t="s">
        <v>342</v>
      </c>
      <c r="C51" s="152">
        <v>2018</v>
      </c>
      <c r="D51" s="56" t="s">
        <v>362</v>
      </c>
      <c r="E51" s="237" t="s">
        <v>296</v>
      </c>
      <c r="F51" s="237" t="s">
        <v>300</v>
      </c>
      <c r="G51" s="55" t="s">
        <v>42</v>
      </c>
      <c r="H51" s="55" t="s">
        <v>157</v>
      </c>
      <c r="I51" s="55" t="s">
        <v>155</v>
      </c>
      <c r="J51" s="55" t="s">
        <v>38</v>
      </c>
      <c r="K51" s="55" t="s">
        <v>156</v>
      </c>
      <c r="L51" s="237">
        <v>2</v>
      </c>
      <c r="N51" s="55">
        <v>1</v>
      </c>
      <c r="O51" s="55">
        <v>0.8</v>
      </c>
      <c r="P51" s="55">
        <v>0.95</v>
      </c>
      <c r="Q51" s="82">
        <f t="shared" si="0"/>
        <v>0.875</v>
      </c>
      <c r="R51" s="55">
        <v>15.5</v>
      </c>
      <c r="S51" s="55">
        <v>131</v>
      </c>
      <c r="T51" s="57">
        <f t="shared" si="1"/>
        <v>25</v>
      </c>
      <c r="U51" s="237">
        <v>108</v>
      </c>
      <c r="V51" s="58">
        <f t="shared" si="2"/>
        <v>2700</v>
      </c>
      <c r="W51" s="237">
        <v>6</v>
      </c>
      <c r="X51" s="55" t="s">
        <v>46</v>
      </c>
      <c r="Y51" s="55" t="s">
        <v>97</v>
      </c>
      <c r="Z51" s="55" t="s">
        <v>86</v>
      </c>
      <c r="AA51" s="55" t="s">
        <v>55</v>
      </c>
      <c r="AB51" s="55" t="s">
        <v>344</v>
      </c>
    </row>
    <row r="52" spans="1:30" x14ac:dyDescent="0.15">
      <c r="A52" s="55" t="s">
        <v>41</v>
      </c>
      <c r="B52" s="237" t="s">
        <v>342</v>
      </c>
      <c r="C52" s="152">
        <v>2018</v>
      </c>
      <c r="D52" s="56" t="s">
        <v>362</v>
      </c>
      <c r="E52" s="237" t="s">
        <v>296</v>
      </c>
      <c r="F52" s="237" t="s">
        <v>300</v>
      </c>
      <c r="G52" s="55" t="s">
        <v>42</v>
      </c>
      <c r="H52" s="55" t="s">
        <v>157</v>
      </c>
      <c r="I52" s="55" t="s">
        <v>155</v>
      </c>
      <c r="J52" s="55" t="s">
        <v>38</v>
      </c>
      <c r="K52" s="55" t="s">
        <v>156</v>
      </c>
      <c r="L52" s="237">
        <v>3</v>
      </c>
      <c r="N52" s="55">
        <v>1</v>
      </c>
      <c r="O52" s="55">
        <v>1</v>
      </c>
      <c r="P52" s="55">
        <v>1.05</v>
      </c>
      <c r="Q52" s="82">
        <f t="shared" si="0"/>
        <v>1.0249999999999999</v>
      </c>
      <c r="R52" s="55">
        <v>13.1</v>
      </c>
      <c r="S52" s="55">
        <v>124</v>
      </c>
      <c r="T52" s="57">
        <f t="shared" si="1"/>
        <v>27</v>
      </c>
      <c r="U52" s="55">
        <v>108</v>
      </c>
      <c r="V52" s="58">
        <f t="shared" si="2"/>
        <v>2916</v>
      </c>
      <c r="W52" s="237">
        <v>6</v>
      </c>
      <c r="X52" s="55" t="s">
        <v>46</v>
      </c>
      <c r="Y52" s="55" t="s">
        <v>97</v>
      </c>
      <c r="Z52" s="55" t="s">
        <v>86</v>
      </c>
      <c r="AA52" s="55" t="s">
        <v>55</v>
      </c>
      <c r="AB52" s="55" t="s">
        <v>344</v>
      </c>
    </row>
    <row r="53" spans="1:30" x14ac:dyDescent="0.15">
      <c r="A53" s="55" t="s">
        <v>41</v>
      </c>
      <c r="B53" s="237" t="s">
        <v>342</v>
      </c>
      <c r="C53" s="152">
        <v>2018</v>
      </c>
      <c r="D53" s="56" t="s">
        <v>362</v>
      </c>
      <c r="E53" s="237" t="s">
        <v>296</v>
      </c>
      <c r="F53" s="237" t="s">
        <v>300</v>
      </c>
      <c r="G53" s="55" t="s">
        <v>42</v>
      </c>
      <c r="H53" s="55" t="s">
        <v>160</v>
      </c>
      <c r="I53" s="55" t="s">
        <v>155</v>
      </c>
      <c r="J53" s="55" t="s">
        <v>38</v>
      </c>
      <c r="K53" s="55" t="s">
        <v>156</v>
      </c>
      <c r="L53" s="237">
        <v>1</v>
      </c>
      <c r="N53" s="55">
        <v>1</v>
      </c>
      <c r="O53" s="237">
        <v>0.45</v>
      </c>
      <c r="P53" s="237">
        <v>0.4</v>
      </c>
      <c r="Q53" s="57">
        <f t="shared" si="0"/>
        <v>0.42500000000000004</v>
      </c>
      <c r="R53" s="237">
        <v>12.8</v>
      </c>
      <c r="S53" s="237">
        <v>129</v>
      </c>
      <c r="T53" s="57">
        <f t="shared" si="1"/>
        <v>25</v>
      </c>
      <c r="U53" s="237">
        <v>170</v>
      </c>
      <c r="V53" s="58">
        <f t="shared" si="2"/>
        <v>4250</v>
      </c>
      <c r="W53" s="237">
        <v>1</v>
      </c>
      <c r="X53" s="55" t="s">
        <v>46</v>
      </c>
      <c r="Y53" s="55" t="s">
        <v>97</v>
      </c>
      <c r="Z53" s="55" t="s">
        <v>86</v>
      </c>
      <c r="AA53" s="55" t="s">
        <v>55</v>
      </c>
      <c r="AB53" s="55" t="s">
        <v>344</v>
      </c>
      <c r="AC53" s="55"/>
      <c r="AD53" s="55"/>
    </row>
    <row r="54" spans="1:30" x14ac:dyDescent="0.15">
      <c r="A54" s="55" t="s">
        <v>41</v>
      </c>
      <c r="B54" s="237" t="s">
        <v>342</v>
      </c>
      <c r="C54" s="152">
        <v>2018</v>
      </c>
      <c r="D54" s="56" t="s">
        <v>362</v>
      </c>
      <c r="E54" s="237" t="s">
        <v>296</v>
      </c>
      <c r="F54" s="237" t="s">
        <v>300</v>
      </c>
      <c r="G54" s="55" t="s">
        <v>42</v>
      </c>
      <c r="H54" s="55" t="s">
        <v>160</v>
      </c>
      <c r="I54" s="55" t="s">
        <v>155</v>
      </c>
      <c r="J54" s="55" t="s">
        <v>38</v>
      </c>
      <c r="K54" s="55" t="s">
        <v>156</v>
      </c>
      <c r="L54" s="237">
        <v>2</v>
      </c>
      <c r="N54" s="55">
        <v>1</v>
      </c>
      <c r="O54" s="237">
        <v>0.5</v>
      </c>
      <c r="P54" s="237">
        <v>0.35</v>
      </c>
      <c r="Q54" s="57">
        <f t="shared" si="0"/>
        <v>0.42499999999999999</v>
      </c>
      <c r="R54" s="237">
        <v>16.399999999999999</v>
      </c>
      <c r="S54" s="237">
        <v>124</v>
      </c>
      <c r="T54" s="57">
        <f t="shared" si="1"/>
        <v>27</v>
      </c>
      <c r="U54" s="237">
        <v>170</v>
      </c>
      <c r="V54" s="58">
        <f t="shared" si="2"/>
        <v>4590</v>
      </c>
      <c r="W54" s="237">
        <v>1</v>
      </c>
      <c r="X54" s="55" t="s">
        <v>46</v>
      </c>
      <c r="Y54" s="55" t="s">
        <v>97</v>
      </c>
      <c r="Z54" s="55" t="s">
        <v>86</v>
      </c>
      <c r="AA54" s="55" t="s">
        <v>55</v>
      </c>
      <c r="AB54" s="55" t="s">
        <v>344</v>
      </c>
      <c r="AC54" s="55"/>
      <c r="AD54" s="55"/>
    </row>
    <row r="55" spans="1:30" x14ac:dyDescent="0.15">
      <c r="A55" s="55" t="s">
        <v>41</v>
      </c>
      <c r="B55" s="237" t="s">
        <v>342</v>
      </c>
      <c r="C55" s="152">
        <v>2018</v>
      </c>
      <c r="D55" s="56" t="s">
        <v>362</v>
      </c>
      <c r="E55" s="237" t="s">
        <v>296</v>
      </c>
      <c r="F55" s="237" t="s">
        <v>300</v>
      </c>
      <c r="G55" s="55" t="s">
        <v>42</v>
      </c>
      <c r="H55" s="55" t="s">
        <v>160</v>
      </c>
      <c r="I55" s="55" t="s">
        <v>155</v>
      </c>
      <c r="J55" s="55" t="s">
        <v>38</v>
      </c>
      <c r="K55" s="55" t="s">
        <v>156</v>
      </c>
      <c r="L55" s="237">
        <v>3</v>
      </c>
      <c r="N55" s="55">
        <v>1</v>
      </c>
      <c r="O55" s="237">
        <v>0.6</v>
      </c>
      <c r="P55" s="237">
        <v>0.5</v>
      </c>
      <c r="Q55" s="57">
        <f t="shared" si="0"/>
        <v>0.55000000000000004</v>
      </c>
      <c r="R55" s="237">
        <v>15.5</v>
      </c>
      <c r="S55" s="237">
        <v>125</v>
      </c>
      <c r="T55" s="57">
        <f t="shared" si="1"/>
        <v>27</v>
      </c>
      <c r="U55" s="55">
        <v>170</v>
      </c>
      <c r="V55" s="58">
        <f t="shared" si="2"/>
        <v>4590</v>
      </c>
      <c r="W55" s="237">
        <v>1</v>
      </c>
      <c r="X55" s="55" t="s">
        <v>46</v>
      </c>
      <c r="Y55" s="55" t="s">
        <v>97</v>
      </c>
      <c r="Z55" s="55" t="s">
        <v>86</v>
      </c>
      <c r="AA55" s="55" t="s">
        <v>55</v>
      </c>
      <c r="AB55" s="55" t="s">
        <v>344</v>
      </c>
      <c r="AC55" s="55"/>
      <c r="AD55" s="55"/>
    </row>
    <row r="56" spans="1:30" x14ac:dyDescent="0.15">
      <c r="A56" s="55" t="s">
        <v>41</v>
      </c>
      <c r="B56" s="237" t="s">
        <v>342</v>
      </c>
      <c r="C56" s="152">
        <v>2018</v>
      </c>
      <c r="D56" s="56" t="s">
        <v>362</v>
      </c>
      <c r="E56" s="237" t="s">
        <v>296</v>
      </c>
      <c r="F56" s="237" t="s">
        <v>300</v>
      </c>
      <c r="G56" s="55" t="s">
        <v>42</v>
      </c>
      <c r="H56" s="55" t="s">
        <v>160</v>
      </c>
      <c r="I56" s="55" t="s">
        <v>155</v>
      </c>
      <c r="J56" s="55" t="s">
        <v>38</v>
      </c>
      <c r="K56" s="55" t="s">
        <v>156</v>
      </c>
      <c r="L56" s="237">
        <v>1</v>
      </c>
      <c r="N56" s="55">
        <v>4</v>
      </c>
      <c r="O56" s="237">
        <v>0.65</v>
      </c>
      <c r="P56" s="237">
        <v>0.45</v>
      </c>
      <c r="Q56" s="57">
        <f t="shared" si="0"/>
        <v>0.55000000000000004</v>
      </c>
      <c r="R56" s="237">
        <v>16.100000000000001</v>
      </c>
      <c r="S56" s="237">
        <v>115</v>
      </c>
      <c r="T56" s="57">
        <f t="shared" si="1"/>
        <v>30</v>
      </c>
      <c r="U56" s="237">
        <v>645</v>
      </c>
      <c r="V56" s="58">
        <f t="shared" si="2"/>
        <v>4837.5</v>
      </c>
      <c r="W56" s="237">
        <v>2</v>
      </c>
      <c r="X56" s="55" t="s">
        <v>46</v>
      </c>
      <c r="Y56" s="55" t="s">
        <v>97</v>
      </c>
      <c r="Z56" s="55" t="s">
        <v>86</v>
      </c>
      <c r="AA56" s="55" t="s">
        <v>55</v>
      </c>
      <c r="AB56" s="55" t="s">
        <v>344</v>
      </c>
      <c r="AC56" s="55"/>
      <c r="AD56" s="55"/>
    </row>
    <row r="57" spans="1:30" x14ac:dyDescent="0.15">
      <c r="A57" s="55" t="s">
        <v>41</v>
      </c>
      <c r="B57" s="237" t="s">
        <v>342</v>
      </c>
      <c r="C57" s="152">
        <v>2018</v>
      </c>
      <c r="D57" s="56" t="s">
        <v>362</v>
      </c>
      <c r="E57" s="237" t="s">
        <v>296</v>
      </c>
      <c r="F57" s="237" t="s">
        <v>300</v>
      </c>
      <c r="G57" s="55" t="s">
        <v>42</v>
      </c>
      <c r="H57" s="55" t="s">
        <v>160</v>
      </c>
      <c r="I57" s="55" t="s">
        <v>155</v>
      </c>
      <c r="J57" s="55" t="s">
        <v>38</v>
      </c>
      <c r="K57" s="55" t="s">
        <v>156</v>
      </c>
      <c r="L57" s="237">
        <v>2</v>
      </c>
      <c r="N57" s="55">
        <v>4</v>
      </c>
      <c r="O57" s="237">
        <v>0.6</v>
      </c>
      <c r="P57" s="237">
        <v>0.5</v>
      </c>
      <c r="Q57" s="57">
        <f t="shared" si="0"/>
        <v>0.55000000000000004</v>
      </c>
      <c r="R57" s="237">
        <v>17.100000000000001</v>
      </c>
      <c r="S57" s="237">
        <v>114</v>
      </c>
      <c r="T57" s="57">
        <f t="shared" si="1"/>
        <v>30</v>
      </c>
      <c r="U57" s="237">
        <v>645</v>
      </c>
      <c r="V57" s="58">
        <f t="shared" si="2"/>
        <v>4837.5</v>
      </c>
      <c r="W57" s="237">
        <v>2</v>
      </c>
      <c r="X57" s="55" t="s">
        <v>46</v>
      </c>
      <c r="Y57" s="55" t="s">
        <v>97</v>
      </c>
      <c r="Z57" s="55" t="s">
        <v>86</v>
      </c>
      <c r="AA57" s="55" t="s">
        <v>55</v>
      </c>
      <c r="AB57" s="55" t="s">
        <v>344</v>
      </c>
      <c r="AC57" s="55"/>
      <c r="AD57" s="55"/>
    </row>
    <row r="58" spans="1:30" x14ac:dyDescent="0.15">
      <c r="A58" s="55" t="s">
        <v>41</v>
      </c>
      <c r="B58" s="237" t="s">
        <v>342</v>
      </c>
      <c r="C58" s="152">
        <v>2018</v>
      </c>
      <c r="D58" s="56" t="s">
        <v>362</v>
      </c>
      <c r="E58" s="237" t="s">
        <v>296</v>
      </c>
      <c r="F58" s="237" t="s">
        <v>300</v>
      </c>
      <c r="G58" s="55" t="s">
        <v>42</v>
      </c>
      <c r="H58" s="55" t="s">
        <v>160</v>
      </c>
      <c r="I58" s="55" t="s">
        <v>155</v>
      </c>
      <c r="J58" s="55" t="s">
        <v>38</v>
      </c>
      <c r="K58" s="55" t="s">
        <v>156</v>
      </c>
      <c r="L58" s="237">
        <v>3</v>
      </c>
      <c r="N58" s="55">
        <v>4</v>
      </c>
      <c r="O58" s="237">
        <v>0.7</v>
      </c>
      <c r="P58" s="237">
        <v>0.6</v>
      </c>
      <c r="Q58" s="57">
        <f t="shared" si="0"/>
        <v>0.64999999999999991</v>
      </c>
      <c r="R58" s="237">
        <v>15.4</v>
      </c>
      <c r="S58" s="237">
        <v>118</v>
      </c>
      <c r="T58" s="57">
        <f t="shared" si="1"/>
        <v>30</v>
      </c>
      <c r="U58" s="55">
        <v>645</v>
      </c>
      <c r="V58" s="58">
        <f t="shared" si="2"/>
        <v>4837.5</v>
      </c>
      <c r="W58" s="237">
        <v>2</v>
      </c>
      <c r="X58" s="55" t="s">
        <v>46</v>
      </c>
      <c r="Y58" s="55" t="s">
        <v>97</v>
      </c>
      <c r="Z58" s="55" t="s">
        <v>86</v>
      </c>
      <c r="AA58" s="55" t="s">
        <v>55</v>
      </c>
      <c r="AB58" s="55" t="s">
        <v>344</v>
      </c>
      <c r="AC58" s="55"/>
      <c r="AD58" s="55"/>
    </row>
    <row r="59" spans="1:30" x14ac:dyDescent="0.15">
      <c r="A59" s="55" t="s">
        <v>41</v>
      </c>
      <c r="B59" s="237" t="s">
        <v>342</v>
      </c>
      <c r="C59" s="152">
        <v>2018</v>
      </c>
      <c r="D59" s="56" t="s">
        <v>362</v>
      </c>
      <c r="E59" s="237" t="s">
        <v>296</v>
      </c>
      <c r="F59" s="237" t="s">
        <v>300</v>
      </c>
      <c r="G59" s="55" t="s">
        <v>42</v>
      </c>
      <c r="H59" s="55" t="s">
        <v>160</v>
      </c>
      <c r="I59" s="55" t="s">
        <v>155</v>
      </c>
      <c r="J59" s="55" t="s">
        <v>38</v>
      </c>
      <c r="K59" s="55" t="s">
        <v>156</v>
      </c>
      <c r="L59" s="237">
        <v>1</v>
      </c>
      <c r="N59" s="55">
        <v>8</v>
      </c>
      <c r="O59" s="237">
        <v>0.65</v>
      </c>
      <c r="P59" s="237">
        <v>0.8</v>
      </c>
      <c r="Q59" s="57">
        <f t="shared" si="0"/>
        <v>0.72500000000000009</v>
      </c>
      <c r="R59" s="237">
        <v>14.8</v>
      </c>
      <c r="S59" s="237">
        <v>114</v>
      </c>
      <c r="T59" s="57">
        <f t="shared" si="1"/>
        <v>30</v>
      </c>
      <c r="U59" s="237">
        <v>1058</v>
      </c>
      <c r="V59" s="58">
        <f t="shared" si="2"/>
        <v>3967.5</v>
      </c>
      <c r="W59" s="237">
        <v>1</v>
      </c>
      <c r="X59" s="55" t="s">
        <v>46</v>
      </c>
      <c r="Y59" s="55" t="s">
        <v>97</v>
      </c>
      <c r="Z59" s="55" t="s">
        <v>86</v>
      </c>
      <c r="AA59" s="55" t="s">
        <v>55</v>
      </c>
      <c r="AB59" s="55" t="s">
        <v>344</v>
      </c>
      <c r="AC59" s="55"/>
      <c r="AD59" s="55"/>
    </row>
    <row r="60" spans="1:30" x14ac:dyDescent="0.15">
      <c r="A60" s="55" t="s">
        <v>41</v>
      </c>
      <c r="B60" s="237" t="s">
        <v>342</v>
      </c>
      <c r="C60" s="152">
        <v>2018</v>
      </c>
      <c r="D60" s="56" t="s">
        <v>362</v>
      </c>
      <c r="E60" s="237" t="s">
        <v>296</v>
      </c>
      <c r="F60" s="237" t="s">
        <v>300</v>
      </c>
      <c r="G60" s="55" t="s">
        <v>42</v>
      </c>
      <c r="H60" s="55" t="s">
        <v>160</v>
      </c>
      <c r="I60" s="55" t="s">
        <v>155</v>
      </c>
      <c r="J60" s="55" t="s">
        <v>38</v>
      </c>
      <c r="K60" s="55" t="s">
        <v>156</v>
      </c>
      <c r="L60" s="237">
        <v>2</v>
      </c>
      <c r="N60" s="55">
        <v>8</v>
      </c>
      <c r="O60" s="237">
        <v>0.85</v>
      </c>
      <c r="P60" s="237">
        <v>0.7</v>
      </c>
      <c r="Q60" s="57">
        <f t="shared" si="0"/>
        <v>0.77499999999999991</v>
      </c>
      <c r="R60" s="237">
        <v>14.9</v>
      </c>
      <c r="S60" s="237">
        <v>111</v>
      </c>
      <c r="T60" s="57">
        <f t="shared" si="1"/>
        <v>33</v>
      </c>
      <c r="U60" s="237">
        <v>1058</v>
      </c>
      <c r="V60" s="58">
        <f t="shared" si="2"/>
        <v>4364.25</v>
      </c>
      <c r="W60" s="237">
        <v>1</v>
      </c>
      <c r="X60" s="55" t="s">
        <v>46</v>
      </c>
      <c r="Y60" s="55" t="s">
        <v>97</v>
      </c>
      <c r="Z60" s="55" t="s">
        <v>86</v>
      </c>
      <c r="AA60" s="55" t="s">
        <v>55</v>
      </c>
      <c r="AB60" s="55" t="s">
        <v>344</v>
      </c>
      <c r="AC60" s="55"/>
      <c r="AD60" s="55"/>
    </row>
    <row r="61" spans="1:30" x14ac:dyDescent="0.15">
      <c r="A61" s="55" t="s">
        <v>41</v>
      </c>
      <c r="B61" s="237" t="s">
        <v>342</v>
      </c>
      <c r="C61" s="152">
        <v>2018</v>
      </c>
      <c r="D61" s="56" t="s">
        <v>362</v>
      </c>
      <c r="E61" s="237" t="s">
        <v>296</v>
      </c>
      <c r="F61" s="237" t="s">
        <v>300</v>
      </c>
      <c r="G61" s="55" t="s">
        <v>42</v>
      </c>
      <c r="H61" s="55" t="s">
        <v>160</v>
      </c>
      <c r="I61" s="55" t="s">
        <v>155</v>
      </c>
      <c r="J61" s="55" t="s">
        <v>38</v>
      </c>
      <c r="K61" s="55" t="s">
        <v>156</v>
      </c>
      <c r="L61" s="237">
        <v>3</v>
      </c>
      <c r="N61" s="55">
        <v>8</v>
      </c>
      <c r="O61" s="237">
        <v>0.7</v>
      </c>
      <c r="P61" s="237">
        <v>0.8</v>
      </c>
      <c r="Q61" s="57">
        <f t="shared" si="0"/>
        <v>0.75</v>
      </c>
      <c r="R61" s="237">
        <v>14.8</v>
      </c>
      <c r="S61" s="237">
        <v>121</v>
      </c>
      <c r="T61" s="57">
        <f t="shared" si="1"/>
        <v>27</v>
      </c>
      <c r="U61" s="55">
        <v>1058</v>
      </c>
      <c r="V61" s="58">
        <f t="shared" si="2"/>
        <v>3570.75</v>
      </c>
      <c r="W61" s="237">
        <v>1</v>
      </c>
      <c r="X61" s="55" t="s">
        <v>46</v>
      </c>
      <c r="Y61" s="55" t="s">
        <v>97</v>
      </c>
      <c r="Z61" s="55" t="s">
        <v>86</v>
      </c>
      <c r="AA61" s="55" t="s">
        <v>55</v>
      </c>
      <c r="AB61" s="55" t="s">
        <v>344</v>
      </c>
      <c r="AC61" s="55"/>
      <c r="AD61" s="55"/>
    </row>
    <row r="62" spans="1:30" x14ac:dyDescent="0.15">
      <c r="A62" s="55" t="s">
        <v>41</v>
      </c>
      <c r="B62" s="237" t="s">
        <v>342</v>
      </c>
      <c r="C62" s="152">
        <v>2018</v>
      </c>
      <c r="D62" s="56" t="s">
        <v>362</v>
      </c>
      <c r="E62" s="237" t="s">
        <v>296</v>
      </c>
      <c r="F62" s="237" t="s">
        <v>300</v>
      </c>
      <c r="G62" s="55" t="s">
        <v>42</v>
      </c>
      <c r="H62" s="55" t="s">
        <v>157</v>
      </c>
      <c r="I62" s="55" t="s">
        <v>155</v>
      </c>
      <c r="J62" s="55" t="s">
        <v>38</v>
      </c>
      <c r="K62" s="55" t="s">
        <v>156</v>
      </c>
      <c r="L62" s="237">
        <v>1</v>
      </c>
      <c r="N62" s="237">
        <v>10</v>
      </c>
      <c r="O62" s="55">
        <v>0.25</v>
      </c>
      <c r="P62" s="55">
        <v>0.2</v>
      </c>
      <c r="Q62" s="82">
        <f t="shared" si="0"/>
        <v>0.22500000000000001</v>
      </c>
      <c r="R62" s="55">
        <v>16.399999999999999</v>
      </c>
      <c r="S62" s="55">
        <v>100</v>
      </c>
      <c r="T62" s="57">
        <f t="shared" si="1"/>
        <v>33</v>
      </c>
      <c r="U62" s="237">
        <v>1058</v>
      </c>
      <c r="V62" s="58">
        <f t="shared" si="2"/>
        <v>3491.4</v>
      </c>
      <c r="W62" s="237">
        <v>1</v>
      </c>
      <c r="X62" s="55" t="s">
        <v>46</v>
      </c>
      <c r="Y62" s="55" t="s">
        <v>97</v>
      </c>
      <c r="Z62" s="55" t="s">
        <v>86</v>
      </c>
      <c r="AA62" s="55" t="s">
        <v>55</v>
      </c>
      <c r="AB62" s="55" t="s">
        <v>344</v>
      </c>
    </row>
    <row r="63" spans="1:30" x14ac:dyDescent="0.15">
      <c r="A63" s="55" t="s">
        <v>41</v>
      </c>
      <c r="B63" s="237" t="s">
        <v>342</v>
      </c>
      <c r="C63" s="152">
        <v>2018</v>
      </c>
      <c r="D63" s="56" t="s">
        <v>362</v>
      </c>
      <c r="E63" s="237" t="s">
        <v>296</v>
      </c>
      <c r="F63" s="237" t="s">
        <v>300</v>
      </c>
      <c r="G63" s="55" t="s">
        <v>42</v>
      </c>
      <c r="H63" s="55" t="s">
        <v>157</v>
      </c>
      <c r="I63" s="55" t="s">
        <v>155</v>
      </c>
      <c r="J63" s="55" t="s">
        <v>38</v>
      </c>
      <c r="K63" s="55" t="s">
        <v>156</v>
      </c>
      <c r="L63" s="237">
        <v>2</v>
      </c>
      <c r="N63" s="237">
        <v>10</v>
      </c>
      <c r="O63" s="55">
        <v>0.2</v>
      </c>
      <c r="P63" s="55">
        <v>0.25</v>
      </c>
      <c r="Q63" s="82">
        <f t="shared" si="0"/>
        <v>0.22500000000000001</v>
      </c>
      <c r="R63" s="55">
        <v>12.8</v>
      </c>
      <c r="S63" s="55">
        <v>104</v>
      </c>
      <c r="T63" s="57">
        <f t="shared" si="1"/>
        <v>33</v>
      </c>
      <c r="U63" s="237">
        <v>1058</v>
      </c>
      <c r="V63" s="58">
        <f t="shared" si="2"/>
        <v>3491.4</v>
      </c>
      <c r="W63" s="237">
        <v>1</v>
      </c>
      <c r="X63" s="55" t="s">
        <v>46</v>
      </c>
      <c r="Y63" s="55" t="s">
        <v>97</v>
      </c>
      <c r="Z63" s="55" t="s">
        <v>86</v>
      </c>
      <c r="AA63" s="55" t="s">
        <v>55</v>
      </c>
      <c r="AB63" s="55" t="s">
        <v>344</v>
      </c>
    </row>
    <row r="64" spans="1:30" x14ac:dyDescent="0.15">
      <c r="A64" s="55" t="s">
        <v>41</v>
      </c>
      <c r="B64" s="237" t="s">
        <v>342</v>
      </c>
      <c r="C64" s="152">
        <v>2018</v>
      </c>
      <c r="D64" s="56" t="s">
        <v>362</v>
      </c>
      <c r="E64" s="237" t="s">
        <v>296</v>
      </c>
      <c r="F64" s="237" t="s">
        <v>300</v>
      </c>
      <c r="G64" s="55" t="s">
        <v>42</v>
      </c>
      <c r="H64" s="55" t="s">
        <v>157</v>
      </c>
      <c r="I64" s="55" t="s">
        <v>155</v>
      </c>
      <c r="J64" s="55" t="s">
        <v>38</v>
      </c>
      <c r="K64" s="55" t="s">
        <v>156</v>
      </c>
      <c r="L64" s="237">
        <v>3</v>
      </c>
      <c r="N64" s="237">
        <v>10</v>
      </c>
      <c r="O64" s="55">
        <v>0.2</v>
      </c>
      <c r="P64" s="55">
        <v>0.2</v>
      </c>
      <c r="Q64" s="82">
        <f t="shared" si="0"/>
        <v>0.2</v>
      </c>
      <c r="R64" s="55">
        <v>15.7</v>
      </c>
      <c r="S64" s="55">
        <v>97</v>
      </c>
      <c r="T64" s="57">
        <f t="shared" si="1"/>
        <v>36</v>
      </c>
      <c r="U64" s="237">
        <v>1058</v>
      </c>
      <c r="V64" s="58">
        <f t="shared" si="2"/>
        <v>3808.7999999999997</v>
      </c>
      <c r="W64" s="237">
        <v>1</v>
      </c>
      <c r="X64" s="55" t="s">
        <v>46</v>
      </c>
      <c r="Y64" s="55" t="s">
        <v>97</v>
      </c>
      <c r="Z64" s="55" t="s">
        <v>86</v>
      </c>
      <c r="AA64" s="55" t="s">
        <v>55</v>
      </c>
      <c r="AB64" s="55" t="s">
        <v>344</v>
      </c>
    </row>
    <row r="65" spans="1:30" x14ac:dyDescent="0.15">
      <c r="A65" s="55" t="s">
        <v>41</v>
      </c>
      <c r="B65" s="237" t="s">
        <v>342</v>
      </c>
      <c r="C65" s="152">
        <v>2018</v>
      </c>
      <c r="D65" s="56" t="s">
        <v>362</v>
      </c>
      <c r="E65" s="237" t="s">
        <v>296</v>
      </c>
      <c r="F65" s="237" t="s">
        <v>300</v>
      </c>
      <c r="G65" s="55" t="s">
        <v>42</v>
      </c>
      <c r="H65" s="55" t="s">
        <v>157</v>
      </c>
      <c r="I65" s="55" t="s">
        <v>155</v>
      </c>
      <c r="J65" s="55" t="s">
        <v>38</v>
      </c>
      <c r="K65" s="55" t="s">
        <v>156</v>
      </c>
      <c r="L65" s="237">
        <v>1</v>
      </c>
      <c r="N65" s="237">
        <v>4</v>
      </c>
      <c r="O65" s="237">
        <v>0.2</v>
      </c>
      <c r="P65" s="237">
        <v>0.2</v>
      </c>
      <c r="Q65" s="57">
        <f t="shared" si="0"/>
        <v>0.2</v>
      </c>
      <c r="R65" s="237">
        <v>13.2</v>
      </c>
      <c r="S65" s="237">
        <v>119</v>
      </c>
      <c r="T65" s="57">
        <f t="shared" si="1"/>
        <v>30</v>
      </c>
      <c r="U65" s="237">
        <v>429</v>
      </c>
      <c r="V65" s="58">
        <f t="shared" si="2"/>
        <v>3217.5</v>
      </c>
      <c r="W65" s="237">
        <v>2</v>
      </c>
      <c r="X65" s="55" t="s">
        <v>46</v>
      </c>
      <c r="Y65" s="55" t="s">
        <v>97</v>
      </c>
      <c r="Z65" s="55" t="s">
        <v>86</v>
      </c>
      <c r="AA65" s="55" t="s">
        <v>55</v>
      </c>
      <c r="AB65" s="55" t="s">
        <v>344</v>
      </c>
    </row>
    <row r="66" spans="1:30" x14ac:dyDescent="0.15">
      <c r="A66" s="55" t="s">
        <v>41</v>
      </c>
      <c r="B66" s="237" t="s">
        <v>342</v>
      </c>
      <c r="C66" s="152">
        <v>2018</v>
      </c>
      <c r="D66" s="56" t="s">
        <v>362</v>
      </c>
      <c r="E66" s="237" t="s">
        <v>296</v>
      </c>
      <c r="F66" s="237" t="s">
        <v>300</v>
      </c>
      <c r="G66" s="55" t="s">
        <v>42</v>
      </c>
      <c r="H66" s="55" t="s">
        <v>157</v>
      </c>
      <c r="I66" s="55" t="s">
        <v>155</v>
      </c>
      <c r="J66" s="55" t="s">
        <v>38</v>
      </c>
      <c r="K66" s="55" t="s">
        <v>156</v>
      </c>
      <c r="L66" s="237">
        <v>2</v>
      </c>
      <c r="N66" s="237">
        <v>4</v>
      </c>
      <c r="O66" s="55">
        <v>0.3</v>
      </c>
      <c r="P66" s="55">
        <v>0.2</v>
      </c>
      <c r="Q66" s="57">
        <f t="shared" ref="Q66:Q133" si="3">IF(OR(O66="",P66=""),"",AVERAGE(O66,P66))</f>
        <v>0.25</v>
      </c>
      <c r="R66" s="237">
        <v>14.2</v>
      </c>
      <c r="S66" s="237">
        <v>121</v>
      </c>
      <c r="T66" s="57">
        <f t="shared" ref="T66:T127" si="4">IF(H66="","",IF(OR(H66="GREEN",H66="GK"),IF(S66&gt;=$AX$2,VLOOKUP(S66,$AX$2:$AY$10,2,1),""),IF(S66&gt;=$AZ$2,VLOOKUP(S66,$AZ$2:$BA$10,2,1),"")))</f>
        <v>27</v>
      </c>
      <c r="U66" s="237">
        <v>429</v>
      </c>
      <c r="V66" s="58">
        <f t="shared" ref="V66:V127" si="5">IF(OR(N66="",U66="",T66=""),"",U66/N66*T66)</f>
        <v>2895.75</v>
      </c>
      <c r="W66" s="237">
        <v>2</v>
      </c>
      <c r="X66" s="55" t="s">
        <v>46</v>
      </c>
      <c r="Y66" s="55" t="s">
        <v>97</v>
      </c>
      <c r="Z66" s="55" t="s">
        <v>86</v>
      </c>
      <c r="AA66" s="55" t="s">
        <v>55</v>
      </c>
      <c r="AB66" s="55" t="s">
        <v>344</v>
      </c>
    </row>
    <row r="67" spans="1:30" x14ac:dyDescent="0.15">
      <c r="A67" s="55" t="s">
        <v>41</v>
      </c>
      <c r="B67" s="237" t="s">
        <v>342</v>
      </c>
      <c r="C67" s="152">
        <v>2018</v>
      </c>
      <c r="D67" s="56" t="s">
        <v>362</v>
      </c>
      <c r="E67" s="237" t="s">
        <v>296</v>
      </c>
      <c r="F67" s="237" t="s">
        <v>300</v>
      </c>
      <c r="G67" s="55" t="s">
        <v>42</v>
      </c>
      <c r="H67" s="55" t="s">
        <v>157</v>
      </c>
      <c r="I67" s="55" t="s">
        <v>155</v>
      </c>
      <c r="J67" s="55" t="s">
        <v>38</v>
      </c>
      <c r="K67" s="55" t="s">
        <v>156</v>
      </c>
      <c r="L67" s="237">
        <v>3</v>
      </c>
      <c r="N67" s="237">
        <v>4</v>
      </c>
      <c r="O67" s="55">
        <v>0.3</v>
      </c>
      <c r="P67" s="55">
        <v>0.2</v>
      </c>
      <c r="Q67" s="57">
        <f t="shared" si="3"/>
        <v>0.25</v>
      </c>
      <c r="R67" s="55">
        <v>15.5</v>
      </c>
      <c r="S67" s="55">
        <v>114</v>
      </c>
      <c r="T67" s="57">
        <f t="shared" si="4"/>
        <v>30</v>
      </c>
      <c r="U67" s="237">
        <v>429</v>
      </c>
      <c r="V67" s="58">
        <f t="shared" si="5"/>
        <v>3217.5</v>
      </c>
      <c r="W67" s="237">
        <v>2</v>
      </c>
      <c r="X67" s="55" t="s">
        <v>46</v>
      </c>
      <c r="Y67" s="55" t="s">
        <v>97</v>
      </c>
      <c r="Z67" s="55" t="s">
        <v>86</v>
      </c>
      <c r="AA67" s="55" t="s">
        <v>55</v>
      </c>
      <c r="AB67" s="55" t="s">
        <v>344</v>
      </c>
    </row>
    <row r="68" spans="1:30" x14ac:dyDescent="0.15">
      <c r="A68" s="55" t="s">
        <v>41</v>
      </c>
      <c r="B68" s="237" t="s">
        <v>342</v>
      </c>
      <c r="C68" s="152">
        <v>2018</v>
      </c>
      <c r="D68" s="56" t="s">
        <v>362</v>
      </c>
      <c r="E68" s="237" t="s">
        <v>296</v>
      </c>
      <c r="F68" s="237" t="s">
        <v>302</v>
      </c>
      <c r="G68" s="55" t="s">
        <v>42</v>
      </c>
      <c r="H68" s="55" t="s">
        <v>157</v>
      </c>
      <c r="I68" s="55" t="s">
        <v>155</v>
      </c>
      <c r="J68" s="55" t="s">
        <v>38</v>
      </c>
      <c r="K68" s="55" t="s">
        <v>156</v>
      </c>
      <c r="L68" s="237">
        <v>1</v>
      </c>
      <c r="N68" s="55">
        <v>1</v>
      </c>
      <c r="O68" s="55">
        <v>0.9</v>
      </c>
      <c r="P68" s="55">
        <v>0.8</v>
      </c>
      <c r="Q68" s="57">
        <f t="shared" si="3"/>
        <v>0.85000000000000009</v>
      </c>
      <c r="R68" s="55">
        <v>15.1</v>
      </c>
      <c r="S68" s="55">
        <v>135</v>
      </c>
      <c r="T68" s="57">
        <f t="shared" si="4"/>
        <v>25</v>
      </c>
      <c r="U68" s="237">
        <v>108</v>
      </c>
      <c r="V68" s="58">
        <f t="shared" si="5"/>
        <v>2700</v>
      </c>
      <c r="W68" s="237">
        <v>1</v>
      </c>
      <c r="X68" s="55" t="s">
        <v>46</v>
      </c>
      <c r="Y68" s="55" t="s">
        <v>97</v>
      </c>
      <c r="Z68" s="55" t="s">
        <v>86</v>
      </c>
      <c r="AA68" s="55" t="s">
        <v>69</v>
      </c>
      <c r="AB68" s="55" t="s">
        <v>344</v>
      </c>
    </row>
    <row r="69" spans="1:30" x14ac:dyDescent="0.15">
      <c r="A69" s="55" t="s">
        <v>41</v>
      </c>
      <c r="B69" s="237" t="s">
        <v>342</v>
      </c>
      <c r="C69" s="152">
        <v>2018</v>
      </c>
      <c r="D69" s="56" t="s">
        <v>362</v>
      </c>
      <c r="E69" s="237" t="s">
        <v>296</v>
      </c>
      <c r="F69" s="237" t="s">
        <v>302</v>
      </c>
      <c r="G69" s="55" t="s">
        <v>42</v>
      </c>
      <c r="H69" s="55" t="s">
        <v>157</v>
      </c>
      <c r="I69" s="55" t="s">
        <v>155</v>
      </c>
      <c r="J69" s="55" t="s">
        <v>38</v>
      </c>
      <c r="K69" s="55" t="s">
        <v>156</v>
      </c>
      <c r="L69" s="237">
        <v>2</v>
      </c>
      <c r="N69" s="55">
        <v>1</v>
      </c>
      <c r="O69" s="55">
        <v>0.95</v>
      </c>
      <c r="P69" s="55">
        <v>0.8</v>
      </c>
      <c r="Q69" s="57">
        <f t="shared" si="3"/>
        <v>0.875</v>
      </c>
      <c r="R69" s="55">
        <v>14.7</v>
      </c>
      <c r="S69" s="55">
        <v>129</v>
      </c>
      <c r="T69" s="57">
        <f t="shared" si="4"/>
        <v>25</v>
      </c>
      <c r="U69" s="237">
        <v>108</v>
      </c>
      <c r="V69" s="58">
        <f t="shared" si="5"/>
        <v>2700</v>
      </c>
      <c r="W69" s="237">
        <v>1</v>
      </c>
      <c r="X69" s="55" t="s">
        <v>46</v>
      </c>
      <c r="Y69" s="55" t="s">
        <v>97</v>
      </c>
      <c r="Z69" s="55" t="s">
        <v>86</v>
      </c>
      <c r="AA69" s="55" t="s">
        <v>69</v>
      </c>
      <c r="AB69" s="55" t="s">
        <v>344</v>
      </c>
    </row>
    <row r="70" spans="1:30" x14ac:dyDescent="0.15">
      <c r="A70" s="55" t="s">
        <v>41</v>
      </c>
      <c r="B70" s="237" t="s">
        <v>342</v>
      </c>
      <c r="C70" s="152">
        <v>2018</v>
      </c>
      <c r="D70" s="56" t="s">
        <v>362</v>
      </c>
      <c r="E70" s="237" t="s">
        <v>296</v>
      </c>
      <c r="F70" s="237" t="s">
        <v>302</v>
      </c>
      <c r="G70" s="55" t="s">
        <v>42</v>
      </c>
      <c r="H70" s="55" t="s">
        <v>157</v>
      </c>
      <c r="I70" s="55" t="s">
        <v>155</v>
      </c>
      <c r="J70" s="55" t="s">
        <v>38</v>
      </c>
      <c r="K70" s="55" t="s">
        <v>156</v>
      </c>
      <c r="L70" s="237">
        <v>3</v>
      </c>
      <c r="N70" s="55">
        <v>1</v>
      </c>
      <c r="O70" s="55">
        <v>0.9</v>
      </c>
      <c r="P70" s="55">
        <v>0.9</v>
      </c>
      <c r="Q70" s="57">
        <f t="shared" si="3"/>
        <v>0.9</v>
      </c>
      <c r="R70" s="55">
        <v>14.5</v>
      </c>
      <c r="S70" s="55">
        <v>130</v>
      </c>
      <c r="T70" s="57">
        <f t="shared" si="4"/>
        <v>25</v>
      </c>
      <c r="U70" s="55">
        <v>108</v>
      </c>
      <c r="V70" s="58">
        <f t="shared" si="5"/>
        <v>2700</v>
      </c>
      <c r="W70" s="237">
        <v>1</v>
      </c>
      <c r="X70" s="55" t="s">
        <v>46</v>
      </c>
      <c r="Y70" s="55" t="s">
        <v>97</v>
      </c>
      <c r="Z70" s="55" t="s">
        <v>86</v>
      </c>
      <c r="AA70" s="55" t="s">
        <v>69</v>
      </c>
      <c r="AB70" s="55" t="s">
        <v>344</v>
      </c>
    </row>
    <row r="71" spans="1:30" x14ac:dyDescent="0.15">
      <c r="A71" s="55" t="s">
        <v>41</v>
      </c>
      <c r="B71" s="237" t="s">
        <v>342</v>
      </c>
      <c r="C71" s="152">
        <v>2018</v>
      </c>
      <c r="D71" s="56" t="s">
        <v>362</v>
      </c>
      <c r="E71" s="237" t="s">
        <v>296</v>
      </c>
      <c r="F71" s="237" t="s">
        <v>302</v>
      </c>
      <c r="G71" s="55" t="s">
        <v>42</v>
      </c>
      <c r="H71" s="55" t="s">
        <v>160</v>
      </c>
      <c r="I71" s="55" t="s">
        <v>155</v>
      </c>
      <c r="J71" s="55" t="s">
        <v>38</v>
      </c>
      <c r="K71" s="55" t="s">
        <v>156</v>
      </c>
      <c r="L71" s="237">
        <v>1</v>
      </c>
      <c r="N71" s="55">
        <v>1</v>
      </c>
      <c r="O71" s="55">
        <v>1</v>
      </c>
      <c r="P71" s="55">
        <v>1</v>
      </c>
      <c r="Q71" s="57">
        <f t="shared" si="3"/>
        <v>1</v>
      </c>
      <c r="R71" s="55">
        <v>13.8</v>
      </c>
      <c r="S71" s="55">
        <v>137</v>
      </c>
      <c r="T71" s="57">
        <f t="shared" si="4"/>
        <v>25</v>
      </c>
      <c r="U71" s="237">
        <v>159</v>
      </c>
      <c r="V71" s="58">
        <f t="shared" si="5"/>
        <v>3975</v>
      </c>
      <c r="W71" s="237">
        <v>1</v>
      </c>
      <c r="X71" s="55" t="s">
        <v>46</v>
      </c>
      <c r="Y71" s="55" t="s">
        <v>97</v>
      </c>
      <c r="Z71" s="55" t="s">
        <v>86</v>
      </c>
      <c r="AA71" s="55" t="s">
        <v>69</v>
      </c>
      <c r="AB71" s="55" t="s">
        <v>344</v>
      </c>
      <c r="AC71" s="55"/>
      <c r="AD71" s="55"/>
    </row>
    <row r="72" spans="1:30" x14ac:dyDescent="0.15">
      <c r="A72" s="55" t="s">
        <v>41</v>
      </c>
      <c r="B72" s="237" t="s">
        <v>342</v>
      </c>
      <c r="C72" s="152">
        <v>2018</v>
      </c>
      <c r="D72" s="56" t="s">
        <v>362</v>
      </c>
      <c r="E72" s="237" t="s">
        <v>296</v>
      </c>
      <c r="F72" s="237" t="s">
        <v>302</v>
      </c>
      <c r="G72" s="55" t="s">
        <v>42</v>
      </c>
      <c r="H72" s="55" t="s">
        <v>160</v>
      </c>
      <c r="I72" s="55" t="s">
        <v>155</v>
      </c>
      <c r="J72" s="55" t="s">
        <v>38</v>
      </c>
      <c r="K72" s="55" t="s">
        <v>156</v>
      </c>
      <c r="L72" s="237">
        <v>2</v>
      </c>
      <c r="N72" s="55">
        <v>1</v>
      </c>
      <c r="O72" s="55">
        <v>0.8</v>
      </c>
      <c r="P72" s="55">
        <v>0.8</v>
      </c>
      <c r="Q72" s="57">
        <f t="shared" si="3"/>
        <v>0.8</v>
      </c>
      <c r="R72" s="55">
        <v>16.7</v>
      </c>
      <c r="S72" s="55">
        <v>132</v>
      </c>
      <c r="T72" s="57">
        <f t="shared" si="4"/>
        <v>25</v>
      </c>
      <c r="U72" s="237">
        <v>159</v>
      </c>
      <c r="V72" s="58">
        <f t="shared" si="5"/>
        <v>3975</v>
      </c>
      <c r="W72" s="237">
        <v>1</v>
      </c>
      <c r="X72" s="55" t="s">
        <v>46</v>
      </c>
      <c r="Y72" s="55" t="s">
        <v>97</v>
      </c>
      <c r="Z72" s="55" t="s">
        <v>86</v>
      </c>
      <c r="AA72" s="55" t="s">
        <v>69</v>
      </c>
      <c r="AB72" s="55" t="s">
        <v>344</v>
      </c>
      <c r="AC72" s="55"/>
      <c r="AD72" s="55"/>
    </row>
    <row r="73" spans="1:30" x14ac:dyDescent="0.15">
      <c r="A73" s="55" t="s">
        <v>41</v>
      </c>
      <c r="B73" s="237" t="s">
        <v>342</v>
      </c>
      <c r="C73" s="152">
        <v>2018</v>
      </c>
      <c r="D73" s="56" t="s">
        <v>362</v>
      </c>
      <c r="E73" s="237" t="s">
        <v>296</v>
      </c>
      <c r="F73" s="237" t="s">
        <v>302</v>
      </c>
      <c r="G73" s="55" t="s">
        <v>42</v>
      </c>
      <c r="H73" s="55" t="s">
        <v>160</v>
      </c>
      <c r="I73" s="55" t="s">
        <v>155</v>
      </c>
      <c r="J73" s="55" t="s">
        <v>38</v>
      </c>
      <c r="K73" s="55" t="s">
        <v>156</v>
      </c>
      <c r="L73" s="237">
        <v>3</v>
      </c>
      <c r="N73" s="55">
        <v>1</v>
      </c>
      <c r="O73" s="55">
        <v>0.6</v>
      </c>
      <c r="P73" s="55">
        <v>0.7</v>
      </c>
      <c r="Q73" s="57">
        <f t="shared" si="3"/>
        <v>0.64999999999999991</v>
      </c>
      <c r="R73" s="55">
        <v>15.7</v>
      </c>
      <c r="S73" s="55">
        <v>128</v>
      </c>
      <c r="T73" s="57">
        <f t="shared" si="4"/>
        <v>27</v>
      </c>
      <c r="U73" s="55">
        <v>159</v>
      </c>
      <c r="V73" s="58">
        <f t="shared" si="5"/>
        <v>4293</v>
      </c>
      <c r="W73" s="237">
        <v>1</v>
      </c>
      <c r="X73" s="55" t="s">
        <v>46</v>
      </c>
      <c r="Y73" s="55" t="s">
        <v>97</v>
      </c>
      <c r="Z73" s="55" t="s">
        <v>86</v>
      </c>
      <c r="AA73" s="55" t="s">
        <v>69</v>
      </c>
      <c r="AB73" s="55" t="s">
        <v>344</v>
      </c>
      <c r="AC73" s="55"/>
      <c r="AD73" s="55"/>
    </row>
    <row r="74" spans="1:30" x14ac:dyDescent="0.15">
      <c r="A74" s="55" t="s">
        <v>41</v>
      </c>
      <c r="B74" s="237" t="s">
        <v>342</v>
      </c>
      <c r="C74" s="152">
        <v>2018</v>
      </c>
      <c r="D74" s="56" t="s">
        <v>362</v>
      </c>
      <c r="E74" s="237" t="s">
        <v>296</v>
      </c>
      <c r="F74" s="237" t="s">
        <v>302</v>
      </c>
      <c r="G74" s="55" t="s">
        <v>42</v>
      </c>
      <c r="H74" s="55" t="s">
        <v>160</v>
      </c>
      <c r="I74" s="55" t="s">
        <v>155</v>
      </c>
      <c r="J74" s="55" t="s">
        <v>38</v>
      </c>
      <c r="K74" s="55" t="s">
        <v>156</v>
      </c>
      <c r="L74" s="237">
        <v>1</v>
      </c>
      <c r="N74" s="237">
        <v>8</v>
      </c>
      <c r="O74" s="55">
        <v>0.2</v>
      </c>
      <c r="P74" s="55">
        <v>0.2</v>
      </c>
      <c r="Q74" s="57">
        <f t="shared" si="3"/>
        <v>0.2</v>
      </c>
      <c r="R74" s="55">
        <v>14.9</v>
      </c>
      <c r="S74" s="55">
        <v>108</v>
      </c>
      <c r="T74" s="57">
        <f t="shared" si="4"/>
        <v>33</v>
      </c>
      <c r="U74" s="237">
        <v>1058</v>
      </c>
      <c r="V74" s="58">
        <f t="shared" si="5"/>
        <v>4364.25</v>
      </c>
      <c r="W74" s="237">
        <v>1</v>
      </c>
      <c r="X74" s="55" t="s">
        <v>46</v>
      </c>
      <c r="Y74" s="55" t="s">
        <v>97</v>
      </c>
      <c r="Z74" s="55" t="s">
        <v>86</v>
      </c>
      <c r="AA74" s="55" t="s">
        <v>69</v>
      </c>
      <c r="AB74" s="55" t="s">
        <v>344</v>
      </c>
    </row>
    <row r="75" spans="1:30" x14ac:dyDescent="0.15">
      <c r="A75" s="55" t="s">
        <v>41</v>
      </c>
      <c r="B75" s="237" t="s">
        <v>342</v>
      </c>
      <c r="C75" s="152">
        <v>2018</v>
      </c>
      <c r="D75" s="56" t="s">
        <v>362</v>
      </c>
      <c r="E75" s="237" t="s">
        <v>296</v>
      </c>
      <c r="F75" s="237" t="s">
        <v>302</v>
      </c>
      <c r="G75" s="55" t="s">
        <v>42</v>
      </c>
      <c r="H75" s="55" t="s">
        <v>160</v>
      </c>
      <c r="I75" s="55" t="s">
        <v>155</v>
      </c>
      <c r="J75" s="55" t="s">
        <v>38</v>
      </c>
      <c r="K75" s="55" t="s">
        <v>156</v>
      </c>
      <c r="L75" s="237">
        <v>2</v>
      </c>
      <c r="N75" s="237">
        <v>8</v>
      </c>
      <c r="O75" s="55">
        <v>0.3</v>
      </c>
      <c r="P75" s="55">
        <v>0.4</v>
      </c>
      <c r="Q75" s="57">
        <f t="shared" si="3"/>
        <v>0.35</v>
      </c>
      <c r="R75" s="55">
        <v>17.399999999999999</v>
      </c>
      <c r="S75" s="55">
        <v>104</v>
      </c>
      <c r="T75" s="57">
        <f t="shared" si="4"/>
        <v>33</v>
      </c>
      <c r="U75" s="237">
        <v>1058</v>
      </c>
      <c r="V75" s="58">
        <f t="shared" si="5"/>
        <v>4364.25</v>
      </c>
      <c r="W75" s="237">
        <v>1</v>
      </c>
      <c r="X75" s="55" t="s">
        <v>46</v>
      </c>
      <c r="Y75" s="55" t="s">
        <v>97</v>
      </c>
      <c r="Z75" s="55" t="s">
        <v>86</v>
      </c>
      <c r="AA75" s="55" t="s">
        <v>69</v>
      </c>
      <c r="AB75" s="55" t="s">
        <v>344</v>
      </c>
    </row>
    <row r="76" spans="1:30" x14ac:dyDescent="0.15">
      <c r="A76" s="55" t="s">
        <v>41</v>
      </c>
      <c r="B76" s="237" t="s">
        <v>342</v>
      </c>
      <c r="C76" s="152">
        <v>2018</v>
      </c>
      <c r="D76" s="56" t="s">
        <v>362</v>
      </c>
      <c r="E76" s="237" t="s">
        <v>296</v>
      </c>
      <c r="F76" s="237" t="s">
        <v>302</v>
      </c>
      <c r="G76" s="55" t="s">
        <v>42</v>
      </c>
      <c r="H76" s="55" t="s">
        <v>160</v>
      </c>
      <c r="I76" s="55" t="s">
        <v>155</v>
      </c>
      <c r="J76" s="55" t="s">
        <v>38</v>
      </c>
      <c r="K76" s="55" t="s">
        <v>156</v>
      </c>
      <c r="L76" s="237">
        <v>3</v>
      </c>
      <c r="N76" s="237">
        <v>8</v>
      </c>
      <c r="O76" s="55">
        <v>0.4</v>
      </c>
      <c r="P76" s="55">
        <v>0.45</v>
      </c>
      <c r="Q76" s="57">
        <f t="shared" si="3"/>
        <v>0.42500000000000004</v>
      </c>
      <c r="R76" s="55">
        <v>15.8</v>
      </c>
      <c r="S76" s="55">
        <v>100</v>
      </c>
      <c r="T76" s="57">
        <f t="shared" si="4"/>
        <v>33</v>
      </c>
      <c r="U76" s="237">
        <v>1058</v>
      </c>
      <c r="V76" s="58">
        <f t="shared" si="5"/>
        <v>4364.25</v>
      </c>
      <c r="W76" s="237">
        <v>1</v>
      </c>
      <c r="X76" s="55" t="s">
        <v>46</v>
      </c>
      <c r="Y76" s="55" t="s">
        <v>97</v>
      </c>
      <c r="Z76" s="55" t="s">
        <v>86</v>
      </c>
      <c r="AA76" s="55" t="s">
        <v>69</v>
      </c>
      <c r="AB76" s="55" t="s">
        <v>344</v>
      </c>
    </row>
    <row r="77" spans="1:30" x14ac:dyDescent="0.15">
      <c r="A77" s="55" t="s">
        <v>41</v>
      </c>
      <c r="B77" s="237" t="s">
        <v>342</v>
      </c>
      <c r="C77" s="152">
        <v>2018</v>
      </c>
      <c r="D77" s="56" t="s">
        <v>362</v>
      </c>
      <c r="E77" s="237" t="s">
        <v>296</v>
      </c>
      <c r="F77" s="237" t="s">
        <v>302</v>
      </c>
      <c r="G77" s="55" t="s">
        <v>42</v>
      </c>
      <c r="H77" s="55" t="s">
        <v>157</v>
      </c>
      <c r="I77" s="55" t="s">
        <v>155</v>
      </c>
      <c r="J77" s="55" t="s">
        <v>38</v>
      </c>
      <c r="K77" s="55" t="s">
        <v>156</v>
      </c>
      <c r="L77" s="237">
        <v>1</v>
      </c>
      <c r="N77" s="55">
        <v>4</v>
      </c>
      <c r="O77" s="55">
        <v>0.4</v>
      </c>
      <c r="P77" s="55">
        <v>0.5</v>
      </c>
      <c r="Q77" s="57">
        <f t="shared" si="3"/>
        <v>0.45</v>
      </c>
      <c r="R77" s="55">
        <v>14.7</v>
      </c>
      <c r="S77" s="55">
        <v>124</v>
      </c>
      <c r="T77" s="57">
        <f t="shared" si="4"/>
        <v>27</v>
      </c>
      <c r="U77" s="237">
        <v>429</v>
      </c>
      <c r="V77" s="58">
        <f t="shared" si="5"/>
        <v>2895.75</v>
      </c>
      <c r="W77" s="237">
        <v>2</v>
      </c>
      <c r="X77" s="55" t="s">
        <v>46</v>
      </c>
      <c r="Y77" s="55" t="s">
        <v>97</v>
      </c>
      <c r="Z77" s="55" t="s">
        <v>86</v>
      </c>
      <c r="AA77" s="55" t="s">
        <v>69</v>
      </c>
      <c r="AB77" s="55" t="s">
        <v>344</v>
      </c>
      <c r="AC77" s="55"/>
      <c r="AD77" s="55"/>
    </row>
    <row r="78" spans="1:30" x14ac:dyDescent="0.15">
      <c r="A78" s="55" t="s">
        <v>41</v>
      </c>
      <c r="B78" s="237" t="s">
        <v>342</v>
      </c>
      <c r="C78" s="152">
        <v>2018</v>
      </c>
      <c r="D78" s="56" t="s">
        <v>362</v>
      </c>
      <c r="E78" s="237" t="s">
        <v>296</v>
      </c>
      <c r="F78" s="237" t="s">
        <v>302</v>
      </c>
      <c r="G78" s="55" t="s">
        <v>42</v>
      </c>
      <c r="H78" s="55" t="s">
        <v>157</v>
      </c>
      <c r="I78" s="55" t="s">
        <v>155</v>
      </c>
      <c r="J78" s="55" t="s">
        <v>38</v>
      </c>
      <c r="K78" s="55" t="s">
        <v>156</v>
      </c>
      <c r="L78" s="237">
        <v>2</v>
      </c>
      <c r="N78" s="55">
        <v>4</v>
      </c>
      <c r="O78" s="55">
        <v>0.25</v>
      </c>
      <c r="P78" s="55">
        <v>0.4</v>
      </c>
      <c r="Q78" s="57">
        <f t="shared" si="3"/>
        <v>0.32500000000000001</v>
      </c>
      <c r="R78" s="55">
        <v>14</v>
      </c>
      <c r="S78" s="55">
        <v>122</v>
      </c>
      <c r="T78" s="57">
        <f t="shared" si="4"/>
        <v>27</v>
      </c>
      <c r="U78" s="237">
        <v>429</v>
      </c>
      <c r="V78" s="58">
        <f t="shared" si="5"/>
        <v>2895.75</v>
      </c>
      <c r="W78" s="237">
        <v>2</v>
      </c>
      <c r="X78" s="55" t="s">
        <v>46</v>
      </c>
      <c r="Y78" s="55" t="s">
        <v>97</v>
      </c>
      <c r="Z78" s="55" t="s">
        <v>86</v>
      </c>
      <c r="AA78" s="55" t="s">
        <v>69</v>
      </c>
      <c r="AB78" s="55" t="s">
        <v>344</v>
      </c>
      <c r="AC78" s="55"/>
      <c r="AD78" s="55"/>
    </row>
    <row r="79" spans="1:30" x14ac:dyDescent="0.15">
      <c r="A79" s="55" t="s">
        <v>41</v>
      </c>
      <c r="B79" s="237" t="s">
        <v>342</v>
      </c>
      <c r="C79" s="152">
        <v>2018</v>
      </c>
      <c r="D79" s="56" t="s">
        <v>362</v>
      </c>
      <c r="E79" s="237" t="s">
        <v>296</v>
      </c>
      <c r="F79" s="237" t="s">
        <v>302</v>
      </c>
      <c r="G79" s="55" t="s">
        <v>42</v>
      </c>
      <c r="H79" s="55" t="s">
        <v>157</v>
      </c>
      <c r="I79" s="55" t="s">
        <v>155</v>
      </c>
      <c r="J79" s="55" t="s">
        <v>38</v>
      </c>
      <c r="K79" s="55" t="s">
        <v>156</v>
      </c>
      <c r="L79" s="237">
        <v>3</v>
      </c>
      <c r="N79" s="55">
        <v>4</v>
      </c>
      <c r="O79" s="237">
        <v>0.45</v>
      </c>
      <c r="P79" s="237">
        <v>0.3</v>
      </c>
      <c r="Q79" s="57">
        <f t="shared" si="3"/>
        <v>0.375</v>
      </c>
      <c r="R79" s="237">
        <v>14.9</v>
      </c>
      <c r="S79" s="237">
        <v>120</v>
      </c>
      <c r="T79" s="57">
        <f t="shared" si="4"/>
        <v>30</v>
      </c>
      <c r="U79" s="55">
        <v>429</v>
      </c>
      <c r="V79" s="58">
        <f t="shared" si="5"/>
        <v>3217.5</v>
      </c>
      <c r="W79" s="237">
        <v>2</v>
      </c>
      <c r="X79" s="55" t="s">
        <v>46</v>
      </c>
      <c r="Y79" s="55" t="s">
        <v>97</v>
      </c>
      <c r="Z79" s="55" t="s">
        <v>86</v>
      </c>
      <c r="AA79" s="55" t="s">
        <v>69</v>
      </c>
      <c r="AB79" s="55" t="s">
        <v>344</v>
      </c>
      <c r="AC79" s="55"/>
      <c r="AD79" s="55"/>
    </row>
    <row r="80" spans="1:30" x14ac:dyDescent="0.15">
      <c r="A80" s="55" t="s">
        <v>41</v>
      </c>
      <c r="B80" s="237" t="s">
        <v>342</v>
      </c>
      <c r="C80" s="152">
        <v>2018</v>
      </c>
      <c r="D80" s="56" t="s">
        <v>362</v>
      </c>
      <c r="E80" s="237" t="s">
        <v>296</v>
      </c>
      <c r="F80" s="237" t="s">
        <v>302</v>
      </c>
      <c r="G80" s="55" t="s">
        <v>42</v>
      </c>
      <c r="H80" s="55" t="s">
        <v>160</v>
      </c>
      <c r="I80" s="55" t="s">
        <v>155</v>
      </c>
      <c r="J80" s="55" t="s">
        <v>38</v>
      </c>
      <c r="K80" s="55" t="s">
        <v>156</v>
      </c>
      <c r="L80" s="237">
        <v>1</v>
      </c>
      <c r="N80" s="237">
        <v>4</v>
      </c>
      <c r="O80" s="237">
        <v>0.3</v>
      </c>
      <c r="P80" s="237">
        <v>0.25</v>
      </c>
      <c r="Q80" s="57">
        <f t="shared" si="3"/>
        <v>0.27500000000000002</v>
      </c>
      <c r="R80" s="237">
        <v>13.7</v>
      </c>
      <c r="S80" s="237">
        <v>128</v>
      </c>
      <c r="T80" s="57">
        <f t="shared" si="4"/>
        <v>27</v>
      </c>
      <c r="U80" s="237">
        <v>626</v>
      </c>
      <c r="V80" s="58">
        <f t="shared" si="5"/>
        <v>4225.5</v>
      </c>
      <c r="W80" s="237">
        <v>2</v>
      </c>
      <c r="X80" s="55" t="s">
        <v>46</v>
      </c>
      <c r="Y80" s="55" t="s">
        <v>97</v>
      </c>
      <c r="Z80" s="55" t="s">
        <v>86</v>
      </c>
      <c r="AA80" s="55" t="s">
        <v>69</v>
      </c>
      <c r="AB80" s="55" t="s">
        <v>344</v>
      </c>
      <c r="AC80" s="55"/>
      <c r="AD80" s="55"/>
    </row>
    <row r="81" spans="1:30" x14ac:dyDescent="0.15">
      <c r="A81" s="55" t="s">
        <v>41</v>
      </c>
      <c r="B81" s="237" t="s">
        <v>342</v>
      </c>
      <c r="C81" s="152">
        <v>2018</v>
      </c>
      <c r="D81" s="56" t="s">
        <v>362</v>
      </c>
      <c r="E81" s="237" t="s">
        <v>296</v>
      </c>
      <c r="F81" s="237" t="s">
        <v>302</v>
      </c>
      <c r="G81" s="55" t="s">
        <v>42</v>
      </c>
      <c r="H81" s="55" t="s">
        <v>160</v>
      </c>
      <c r="I81" s="55" t="s">
        <v>155</v>
      </c>
      <c r="J81" s="55" t="s">
        <v>38</v>
      </c>
      <c r="K81" s="55" t="s">
        <v>156</v>
      </c>
      <c r="L81" s="237">
        <v>2</v>
      </c>
      <c r="N81" s="237">
        <v>4</v>
      </c>
      <c r="O81" s="237">
        <v>0.3</v>
      </c>
      <c r="P81" s="237">
        <v>0.2</v>
      </c>
      <c r="Q81" s="57">
        <f t="shared" si="3"/>
        <v>0.25</v>
      </c>
      <c r="R81" s="237">
        <v>17.100000000000001</v>
      </c>
      <c r="S81" s="237">
        <v>124</v>
      </c>
      <c r="T81" s="57">
        <f t="shared" si="4"/>
        <v>27</v>
      </c>
      <c r="U81" s="237">
        <v>626</v>
      </c>
      <c r="V81" s="58">
        <f t="shared" si="5"/>
        <v>4225.5</v>
      </c>
      <c r="W81" s="237">
        <v>2</v>
      </c>
      <c r="X81" s="55" t="s">
        <v>46</v>
      </c>
      <c r="Y81" s="55" t="s">
        <v>97</v>
      </c>
      <c r="Z81" s="55" t="s">
        <v>86</v>
      </c>
      <c r="AA81" s="55" t="s">
        <v>69</v>
      </c>
      <c r="AB81" s="55" t="s">
        <v>344</v>
      </c>
      <c r="AC81" s="55"/>
      <c r="AD81" s="55"/>
    </row>
    <row r="82" spans="1:30" x14ac:dyDescent="0.15">
      <c r="A82" s="55" t="s">
        <v>41</v>
      </c>
      <c r="B82" s="237" t="s">
        <v>342</v>
      </c>
      <c r="C82" s="152">
        <v>2018</v>
      </c>
      <c r="D82" s="56" t="s">
        <v>362</v>
      </c>
      <c r="E82" s="237" t="s">
        <v>296</v>
      </c>
      <c r="F82" s="237" t="s">
        <v>302</v>
      </c>
      <c r="G82" s="55" t="s">
        <v>42</v>
      </c>
      <c r="H82" s="55" t="s">
        <v>160</v>
      </c>
      <c r="I82" s="55" t="s">
        <v>155</v>
      </c>
      <c r="J82" s="55" t="s">
        <v>38</v>
      </c>
      <c r="K82" s="55" t="s">
        <v>156</v>
      </c>
      <c r="L82" s="237">
        <v>3</v>
      </c>
      <c r="N82" s="237">
        <v>4</v>
      </c>
      <c r="O82" s="237">
        <v>0.35</v>
      </c>
      <c r="P82" s="237">
        <v>0.5</v>
      </c>
      <c r="Q82" s="57">
        <f t="shared" si="3"/>
        <v>0.42499999999999999</v>
      </c>
      <c r="R82" s="237">
        <v>14.8</v>
      </c>
      <c r="S82" s="237">
        <v>119</v>
      </c>
      <c r="T82" s="57">
        <f t="shared" si="4"/>
        <v>30</v>
      </c>
      <c r="U82" s="237">
        <v>626</v>
      </c>
      <c r="V82" s="58">
        <f t="shared" si="5"/>
        <v>4695</v>
      </c>
      <c r="W82" s="237">
        <v>2</v>
      </c>
      <c r="X82" s="55" t="s">
        <v>46</v>
      </c>
      <c r="Y82" s="55" t="s">
        <v>97</v>
      </c>
      <c r="Z82" s="55" t="s">
        <v>86</v>
      </c>
      <c r="AA82" s="55" t="s">
        <v>69</v>
      </c>
      <c r="AB82" s="55" t="s">
        <v>344</v>
      </c>
      <c r="AC82" s="55"/>
      <c r="AD82" s="55"/>
    </row>
    <row r="83" spans="1:30" x14ac:dyDescent="0.15">
      <c r="A83" s="55" t="s">
        <v>41</v>
      </c>
      <c r="B83" s="237" t="s">
        <v>342</v>
      </c>
      <c r="C83" s="152">
        <v>2018</v>
      </c>
      <c r="D83" s="56" t="s">
        <v>362</v>
      </c>
      <c r="E83" s="55" t="s">
        <v>298</v>
      </c>
      <c r="F83" s="237" t="s">
        <v>303</v>
      </c>
      <c r="G83" s="55" t="s">
        <v>42</v>
      </c>
      <c r="H83" s="55" t="s">
        <v>157</v>
      </c>
      <c r="I83" s="55" t="s">
        <v>155</v>
      </c>
      <c r="J83" s="55" t="s">
        <v>38</v>
      </c>
      <c r="K83" s="55" t="s">
        <v>156</v>
      </c>
      <c r="L83" s="237">
        <v>1</v>
      </c>
      <c r="N83" s="237">
        <v>1</v>
      </c>
      <c r="O83" s="237">
        <v>0.9</v>
      </c>
      <c r="P83" s="237">
        <v>1</v>
      </c>
      <c r="Q83" s="57">
        <f t="shared" si="3"/>
        <v>0.95</v>
      </c>
      <c r="R83" s="237">
        <v>12.8</v>
      </c>
      <c r="S83" s="237">
        <v>98</v>
      </c>
      <c r="T83" s="57">
        <f t="shared" si="4"/>
        <v>36</v>
      </c>
      <c r="U83" s="237">
        <v>84</v>
      </c>
      <c r="V83" s="58">
        <f t="shared" si="5"/>
        <v>3024</v>
      </c>
      <c r="W83" s="237">
        <v>3</v>
      </c>
      <c r="X83" s="55" t="s">
        <v>46</v>
      </c>
      <c r="Y83" s="55" t="s">
        <v>97</v>
      </c>
      <c r="Z83" s="55" t="s">
        <v>88</v>
      </c>
      <c r="AA83" s="55" t="s">
        <v>69</v>
      </c>
      <c r="AB83" s="55" t="s">
        <v>344</v>
      </c>
      <c r="AC83" s="55"/>
      <c r="AD83" s="55"/>
    </row>
    <row r="84" spans="1:30" x14ac:dyDescent="0.15">
      <c r="A84" s="55" t="s">
        <v>41</v>
      </c>
      <c r="B84" s="237" t="s">
        <v>342</v>
      </c>
      <c r="C84" s="152">
        <v>2018</v>
      </c>
      <c r="D84" s="56" t="s">
        <v>362</v>
      </c>
      <c r="E84" s="55" t="s">
        <v>298</v>
      </c>
      <c r="F84" s="237" t="s">
        <v>303</v>
      </c>
      <c r="G84" s="55" t="s">
        <v>42</v>
      </c>
      <c r="H84" s="55" t="s">
        <v>157</v>
      </c>
      <c r="I84" s="55" t="s">
        <v>155</v>
      </c>
      <c r="J84" s="55" t="s">
        <v>38</v>
      </c>
      <c r="K84" s="55" t="s">
        <v>156</v>
      </c>
      <c r="L84" s="237">
        <v>2</v>
      </c>
      <c r="N84" s="237">
        <v>1</v>
      </c>
      <c r="O84" s="237">
        <v>1</v>
      </c>
      <c r="P84" s="237">
        <v>1.2</v>
      </c>
      <c r="Q84" s="57">
        <f t="shared" si="3"/>
        <v>1.1000000000000001</v>
      </c>
      <c r="R84" s="237">
        <v>12.7</v>
      </c>
      <c r="S84" s="237">
        <v>102</v>
      </c>
      <c r="T84" s="57">
        <f t="shared" si="4"/>
        <v>33</v>
      </c>
      <c r="U84" s="237">
        <v>84</v>
      </c>
      <c r="V84" s="58">
        <f t="shared" si="5"/>
        <v>2772</v>
      </c>
      <c r="W84" s="237">
        <v>3</v>
      </c>
      <c r="X84" s="55" t="s">
        <v>46</v>
      </c>
      <c r="Y84" s="55" t="s">
        <v>97</v>
      </c>
      <c r="Z84" s="55" t="s">
        <v>88</v>
      </c>
      <c r="AA84" s="55" t="s">
        <v>69</v>
      </c>
      <c r="AB84" s="55" t="s">
        <v>344</v>
      </c>
      <c r="AC84" s="55"/>
      <c r="AD84" s="55"/>
    </row>
    <row r="85" spans="1:30" x14ac:dyDescent="0.15">
      <c r="A85" s="55" t="s">
        <v>41</v>
      </c>
      <c r="B85" s="237" t="s">
        <v>342</v>
      </c>
      <c r="C85" s="152">
        <v>2018</v>
      </c>
      <c r="D85" s="56" t="s">
        <v>362</v>
      </c>
      <c r="E85" s="55" t="s">
        <v>298</v>
      </c>
      <c r="F85" s="237" t="s">
        <v>303</v>
      </c>
      <c r="G85" s="55" t="s">
        <v>42</v>
      </c>
      <c r="H85" s="55" t="s">
        <v>157</v>
      </c>
      <c r="I85" s="55" t="s">
        <v>155</v>
      </c>
      <c r="J85" s="55" t="s">
        <v>38</v>
      </c>
      <c r="K85" s="55" t="s">
        <v>156</v>
      </c>
      <c r="L85" s="237">
        <v>3</v>
      </c>
      <c r="N85" s="237">
        <v>1</v>
      </c>
      <c r="O85" s="237">
        <v>0.9</v>
      </c>
      <c r="P85" s="237">
        <v>1.1000000000000001</v>
      </c>
      <c r="Q85" s="57">
        <f t="shared" si="3"/>
        <v>1</v>
      </c>
      <c r="R85" s="237">
        <v>14.1</v>
      </c>
      <c r="S85" s="237">
        <v>103</v>
      </c>
      <c r="T85" s="57">
        <f t="shared" si="4"/>
        <v>33</v>
      </c>
      <c r="U85" s="237">
        <v>84</v>
      </c>
      <c r="V85" s="58">
        <f t="shared" si="5"/>
        <v>2772</v>
      </c>
      <c r="W85" s="237">
        <v>3</v>
      </c>
      <c r="X85" s="55" t="s">
        <v>46</v>
      </c>
      <c r="Y85" s="55" t="s">
        <v>97</v>
      </c>
      <c r="Z85" s="55" t="s">
        <v>88</v>
      </c>
      <c r="AA85" s="55" t="s">
        <v>69</v>
      </c>
      <c r="AB85" s="55" t="s">
        <v>344</v>
      </c>
      <c r="AC85" s="55"/>
      <c r="AD85" s="55"/>
    </row>
    <row r="86" spans="1:30" x14ac:dyDescent="0.15">
      <c r="A86" s="55" t="s">
        <v>41</v>
      </c>
      <c r="B86" s="237" t="s">
        <v>342</v>
      </c>
      <c r="C86" s="152">
        <v>2018</v>
      </c>
      <c r="D86" s="56" t="s">
        <v>362</v>
      </c>
      <c r="E86" s="55" t="s">
        <v>298</v>
      </c>
      <c r="F86" s="237" t="s">
        <v>303</v>
      </c>
      <c r="G86" s="55" t="s">
        <v>42</v>
      </c>
      <c r="H86" s="55" t="s">
        <v>157</v>
      </c>
      <c r="I86" s="55" t="s">
        <v>155</v>
      </c>
      <c r="J86" s="55" t="s">
        <v>38</v>
      </c>
      <c r="K86" s="55" t="s">
        <v>156</v>
      </c>
      <c r="L86" s="237">
        <v>1</v>
      </c>
      <c r="N86" s="237">
        <v>10</v>
      </c>
      <c r="O86" s="237">
        <v>0.3</v>
      </c>
      <c r="P86" s="237">
        <v>0.4</v>
      </c>
      <c r="Q86" s="57">
        <f t="shared" si="3"/>
        <v>0.35</v>
      </c>
      <c r="R86" s="237">
        <v>13.4</v>
      </c>
      <c r="S86" s="237">
        <v>97</v>
      </c>
      <c r="T86" s="57">
        <f t="shared" si="4"/>
        <v>36</v>
      </c>
      <c r="U86" s="237">
        <v>1058</v>
      </c>
      <c r="V86" s="58">
        <f t="shared" si="5"/>
        <v>3808.7999999999997</v>
      </c>
      <c r="W86" s="237">
        <v>1</v>
      </c>
      <c r="X86" s="55" t="s">
        <v>46</v>
      </c>
      <c r="Y86" s="55" t="s">
        <v>97</v>
      </c>
      <c r="Z86" s="55" t="s">
        <v>88</v>
      </c>
      <c r="AA86" s="55" t="s">
        <v>69</v>
      </c>
      <c r="AB86" s="55" t="s">
        <v>344</v>
      </c>
      <c r="AC86" s="55"/>
      <c r="AD86" s="55"/>
    </row>
    <row r="87" spans="1:30" x14ac:dyDescent="0.15">
      <c r="A87" s="55" t="s">
        <v>41</v>
      </c>
      <c r="B87" s="237" t="s">
        <v>342</v>
      </c>
      <c r="C87" s="152">
        <v>2018</v>
      </c>
      <c r="D87" s="56" t="s">
        <v>362</v>
      </c>
      <c r="E87" s="55" t="s">
        <v>298</v>
      </c>
      <c r="F87" s="237" t="s">
        <v>303</v>
      </c>
      <c r="G87" s="55" t="s">
        <v>42</v>
      </c>
      <c r="H87" s="55" t="s">
        <v>157</v>
      </c>
      <c r="I87" s="55" t="s">
        <v>155</v>
      </c>
      <c r="J87" s="55" t="s">
        <v>38</v>
      </c>
      <c r="K87" s="55" t="s">
        <v>156</v>
      </c>
      <c r="L87" s="237">
        <v>2</v>
      </c>
      <c r="N87" s="237">
        <v>10</v>
      </c>
      <c r="O87" s="237">
        <v>0.5</v>
      </c>
      <c r="P87" s="237">
        <v>0.55000000000000004</v>
      </c>
      <c r="Q87" s="57">
        <f t="shared" si="3"/>
        <v>0.52500000000000002</v>
      </c>
      <c r="R87" s="237">
        <v>14.7</v>
      </c>
      <c r="S87" s="237">
        <v>90</v>
      </c>
      <c r="T87" s="57">
        <f t="shared" si="4"/>
        <v>36</v>
      </c>
      <c r="U87" s="237">
        <v>1058</v>
      </c>
      <c r="V87" s="58">
        <f t="shared" si="5"/>
        <v>3808.7999999999997</v>
      </c>
      <c r="W87" s="237">
        <v>1</v>
      </c>
      <c r="X87" s="55" t="s">
        <v>46</v>
      </c>
      <c r="Y87" s="55" t="s">
        <v>97</v>
      </c>
      <c r="Z87" s="55" t="s">
        <v>88</v>
      </c>
      <c r="AA87" s="55" t="s">
        <v>69</v>
      </c>
      <c r="AB87" s="55" t="s">
        <v>344</v>
      </c>
      <c r="AC87" s="55"/>
      <c r="AD87" s="55"/>
    </row>
    <row r="88" spans="1:30" x14ac:dyDescent="0.15">
      <c r="A88" s="55" t="s">
        <v>41</v>
      </c>
      <c r="B88" s="237" t="s">
        <v>342</v>
      </c>
      <c r="C88" s="152">
        <v>2018</v>
      </c>
      <c r="D88" s="56" t="s">
        <v>362</v>
      </c>
      <c r="E88" s="55" t="s">
        <v>298</v>
      </c>
      <c r="F88" s="237" t="s">
        <v>303</v>
      </c>
      <c r="G88" s="55" t="s">
        <v>42</v>
      </c>
      <c r="H88" s="55" t="s">
        <v>157</v>
      </c>
      <c r="I88" s="55" t="s">
        <v>155</v>
      </c>
      <c r="J88" s="55" t="s">
        <v>38</v>
      </c>
      <c r="K88" s="55" t="s">
        <v>156</v>
      </c>
      <c r="L88" s="237">
        <v>3</v>
      </c>
      <c r="N88" s="237">
        <v>10</v>
      </c>
      <c r="O88" s="237">
        <v>0.75</v>
      </c>
      <c r="P88" s="237">
        <v>0.6</v>
      </c>
      <c r="Q88" s="57">
        <f t="shared" si="3"/>
        <v>0.67500000000000004</v>
      </c>
      <c r="R88" s="237">
        <v>14.4</v>
      </c>
      <c r="S88" s="237">
        <v>95</v>
      </c>
      <c r="T88" s="57">
        <f t="shared" si="4"/>
        <v>36</v>
      </c>
      <c r="U88" s="237">
        <v>1058</v>
      </c>
      <c r="V88" s="58">
        <f t="shared" si="5"/>
        <v>3808.7999999999997</v>
      </c>
      <c r="W88" s="237">
        <v>1</v>
      </c>
      <c r="X88" s="55" t="s">
        <v>46</v>
      </c>
      <c r="Y88" s="55" t="s">
        <v>97</v>
      </c>
      <c r="Z88" s="55" t="s">
        <v>88</v>
      </c>
      <c r="AA88" s="55" t="s">
        <v>69</v>
      </c>
      <c r="AB88" s="55" t="s">
        <v>344</v>
      </c>
      <c r="AC88" s="55"/>
      <c r="AD88" s="55"/>
    </row>
    <row r="89" spans="1:30" x14ac:dyDescent="0.15">
      <c r="A89" s="55" t="s">
        <v>41</v>
      </c>
      <c r="B89" s="237" t="s">
        <v>342</v>
      </c>
      <c r="C89" s="152">
        <v>2018</v>
      </c>
      <c r="D89" s="56" t="s">
        <v>362</v>
      </c>
      <c r="E89" s="55" t="s">
        <v>298</v>
      </c>
      <c r="F89" s="237" t="s">
        <v>303</v>
      </c>
      <c r="G89" s="55" t="s">
        <v>42</v>
      </c>
      <c r="H89" s="55" t="s">
        <v>160</v>
      </c>
      <c r="I89" s="55" t="s">
        <v>155</v>
      </c>
      <c r="J89" s="55" t="s">
        <v>38</v>
      </c>
      <c r="K89" s="55" t="s">
        <v>156</v>
      </c>
      <c r="L89" s="237">
        <v>1</v>
      </c>
      <c r="N89" s="237">
        <v>1</v>
      </c>
      <c r="O89" s="237">
        <v>1.1499999999999999</v>
      </c>
      <c r="P89" s="237">
        <v>1.2</v>
      </c>
      <c r="Q89" s="57">
        <f t="shared" si="3"/>
        <v>1.1749999999999998</v>
      </c>
      <c r="R89" s="237">
        <v>12.7</v>
      </c>
      <c r="S89" s="237">
        <v>119</v>
      </c>
      <c r="T89" s="57">
        <f t="shared" si="4"/>
        <v>30</v>
      </c>
      <c r="U89" s="237">
        <v>159</v>
      </c>
      <c r="V89" s="58">
        <f t="shared" si="5"/>
        <v>4770</v>
      </c>
      <c r="W89" s="237">
        <v>1</v>
      </c>
      <c r="X89" s="55" t="s">
        <v>46</v>
      </c>
      <c r="Y89" s="55" t="s">
        <v>97</v>
      </c>
      <c r="Z89" s="55" t="s">
        <v>88</v>
      </c>
      <c r="AA89" s="55" t="s">
        <v>69</v>
      </c>
      <c r="AB89" s="55" t="s">
        <v>344</v>
      </c>
      <c r="AC89" s="55"/>
      <c r="AD89" s="55"/>
    </row>
    <row r="90" spans="1:30" x14ac:dyDescent="0.15">
      <c r="A90" s="55" t="s">
        <v>41</v>
      </c>
      <c r="B90" s="237" t="s">
        <v>342</v>
      </c>
      <c r="C90" s="152">
        <v>2018</v>
      </c>
      <c r="D90" s="56" t="s">
        <v>362</v>
      </c>
      <c r="E90" s="55" t="s">
        <v>298</v>
      </c>
      <c r="F90" s="237" t="s">
        <v>303</v>
      </c>
      <c r="G90" s="55" t="s">
        <v>42</v>
      </c>
      <c r="H90" s="55" t="s">
        <v>160</v>
      </c>
      <c r="I90" s="55" t="s">
        <v>155</v>
      </c>
      <c r="J90" s="55" t="s">
        <v>38</v>
      </c>
      <c r="K90" s="55" t="s">
        <v>156</v>
      </c>
      <c r="L90" s="237">
        <v>2</v>
      </c>
      <c r="N90" s="237">
        <v>1</v>
      </c>
      <c r="O90" s="237">
        <v>1</v>
      </c>
      <c r="P90" s="237">
        <v>1.05</v>
      </c>
      <c r="Q90" s="57">
        <f t="shared" si="3"/>
        <v>1.0249999999999999</v>
      </c>
      <c r="R90" s="237">
        <v>12.9</v>
      </c>
      <c r="S90" s="237">
        <v>122</v>
      </c>
      <c r="T90" s="57">
        <f t="shared" si="4"/>
        <v>27</v>
      </c>
      <c r="U90" s="237">
        <v>159</v>
      </c>
      <c r="V90" s="58">
        <f t="shared" si="5"/>
        <v>4293</v>
      </c>
      <c r="W90" s="237">
        <v>1</v>
      </c>
      <c r="X90" s="55" t="s">
        <v>46</v>
      </c>
      <c r="Y90" s="55" t="s">
        <v>97</v>
      </c>
      <c r="Z90" s="55" t="s">
        <v>88</v>
      </c>
      <c r="AA90" s="55" t="s">
        <v>69</v>
      </c>
      <c r="AB90" s="55" t="s">
        <v>344</v>
      </c>
      <c r="AC90" s="55"/>
      <c r="AD90" s="55"/>
    </row>
    <row r="91" spans="1:30" x14ac:dyDescent="0.15">
      <c r="A91" s="55" t="s">
        <v>41</v>
      </c>
      <c r="B91" s="237" t="s">
        <v>342</v>
      </c>
      <c r="C91" s="152">
        <v>2018</v>
      </c>
      <c r="D91" s="56" t="s">
        <v>362</v>
      </c>
      <c r="E91" s="55" t="s">
        <v>298</v>
      </c>
      <c r="F91" s="237" t="s">
        <v>303</v>
      </c>
      <c r="G91" s="55" t="s">
        <v>42</v>
      </c>
      <c r="H91" s="55" t="s">
        <v>160</v>
      </c>
      <c r="I91" s="55" t="s">
        <v>155</v>
      </c>
      <c r="J91" s="55" t="s">
        <v>38</v>
      </c>
      <c r="K91" s="55" t="s">
        <v>156</v>
      </c>
      <c r="L91" s="237">
        <v>3</v>
      </c>
      <c r="N91" s="237">
        <v>1</v>
      </c>
      <c r="O91" s="55">
        <v>0.65</v>
      </c>
      <c r="P91" s="55">
        <v>0.5</v>
      </c>
      <c r="Q91" s="82">
        <f t="shared" si="3"/>
        <v>0.57499999999999996</v>
      </c>
      <c r="R91" s="55">
        <v>13.8</v>
      </c>
      <c r="S91" s="55">
        <v>124</v>
      </c>
      <c r="T91" s="57">
        <f t="shared" si="4"/>
        <v>27</v>
      </c>
      <c r="U91" s="237">
        <v>159</v>
      </c>
      <c r="V91" s="58">
        <f t="shared" si="5"/>
        <v>4293</v>
      </c>
      <c r="W91" s="237">
        <v>1</v>
      </c>
      <c r="X91" s="55" t="s">
        <v>46</v>
      </c>
      <c r="Y91" s="55" t="s">
        <v>97</v>
      </c>
      <c r="Z91" s="55" t="s">
        <v>88</v>
      </c>
      <c r="AA91" s="55" t="s">
        <v>69</v>
      </c>
      <c r="AB91" s="55" t="s">
        <v>344</v>
      </c>
      <c r="AC91" s="55"/>
      <c r="AD91" s="55"/>
    </row>
    <row r="92" spans="1:30" x14ac:dyDescent="0.15">
      <c r="A92" s="55" t="s">
        <v>41</v>
      </c>
      <c r="B92" s="237" t="s">
        <v>342</v>
      </c>
      <c r="C92" s="152">
        <v>2018</v>
      </c>
      <c r="D92" s="56" t="s">
        <v>362</v>
      </c>
      <c r="E92" s="55" t="s">
        <v>298</v>
      </c>
      <c r="F92" s="237" t="s">
        <v>304</v>
      </c>
      <c r="G92" s="55" t="s">
        <v>42</v>
      </c>
      <c r="H92" s="55" t="s">
        <v>157</v>
      </c>
      <c r="I92" s="55" t="s">
        <v>155</v>
      </c>
      <c r="J92" s="55" t="s">
        <v>38</v>
      </c>
      <c r="K92" s="55" t="s">
        <v>156</v>
      </c>
      <c r="L92" s="237">
        <v>1</v>
      </c>
      <c r="N92" s="237">
        <v>1</v>
      </c>
      <c r="O92" s="55">
        <v>0.9</v>
      </c>
      <c r="P92" s="55">
        <v>0.85</v>
      </c>
      <c r="Q92" s="82">
        <f t="shared" si="3"/>
        <v>0.875</v>
      </c>
      <c r="R92" s="55">
        <v>14.4</v>
      </c>
      <c r="S92" s="55">
        <v>110</v>
      </c>
      <c r="T92" s="57">
        <f t="shared" si="4"/>
        <v>33</v>
      </c>
      <c r="U92" s="237">
        <v>84</v>
      </c>
      <c r="V92" s="58">
        <f t="shared" si="5"/>
        <v>2772</v>
      </c>
      <c r="W92" s="237">
        <v>1</v>
      </c>
      <c r="X92" s="55" t="s">
        <v>46</v>
      </c>
      <c r="Y92" s="55" t="s">
        <v>97</v>
      </c>
      <c r="Z92" s="55" t="s">
        <v>86</v>
      </c>
      <c r="AA92" s="55" t="s">
        <v>88</v>
      </c>
      <c r="AB92" s="55" t="s">
        <v>344</v>
      </c>
      <c r="AC92" s="55"/>
      <c r="AD92" s="55"/>
    </row>
    <row r="93" spans="1:30" x14ac:dyDescent="0.15">
      <c r="A93" s="55" t="s">
        <v>41</v>
      </c>
      <c r="B93" s="237" t="s">
        <v>342</v>
      </c>
      <c r="C93" s="152">
        <v>2018</v>
      </c>
      <c r="D93" s="56" t="s">
        <v>362</v>
      </c>
      <c r="E93" s="55" t="s">
        <v>298</v>
      </c>
      <c r="F93" s="237" t="s">
        <v>304</v>
      </c>
      <c r="G93" s="55" t="s">
        <v>42</v>
      </c>
      <c r="H93" s="55" t="s">
        <v>157</v>
      </c>
      <c r="I93" s="55" t="s">
        <v>155</v>
      </c>
      <c r="J93" s="55" t="s">
        <v>38</v>
      </c>
      <c r="K93" s="55" t="s">
        <v>156</v>
      </c>
      <c r="L93" s="237">
        <v>2</v>
      </c>
      <c r="N93" s="237">
        <v>1</v>
      </c>
      <c r="O93" s="55">
        <v>0.8</v>
      </c>
      <c r="P93" s="55">
        <v>0.75</v>
      </c>
      <c r="Q93" s="82">
        <f t="shared" si="3"/>
        <v>0.77500000000000002</v>
      </c>
      <c r="R93" s="55">
        <v>15.1</v>
      </c>
      <c r="S93" s="55">
        <v>104</v>
      </c>
      <c r="T93" s="57">
        <f t="shared" si="4"/>
        <v>33</v>
      </c>
      <c r="U93" s="237">
        <v>84</v>
      </c>
      <c r="V93" s="58">
        <f t="shared" si="5"/>
        <v>2772</v>
      </c>
      <c r="W93" s="237">
        <v>1</v>
      </c>
      <c r="X93" s="55" t="s">
        <v>46</v>
      </c>
      <c r="Y93" s="55" t="s">
        <v>97</v>
      </c>
      <c r="Z93" s="55" t="s">
        <v>86</v>
      </c>
      <c r="AA93" s="55" t="s">
        <v>88</v>
      </c>
      <c r="AB93" s="55" t="s">
        <v>344</v>
      </c>
      <c r="AC93" s="55"/>
      <c r="AD93" s="55"/>
    </row>
    <row r="94" spans="1:30" x14ac:dyDescent="0.15">
      <c r="A94" s="55" t="s">
        <v>41</v>
      </c>
      <c r="B94" s="237" t="s">
        <v>342</v>
      </c>
      <c r="C94" s="152">
        <v>2018</v>
      </c>
      <c r="D94" s="56" t="s">
        <v>362</v>
      </c>
      <c r="E94" s="55" t="s">
        <v>298</v>
      </c>
      <c r="F94" s="237" t="s">
        <v>304</v>
      </c>
      <c r="G94" s="55" t="s">
        <v>42</v>
      </c>
      <c r="H94" s="55" t="s">
        <v>157</v>
      </c>
      <c r="I94" s="55" t="s">
        <v>155</v>
      </c>
      <c r="J94" s="55" t="s">
        <v>38</v>
      </c>
      <c r="K94" s="55" t="s">
        <v>156</v>
      </c>
      <c r="L94" s="237">
        <v>3</v>
      </c>
      <c r="N94" s="237">
        <v>1</v>
      </c>
      <c r="O94" s="55">
        <v>0.7</v>
      </c>
      <c r="P94" s="55">
        <v>0.85</v>
      </c>
      <c r="Q94" s="82">
        <f t="shared" si="3"/>
        <v>0.77499999999999991</v>
      </c>
      <c r="R94" s="55">
        <v>16.399999999999999</v>
      </c>
      <c r="S94" s="55">
        <v>115</v>
      </c>
      <c r="T94" s="57">
        <f t="shared" si="4"/>
        <v>30</v>
      </c>
      <c r="U94" s="237">
        <v>84</v>
      </c>
      <c r="V94" s="58">
        <f t="shared" si="5"/>
        <v>2520</v>
      </c>
      <c r="W94" s="237">
        <v>1</v>
      </c>
      <c r="X94" s="55" t="s">
        <v>46</v>
      </c>
      <c r="Y94" s="55" t="s">
        <v>97</v>
      </c>
      <c r="Z94" s="55" t="s">
        <v>86</v>
      </c>
      <c r="AA94" s="55" t="s">
        <v>88</v>
      </c>
      <c r="AB94" s="55" t="s">
        <v>344</v>
      </c>
      <c r="AC94" s="55"/>
      <c r="AD94" s="55"/>
    </row>
    <row r="95" spans="1:30" x14ac:dyDescent="0.15">
      <c r="A95" s="55" t="s">
        <v>41</v>
      </c>
      <c r="B95" s="237" t="s">
        <v>342</v>
      </c>
      <c r="C95" s="152">
        <v>2018</v>
      </c>
      <c r="D95" s="56" t="s">
        <v>362</v>
      </c>
      <c r="E95" s="55" t="s">
        <v>298</v>
      </c>
      <c r="F95" s="237" t="s">
        <v>304</v>
      </c>
      <c r="G95" s="55" t="s">
        <v>42</v>
      </c>
      <c r="H95" s="55" t="s">
        <v>160</v>
      </c>
      <c r="I95" s="55" t="s">
        <v>155</v>
      </c>
      <c r="J95" s="55" t="s">
        <v>38</v>
      </c>
      <c r="K95" s="55" t="s">
        <v>156</v>
      </c>
      <c r="L95" s="237">
        <v>1</v>
      </c>
      <c r="N95" s="237">
        <v>3</v>
      </c>
      <c r="O95" s="55">
        <v>0.25</v>
      </c>
      <c r="P95" s="55">
        <v>0.3</v>
      </c>
      <c r="Q95" s="82">
        <f t="shared" si="3"/>
        <v>0.27500000000000002</v>
      </c>
      <c r="R95" s="55">
        <v>15.2</v>
      </c>
      <c r="S95" s="55">
        <v>121</v>
      </c>
      <c r="T95" s="57">
        <f t="shared" si="4"/>
        <v>27</v>
      </c>
      <c r="U95" s="237">
        <v>537</v>
      </c>
      <c r="V95" s="58">
        <f t="shared" si="5"/>
        <v>4833</v>
      </c>
      <c r="W95" s="237">
        <v>1</v>
      </c>
      <c r="X95" s="55" t="s">
        <v>46</v>
      </c>
      <c r="Y95" s="55" t="s">
        <v>97</v>
      </c>
      <c r="Z95" s="55" t="s">
        <v>86</v>
      </c>
      <c r="AA95" s="55" t="s">
        <v>88</v>
      </c>
      <c r="AB95" s="55" t="s">
        <v>344</v>
      </c>
    </row>
    <row r="96" spans="1:30" x14ac:dyDescent="0.15">
      <c r="A96" s="55" t="s">
        <v>41</v>
      </c>
      <c r="B96" s="237" t="s">
        <v>342</v>
      </c>
      <c r="C96" s="152">
        <v>2018</v>
      </c>
      <c r="D96" s="56" t="s">
        <v>362</v>
      </c>
      <c r="E96" s="55" t="s">
        <v>298</v>
      </c>
      <c r="F96" s="237" t="s">
        <v>304</v>
      </c>
      <c r="G96" s="55" t="s">
        <v>42</v>
      </c>
      <c r="H96" s="55" t="s">
        <v>160</v>
      </c>
      <c r="I96" s="55" t="s">
        <v>155</v>
      </c>
      <c r="J96" s="55" t="s">
        <v>38</v>
      </c>
      <c r="K96" s="55" t="s">
        <v>156</v>
      </c>
      <c r="L96" s="237">
        <v>2</v>
      </c>
      <c r="N96" s="237">
        <v>3</v>
      </c>
      <c r="O96" s="55">
        <v>0.65</v>
      </c>
      <c r="P96" s="55">
        <v>0.5</v>
      </c>
      <c r="Q96" s="82">
        <f t="shared" si="3"/>
        <v>0.57499999999999996</v>
      </c>
      <c r="R96" s="55">
        <v>16.7</v>
      </c>
      <c r="S96" s="55">
        <v>128</v>
      </c>
      <c r="T96" s="57">
        <f t="shared" si="4"/>
        <v>27</v>
      </c>
      <c r="U96" s="237">
        <v>537</v>
      </c>
      <c r="V96" s="58">
        <f t="shared" si="5"/>
        <v>4833</v>
      </c>
      <c r="W96" s="237">
        <v>1</v>
      </c>
      <c r="X96" s="55" t="s">
        <v>46</v>
      </c>
      <c r="Y96" s="55" t="s">
        <v>97</v>
      </c>
      <c r="Z96" s="55" t="s">
        <v>86</v>
      </c>
      <c r="AA96" s="55" t="s">
        <v>88</v>
      </c>
      <c r="AB96" s="55" t="s">
        <v>344</v>
      </c>
    </row>
    <row r="97" spans="1:28" x14ac:dyDescent="0.15">
      <c r="A97" s="55" t="s">
        <v>41</v>
      </c>
      <c r="B97" s="237" t="s">
        <v>342</v>
      </c>
      <c r="C97" s="152">
        <v>2018</v>
      </c>
      <c r="D97" s="56" t="s">
        <v>362</v>
      </c>
      <c r="E97" s="55" t="s">
        <v>298</v>
      </c>
      <c r="F97" s="237" t="s">
        <v>304</v>
      </c>
      <c r="G97" s="55" t="s">
        <v>42</v>
      </c>
      <c r="H97" s="55" t="s">
        <v>160</v>
      </c>
      <c r="I97" s="55" t="s">
        <v>155</v>
      </c>
      <c r="J97" s="55" t="s">
        <v>38</v>
      </c>
      <c r="K97" s="55" t="s">
        <v>156</v>
      </c>
      <c r="L97" s="237">
        <v>3</v>
      </c>
      <c r="N97" s="237">
        <v>3</v>
      </c>
      <c r="O97" s="55">
        <v>0.25</v>
      </c>
      <c r="P97" s="55">
        <v>0.3</v>
      </c>
      <c r="Q97" s="82">
        <f t="shared" si="3"/>
        <v>0.27500000000000002</v>
      </c>
      <c r="R97" s="55">
        <v>14.4</v>
      </c>
      <c r="S97" s="55">
        <v>127</v>
      </c>
      <c r="T97" s="57">
        <f t="shared" si="4"/>
        <v>27</v>
      </c>
      <c r="U97" s="237">
        <v>537</v>
      </c>
      <c r="V97" s="58">
        <f t="shared" si="5"/>
        <v>4833</v>
      </c>
      <c r="W97" s="237">
        <v>1</v>
      </c>
      <c r="X97" s="55" t="s">
        <v>46</v>
      </c>
      <c r="Y97" s="55" t="s">
        <v>97</v>
      </c>
      <c r="Z97" s="55" t="s">
        <v>86</v>
      </c>
      <c r="AA97" s="55" t="s">
        <v>88</v>
      </c>
      <c r="AB97" s="55" t="s">
        <v>344</v>
      </c>
    </row>
    <row r="98" spans="1:28" x14ac:dyDescent="0.15">
      <c r="A98" s="55" t="s">
        <v>41</v>
      </c>
      <c r="B98" s="237" t="s">
        <v>342</v>
      </c>
      <c r="C98" s="152">
        <v>2018</v>
      </c>
      <c r="D98" s="56" t="s">
        <v>362</v>
      </c>
      <c r="E98" s="55" t="s">
        <v>298</v>
      </c>
      <c r="F98" s="237" t="s">
        <v>304</v>
      </c>
      <c r="G98" s="55" t="s">
        <v>42</v>
      </c>
      <c r="H98" s="55" t="s">
        <v>160</v>
      </c>
      <c r="I98" s="55" t="s">
        <v>155</v>
      </c>
      <c r="J98" s="55" t="s">
        <v>38</v>
      </c>
      <c r="K98" s="55" t="s">
        <v>156</v>
      </c>
      <c r="L98" s="237">
        <v>1</v>
      </c>
      <c r="N98" s="55">
        <v>1</v>
      </c>
      <c r="O98" s="55">
        <v>0.3</v>
      </c>
      <c r="P98" s="55">
        <v>0.25</v>
      </c>
      <c r="Q98" s="82">
        <f t="shared" si="3"/>
        <v>0.27500000000000002</v>
      </c>
      <c r="R98" s="55">
        <v>15.5</v>
      </c>
      <c r="S98" s="55">
        <v>121</v>
      </c>
      <c r="T98" s="57">
        <f t="shared" si="4"/>
        <v>27</v>
      </c>
      <c r="U98" s="237">
        <v>105</v>
      </c>
      <c r="V98" s="58">
        <f t="shared" si="5"/>
        <v>2835</v>
      </c>
      <c r="W98" s="237">
        <v>2</v>
      </c>
      <c r="X98" s="55" t="s">
        <v>46</v>
      </c>
      <c r="Y98" s="55" t="s">
        <v>97</v>
      </c>
      <c r="Z98" s="55" t="s">
        <v>86</v>
      </c>
      <c r="AA98" s="55" t="s">
        <v>88</v>
      </c>
      <c r="AB98" s="55" t="s">
        <v>344</v>
      </c>
    </row>
    <row r="99" spans="1:28" x14ac:dyDescent="0.15">
      <c r="A99" s="55" t="s">
        <v>41</v>
      </c>
      <c r="B99" s="237" t="s">
        <v>342</v>
      </c>
      <c r="C99" s="152">
        <v>2018</v>
      </c>
      <c r="D99" s="56" t="s">
        <v>362</v>
      </c>
      <c r="E99" s="55" t="s">
        <v>298</v>
      </c>
      <c r="F99" s="237" t="s">
        <v>304</v>
      </c>
      <c r="G99" s="55" t="s">
        <v>42</v>
      </c>
      <c r="H99" s="55" t="s">
        <v>160</v>
      </c>
      <c r="I99" s="55" t="s">
        <v>155</v>
      </c>
      <c r="J99" s="55" t="s">
        <v>38</v>
      </c>
      <c r="K99" s="55" t="s">
        <v>156</v>
      </c>
      <c r="L99" s="237">
        <v>2</v>
      </c>
      <c r="N99" s="55">
        <v>1</v>
      </c>
      <c r="O99" s="55">
        <v>0.2</v>
      </c>
      <c r="P99" s="55">
        <v>0.25</v>
      </c>
      <c r="Q99" s="82">
        <f t="shared" si="3"/>
        <v>0.22500000000000001</v>
      </c>
      <c r="R99" s="55">
        <v>15.7</v>
      </c>
      <c r="S99" s="55">
        <v>119</v>
      </c>
      <c r="T99" s="57">
        <f t="shared" si="4"/>
        <v>30</v>
      </c>
      <c r="U99" s="237">
        <v>105</v>
      </c>
      <c r="V99" s="58">
        <f t="shared" si="5"/>
        <v>3150</v>
      </c>
      <c r="W99" s="237">
        <v>2</v>
      </c>
      <c r="X99" s="55" t="s">
        <v>46</v>
      </c>
      <c r="Y99" s="55" t="s">
        <v>97</v>
      </c>
      <c r="Z99" s="55" t="s">
        <v>86</v>
      </c>
      <c r="AA99" s="55" t="s">
        <v>88</v>
      </c>
      <c r="AB99" s="55" t="s">
        <v>344</v>
      </c>
    </row>
    <row r="100" spans="1:28" x14ac:dyDescent="0.15">
      <c r="A100" s="55" t="s">
        <v>41</v>
      </c>
      <c r="B100" s="237" t="s">
        <v>342</v>
      </c>
      <c r="C100" s="152">
        <v>2018</v>
      </c>
      <c r="D100" s="56" t="s">
        <v>362</v>
      </c>
      <c r="E100" s="55" t="s">
        <v>298</v>
      </c>
      <c r="F100" s="237" t="s">
        <v>304</v>
      </c>
      <c r="G100" s="55" t="s">
        <v>42</v>
      </c>
      <c r="H100" s="55" t="s">
        <v>160</v>
      </c>
      <c r="I100" s="55" t="s">
        <v>155</v>
      </c>
      <c r="J100" s="55" t="s">
        <v>38</v>
      </c>
      <c r="K100" s="55" t="s">
        <v>156</v>
      </c>
      <c r="L100" s="237">
        <v>3</v>
      </c>
      <c r="N100" s="237">
        <v>1</v>
      </c>
      <c r="O100" s="55">
        <v>0.45</v>
      </c>
      <c r="P100" s="55">
        <v>0.65</v>
      </c>
      <c r="Q100" s="57">
        <f t="shared" si="3"/>
        <v>0.55000000000000004</v>
      </c>
      <c r="R100" s="55">
        <v>13.8</v>
      </c>
      <c r="S100" s="55">
        <v>124</v>
      </c>
      <c r="T100" s="57">
        <f t="shared" si="4"/>
        <v>27</v>
      </c>
      <c r="U100" s="237">
        <v>105</v>
      </c>
      <c r="V100" s="58">
        <f t="shared" si="5"/>
        <v>2835</v>
      </c>
      <c r="W100" s="237">
        <v>2</v>
      </c>
      <c r="X100" s="55" t="s">
        <v>46</v>
      </c>
      <c r="Y100" s="55" t="s">
        <v>97</v>
      </c>
      <c r="Z100" s="55" t="s">
        <v>86</v>
      </c>
      <c r="AA100" s="55" t="s">
        <v>88</v>
      </c>
      <c r="AB100" s="55" t="s">
        <v>344</v>
      </c>
    </row>
    <row r="101" spans="1:28" x14ac:dyDescent="0.15">
      <c r="A101" s="55" t="s">
        <v>41</v>
      </c>
      <c r="B101" s="237" t="s">
        <v>342</v>
      </c>
      <c r="C101" s="152">
        <v>2018</v>
      </c>
      <c r="D101" s="56" t="s">
        <v>362</v>
      </c>
      <c r="E101" s="237" t="s">
        <v>299</v>
      </c>
      <c r="F101" s="237" t="s">
        <v>305</v>
      </c>
      <c r="G101" s="55" t="s">
        <v>42</v>
      </c>
      <c r="H101" s="55" t="s">
        <v>157</v>
      </c>
      <c r="I101" s="55" t="s">
        <v>155</v>
      </c>
      <c r="J101" s="55" t="s">
        <v>38</v>
      </c>
      <c r="K101" s="55" t="s">
        <v>156</v>
      </c>
      <c r="L101" s="237">
        <v>1</v>
      </c>
      <c r="N101" s="237">
        <v>1</v>
      </c>
      <c r="O101" s="55">
        <v>0.75</v>
      </c>
      <c r="P101" s="55">
        <v>0.5</v>
      </c>
      <c r="Q101" s="57">
        <f t="shared" si="3"/>
        <v>0.625</v>
      </c>
      <c r="R101" s="55">
        <v>16.399999999999999</v>
      </c>
      <c r="S101" s="55">
        <v>112</v>
      </c>
      <c r="T101" s="57">
        <f t="shared" si="4"/>
        <v>33</v>
      </c>
      <c r="U101" s="237">
        <v>105</v>
      </c>
      <c r="V101" s="58">
        <f t="shared" si="5"/>
        <v>3465</v>
      </c>
      <c r="W101" s="237">
        <v>3</v>
      </c>
      <c r="X101" s="55" t="s">
        <v>46</v>
      </c>
      <c r="Y101" s="55" t="s">
        <v>88</v>
      </c>
      <c r="Z101" s="55" t="s">
        <v>97</v>
      </c>
      <c r="AA101" s="55" t="s">
        <v>69</v>
      </c>
      <c r="AB101" s="55" t="s">
        <v>344</v>
      </c>
    </row>
    <row r="102" spans="1:28" x14ac:dyDescent="0.15">
      <c r="A102" s="55" t="s">
        <v>41</v>
      </c>
      <c r="B102" s="237" t="s">
        <v>342</v>
      </c>
      <c r="C102" s="152">
        <v>2018</v>
      </c>
      <c r="D102" s="56" t="s">
        <v>362</v>
      </c>
      <c r="E102" s="237" t="s">
        <v>299</v>
      </c>
      <c r="F102" s="237" t="s">
        <v>305</v>
      </c>
      <c r="G102" s="55" t="s">
        <v>42</v>
      </c>
      <c r="H102" s="55" t="s">
        <v>157</v>
      </c>
      <c r="I102" s="55" t="s">
        <v>155</v>
      </c>
      <c r="J102" s="55" t="s">
        <v>38</v>
      </c>
      <c r="K102" s="55" t="s">
        <v>156</v>
      </c>
      <c r="L102" s="237">
        <v>2</v>
      </c>
      <c r="N102" s="237">
        <v>1</v>
      </c>
      <c r="O102" s="55">
        <v>0.6</v>
      </c>
      <c r="P102" s="55">
        <v>0.65</v>
      </c>
      <c r="Q102" s="57">
        <f t="shared" si="3"/>
        <v>0.625</v>
      </c>
      <c r="R102" s="55">
        <v>14.4</v>
      </c>
      <c r="S102" s="55">
        <v>108</v>
      </c>
      <c r="T102" s="57">
        <f t="shared" si="4"/>
        <v>33</v>
      </c>
      <c r="U102" s="237">
        <v>105</v>
      </c>
      <c r="V102" s="58">
        <f t="shared" si="5"/>
        <v>3465</v>
      </c>
      <c r="W102" s="237">
        <v>3</v>
      </c>
      <c r="X102" s="55" t="s">
        <v>46</v>
      </c>
      <c r="Y102" s="55" t="s">
        <v>88</v>
      </c>
      <c r="Z102" s="55" t="s">
        <v>97</v>
      </c>
      <c r="AA102" s="55" t="s">
        <v>69</v>
      </c>
      <c r="AB102" s="55" t="s">
        <v>344</v>
      </c>
    </row>
    <row r="103" spans="1:28" x14ac:dyDescent="0.15">
      <c r="A103" s="55" t="s">
        <v>41</v>
      </c>
      <c r="B103" s="237" t="s">
        <v>342</v>
      </c>
      <c r="C103" s="152">
        <v>2018</v>
      </c>
      <c r="D103" s="56" t="s">
        <v>362</v>
      </c>
      <c r="E103" s="237" t="s">
        <v>299</v>
      </c>
      <c r="F103" s="237" t="s">
        <v>305</v>
      </c>
      <c r="G103" s="55" t="s">
        <v>42</v>
      </c>
      <c r="H103" s="55" t="s">
        <v>157</v>
      </c>
      <c r="I103" s="55" t="s">
        <v>155</v>
      </c>
      <c r="J103" s="55" t="s">
        <v>38</v>
      </c>
      <c r="K103" s="55" t="s">
        <v>156</v>
      </c>
      <c r="L103" s="237">
        <v>3</v>
      </c>
      <c r="N103" s="237">
        <v>1</v>
      </c>
      <c r="O103" s="55">
        <v>0.5</v>
      </c>
      <c r="P103" s="55">
        <v>0.7</v>
      </c>
      <c r="Q103" s="57">
        <f t="shared" si="3"/>
        <v>0.6</v>
      </c>
      <c r="R103" s="55">
        <v>14.3</v>
      </c>
      <c r="S103" s="55">
        <v>105</v>
      </c>
      <c r="T103" s="57">
        <f t="shared" si="4"/>
        <v>33</v>
      </c>
      <c r="U103" s="237">
        <v>105</v>
      </c>
      <c r="V103" s="58">
        <f t="shared" si="5"/>
        <v>3465</v>
      </c>
      <c r="W103" s="237">
        <v>3</v>
      </c>
      <c r="X103" s="55" t="s">
        <v>46</v>
      </c>
      <c r="Y103" s="55" t="s">
        <v>88</v>
      </c>
      <c r="Z103" s="55" t="s">
        <v>97</v>
      </c>
      <c r="AA103" s="55" t="s">
        <v>69</v>
      </c>
      <c r="AB103" s="55" t="s">
        <v>344</v>
      </c>
    </row>
    <row r="104" spans="1:28" x14ac:dyDescent="0.15">
      <c r="A104" s="55" t="s">
        <v>41</v>
      </c>
      <c r="B104" s="237" t="s">
        <v>342</v>
      </c>
      <c r="C104" s="152">
        <v>2018</v>
      </c>
      <c r="D104" s="56" t="s">
        <v>362</v>
      </c>
      <c r="E104" s="237" t="s">
        <v>299</v>
      </c>
      <c r="F104" s="237" t="s">
        <v>305</v>
      </c>
      <c r="G104" s="55" t="s">
        <v>42</v>
      </c>
      <c r="H104" s="55" t="s">
        <v>157</v>
      </c>
      <c r="I104" s="55" t="s">
        <v>155</v>
      </c>
      <c r="J104" s="55" t="s">
        <v>38</v>
      </c>
      <c r="K104" s="55" t="s">
        <v>156</v>
      </c>
      <c r="L104" s="237">
        <v>1</v>
      </c>
      <c r="N104" s="237">
        <v>4</v>
      </c>
      <c r="O104" s="55">
        <v>0.65</v>
      </c>
      <c r="P104" s="55">
        <v>0.45</v>
      </c>
      <c r="Q104" s="57">
        <f t="shared" si="3"/>
        <v>0.55000000000000004</v>
      </c>
      <c r="R104" s="55">
        <v>17.100000000000001</v>
      </c>
      <c r="S104" s="55">
        <v>124</v>
      </c>
      <c r="T104" s="57">
        <f t="shared" si="4"/>
        <v>27</v>
      </c>
      <c r="U104" s="237">
        <v>410</v>
      </c>
      <c r="V104" s="58">
        <f t="shared" si="5"/>
        <v>2767.5</v>
      </c>
      <c r="W104" s="237">
        <v>2</v>
      </c>
      <c r="X104" s="55" t="s">
        <v>46</v>
      </c>
      <c r="Y104" s="55" t="s">
        <v>88</v>
      </c>
      <c r="Z104" s="55" t="s">
        <v>97</v>
      </c>
      <c r="AA104" s="55" t="s">
        <v>69</v>
      </c>
      <c r="AB104" s="55" t="s">
        <v>344</v>
      </c>
    </row>
    <row r="105" spans="1:28" x14ac:dyDescent="0.15">
      <c r="A105" s="55" t="s">
        <v>41</v>
      </c>
      <c r="B105" s="237" t="s">
        <v>342</v>
      </c>
      <c r="C105" s="152">
        <v>2018</v>
      </c>
      <c r="D105" s="56" t="s">
        <v>362</v>
      </c>
      <c r="E105" s="237" t="s">
        <v>299</v>
      </c>
      <c r="F105" s="237" t="s">
        <v>305</v>
      </c>
      <c r="G105" s="55" t="s">
        <v>42</v>
      </c>
      <c r="H105" s="55" t="s">
        <v>157</v>
      </c>
      <c r="I105" s="55" t="s">
        <v>155</v>
      </c>
      <c r="J105" s="55" t="s">
        <v>38</v>
      </c>
      <c r="K105" s="55" t="s">
        <v>156</v>
      </c>
      <c r="L105" s="237">
        <v>2</v>
      </c>
      <c r="N105" s="237">
        <v>4</v>
      </c>
      <c r="O105" s="55">
        <v>0.35</v>
      </c>
      <c r="P105" s="55">
        <v>0.5</v>
      </c>
      <c r="Q105" s="57">
        <f t="shared" si="3"/>
        <v>0.42499999999999999</v>
      </c>
      <c r="R105" s="55">
        <v>15.4</v>
      </c>
      <c r="S105" s="55">
        <v>118</v>
      </c>
      <c r="T105" s="57">
        <f t="shared" si="4"/>
        <v>30</v>
      </c>
      <c r="U105" s="237">
        <v>410</v>
      </c>
      <c r="V105" s="58">
        <f t="shared" si="5"/>
        <v>3075</v>
      </c>
      <c r="W105" s="237">
        <v>2</v>
      </c>
      <c r="X105" s="55" t="s">
        <v>46</v>
      </c>
      <c r="Y105" s="55" t="s">
        <v>88</v>
      </c>
      <c r="Z105" s="55" t="s">
        <v>97</v>
      </c>
      <c r="AA105" s="55" t="s">
        <v>69</v>
      </c>
      <c r="AB105" s="55" t="s">
        <v>344</v>
      </c>
    </row>
    <row r="106" spans="1:28" x14ac:dyDescent="0.15">
      <c r="A106" s="55" t="s">
        <v>41</v>
      </c>
      <c r="B106" s="237" t="s">
        <v>342</v>
      </c>
      <c r="C106" s="152">
        <v>2018</v>
      </c>
      <c r="D106" s="56" t="s">
        <v>362</v>
      </c>
      <c r="E106" s="237" t="s">
        <v>299</v>
      </c>
      <c r="F106" s="237" t="s">
        <v>305</v>
      </c>
      <c r="G106" s="55" t="s">
        <v>42</v>
      </c>
      <c r="H106" s="55" t="s">
        <v>157</v>
      </c>
      <c r="I106" s="55" t="s">
        <v>155</v>
      </c>
      <c r="J106" s="55" t="s">
        <v>38</v>
      </c>
      <c r="K106" s="55" t="s">
        <v>156</v>
      </c>
      <c r="L106" s="237">
        <v>3</v>
      </c>
      <c r="N106" s="237">
        <v>4</v>
      </c>
      <c r="O106" s="237">
        <v>0.7</v>
      </c>
      <c r="P106" s="237">
        <v>0.9</v>
      </c>
      <c r="Q106" s="57">
        <f t="shared" si="3"/>
        <v>0.8</v>
      </c>
      <c r="R106" s="237">
        <v>15.1</v>
      </c>
      <c r="S106" s="237">
        <v>120</v>
      </c>
      <c r="T106" s="57">
        <f t="shared" si="4"/>
        <v>30</v>
      </c>
      <c r="U106" s="237">
        <v>410</v>
      </c>
      <c r="V106" s="58">
        <f t="shared" si="5"/>
        <v>3075</v>
      </c>
      <c r="W106" s="237">
        <v>2</v>
      </c>
      <c r="X106" s="55" t="s">
        <v>46</v>
      </c>
      <c r="Y106" s="55" t="s">
        <v>88</v>
      </c>
      <c r="Z106" s="55" t="s">
        <v>97</v>
      </c>
      <c r="AA106" s="55" t="s">
        <v>69</v>
      </c>
      <c r="AB106" s="55" t="s">
        <v>344</v>
      </c>
    </row>
    <row r="107" spans="1:28" x14ac:dyDescent="0.15">
      <c r="A107" s="55" t="s">
        <v>41</v>
      </c>
      <c r="B107" s="237" t="s">
        <v>342</v>
      </c>
      <c r="C107" s="152">
        <v>2018</v>
      </c>
      <c r="D107" s="56" t="s">
        <v>362</v>
      </c>
      <c r="E107" s="237" t="s">
        <v>299</v>
      </c>
      <c r="F107" s="237" t="s">
        <v>305</v>
      </c>
      <c r="G107" s="55" t="s">
        <v>42</v>
      </c>
      <c r="H107" s="55" t="s">
        <v>160</v>
      </c>
      <c r="I107" s="55" t="s">
        <v>155</v>
      </c>
      <c r="J107" s="55" t="s">
        <v>38</v>
      </c>
      <c r="K107" s="55" t="s">
        <v>156</v>
      </c>
      <c r="L107" s="237">
        <v>1</v>
      </c>
      <c r="N107" s="237">
        <v>1</v>
      </c>
      <c r="O107" s="237">
        <v>0.8</v>
      </c>
      <c r="P107" s="237">
        <v>0.95</v>
      </c>
      <c r="Q107" s="57">
        <f t="shared" si="3"/>
        <v>0.875</v>
      </c>
      <c r="R107" s="237">
        <v>14.1</v>
      </c>
      <c r="S107" s="237">
        <v>122</v>
      </c>
      <c r="T107" s="57">
        <f t="shared" si="4"/>
        <v>27</v>
      </c>
      <c r="U107" s="237">
        <v>138</v>
      </c>
      <c r="V107" s="58">
        <f t="shared" si="5"/>
        <v>3726</v>
      </c>
      <c r="W107" s="237">
        <v>3</v>
      </c>
      <c r="X107" s="55" t="s">
        <v>46</v>
      </c>
      <c r="Y107" s="55" t="s">
        <v>88</v>
      </c>
      <c r="Z107" s="55" t="s">
        <v>97</v>
      </c>
      <c r="AA107" s="55" t="s">
        <v>69</v>
      </c>
      <c r="AB107" s="55" t="s">
        <v>344</v>
      </c>
    </row>
    <row r="108" spans="1:28" x14ac:dyDescent="0.15">
      <c r="A108" s="55" t="s">
        <v>41</v>
      </c>
      <c r="B108" s="237" t="s">
        <v>342</v>
      </c>
      <c r="C108" s="152">
        <v>2018</v>
      </c>
      <c r="D108" s="56" t="s">
        <v>362</v>
      </c>
      <c r="E108" s="237" t="s">
        <v>299</v>
      </c>
      <c r="F108" s="237" t="s">
        <v>305</v>
      </c>
      <c r="G108" s="55" t="s">
        <v>42</v>
      </c>
      <c r="H108" s="55" t="s">
        <v>160</v>
      </c>
      <c r="I108" s="55" t="s">
        <v>155</v>
      </c>
      <c r="J108" s="55" t="s">
        <v>38</v>
      </c>
      <c r="K108" s="55" t="s">
        <v>156</v>
      </c>
      <c r="L108" s="237">
        <v>2</v>
      </c>
      <c r="N108" s="237">
        <v>1</v>
      </c>
      <c r="O108" s="237">
        <v>0.95</v>
      </c>
      <c r="P108" s="237">
        <v>1</v>
      </c>
      <c r="Q108" s="57">
        <f t="shared" si="3"/>
        <v>0.97499999999999998</v>
      </c>
      <c r="R108" s="237">
        <v>14.7</v>
      </c>
      <c r="S108" s="237">
        <v>120</v>
      </c>
      <c r="T108" s="57">
        <f t="shared" si="4"/>
        <v>30</v>
      </c>
      <c r="U108" s="237">
        <v>138</v>
      </c>
      <c r="V108" s="58">
        <f t="shared" si="5"/>
        <v>4140</v>
      </c>
      <c r="W108" s="237">
        <v>3</v>
      </c>
      <c r="X108" s="55" t="s">
        <v>46</v>
      </c>
      <c r="Y108" s="55" t="s">
        <v>88</v>
      </c>
      <c r="Z108" s="55" t="s">
        <v>97</v>
      </c>
      <c r="AA108" s="55" t="s">
        <v>69</v>
      </c>
      <c r="AB108" s="55" t="s">
        <v>344</v>
      </c>
    </row>
    <row r="109" spans="1:28" x14ac:dyDescent="0.15">
      <c r="A109" s="55" t="s">
        <v>41</v>
      </c>
      <c r="B109" s="237" t="s">
        <v>342</v>
      </c>
      <c r="C109" s="152">
        <v>2018</v>
      </c>
      <c r="D109" s="56" t="s">
        <v>362</v>
      </c>
      <c r="E109" s="237" t="s">
        <v>299</v>
      </c>
      <c r="F109" s="237" t="s">
        <v>305</v>
      </c>
      <c r="G109" s="55" t="s">
        <v>42</v>
      </c>
      <c r="H109" s="55" t="s">
        <v>160</v>
      </c>
      <c r="I109" s="55" t="s">
        <v>155</v>
      </c>
      <c r="J109" s="55" t="s">
        <v>38</v>
      </c>
      <c r="K109" s="55" t="s">
        <v>156</v>
      </c>
      <c r="L109" s="237">
        <v>3</v>
      </c>
      <c r="N109" s="237">
        <v>1</v>
      </c>
      <c r="O109" s="55">
        <v>0.7</v>
      </c>
      <c r="P109" s="258">
        <v>0.85</v>
      </c>
      <c r="Q109" s="259">
        <f t="shared" si="3"/>
        <v>0.77499999999999991</v>
      </c>
      <c r="R109" s="55">
        <v>14.7</v>
      </c>
      <c r="S109" s="55">
        <v>124</v>
      </c>
      <c r="T109" s="57">
        <f t="shared" si="4"/>
        <v>27</v>
      </c>
      <c r="U109" s="237">
        <v>138</v>
      </c>
      <c r="V109" s="58">
        <f t="shared" si="5"/>
        <v>3726</v>
      </c>
      <c r="W109" s="237">
        <v>3</v>
      </c>
      <c r="X109" s="55" t="s">
        <v>46</v>
      </c>
      <c r="Y109" s="55" t="s">
        <v>88</v>
      </c>
      <c r="Z109" s="55" t="s">
        <v>97</v>
      </c>
      <c r="AA109" s="55" t="s">
        <v>69</v>
      </c>
      <c r="AB109" s="55" t="s">
        <v>344</v>
      </c>
    </row>
    <row r="110" spans="1:28" x14ac:dyDescent="0.15">
      <c r="A110" s="55" t="s">
        <v>41</v>
      </c>
      <c r="B110" s="237" t="s">
        <v>342</v>
      </c>
      <c r="C110" s="152">
        <v>2018</v>
      </c>
      <c r="D110" s="56" t="s">
        <v>362</v>
      </c>
      <c r="E110" s="237" t="s">
        <v>299</v>
      </c>
      <c r="F110" s="237" t="s">
        <v>305</v>
      </c>
      <c r="G110" s="55" t="s">
        <v>42</v>
      </c>
      <c r="H110" s="55" t="s">
        <v>160</v>
      </c>
      <c r="I110" s="55" t="s">
        <v>155</v>
      </c>
      <c r="J110" s="55" t="s">
        <v>38</v>
      </c>
      <c r="K110" s="55" t="s">
        <v>156</v>
      </c>
      <c r="L110" s="237">
        <v>1</v>
      </c>
      <c r="N110" s="237">
        <v>4</v>
      </c>
      <c r="O110" s="55">
        <v>0.2</v>
      </c>
      <c r="P110" s="55">
        <v>0.2</v>
      </c>
      <c r="Q110" s="259">
        <f t="shared" si="3"/>
        <v>0.2</v>
      </c>
      <c r="R110" s="55">
        <v>16.100000000000001</v>
      </c>
      <c r="S110" s="55">
        <v>118</v>
      </c>
      <c r="T110" s="57">
        <f t="shared" si="4"/>
        <v>30</v>
      </c>
      <c r="U110" s="237">
        <v>518</v>
      </c>
      <c r="V110" s="58">
        <f t="shared" si="5"/>
        <v>3885</v>
      </c>
      <c r="W110" s="237">
        <v>2</v>
      </c>
      <c r="X110" s="55" t="s">
        <v>46</v>
      </c>
      <c r="Y110" s="55" t="s">
        <v>88</v>
      </c>
      <c r="Z110" s="55" t="s">
        <v>97</v>
      </c>
      <c r="AA110" s="55" t="s">
        <v>69</v>
      </c>
      <c r="AB110" s="55" t="s">
        <v>344</v>
      </c>
    </row>
    <row r="111" spans="1:28" x14ac:dyDescent="0.15">
      <c r="A111" s="55" t="s">
        <v>41</v>
      </c>
      <c r="B111" s="237" t="s">
        <v>342</v>
      </c>
      <c r="C111" s="152">
        <v>2018</v>
      </c>
      <c r="D111" s="56" t="s">
        <v>362</v>
      </c>
      <c r="E111" s="237" t="s">
        <v>299</v>
      </c>
      <c r="F111" s="237" t="s">
        <v>305</v>
      </c>
      <c r="G111" s="55" t="s">
        <v>42</v>
      </c>
      <c r="H111" s="55" t="s">
        <v>160</v>
      </c>
      <c r="I111" s="55" t="s">
        <v>155</v>
      </c>
      <c r="J111" s="55" t="s">
        <v>38</v>
      </c>
      <c r="K111" s="55" t="s">
        <v>156</v>
      </c>
      <c r="L111" s="237">
        <v>2</v>
      </c>
      <c r="N111" s="237">
        <v>4</v>
      </c>
      <c r="O111" s="55">
        <v>0.2</v>
      </c>
      <c r="P111" s="55">
        <v>0.2</v>
      </c>
      <c r="Q111" s="259">
        <f t="shared" si="3"/>
        <v>0.2</v>
      </c>
      <c r="R111" s="55">
        <v>15.2</v>
      </c>
      <c r="S111" s="55">
        <v>124</v>
      </c>
      <c r="T111" s="57">
        <f t="shared" si="4"/>
        <v>27</v>
      </c>
      <c r="U111" s="237">
        <v>518</v>
      </c>
      <c r="V111" s="58">
        <f t="shared" si="5"/>
        <v>3496.5</v>
      </c>
      <c r="W111" s="237">
        <v>2</v>
      </c>
      <c r="X111" s="55" t="s">
        <v>46</v>
      </c>
      <c r="Y111" s="55" t="s">
        <v>88</v>
      </c>
      <c r="Z111" s="55" t="s">
        <v>97</v>
      </c>
      <c r="AA111" s="55" t="s">
        <v>69</v>
      </c>
      <c r="AB111" s="55" t="s">
        <v>344</v>
      </c>
    </row>
    <row r="112" spans="1:28" x14ac:dyDescent="0.15">
      <c r="A112" s="55" t="s">
        <v>41</v>
      </c>
      <c r="B112" s="237" t="s">
        <v>342</v>
      </c>
      <c r="C112" s="152">
        <v>2018</v>
      </c>
      <c r="D112" s="56" t="s">
        <v>362</v>
      </c>
      <c r="E112" s="237" t="s">
        <v>299</v>
      </c>
      <c r="F112" s="237" t="s">
        <v>305</v>
      </c>
      <c r="G112" s="55" t="s">
        <v>42</v>
      </c>
      <c r="H112" s="55" t="s">
        <v>160</v>
      </c>
      <c r="I112" s="55" t="s">
        <v>155</v>
      </c>
      <c r="J112" s="55" t="s">
        <v>38</v>
      </c>
      <c r="K112" s="55" t="s">
        <v>156</v>
      </c>
      <c r="L112" s="237">
        <v>3</v>
      </c>
      <c r="N112" s="237">
        <v>4</v>
      </c>
      <c r="O112" s="55">
        <v>0.65</v>
      </c>
      <c r="P112" s="258">
        <v>0.5</v>
      </c>
      <c r="Q112" s="259">
        <f t="shared" si="3"/>
        <v>0.57499999999999996</v>
      </c>
      <c r="R112" s="55">
        <v>13.7</v>
      </c>
      <c r="S112" s="55">
        <v>122</v>
      </c>
      <c r="T112" s="57">
        <f t="shared" si="4"/>
        <v>27</v>
      </c>
      <c r="U112" s="237">
        <v>518</v>
      </c>
      <c r="V112" s="58">
        <f t="shared" si="5"/>
        <v>3496.5</v>
      </c>
      <c r="W112" s="237">
        <v>2</v>
      </c>
      <c r="X112" s="55" t="s">
        <v>46</v>
      </c>
      <c r="Y112" s="55" t="s">
        <v>88</v>
      </c>
      <c r="Z112" s="55" t="s">
        <v>97</v>
      </c>
      <c r="AA112" s="55" t="s">
        <v>69</v>
      </c>
      <c r="AB112" s="55" t="s">
        <v>344</v>
      </c>
    </row>
    <row r="113" spans="1:28" x14ac:dyDescent="0.15">
      <c r="A113" s="55" t="s">
        <v>41</v>
      </c>
      <c r="B113" s="237" t="s">
        <v>342</v>
      </c>
      <c r="C113" s="152">
        <v>2018</v>
      </c>
      <c r="D113" s="56" t="s">
        <v>362</v>
      </c>
      <c r="E113" s="237" t="s">
        <v>164</v>
      </c>
      <c r="F113" s="237" t="s">
        <v>306</v>
      </c>
      <c r="G113" s="55" t="s">
        <v>42</v>
      </c>
      <c r="H113" s="55" t="s">
        <v>160</v>
      </c>
      <c r="I113" s="55" t="s">
        <v>155</v>
      </c>
      <c r="J113" s="55" t="s">
        <v>38</v>
      </c>
      <c r="K113" s="55" t="s">
        <v>156</v>
      </c>
      <c r="L113" s="237">
        <v>1</v>
      </c>
      <c r="N113" s="237">
        <v>1</v>
      </c>
      <c r="O113" s="55">
        <v>0.5</v>
      </c>
      <c r="P113" s="55">
        <v>0.65</v>
      </c>
      <c r="Q113" s="259">
        <f t="shared" si="3"/>
        <v>0.57499999999999996</v>
      </c>
      <c r="R113" s="55">
        <v>15.1</v>
      </c>
      <c r="S113" s="55">
        <v>132</v>
      </c>
      <c r="T113" s="57">
        <f t="shared" si="4"/>
        <v>25</v>
      </c>
      <c r="U113" s="237">
        <v>137</v>
      </c>
      <c r="V113" s="58">
        <f t="shared" si="5"/>
        <v>3425</v>
      </c>
      <c r="W113" s="237">
        <v>2</v>
      </c>
      <c r="X113" s="55" t="s">
        <v>46</v>
      </c>
      <c r="Y113" s="55" t="s">
        <v>69</v>
      </c>
      <c r="Z113" s="55" t="s">
        <v>97</v>
      </c>
      <c r="AA113" s="55" t="s">
        <v>88</v>
      </c>
      <c r="AB113" s="55" t="s">
        <v>344</v>
      </c>
    </row>
    <row r="114" spans="1:28" x14ac:dyDescent="0.15">
      <c r="A114" s="55" t="s">
        <v>41</v>
      </c>
      <c r="B114" s="237" t="s">
        <v>342</v>
      </c>
      <c r="C114" s="152">
        <v>2018</v>
      </c>
      <c r="D114" s="56" t="s">
        <v>362</v>
      </c>
      <c r="E114" s="237" t="s">
        <v>164</v>
      </c>
      <c r="F114" s="237" t="s">
        <v>306</v>
      </c>
      <c r="G114" s="55" t="s">
        <v>42</v>
      </c>
      <c r="H114" s="55" t="s">
        <v>160</v>
      </c>
      <c r="I114" s="55" t="s">
        <v>155</v>
      </c>
      <c r="J114" s="55" t="s">
        <v>38</v>
      </c>
      <c r="K114" s="55" t="s">
        <v>156</v>
      </c>
      <c r="L114" s="237">
        <v>2</v>
      </c>
      <c r="N114" s="237">
        <v>1</v>
      </c>
      <c r="O114" s="55">
        <v>0.5</v>
      </c>
      <c r="P114" s="55">
        <v>0.6</v>
      </c>
      <c r="Q114" s="259">
        <f t="shared" si="3"/>
        <v>0.55000000000000004</v>
      </c>
      <c r="R114" s="55">
        <v>14.3</v>
      </c>
      <c r="S114" s="55">
        <v>128</v>
      </c>
      <c r="T114" s="57">
        <f t="shared" si="4"/>
        <v>27</v>
      </c>
      <c r="U114" s="237">
        <v>137</v>
      </c>
      <c r="V114" s="58">
        <f t="shared" si="5"/>
        <v>3699</v>
      </c>
      <c r="W114" s="237">
        <v>2</v>
      </c>
      <c r="X114" s="55" t="s">
        <v>46</v>
      </c>
      <c r="Y114" s="55" t="s">
        <v>69</v>
      </c>
      <c r="Z114" s="55" t="s">
        <v>97</v>
      </c>
      <c r="AA114" s="55" t="s">
        <v>88</v>
      </c>
      <c r="AB114" s="55" t="s">
        <v>344</v>
      </c>
    </row>
    <row r="115" spans="1:28" x14ac:dyDescent="0.15">
      <c r="A115" s="55" t="s">
        <v>41</v>
      </c>
      <c r="B115" s="237" t="s">
        <v>342</v>
      </c>
      <c r="C115" s="152">
        <v>2018</v>
      </c>
      <c r="D115" s="56" t="s">
        <v>362</v>
      </c>
      <c r="E115" s="237" t="s">
        <v>164</v>
      </c>
      <c r="F115" s="237" t="s">
        <v>306</v>
      </c>
      <c r="G115" s="55" t="s">
        <v>42</v>
      </c>
      <c r="H115" s="55" t="s">
        <v>160</v>
      </c>
      <c r="I115" s="55" t="s">
        <v>155</v>
      </c>
      <c r="J115" s="55" t="s">
        <v>38</v>
      </c>
      <c r="K115" s="55" t="s">
        <v>156</v>
      </c>
      <c r="L115" s="237">
        <v>3</v>
      </c>
      <c r="N115" s="237">
        <v>1</v>
      </c>
      <c r="O115" s="55">
        <v>0.7</v>
      </c>
      <c r="P115" s="55">
        <v>0.75</v>
      </c>
      <c r="Q115" s="82">
        <f t="shared" si="3"/>
        <v>0.72499999999999998</v>
      </c>
      <c r="R115" s="55">
        <v>15.8</v>
      </c>
      <c r="S115" s="55">
        <v>127</v>
      </c>
      <c r="T115" s="57">
        <f t="shared" si="4"/>
        <v>27</v>
      </c>
      <c r="U115" s="237">
        <v>137</v>
      </c>
      <c r="V115" s="58">
        <f t="shared" si="5"/>
        <v>3699</v>
      </c>
      <c r="W115" s="237">
        <v>2</v>
      </c>
      <c r="X115" s="55" t="s">
        <v>46</v>
      </c>
      <c r="Y115" s="55" t="s">
        <v>69</v>
      </c>
      <c r="Z115" s="55" t="s">
        <v>97</v>
      </c>
      <c r="AA115" s="55" t="s">
        <v>88</v>
      </c>
      <c r="AB115" s="55" t="s">
        <v>344</v>
      </c>
    </row>
    <row r="116" spans="1:28" x14ac:dyDescent="0.15">
      <c r="A116" s="55" t="s">
        <v>41</v>
      </c>
      <c r="B116" s="237" t="s">
        <v>342</v>
      </c>
      <c r="C116" s="152">
        <v>2018</v>
      </c>
      <c r="D116" s="56" t="s">
        <v>362</v>
      </c>
      <c r="E116" s="237" t="s">
        <v>164</v>
      </c>
      <c r="F116" s="237" t="s">
        <v>306</v>
      </c>
      <c r="G116" s="55" t="s">
        <v>42</v>
      </c>
      <c r="H116" s="55" t="s">
        <v>157</v>
      </c>
      <c r="I116" s="55" t="s">
        <v>155</v>
      </c>
      <c r="J116" s="55" t="s">
        <v>38</v>
      </c>
      <c r="K116" s="55" t="s">
        <v>156</v>
      </c>
      <c r="L116" s="237">
        <v>1</v>
      </c>
      <c r="N116" s="237">
        <v>1</v>
      </c>
      <c r="O116" s="55">
        <v>0.85</v>
      </c>
      <c r="P116" s="55">
        <v>0.8</v>
      </c>
      <c r="Q116" s="82">
        <f t="shared" si="3"/>
        <v>0.82499999999999996</v>
      </c>
      <c r="R116" s="55">
        <v>15</v>
      </c>
      <c r="S116" s="55">
        <v>122</v>
      </c>
      <c r="T116" s="57">
        <f t="shared" si="4"/>
        <v>27</v>
      </c>
      <c r="U116" s="237">
        <v>137</v>
      </c>
      <c r="V116" s="58">
        <f t="shared" si="5"/>
        <v>3699</v>
      </c>
      <c r="W116" s="237">
        <v>2</v>
      </c>
      <c r="X116" s="55" t="s">
        <v>46</v>
      </c>
      <c r="Y116" s="55" t="s">
        <v>69</v>
      </c>
      <c r="Z116" s="55" t="s">
        <v>97</v>
      </c>
      <c r="AA116" s="55" t="s">
        <v>88</v>
      </c>
      <c r="AB116" s="55" t="s">
        <v>344</v>
      </c>
    </row>
    <row r="117" spans="1:28" x14ac:dyDescent="0.15">
      <c r="A117" s="55" t="s">
        <v>41</v>
      </c>
      <c r="B117" s="237" t="s">
        <v>342</v>
      </c>
      <c r="C117" s="152">
        <v>2018</v>
      </c>
      <c r="D117" s="56" t="s">
        <v>362</v>
      </c>
      <c r="E117" s="237" t="s">
        <v>164</v>
      </c>
      <c r="F117" s="237" t="s">
        <v>306</v>
      </c>
      <c r="G117" s="55" t="s">
        <v>42</v>
      </c>
      <c r="H117" s="55" t="s">
        <v>157</v>
      </c>
      <c r="I117" s="55" t="s">
        <v>155</v>
      </c>
      <c r="J117" s="55" t="s">
        <v>38</v>
      </c>
      <c r="K117" s="55" t="s">
        <v>156</v>
      </c>
      <c r="L117" s="237">
        <v>2</v>
      </c>
      <c r="N117" s="237">
        <v>1</v>
      </c>
      <c r="O117" s="55">
        <v>0.65</v>
      </c>
      <c r="P117" s="55">
        <v>0.75</v>
      </c>
      <c r="Q117" s="82">
        <f t="shared" si="3"/>
        <v>0.7</v>
      </c>
      <c r="R117" s="55">
        <v>12.7</v>
      </c>
      <c r="S117" s="55">
        <v>114</v>
      </c>
      <c r="T117" s="57">
        <f t="shared" si="4"/>
        <v>30</v>
      </c>
      <c r="U117" s="237">
        <v>137</v>
      </c>
      <c r="V117" s="58">
        <f t="shared" si="5"/>
        <v>4110</v>
      </c>
      <c r="W117" s="237">
        <v>2</v>
      </c>
      <c r="X117" s="55" t="s">
        <v>46</v>
      </c>
      <c r="Y117" s="55" t="s">
        <v>69</v>
      </c>
      <c r="Z117" s="55" t="s">
        <v>97</v>
      </c>
      <c r="AA117" s="55" t="s">
        <v>88</v>
      </c>
      <c r="AB117" s="55" t="s">
        <v>344</v>
      </c>
    </row>
    <row r="118" spans="1:28" x14ac:dyDescent="0.15">
      <c r="A118" s="55" t="s">
        <v>41</v>
      </c>
      <c r="B118" s="237" t="s">
        <v>342</v>
      </c>
      <c r="C118" s="152">
        <v>2018</v>
      </c>
      <c r="D118" s="56" t="s">
        <v>362</v>
      </c>
      <c r="E118" s="237" t="s">
        <v>164</v>
      </c>
      <c r="F118" s="237" t="s">
        <v>306</v>
      </c>
      <c r="G118" s="55" t="s">
        <v>42</v>
      </c>
      <c r="H118" s="55" t="s">
        <v>157</v>
      </c>
      <c r="I118" s="55" t="s">
        <v>155</v>
      </c>
      <c r="J118" s="55" t="s">
        <v>38</v>
      </c>
      <c r="K118" s="55" t="s">
        <v>156</v>
      </c>
      <c r="L118" s="237">
        <v>3</v>
      </c>
      <c r="N118" s="237">
        <v>1</v>
      </c>
      <c r="O118" s="55">
        <v>0.8</v>
      </c>
      <c r="P118" s="55">
        <v>0.9</v>
      </c>
      <c r="Q118" s="82">
        <f t="shared" si="3"/>
        <v>0.85000000000000009</v>
      </c>
      <c r="R118" s="55">
        <v>13.7</v>
      </c>
      <c r="S118" s="55">
        <v>124</v>
      </c>
      <c r="T118" s="57">
        <f t="shared" si="4"/>
        <v>27</v>
      </c>
      <c r="U118" s="237">
        <v>137</v>
      </c>
      <c r="V118" s="58">
        <f t="shared" si="5"/>
        <v>3699</v>
      </c>
      <c r="W118" s="237">
        <v>2</v>
      </c>
      <c r="X118" s="55" t="s">
        <v>46</v>
      </c>
      <c r="Y118" s="55" t="s">
        <v>69</v>
      </c>
      <c r="Z118" s="55" t="s">
        <v>97</v>
      </c>
      <c r="AA118" s="55" t="s">
        <v>88</v>
      </c>
      <c r="AB118" s="55" t="s">
        <v>344</v>
      </c>
    </row>
    <row r="119" spans="1:28" x14ac:dyDescent="0.15">
      <c r="A119" s="55" t="s">
        <v>41</v>
      </c>
      <c r="B119" s="237" t="s">
        <v>342</v>
      </c>
      <c r="C119" s="152">
        <v>2018</v>
      </c>
      <c r="D119" s="56" t="s">
        <v>362</v>
      </c>
      <c r="E119" s="237" t="s">
        <v>164</v>
      </c>
      <c r="F119" s="237" t="s">
        <v>306</v>
      </c>
      <c r="G119" s="55" t="s">
        <v>42</v>
      </c>
      <c r="H119" s="55" t="s">
        <v>157</v>
      </c>
      <c r="I119" s="55" t="s">
        <v>158</v>
      </c>
      <c r="J119" s="55" t="s">
        <v>38</v>
      </c>
      <c r="K119" s="55" t="s">
        <v>156</v>
      </c>
      <c r="L119" s="237">
        <v>1</v>
      </c>
      <c r="N119" s="237">
        <v>2</v>
      </c>
      <c r="O119" s="55">
        <v>0.2</v>
      </c>
      <c r="P119" s="55">
        <v>0.2</v>
      </c>
      <c r="Q119" s="57">
        <f t="shared" si="3"/>
        <v>0.2</v>
      </c>
      <c r="R119" s="237">
        <v>14.4</v>
      </c>
      <c r="S119" s="55">
        <v>152</v>
      </c>
      <c r="T119" s="57">
        <f t="shared" si="4"/>
        <v>22</v>
      </c>
      <c r="U119" s="237">
        <v>353</v>
      </c>
      <c r="V119" s="58">
        <f t="shared" si="5"/>
        <v>3883</v>
      </c>
      <c r="W119" s="237">
        <v>2</v>
      </c>
      <c r="X119" s="55" t="s">
        <v>46</v>
      </c>
      <c r="Y119" s="55" t="s">
        <v>69</v>
      </c>
      <c r="Z119" s="55" t="s">
        <v>97</v>
      </c>
      <c r="AA119" s="55" t="s">
        <v>88</v>
      </c>
      <c r="AB119" s="55" t="s">
        <v>344</v>
      </c>
    </row>
    <row r="120" spans="1:28" x14ac:dyDescent="0.15">
      <c r="A120" s="55" t="s">
        <v>41</v>
      </c>
      <c r="B120" s="237" t="s">
        <v>342</v>
      </c>
      <c r="C120" s="152">
        <v>2018</v>
      </c>
      <c r="D120" s="56" t="s">
        <v>362</v>
      </c>
      <c r="E120" s="237" t="s">
        <v>164</v>
      </c>
      <c r="F120" s="237" t="s">
        <v>306</v>
      </c>
      <c r="G120" s="55" t="s">
        <v>42</v>
      </c>
      <c r="H120" s="55" t="s">
        <v>157</v>
      </c>
      <c r="I120" s="55" t="s">
        <v>158</v>
      </c>
      <c r="J120" s="55" t="s">
        <v>38</v>
      </c>
      <c r="K120" s="55" t="s">
        <v>156</v>
      </c>
      <c r="L120" s="237">
        <v>2</v>
      </c>
      <c r="N120" s="237">
        <v>2</v>
      </c>
      <c r="O120" s="55">
        <v>0.2</v>
      </c>
      <c r="P120" s="55">
        <v>0.2</v>
      </c>
      <c r="Q120" s="57">
        <f t="shared" si="3"/>
        <v>0.2</v>
      </c>
      <c r="R120" s="237">
        <v>16.5</v>
      </c>
      <c r="S120" s="55">
        <v>148</v>
      </c>
      <c r="T120" s="57">
        <f t="shared" si="4"/>
        <v>22</v>
      </c>
      <c r="U120" s="237">
        <v>353</v>
      </c>
      <c r="V120" s="58">
        <f t="shared" si="5"/>
        <v>3883</v>
      </c>
      <c r="W120" s="237">
        <v>2</v>
      </c>
      <c r="X120" s="55" t="s">
        <v>46</v>
      </c>
      <c r="Y120" s="55" t="s">
        <v>69</v>
      </c>
      <c r="Z120" s="55" t="s">
        <v>97</v>
      </c>
      <c r="AA120" s="55" t="s">
        <v>88</v>
      </c>
      <c r="AB120" s="55" t="s">
        <v>344</v>
      </c>
    </row>
    <row r="121" spans="1:28" x14ac:dyDescent="0.15">
      <c r="A121" s="55" t="s">
        <v>41</v>
      </c>
      <c r="B121" s="237" t="s">
        <v>342</v>
      </c>
      <c r="C121" s="152">
        <v>2018</v>
      </c>
      <c r="D121" s="56" t="s">
        <v>362</v>
      </c>
      <c r="E121" s="237" t="s">
        <v>164</v>
      </c>
      <c r="F121" s="237" t="s">
        <v>306</v>
      </c>
      <c r="G121" s="55" t="s">
        <v>42</v>
      </c>
      <c r="H121" s="55" t="s">
        <v>157</v>
      </c>
      <c r="I121" s="55" t="s">
        <v>158</v>
      </c>
      <c r="J121" s="55" t="s">
        <v>38</v>
      </c>
      <c r="K121" s="55" t="s">
        <v>156</v>
      </c>
      <c r="L121" s="237">
        <v>3</v>
      </c>
      <c r="N121" s="237">
        <v>2</v>
      </c>
      <c r="O121" s="55">
        <v>0.2</v>
      </c>
      <c r="P121" s="55">
        <v>0.2</v>
      </c>
      <c r="Q121" s="57">
        <f t="shared" si="3"/>
        <v>0.2</v>
      </c>
      <c r="R121" s="237">
        <v>15.5</v>
      </c>
      <c r="S121" s="55">
        <v>145</v>
      </c>
      <c r="T121" s="57">
        <f t="shared" si="4"/>
        <v>22</v>
      </c>
      <c r="U121" s="237">
        <v>353</v>
      </c>
      <c r="V121" s="58">
        <f t="shared" si="5"/>
        <v>3883</v>
      </c>
      <c r="W121" s="237">
        <v>2</v>
      </c>
      <c r="X121" s="55" t="s">
        <v>46</v>
      </c>
      <c r="Y121" s="55" t="s">
        <v>69</v>
      </c>
      <c r="Z121" s="55" t="s">
        <v>97</v>
      </c>
      <c r="AA121" s="55" t="s">
        <v>88</v>
      </c>
      <c r="AB121" s="55" t="s">
        <v>344</v>
      </c>
    </row>
    <row r="122" spans="1:28" x14ac:dyDescent="0.15">
      <c r="A122" s="55" t="s">
        <v>41</v>
      </c>
      <c r="B122" s="237" t="s">
        <v>342</v>
      </c>
      <c r="C122" s="152">
        <v>2018</v>
      </c>
      <c r="D122" s="56" t="s">
        <v>362</v>
      </c>
      <c r="E122" s="237" t="s">
        <v>297</v>
      </c>
      <c r="F122" s="237" t="s">
        <v>302</v>
      </c>
      <c r="G122" s="55" t="s">
        <v>42</v>
      </c>
      <c r="H122" s="55" t="s">
        <v>160</v>
      </c>
      <c r="I122" s="55" t="s">
        <v>155</v>
      </c>
      <c r="J122" s="55" t="s">
        <v>38</v>
      </c>
      <c r="K122" s="55" t="s">
        <v>156</v>
      </c>
      <c r="L122" s="237">
        <v>1</v>
      </c>
      <c r="N122" s="237">
        <v>1</v>
      </c>
      <c r="O122" s="55">
        <v>0.65</v>
      </c>
      <c r="P122" s="55">
        <v>0.55000000000000004</v>
      </c>
      <c r="Q122" s="82">
        <f t="shared" si="3"/>
        <v>0.60000000000000009</v>
      </c>
      <c r="R122" s="55">
        <v>14.1</v>
      </c>
      <c r="S122" s="55">
        <v>100</v>
      </c>
      <c r="T122" s="57">
        <f t="shared" si="4"/>
        <v>33</v>
      </c>
      <c r="U122" s="237">
        <v>104</v>
      </c>
      <c r="V122" s="58">
        <f t="shared" si="5"/>
        <v>3432</v>
      </c>
      <c r="W122" s="237">
        <v>3</v>
      </c>
      <c r="X122" s="55" t="s">
        <v>46</v>
      </c>
      <c r="Y122" s="55" t="s">
        <v>97</v>
      </c>
      <c r="Z122" s="55" t="s">
        <v>86</v>
      </c>
      <c r="AA122" s="55" t="s">
        <v>88</v>
      </c>
      <c r="AB122" s="55" t="s">
        <v>344</v>
      </c>
    </row>
    <row r="123" spans="1:28" x14ac:dyDescent="0.15">
      <c r="A123" s="55" t="s">
        <v>41</v>
      </c>
      <c r="B123" s="237" t="s">
        <v>342</v>
      </c>
      <c r="C123" s="152">
        <v>2018</v>
      </c>
      <c r="D123" s="56" t="s">
        <v>362</v>
      </c>
      <c r="E123" s="237" t="s">
        <v>297</v>
      </c>
      <c r="F123" s="237" t="s">
        <v>302</v>
      </c>
      <c r="G123" s="55" t="s">
        <v>42</v>
      </c>
      <c r="H123" s="55" t="s">
        <v>160</v>
      </c>
      <c r="I123" s="55" t="s">
        <v>155</v>
      </c>
      <c r="J123" s="55" t="s">
        <v>38</v>
      </c>
      <c r="K123" s="55" t="s">
        <v>156</v>
      </c>
      <c r="L123" s="237">
        <v>2</v>
      </c>
      <c r="N123" s="237">
        <v>1</v>
      </c>
      <c r="O123" s="55">
        <v>0.85</v>
      </c>
      <c r="P123" s="55">
        <v>0.85</v>
      </c>
      <c r="Q123" s="82">
        <f t="shared" si="3"/>
        <v>0.85</v>
      </c>
      <c r="R123" s="55">
        <v>15.1</v>
      </c>
      <c r="S123" s="55">
        <v>110</v>
      </c>
      <c r="T123" s="57">
        <f t="shared" si="4"/>
        <v>33</v>
      </c>
      <c r="U123" s="237">
        <v>104</v>
      </c>
      <c r="V123" s="58">
        <f t="shared" si="5"/>
        <v>3432</v>
      </c>
      <c r="W123" s="237">
        <v>3</v>
      </c>
      <c r="X123" s="55" t="s">
        <v>46</v>
      </c>
      <c r="Y123" s="55" t="s">
        <v>97</v>
      </c>
      <c r="Z123" s="55" t="s">
        <v>86</v>
      </c>
      <c r="AA123" s="55" t="s">
        <v>88</v>
      </c>
      <c r="AB123" s="55" t="s">
        <v>344</v>
      </c>
    </row>
    <row r="124" spans="1:28" x14ac:dyDescent="0.15">
      <c r="A124" s="55" t="s">
        <v>41</v>
      </c>
      <c r="B124" s="237" t="s">
        <v>342</v>
      </c>
      <c r="C124" s="152">
        <v>2018</v>
      </c>
      <c r="D124" s="56" t="s">
        <v>362</v>
      </c>
      <c r="E124" s="237" t="s">
        <v>297</v>
      </c>
      <c r="F124" s="237" t="s">
        <v>302</v>
      </c>
      <c r="G124" s="55" t="s">
        <v>42</v>
      </c>
      <c r="H124" s="55" t="s">
        <v>160</v>
      </c>
      <c r="I124" s="55" t="s">
        <v>155</v>
      </c>
      <c r="J124" s="55" t="s">
        <v>38</v>
      </c>
      <c r="K124" s="55" t="s">
        <v>156</v>
      </c>
      <c r="L124" s="237">
        <v>3</v>
      </c>
      <c r="N124" s="237">
        <v>1</v>
      </c>
      <c r="O124" s="55">
        <v>0.7</v>
      </c>
      <c r="P124" s="55">
        <v>0.75</v>
      </c>
      <c r="Q124" s="82">
        <f t="shared" si="3"/>
        <v>0.72499999999999998</v>
      </c>
      <c r="R124" s="55">
        <v>15.5</v>
      </c>
      <c r="S124" s="55">
        <v>104</v>
      </c>
      <c r="T124" s="57">
        <f t="shared" si="4"/>
        <v>33</v>
      </c>
      <c r="U124" s="237">
        <v>104</v>
      </c>
      <c r="V124" s="58">
        <f t="shared" si="5"/>
        <v>3432</v>
      </c>
      <c r="W124" s="237">
        <v>3</v>
      </c>
      <c r="X124" s="55" t="s">
        <v>46</v>
      </c>
      <c r="Y124" s="55" t="s">
        <v>97</v>
      </c>
      <c r="Z124" s="55" t="s">
        <v>86</v>
      </c>
      <c r="AA124" s="55" t="s">
        <v>88</v>
      </c>
      <c r="AB124" s="55" t="s">
        <v>344</v>
      </c>
    </row>
    <row r="125" spans="1:28" x14ac:dyDescent="0.15">
      <c r="A125" s="55" t="s">
        <v>41</v>
      </c>
      <c r="B125" s="237" t="s">
        <v>342</v>
      </c>
      <c r="C125" s="152">
        <v>2018</v>
      </c>
      <c r="D125" s="56" t="s">
        <v>362</v>
      </c>
      <c r="E125" s="237" t="s">
        <v>297</v>
      </c>
      <c r="F125" s="237" t="s">
        <v>302</v>
      </c>
      <c r="G125" s="55" t="s">
        <v>42</v>
      </c>
      <c r="H125" s="55" t="s">
        <v>157</v>
      </c>
      <c r="I125" s="55" t="s">
        <v>155</v>
      </c>
      <c r="J125" s="55" t="s">
        <v>38</v>
      </c>
      <c r="K125" s="55" t="s">
        <v>156</v>
      </c>
      <c r="L125" s="237">
        <v>1</v>
      </c>
      <c r="N125" s="237">
        <v>1</v>
      </c>
      <c r="O125" s="55">
        <v>0.2</v>
      </c>
      <c r="P125" s="55">
        <v>0.2</v>
      </c>
      <c r="Q125" s="82">
        <f t="shared" si="3"/>
        <v>0.2</v>
      </c>
      <c r="R125" s="55">
        <v>14.9</v>
      </c>
      <c r="S125" s="55">
        <v>115</v>
      </c>
      <c r="T125" s="57">
        <f t="shared" si="4"/>
        <v>30</v>
      </c>
      <c r="U125" s="237">
        <v>104</v>
      </c>
      <c r="V125" s="58">
        <f t="shared" si="5"/>
        <v>3120</v>
      </c>
      <c r="W125" s="237">
        <v>3</v>
      </c>
      <c r="X125" s="55" t="s">
        <v>46</v>
      </c>
      <c r="Y125" s="55" t="s">
        <v>97</v>
      </c>
      <c r="Z125" s="55" t="s">
        <v>86</v>
      </c>
      <c r="AA125" s="55" t="s">
        <v>88</v>
      </c>
      <c r="AB125" s="55" t="s">
        <v>344</v>
      </c>
    </row>
    <row r="126" spans="1:28" x14ac:dyDescent="0.15">
      <c r="A126" s="55" t="s">
        <v>41</v>
      </c>
      <c r="B126" s="237" t="s">
        <v>342</v>
      </c>
      <c r="C126" s="152">
        <v>2018</v>
      </c>
      <c r="D126" s="56" t="s">
        <v>362</v>
      </c>
      <c r="E126" s="237" t="s">
        <v>297</v>
      </c>
      <c r="F126" s="237" t="s">
        <v>302</v>
      </c>
      <c r="G126" s="55" t="s">
        <v>42</v>
      </c>
      <c r="H126" s="55" t="s">
        <v>157</v>
      </c>
      <c r="I126" s="55" t="s">
        <v>155</v>
      </c>
      <c r="J126" s="55" t="s">
        <v>38</v>
      </c>
      <c r="K126" s="55" t="s">
        <v>156</v>
      </c>
      <c r="L126" s="237">
        <v>2</v>
      </c>
      <c r="N126" s="237">
        <v>1</v>
      </c>
      <c r="O126" s="55">
        <v>0.25</v>
      </c>
      <c r="P126" s="55">
        <v>0.3</v>
      </c>
      <c r="Q126" s="82">
        <f t="shared" si="3"/>
        <v>0.27500000000000002</v>
      </c>
      <c r="R126" s="55">
        <v>12.1</v>
      </c>
      <c r="S126" s="55">
        <v>107</v>
      </c>
      <c r="T126" s="57">
        <f t="shared" si="4"/>
        <v>33</v>
      </c>
      <c r="U126" s="237">
        <v>104</v>
      </c>
      <c r="V126" s="58">
        <f t="shared" si="5"/>
        <v>3432</v>
      </c>
      <c r="W126" s="237">
        <v>3</v>
      </c>
      <c r="X126" s="55" t="s">
        <v>46</v>
      </c>
      <c r="Y126" s="55" t="s">
        <v>97</v>
      </c>
      <c r="Z126" s="55" t="s">
        <v>86</v>
      </c>
      <c r="AA126" s="55" t="s">
        <v>88</v>
      </c>
      <c r="AB126" s="55" t="s">
        <v>344</v>
      </c>
    </row>
    <row r="127" spans="1:28" x14ac:dyDescent="0.15">
      <c r="A127" s="55" t="s">
        <v>41</v>
      </c>
      <c r="B127" s="237" t="s">
        <v>342</v>
      </c>
      <c r="C127" s="152">
        <v>2018</v>
      </c>
      <c r="D127" s="56" t="s">
        <v>362</v>
      </c>
      <c r="E127" s="237" t="s">
        <v>297</v>
      </c>
      <c r="F127" s="237" t="s">
        <v>302</v>
      </c>
      <c r="G127" s="55" t="s">
        <v>42</v>
      </c>
      <c r="H127" s="55" t="s">
        <v>157</v>
      </c>
      <c r="I127" s="55" t="s">
        <v>155</v>
      </c>
      <c r="J127" s="55" t="s">
        <v>38</v>
      </c>
      <c r="K127" s="55" t="s">
        <v>156</v>
      </c>
      <c r="L127" s="237">
        <v>3</v>
      </c>
      <c r="N127" s="237">
        <v>1</v>
      </c>
      <c r="O127" s="55">
        <v>0.2</v>
      </c>
      <c r="P127" s="55">
        <v>0.2</v>
      </c>
      <c r="Q127" s="82">
        <f t="shared" si="3"/>
        <v>0.2</v>
      </c>
      <c r="R127" s="55">
        <v>13.8</v>
      </c>
      <c r="S127" s="55">
        <v>109</v>
      </c>
      <c r="T127" s="57">
        <f t="shared" si="4"/>
        <v>33</v>
      </c>
      <c r="U127" s="237">
        <v>104</v>
      </c>
      <c r="V127" s="58">
        <f t="shared" si="5"/>
        <v>3432</v>
      </c>
      <c r="W127" s="237">
        <v>3</v>
      </c>
      <c r="X127" s="55" t="s">
        <v>46</v>
      </c>
      <c r="Y127" s="55" t="s">
        <v>97</v>
      </c>
      <c r="Z127" s="55" t="s">
        <v>86</v>
      </c>
      <c r="AA127" s="55" t="s">
        <v>88</v>
      </c>
      <c r="AB127" s="55" t="s">
        <v>344</v>
      </c>
    </row>
    <row r="131" spans="11:25" x14ac:dyDescent="0.15">
      <c r="K131" s="55"/>
      <c r="O131" s="55"/>
      <c r="P131" s="55"/>
      <c r="Q131" s="82"/>
      <c r="R131" s="55"/>
      <c r="S131" s="55"/>
      <c r="Y131" s="55"/>
    </row>
    <row r="132" spans="11:25" x14ac:dyDescent="0.15">
      <c r="K132" s="55"/>
      <c r="O132" s="55"/>
      <c r="P132" s="55"/>
      <c r="Q132" s="82"/>
      <c r="R132" s="55"/>
      <c r="S132" s="55"/>
      <c r="Y132" s="55"/>
    </row>
    <row r="133" spans="11:25" x14ac:dyDescent="0.15">
      <c r="K133" s="55"/>
      <c r="Y133" s="55"/>
    </row>
    <row r="134" spans="11:25" x14ac:dyDescent="0.15">
      <c r="K134" s="55"/>
      <c r="Y134" s="55"/>
    </row>
    <row r="135" spans="11:25" x14ac:dyDescent="0.15">
      <c r="K135" s="55"/>
      <c r="Y135" s="55"/>
    </row>
    <row r="136" spans="11:25" x14ac:dyDescent="0.15">
      <c r="K136" s="55"/>
      <c r="Y136" s="55"/>
    </row>
    <row r="137" spans="11:25" x14ac:dyDescent="0.15">
      <c r="K137" s="55"/>
      <c r="Y137" s="55"/>
    </row>
    <row r="138" spans="11:25" x14ac:dyDescent="0.15">
      <c r="K138" s="55"/>
      <c r="Y138" s="55"/>
    </row>
    <row r="139" spans="11:25" x14ac:dyDescent="0.15">
      <c r="K139" s="55"/>
      <c r="Y139" s="55"/>
    </row>
    <row r="140" spans="11:25" x14ac:dyDescent="0.15">
      <c r="K140" s="55"/>
      <c r="Y140" s="55"/>
    </row>
    <row r="141" spans="11:25" x14ac:dyDescent="0.15">
      <c r="K141" s="55"/>
      <c r="Y141" s="55"/>
    </row>
    <row r="142" spans="11:25" x14ac:dyDescent="0.15">
      <c r="K142" s="55"/>
      <c r="Y142" s="55"/>
    </row>
    <row r="143" spans="11:25" x14ac:dyDescent="0.15">
      <c r="K143" s="55"/>
      <c r="Y143" s="55"/>
    </row>
    <row r="144" spans="11:25" x14ac:dyDescent="0.15">
      <c r="K144" s="55"/>
      <c r="Y144" s="55"/>
    </row>
    <row r="145" spans="11:25" x14ac:dyDescent="0.15">
      <c r="K145" s="55"/>
      <c r="Y145" s="55"/>
    </row>
    <row r="146" spans="11:25" x14ac:dyDescent="0.15">
      <c r="K146" s="55"/>
      <c r="Y146" s="55"/>
    </row>
    <row r="147" spans="11:25" x14ac:dyDescent="0.15">
      <c r="K147" s="55"/>
      <c r="Y147" s="55"/>
    </row>
    <row r="148" spans="11:25" x14ac:dyDescent="0.15">
      <c r="Y148" s="55"/>
    </row>
  </sheetData>
  <autoFilter ref="A1:BA130"/>
  <dataConsolidate/>
  <phoneticPr fontId="3"/>
  <dataValidations count="13">
    <dataValidation operator="equal" allowBlank="1" showInputMessage="1" showErrorMessage="1" sqref="B2:B127"/>
    <dataValidation type="list" allowBlank="1" showInputMessage="1" showErrorMessage="1" sqref="Y131:AA1048576 Y1:AA127">
      <formula1>$AV$2:$AV$21</formula1>
    </dataValidation>
    <dataValidation type="list" allowBlank="1" showInputMessage="1" showErrorMessage="1" sqref="F131:F1048576 F1:F127">
      <formula1>$AH$2:$AH$11</formula1>
    </dataValidation>
    <dataValidation type="list" allowBlank="1" showInputMessage="1" showErrorMessage="1" sqref="E131:E1048576 E1:E127">
      <formula1>$AG$2:$AG$11</formula1>
    </dataValidation>
    <dataValidation type="list" allowBlank="1" showInputMessage="1" showErrorMessage="1" sqref="K131:K147 K2:K127">
      <formula1>$AR$2:$AR$23</formula1>
    </dataValidation>
    <dataValidation type="list" allowBlank="1" showInputMessage="1" showErrorMessage="1" sqref="J131:J331 J2:J127">
      <formula1>$AP$2:$AP$19</formula1>
    </dataValidation>
    <dataValidation type="list" allowBlank="1" showInputMessage="1" showErrorMessage="1" sqref="A131:A331 A2:A127">
      <formula1>$AE$2:$AE$16</formula1>
    </dataValidation>
    <dataValidation type="list" allowBlank="1" showInputMessage="1" showErrorMessage="1" sqref="X131:X331 X2:X127">
      <formula1>$AT$2:$AT$3</formula1>
    </dataValidation>
    <dataValidation type="list" allowBlank="1" showInputMessage="1" showErrorMessage="1" sqref="I131:I331 I2:I127">
      <formula1>$AN$5:$AN$6</formula1>
    </dataValidation>
    <dataValidation type="list" allowBlank="1" showInputMessage="1" showErrorMessage="1" sqref="G131:G331 G2:G127">
      <formula1>$AJ$2:$AJ$4</formula1>
    </dataValidation>
    <dataValidation type="list" allowBlank="1" showInputMessage="1" showErrorMessage="1" sqref="H131:H331 H2:H127">
      <formula1>$AL$2:$AL$8</formula1>
    </dataValidation>
    <dataValidation type="decimal" allowBlank="1" showInputMessage="1" showErrorMessage="1" error="硬度を正しく入力して下さい。" sqref="O131:P331 O2:P127">
      <formula1>0</formula1>
      <formula2>7</formula2>
    </dataValidation>
    <dataValidation type="list" allowBlank="1" showInputMessage="1" showErrorMessage="1" sqref="K148:K331">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M56" sqref="M56"/>
    </sheetView>
  </sheetViews>
  <sheetFormatPr defaultRowHeight="13.5" x14ac:dyDescent="0.15"/>
  <cols>
    <col min="1" max="1" width="9" style="208"/>
    <col min="2" max="2" width="9" style="216"/>
    <col min="3" max="3" width="9" style="208"/>
    <col min="4" max="4" width="10.5" style="208" bestFit="1" customWidth="1"/>
    <col min="5" max="13" width="9" style="208"/>
    <col min="14" max="14" width="9.5" style="208" bestFit="1" customWidth="1"/>
    <col min="15" max="16" width="9" style="208"/>
    <col min="17" max="17" width="9" style="217"/>
    <col min="18" max="19" width="9" style="208"/>
    <col min="20" max="20" width="9" style="217"/>
    <col min="21" max="21" width="9" style="208"/>
    <col min="22" max="22" width="9" style="217"/>
    <col min="23" max="27" width="9" style="208"/>
    <col min="28" max="28" width="9" style="216"/>
    <col min="29" max="32" width="9" style="208"/>
    <col min="33" max="33" width="15.875" style="208" bestFit="1" customWidth="1"/>
    <col min="34" max="34" width="11.375" style="208" bestFit="1" customWidth="1"/>
    <col min="35" max="259" width="9" style="208"/>
    <col min="260" max="260" width="10.5" style="208" bestFit="1" customWidth="1"/>
    <col min="261" max="269" width="9" style="208"/>
    <col min="270" max="270" width="9.5" style="208" bestFit="1" customWidth="1"/>
    <col min="271" max="288" width="9" style="208"/>
    <col min="289" max="289" width="15.875" style="208" bestFit="1" customWidth="1"/>
    <col min="290" max="290" width="11.375" style="208" bestFit="1" customWidth="1"/>
    <col min="291" max="515" width="9" style="208"/>
    <col min="516" max="516" width="10.5" style="208" bestFit="1" customWidth="1"/>
    <col min="517" max="525" width="9" style="208"/>
    <col min="526" max="526" width="9.5" style="208" bestFit="1" customWidth="1"/>
    <col min="527" max="544" width="9" style="208"/>
    <col min="545" max="545" width="15.875" style="208" bestFit="1" customWidth="1"/>
    <col min="546" max="546" width="11.375" style="208" bestFit="1" customWidth="1"/>
    <col min="547" max="771" width="9" style="208"/>
    <col min="772" max="772" width="10.5" style="208" bestFit="1" customWidth="1"/>
    <col min="773" max="781" width="9" style="208"/>
    <col min="782" max="782" width="9.5" style="208" bestFit="1" customWidth="1"/>
    <col min="783" max="800" width="9" style="208"/>
    <col min="801" max="801" width="15.875" style="208" bestFit="1" customWidth="1"/>
    <col min="802" max="802" width="11.375" style="208" bestFit="1" customWidth="1"/>
    <col min="803" max="1027" width="9" style="208"/>
    <col min="1028" max="1028" width="10.5" style="208" bestFit="1" customWidth="1"/>
    <col min="1029" max="1037" width="9" style="208"/>
    <col min="1038" max="1038" width="9.5" style="208" bestFit="1" customWidth="1"/>
    <col min="1039" max="1056" width="9" style="208"/>
    <col min="1057" max="1057" width="15.875" style="208" bestFit="1" customWidth="1"/>
    <col min="1058" max="1058" width="11.375" style="208" bestFit="1" customWidth="1"/>
    <col min="1059" max="1283" width="9" style="208"/>
    <col min="1284" max="1284" width="10.5" style="208" bestFit="1" customWidth="1"/>
    <col min="1285" max="1293" width="9" style="208"/>
    <col min="1294" max="1294" width="9.5" style="208" bestFit="1" customWidth="1"/>
    <col min="1295" max="1312" width="9" style="208"/>
    <col min="1313" max="1313" width="15.875" style="208" bestFit="1" customWidth="1"/>
    <col min="1314" max="1314" width="11.375" style="208" bestFit="1" customWidth="1"/>
    <col min="1315" max="1539" width="9" style="208"/>
    <col min="1540" max="1540" width="10.5" style="208" bestFit="1" customWidth="1"/>
    <col min="1541" max="1549" width="9" style="208"/>
    <col min="1550" max="1550" width="9.5" style="208" bestFit="1" customWidth="1"/>
    <col min="1551" max="1568" width="9" style="208"/>
    <col min="1569" max="1569" width="15.875" style="208" bestFit="1" customWidth="1"/>
    <col min="1570" max="1570" width="11.375" style="208" bestFit="1" customWidth="1"/>
    <col min="1571" max="1795" width="9" style="208"/>
    <col min="1796" max="1796" width="10.5" style="208" bestFit="1" customWidth="1"/>
    <col min="1797" max="1805" width="9" style="208"/>
    <col min="1806" max="1806" width="9.5" style="208" bestFit="1" customWidth="1"/>
    <col min="1807" max="1824" width="9" style="208"/>
    <col min="1825" max="1825" width="15.875" style="208" bestFit="1" customWidth="1"/>
    <col min="1826" max="1826" width="11.375" style="208" bestFit="1" customWidth="1"/>
    <col min="1827" max="2051" width="9" style="208"/>
    <col min="2052" max="2052" width="10.5" style="208" bestFit="1" customWidth="1"/>
    <col min="2053" max="2061" width="9" style="208"/>
    <col min="2062" max="2062" width="9.5" style="208" bestFit="1" customWidth="1"/>
    <col min="2063" max="2080" width="9" style="208"/>
    <col min="2081" max="2081" width="15.875" style="208" bestFit="1" customWidth="1"/>
    <col min="2082" max="2082" width="11.375" style="208" bestFit="1" customWidth="1"/>
    <col min="2083" max="2307" width="9" style="208"/>
    <col min="2308" max="2308" width="10.5" style="208" bestFit="1" customWidth="1"/>
    <col min="2309" max="2317" width="9" style="208"/>
    <col min="2318" max="2318" width="9.5" style="208" bestFit="1" customWidth="1"/>
    <col min="2319" max="2336" width="9" style="208"/>
    <col min="2337" max="2337" width="15.875" style="208" bestFit="1" customWidth="1"/>
    <col min="2338" max="2338" width="11.375" style="208" bestFit="1" customWidth="1"/>
    <col min="2339" max="2563" width="9" style="208"/>
    <col min="2564" max="2564" width="10.5" style="208" bestFit="1" customWidth="1"/>
    <col min="2565" max="2573" width="9" style="208"/>
    <col min="2574" max="2574" width="9.5" style="208" bestFit="1" customWidth="1"/>
    <col min="2575" max="2592" width="9" style="208"/>
    <col min="2593" max="2593" width="15.875" style="208" bestFit="1" customWidth="1"/>
    <col min="2594" max="2594" width="11.375" style="208" bestFit="1" customWidth="1"/>
    <col min="2595" max="2819" width="9" style="208"/>
    <col min="2820" max="2820" width="10.5" style="208" bestFit="1" customWidth="1"/>
    <col min="2821" max="2829" width="9" style="208"/>
    <col min="2830" max="2830" width="9.5" style="208" bestFit="1" customWidth="1"/>
    <col min="2831" max="2848" width="9" style="208"/>
    <col min="2849" max="2849" width="15.875" style="208" bestFit="1" customWidth="1"/>
    <col min="2850" max="2850" width="11.375" style="208" bestFit="1" customWidth="1"/>
    <col min="2851" max="3075" width="9" style="208"/>
    <col min="3076" max="3076" width="10.5" style="208" bestFit="1" customWidth="1"/>
    <col min="3077" max="3085" width="9" style="208"/>
    <col min="3086" max="3086" width="9.5" style="208" bestFit="1" customWidth="1"/>
    <col min="3087" max="3104" width="9" style="208"/>
    <col min="3105" max="3105" width="15.875" style="208" bestFit="1" customWidth="1"/>
    <col min="3106" max="3106" width="11.375" style="208" bestFit="1" customWidth="1"/>
    <col min="3107" max="3331" width="9" style="208"/>
    <col min="3332" max="3332" width="10.5" style="208" bestFit="1" customWidth="1"/>
    <col min="3333" max="3341" width="9" style="208"/>
    <col min="3342" max="3342" width="9.5" style="208" bestFit="1" customWidth="1"/>
    <col min="3343" max="3360" width="9" style="208"/>
    <col min="3361" max="3361" width="15.875" style="208" bestFit="1" customWidth="1"/>
    <col min="3362" max="3362" width="11.375" style="208" bestFit="1" customWidth="1"/>
    <col min="3363" max="3587" width="9" style="208"/>
    <col min="3588" max="3588" width="10.5" style="208" bestFit="1" customWidth="1"/>
    <col min="3589" max="3597" width="9" style="208"/>
    <col min="3598" max="3598" width="9.5" style="208" bestFit="1" customWidth="1"/>
    <col min="3599" max="3616" width="9" style="208"/>
    <col min="3617" max="3617" width="15.875" style="208" bestFit="1" customWidth="1"/>
    <col min="3618" max="3618" width="11.375" style="208" bestFit="1" customWidth="1"/>
    <col min="3619" max="3843" width="9" style="208"/>
    <col min="3844" max="3844" width="10.5" style="208" bestFit="1" customWidth="1"/>
    <col min="3845" max="3853" width="9" style="208"/>
    <col min="3854" max="3854" width="9.5" style="208" bestFit="1" customWidth="1"/>
    <col min="3855" max="3872" width="9" style="208"/>
    <col min="3873" max="3873" width="15.875" style="208" bestFit="1" customWidth="1"/>
    <col min="3874" max="3874" width="11.375" style="208" bestFit="1" customWidth="1"/>
    <col min="3875" max="4099" width="9" style="208"/>
    <col min="4100" max="4100" width="10.5" style="208" bestFit="1" customWidth="1"/>
    <col min="4101" max="4109" width="9" style="208"/>
    <col min="4110" max="4110" width="9.5" style="208" bestFit="1" customWidth="1"/>
    <col min="4111" max="4128" width="9" style="208"/>
    <col min="4129" max="4129" width="15.875" style="208" bestFit="1" customWidth="1"/>
    <col min="4130" max="4130" width="11.375" style="208" bestFit="1" customWidth="1"/>
    <col min="4131" max="4355" width="9" style="208"/>
    <col min="4356" max="4356" width="10.5" style="208" bestFit="1" customWidth="1"/>
    <col min="4357" max="4365" width="9" style="208"/>
    <col min="4366" max="4366" width="9.5" style="208" bestFit="1" customWidth="1"/>
    <col min="4367" max="4384" width="9" style="208"/>
    <col min="4385" max="4385" width="15.875" style="208" bestFit="1" customWidth="1"/>
    <col min="4386" max="4386" width="11.375" style="208" bestFit="1" customWidth="1"/>
    <col min="4387" max="4611" width="9" style="208"/>
    <col min="4612" max="4612" width="10.5" style="208" bestFit="1" customWidth="1"/>
    <col min="4613" max="4621" width="9" style="208"/>
    <col min="4622" max="4622" width="9.5" style="208" bestFit="1" customWidth="1"/>
    <col min="4623" max="4640" width="9" style="208"/>
    <col min="4641" max="4641" width="15.875" style="208" bestFit="1" customWidth="1"/>
    <col min="4642" max="4642" width="11.375" style="208" bestFit="1" customWidth="1"/>
    <col min="4643" max="4867" width="9" style="208"/>
    <col min="4868" max="4868" width="10.5" style="208" bestFit="1" customWidth="1"/>
    <col min="4869" max="4877" width="9" style="208"/>
    <col min="4878" max="4878" width="9.5" style="208" bestFit="1" customWidth="1"/>
    <col min="4879" max="4896" width="9" style="208"/>
    <col min="4897" max="4897" width="15.875" style="208" bestFit="1" customWidth="1"/>
    <col min="4898" max="4898" width="11.375" style="208" bestFit="1" customWidth="1"/>
    <col min="4899" max="5123" width="9" style="208"/>
    <col min="5124" max="5124" width="10.5" style="208" bestFit="1" customWidth="1"/>
    <col min="5125" max="5133" width="9" style="208"/>
    <col min="5134" max="5134" width="9.5" style="208" bestFit="1" customWidth="1"/>
    <col min="5135" max="5152" width="9" style="208"/>
    <col min="5153" max="5153" width="15.875" style="208" bestFit="1" customWidth="1"/>
    <col min="5154" max="5154" width="11.375" style="208" bestFit="1" customWidth="1"/>
    <col min="5155" max="5379" width="9" style="208"/>
    <col min="5380" max="5380" width="10.5" style="208" bestFit="1" customWidth="1"/>
    <col min="5381" max="5389" width="9" style="208"/>
    <col min="5390" max="5390" width="9.5" style="208" bestFit="1" customWidth="1"/>
    <col min="5391" max="5408" width="9" style="208"/>
    <col min="5409" max="5409" width="15.875" style="208" bestFit="1" customWidth="1"/>
    <col min="5410" max="5410" width="11.375" style="208" bestFit="1" customWidth="1"/>
    <col min="5411" max="5635" width="9" style="208"/>
    <col min="5636" max="5636" width="10.5" style="208" bestFit="1" customWidth="1"/>
    <col min="5637" max="5645" width="9" style="208"/>
    <col min="5646" max="5646" width="9.5" style="208" bestFit="1" customWidth="1"/>
    <col min="5647" max="5664" width="9" style="208"/>
    <col min="5665" max="5665" width="15.875" style="208" bestFit="1" customWidth="1"/>
    <col min="5666" max="5666" width="11.375" style="208" bestFit="1" customWidth="1"/>
    <col min="5667" max="5891" width="9" style="208"/>
    <col min="5892" max="5892" width="10.5" style="208" bestFit="1" customWidth="1"/>
    <col min="5893" max="5901" width="9" style="208"/>
    <col min="5902" max="5902" width="9.5" style="208" bestFit="1" customWidth="1"/>
    <col min="5903" max="5920" width="9" style="208"/>
    <col min="5921" max="5921" width="15.875" style="208" bestFit="1" customWidth="1"/>
    <col min="5922" max="5922" width="11.375" style="208" bestFit="1" customWidth="1"/>
    <col min="5923" max="6147" width="9" style="208"/>
    <col min="6148" max="6148" width="10.5" style="208" bestFit="1" customWidth="1"/>
    <col min="6149" max="6157" width="9" style="208"/>
    <col min="6158" max="6158" width="9.5" style="208" bestFit="1" customWidth="1"/>
    <col min="6159" max="6176" width="9" style="208"/>
    <col min="6177" max="6177" width="15.875" style="208" bestFit="1" customWidth="1"/>
    <col min="6178" max="6178" width="11.375" style="208" bestFit="1" customWidth="1"/>
    <col min="6179" max="6403" width="9" style="208"/>
    <col min="6404" max="6404" width="10.5" style="208" bestFit="1" customWidth="1"/>
    <col min="6405" max="6413" width="9" style="208"/>
    <col min="6414" max="6414" width="9.5" style="208" bestFit="1" customWidth="1"/>
    <col min="6415" max="6432" width="9" style="208"/>
    <col min="6433" max="6433" width="15.875" style="208" bestFit="1" customWidth="1"/>
    <col min="6434" max="6434" width="11.375" style="208" bestFit="1" customWidth="1"/>
    <col min="6435" max="6659" width="9" style="208"/>
    <col min="6660" max="6660" width="10.5" style="208" bestFit="1" customWidth="1"/>
    <col min="6661" max="6669" width="9" style="208"/>
    <col min="6670" max="6670" width="9.5" style="208" bestFit="1" customWidth="1"/>
    <col min="6671" max="6688" width="9" style="208"/>
    <col min="6689" max="6689" width="15.875" style="208" bestFit="1" customWidth="1"/>
    <col min="6690" max="6690" width="11.375" style="208" bestFit="1" customWidth="1"/>
    <col min="6691" max="6915" width="9" style="208"/>
    <col min="6916" max="6916" width="10.5" style="208" bestFit="1" customWidth="1"/>
    <col min="6917" max="6925" width="9" style="208"/>
    <col min="6926" max="6926" width="9.5" style="208" bestFit="1" customWidth="1"/>
    <col min="6927" max="6944" width="9" style="208"/>
    <col min="6945" max="6945" width="15.875" style="208" bestFit="1" customWidth="1"/>
    <col min="6946" max="6946" width="11.375" style="208" bestFit="1" customWidth="1"/>
    <col min="6947" max="7171" width="9" style="208"/>
    <col min="7172" max="7172" width="10.5" style="208" bestFit="1" customWidth="1"/>
    <col min="7173" max="7181" width="9" style="208"/>
    <col min="7182" max="7182" width="9.5" style="208" bestFit="1" customWidth="1"/>
    <col min="7183" max="7200" width="9" style="208"/>
    <col min="7201" max="7201" width="15.875" style="208" bestFit="1" customWidth="1"/>
    <col min="7202" max="7202" width="11.375" style="208" bestFit="1" customWidth="1"/>
    <col min="7203" max="7427" width="9" style="208"/>
    <col min="7428" max="7428" width="10.5" style="208" bestFit="1" customWidth="1"/>
    <col min="7429" max="7437" width="9" style="208"/>
    <col min="7438" max="7438" width="9.5" style="208" bestFit="1" customWidth="1"/>
    <col min="7439" max="7456" width="9" style="208"/>
    <col min="7457" max="7457" width="15.875" style="208" bestFit="1" customWidth="1"/>
    <col min="7458" max="7458" width="11.375" style="208" bestFit="1" customWidth="1"/>
    <col min="7459" max="7683" width="9" style="208"/>
    <col min="7684" max="7684" width="10.5" style="208" bestFit="1" customWidth="1"/>
    <col min="7685" max="7693" width="9" style="208"/>
    <col min="7694" max="7694" width="9.5" style="208" bestFit="1" customWidth="1"/>
    <col min="7695" max="7712" width="9" style="208"/>
    <col min="7713" max="7713" width="15.875" style="208" bestFit="1" customWidth="1"/>
    <col min="7714" max="7714" width="11.375" style="208" bestFit="1" customWidth="1"/>
    <col min="7715" max="7939" width="9" style="208"/>
    <col min="7940" max="7940" width="10.5" style="208" bestFit="1" customWidth="1"/>
    <col min="7941" max="7949" width="9" style="208"/>
    <col min="7950" max="7950" width="9.5" style="208" bestFit="1" customWidth="1"/>
    <col min="7951" max="7968" width="9" style="208"/>
    <col min="7969" max="7969" width="15.875" style="208" bestFit="1" customWidth="1"/>
    <col min="7970" max="7970" width="11.375" style="208" bestFit="1" customWidth="1"/>
    <col min="7971" max="8195" width="9" style="208"/>
    <col min="8196" max="8196" width="10.5" style="208" bestFit="1" customWidth="1"/>
    <col min="8197" max="8205" width="9" style="208"/>
    <col min="8206" max="8206" width="9.5" style="208" bestFit="1" customWidth="1"/>
    <col min="8207" max="8224" width="9" style="208"/>
    <col min="8225" max="8225" width="15.875" style="208" bestFit="1" customWidth="1"/>
    <col min="8226" max="8226" width="11.375" style="208" bestFit="1" customWidth="1"/>
    <col min="8227" max="8451" width="9" style="208"/>
    <col min="8452" max="8452" width="10.5" style="208" bestFit="1" customWidth="1"/>
    <col min="8453" max="8461" width="9" style="208"/>
    <col min="8462" max="8462" width="9.5" style="208" bestFit="1" customWidth="1"/>
    <col min="8463" max="8480" width="9" style="208"/>
    <col min="8481" max="8481" width="15.875" style="208" bestFit="1" customWidth="1"/>
    <col min="8482" max="8482" width="11.375" style="208" bestFit="1" customWidth="1"/>
    <col min="8483" max="8707" width="9" style="208"/>
    <col min="8708" max="8708" width="10.5" style="208" bestFit="1" customWidth="1"/>
    <col min="8709" max="8717" width="9" style="208"/>
    <col min="8718" max="8718" width="9.5" style="208" bestFit="1" customWidth="1"/>
    <col min="8719" max="8736" width="9" style="208"/>
    <col min="8737" max="8737" width="15.875" style="208" bestFit="1" customWidth="1"/>
    <col min="8738" max="8738" width="11.375" style="208" bestFit="1" customWidth="1"/>
    <col min="8739" max="8963" width="9" style="208"/>
    <col min="8964" max="8964" width="10.5" style="208" bestFit="1" customWidth="1"/>
    <col min="8965" max="8973" width="9" style="208"/>
    <col min="8974" max="8974" width="9.5" style="208" bestFit="1" customWidth="1"/>
    <col min="8975" max="8992" width="9" style="208"/>
    <col min="8993" max="8993" width="15.875" style="208" bestFit="1" customWidth="1"/>
    <col min="8994" max="8994" width="11.375" style="208" bestFit="1" customWidth="1"/>
    <col min="8995" max="9219" width="9" style="208"/>
    <col min="9220" max="9220" width="10.5" style="208" bestFit="1" customWidth="1"/>
    <col min="9221" max="9229" width="9" style="208"/>
    <col min="9230" max="9230" width="9.5" style="208" bestFit="1" customWidth="1"/>
    <col min="9231" max="9248" width="9" style="208"/>
    <col min="9249" max="9249" width="15.875" style="208" bestFit="1" customWidth="1"/>
    <col min="9250" max="9250" width="11.375" style="208" bestFit="1" customWidth="1"/>
    <col min="9251" max="9475" width="9" style="208"/>
    <col min="9476" max="9476" width="10.5" style="208" bestFit="1" customWidth="1"/>
    <col min="9477" max="9485" width="9" style="208"/>
    <col min="9486" max="9486" width="9.5" style="208" bestFit="1" customWidth="1"/>
    <col min="9487" max="9504" width="9" style="208"/>
    <col min="9505" max="9505" width="15.875" style="208" bestFit="1" customWidth="1"/>
    <col min="9506" max="9506" width="11.375" style="208" bestFit="1" customWidth="1"/>
    <col min="9507" max="9731" width="9" style="208"/>
    <col min="9732" max="9732" width="10.5" style="208" bestFit="1" customWidth="1"/>
    <col min="9733" max="9741" width="9" style="208"/>
    <col min="9742" max="9742" width="9.5" style="208" bestFit="1" customWidth="1"/>
    <col min="9743" max="9760" width="9" style="208"/>
    <col min="9761" max="9761" width="15.875" style="208" bestFit="1" customWidth="1"/>
    <col min="9762" max="9762" width="11.375" style="208" bestFit="1" customWidth="1"/>
    <col min="9763" max="9987" width="9" style="208"/>
    <col min="9988" max="9988" width="10.5" style="208" bestFit="1" customWidth="1"/>
    <col min="9989" max="9997" width="9" style="208"/>
    <col min="9998" max="9998" width="9.5" style="208" bestFit="1" customWidth="1"/>
    <col min="9999" max="10016" width="9" style="208"/>
    <col min="10017" max="10017" width="15.875" style="208" bestFit="1" customWidth="1"/>
    <col min="10018" max="10018" width="11.375" style="208" bestFit="1" customWidth="1"/>
    <col min="10019" max="10243" width="9" style="208"/>
    <col min="10244" max="10244" width="10.5" style="208" bestFit="1" customWidth="1"/>
    <col min="10245" max="10253" width="9" style="208"/>
    <col min="10254" max="10254" width="9.5" style="208" bestFit="1" customWidth="1"/>
    <col min="10255" max="10272" width="9" style="208"/>
    <col min="10273" max="10273" width="15.875" style="208" bestFit="1" customWidth="1"/>
    <col min="10274" max="10274" width="11.375" style="208" bestFit="1" customWidth="1"/>
    <col min="10275" max="10499" width="9" style="208"/>
    <col min="10500" max="10500" width="10.5" style="208" bestFit="1" customWidth="1"/>
    <col min="10501" max="10509" width="9" style="208"/>
    <col min="10510" max="10510" width="9.5" style="208" bestFit="1" customWidth="1"/>
    <col min="10511" max="10528" width="9" style="208"/>
    <col min="10529" max="10529" width="15.875" style="208" bestFit="1" customWidth="1"/>
    <col min="10530" max="10530" width="11.375" style="208" bestFit="1" customWidth="1"/>
    <col min="10531" max="10755" width="9" style="208"/>
    <col min="10756" max="10756" width="10.5" style="208" bestFit="1" customWidth="1"/>
    <col min="10757" max="10765" width="9" style="208"/>
    <col min="10766" max="10766" width="9.5" style="208" bestFit="1" customWidth="1"/>
    <col min="10767" max="10784" width="9" style="208"/>
    <col min="10785" max="10785" width="15.875" style="208" bestFit="1" customWidth="1"/>
    <col min="10786" max="10786" width="11.375" style="208" bestFit="1" customWidth="1"/>
    <col min="10787" max="11011" width="9" style="208"/>
    <col min="11012" max="11012" width="10.5" style="208" bestFit="1" customWidth="1"/>
    <col min="11013" max="11021" width="9" style="208"/>
    <col min="11022" max="11022" width="9.5" style="208" bestFit="1" customWidth="1"/>
    <col min="11023" max="11040" width="9" style="208"/>
    <col min="11041" max="11041" width="15.875" style="208" bestFit="1" customWidth="1"/>
    <col min="11042" max="11042" width="11.375" style="208" bestFit="1" customWidth="1"/>
    <col min="11043" max="11267" width="9" style="208"/>
    <col min="11268" max="11268" width="10.5" style="208" bestFit="1" customWidth="1"/>
    <col min="11269" max="11277" width="9" style="208"/>
    <col min="11278" max="11278" width="9.5" style="208" bestFit="1" customWidth="1"/>
    <col min="11279" max="11296" width="9" style="208"/>
    <col min="11297" max="11297" width="15.875" style="208" bestFit="1" customWidth="1"/>
    <col min="11298" max="11298" width="11.375" style="208" bestFit="1" customWidth="1"/>
    <col min="11299" max="11523" width="9" style="208"/>
    <col min="11524" max="11524" width="10.5" style="208" bestFit="1" customWidth="1"/>
    <col min="11525" max="11533" width="9" style="208"/>
    <col min="11534" max="11534" width="9.5" style="208" bestFit="1" customWidth="1"/>
    <col min="11535" max="11552" width="9" style="208"/>
    <col min="11553" max="11553" width="15.875" style="208" bestFit="1" customWidth="1"/>
    <col min="11554" max="11554" width="11.375" style="208" bestFit="1" customWidth="1"/>
    <col min="11555" max="11779" width="9" style="208"/>
    <col min="11780" max="11780" width="10.5" style="208" bestFit="1" customWidth="1"/>
    <col min="11781" max="11789" width="9" style="208"/>
    <col min="11790" max="11790" width="9.5" style="208" bestFit="1" customWidth="1"/>
    <col min="11791" max="11808" width="9" style="208"/>
    <col min="11809" max="11809" width="15.875" style="208" bestFit="1" customWidth="1"/>
    <col min="11810" max="11810" width="11.375" style="208" bestFit="1" customWidth="1"/>
    <col min="11811" max="12035" width="9" style="208"/>
    <col min="12036" max="12036" width="10.5" style="208" bestFit="1" customWidth="1"/>
    <col min="12037" max="12045" width="9" style="208"/>
    <col min="12046" max="12046" width="9.5" style="208" bestFit="1" customWidth="1"/>
    <col min="12047" max="12064" width="9" style="208"/>
    <col min="12065" max="12065" width="15.875" style="208" bestFit="1" customWidth="1"/>
    <col min="12066" max="12066" width="11.375" style="208" bestFit="1" customWidth="1"/>
    <col min="12067" max="12291" width="9" style="208"/>
    <col min="12292" max="12292" width="10.5" style="208" bestFit="1" customWidth="1"/>
    <col min="12293" max="12301" width="9" style="208"/>
    <col min="12302" max="12302" width="9.5" style="208" bestFit="1" customWidth="1"/>
    <col min="12303" max="12320" width="9" style="208"/>
    <col min="12321" max="12321" width="15.875" style="208" bestFit="1" customWidth="1"/>
    <col min="12322" max="12322" width="11.375" style="208" bestFit="1" customWidth="1"/>
    <col min="12323" max="12547" width="9" style="208"/>
    <col min="12548" max="12548" width="10.5" style="208" bestFit="1" customWidth="1"/>
    <col min="12549" max="12557" width="9" style="208"/>
    <col min="12558" max="12558" width="9.5" style="208" bestFit="1" customWidth="1"/>
    <col min="12559" max="12576" width="9" style="208"/>
    <col min="12577" max="12577" width="15.875" style="208" bestFit="1" customWidth="1"/>
    <col min="12578" max="12578" width="11.375" style="208" bestFit="1" customWidth="1"/>
    <col min="12579" max="12803" width="9" style="208"/>
    <col min="12804" max="12804" width="10.5" style="208" bestFit="1" customWidth="1"/>
    <col min="12805" max="12813" width="9" style="208"/>
    <col min="12814" max="12814" width="9.5" style="208" bestFit="1" customWidth="1"/>
    <col min="12815" max="12832" width="9" style="208"/>
    <col min="12833" max="12833" width="15.875" style="208" bestFit="1" customWidth="1"/>
    <col min="12834" max="12834" width="11.375" style="208" bestFit="1" customWidth="1"/>
    <col min="12835" max="13059" width="9" style="208"/>
    <col min="13060" max="13060" width="10.5" style="208" bestFit="1" customWidth="1"/>
    <col min="13061" max="13069" width="9" style="208"/>
    <col min="13070" max="13070" width="9.5" style="208" bestFit="1" customWidth="1"/>
    <col min="13071" max="13088" width="9" style="208"/>
    <col min="13089" max="13089" width="15.875" style="208" bestFit="1" customWidth="1"/>
    <col min="13090" max="13090" width="11.375" style="208" bestFit="1" customWidth="1"/>
    <col min="13091" max="13315" width="9" style="208"/>
    <col min="13316" max="13316" width="10.5" style="208" bestFit="1" customWidth="1"/>
    <col min="13317" max="13325" width="9" style="208"/>
    <col min="13326" max="13326" width="9.5" style="208" bestFit="1" customWidth="1"/>
    <col min="13327" max="13344" width="9" style="208"/>
    <col min="13345" max="13345" width="15.875" style="208" bestFit="1" customWidth="1"/>
    <col min="13346" max="13346" width="11.375" style="208" bestFit="1" customWidth="1"/>
    <col min="13347" max="13571" width="9" style="208"/>
    <col min="13572" max="13572" width="10.5" style="208" bestFit="1" customWidth="1"/>
    <col min="13573" max="13581" width="9" style="208"/>
    <col min="13582" max="13582" width="9.5" style="208" bestFit="1" customWidth="1"/>
    <col min="13583" max="13600" width="9" style="208"/>
    <col min="13601" max="13601" width="15.875" style="208" bestFit="1" customWidth="1"/>
    <col min="13602" max="13602" width="11.375" style="208" bestFit="1" customWidth="1"/>
    <col min="13603" max="13827" width="9" style="208"/>
    <col min="13828" max="13828" width="10.5" style="208" bestFit="1" customWidth="1"/>
    <col min="13829" max="13837" width="9" style="208"/>
    <col min="13838" max="13838" width="9.5" style="208" bestFit="1" customWidth="1"/>
    <col min="13839" max="13856" width="9" style="208"/>
    <col min="13857" max="13857" width="15.875" style="208" bestFit="1" customWidth="1"/>
    <col min="13858" max="13858" width="11.375" style="208" bestFit="1" customWidth="1"/>
    <col min="13859" max="14083" width="9" style="208"/>
    <col min="14084" max="14084" width="10.5" style="208" bestFit="1" customWidth="1"/>
    <col min="14085" max="14093" width="9" style="208"/>
    <col min="14094" max="14094" width="9.5" style="208" bestFit="1" customWidth="1"/>
    <col min="14095" max="14112" width="9" style="208"/>
    <col min="14113" max="14113" width="15.875" style="208" bestFit="1" customWidth="1"/>
    <col min="14114" max="14114" width="11.375" style="208" bestFit="1" customWidth="1"/>
    <col min="14115" max="14339" width="9" style="208"/>
    <col min="14340" max="14340" width="10.5" style="208" bestFit="1" customWidth="1"/>
    <col min="14341" max="14349" width="9" style="208"/>
    <col min="14350" max="14350" width="9.5" style="208" bestFit="1" customWidth="1"/>
    <col min="14351" max="14368" width="9" style="208"/>
    <col min="14369" max="14369" width="15.875" style="208" bestFit="1" customWidth="1"/>
    <col min="14370" max="14370" width="11.375" style="208" bestFit="1" customWidth="1"/>
    <col min="14371" max="14595" width="9" style="208"/>
    <col min="14596" max="14596" width="10.5" style="208" bestFit="1" customWidth="1"/>
    <col min="14597" max="14605" width="9" style="208"/>
    <col min="14606" max="14606" width="9.5" style="208" bestFit="1" customWidth="1"/>
    <col min="14607" max="14624" width="9" style="208"/>
    <col min="14625" max="14625" width="15.875" style="208" bestFit="1" customWidth="1"/>
    <col min="14626" max="14626" width="11.375" style="208" bestFit="1" customWidth="1"/>
    <col min="14627" max="14851" width="9" style="208"/>
    <col min="14852" max="14852" width="10.5" style="208" bestFit="1" customWidth="1"/>
    <col min="14853" max="14861" width="9" style="208"/>
    <col min="14862" max="14862" width="9.5" style="208" bestFit="1" customWidth="1"/>
    <col min="14863" max="14880" width="9" style="208"/>
    <col min="14881" max="14881" width="15.875" style="208" bestFit="1" customWidth="1"/>
    <col min="14882" max="14882" width="11.375" style="208" bestFit="1" customWidth="1"/>
    <col min="14883" max="15107" width="9" style="208"/>
    <col min="15108" max="15108" width="10.5" style="208" bestFit="1" customWidth="1"/>
    <col min="15109" max="15117" width="9" style="208"/>
    <col min="15118" max="15118" width="9.5" style="208" bestFit="1" customWidth="1"/>
    <col min="15119" max="15136" width="9" style="208"/>
    <col min="15137" max="15137" width="15.875" style="208" bestFit="1" customWidth="1"/>
    <col min="15138" max="15138" width="11.375" style="208" bestFit="1" customWidth="1"/>
    <col min="15139" max="15363" width="9" style="208"/>
    <col min="15364" max="15364" width="10.5" style="208" bestFit="1" customWidth="1"/>
    <col min="15365" max="15373" width="9" style="208"/>
    <col min="15374" max="15374" width="9.5" style="208" bestFit="1" customWidth="1"/>
    <col min="15375" max="15392" width="9" style="208"/>
    <col min="15393" max="15393" width="15.875" style="208" bestFit="1" customWidth="1"/>
    <col min="15394" max="15394" width="11.375" style="208" bestFit="1" customWidth="1"/>
    <col min="15395" max="15619" width="9" style="208"/>
    <col min="15620" max="15620" width="10.5" style="208" bestFit="1" customWidth="1"/>
    <col min="15621" max="15629" width="9" style="208"/>
    <col min="15630" max="15630" width="9.5" style="208" bestFit="1" customWidth="1"/>
    <col min="15631" max="15648" width="9" style="208"/>
    <col min="15649" max="15649" width="15.875" style="208" bestFit="1" customWidth="1"/>
    <col min="15650" max="15650" width="11.375" style="208" bestFit="1" customWidth="1"/>
    <col min="15651" max="15875" width="9" style="208"/>
    <col min="15876" max="15876" width="10.5" style="208" bestFit="1" customWidth="1"/>
    <col min="15877" max="15885" width="9" style="208"/>
    <col min="15886" max="15886" width="9.5" style="208" bestFit="1" customWidth="1"/>
    <col min="15887" max="15904" width="9" style="208"/>
    <col min="15905" max="15905" width="15.875" style="208" bestFit="1" customWidth="1"/>
    <col min="15906" max="15906" width="11.375" style="208" bestFit="1" customWidth="1"/>
    <col min="15907" max="16131" width="9" style="208"/>
    <col min="16132" max="16132" width="10.5" style="208" bestFit="1" customWidth="1"/>
    <col min="16133" max="16141" width="9" style="208"/>
    <col min="16142" max="16142" width="9.5" style="208" bestFit="1" customWidth="1"/>
    <col min="16143" max="16160" width="9" style="208"/>
    <col min="16161" max="16161" width="15.875" style="208" bestFit="1" customWidth="1"/>
    <col min="16162" max="16162" width="11.375" style="208" bestFit="1" customWidth="1"/>
    <col min="16163" max="16384" width="9" style="208"/>
  </cols>
  <sheetData>
    <row r="1" spans="1:53" ht="45" x14ac:dyDescent="0.15">
      <c r="A1" s="83" t="s">
        <v>0</v>
      </c>
      <c r="B1" s="202" t="s">
        <v>1</v>
      </c>
      <c r="C1" s="202" t="s">
        <v>375</v>
      </c>
      <c r="D1" s="203" t="s">
        <v>3</v>
      </c>
      <c r="E1" s="84" t="s">
        <v>4</v>
      </c>
      <c r="F1" s="84" t="s">
        <v>5</v>
      </c>
      <c r="G1" s="84" t="s">
        <v>6</v>
      </c>
      <c r="H1" s="84" t="s">
        <v>7</v>
      </c>
      <c r="I1" s="84" t="s">
        <v>8</v>
      </c>
      <c r="J1" s="84" t="s">
        <v>9</v>
      </c>
      <c r="K1" s="84" t="s">
        <v>10</v>
      </c>
      <c r="L1" s="203" t="s">
        <v>159</v>
      </c>
      <c r="M1" s="203" t="s">
        <v>12</v>
      </c>
      <c r="N1" s="203" t="s">
        <v>13</v>
      </c>
      <c r="O1" s="203" t="s">
        <v>350</v>
      </c>
      <c r="P1" s="203" t="s">
        <v>15</v>
      </c>
      <c r="Q1" s="204" t="s">
        <v>16</v>
      </c>
      <c r="R1" s="203" t="s">
        <v>376</v>
      </c>
      <c r="S1" s="203" t="s">
        <v>377</v>
      </c>
      <c r="T1" s="204" t="s">
        <v>19</v>
      </c>
      <c r="U1" s="205" t="s">
        <v>108</v>
      </c>
      <c r="V1" s="206" t="s">
        <v>20</v>
      </c>
      <c r="W1" s="203" t="s">
        <v>21</v>
      </c>
      <c r="X1" s="84" t="s">
        <v>22</v>
      </c>
      <c r="Y1" s="84" t="s">
        <v>23</v>
      </c>
      <c r="Z1" s="84" t="s">
        <v>24</v>
      </c>
      <c r="AA1" s="85" t="s">
        <v>25</v>
      </c>
      <c r="AB1" s="207" t="s">
        <v>378</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276</v>
      </c>
      <c r="AY1" s="214" t="s">
        <v>277</v>
      </c>
      <c r="AZ1" s="214" t="s">
        <v>278</v>
      </c>
      <c r="BA1" s="215" t="s">
        <v>279</v>
      </c>
    </row>
    <row r="2" spans="1:53" s="216" customFormat="1" x14ac:dyDescent="0.15">
      <c r="A2" s="55" t="s">
        <v>56</v>
      </c>
      <c r="B2" s="55" t="s">
        <v>379</v>
      </c>
      <c r="C2" s="216">
        <v>2018</v>
      </c>
      <c r="D2" s="86" t="s">
        <v>380</v>
      </c>
      <c r="E2" s="216" t="s">
        <v>381</v>
      </c>
      <c r="F2" s="216" t="s">
        <v>165</v>
      </c>
      <c r="G2" s="55" t="s">
        <v>42</v>
      </c>
      <c r="H2" s="216" t="s">
        <v>157</v>
      </c>
      <c r="I2" s="55" t="s">
        <v>155</v>
      </c>
      <c r="J2" s="216" t="s">
        <v>38</v>
      </c>
      <c r="K2" s="216" t="s">
        <v>156</v>
      </c>
      <c r="L2" s="216">
        <v>1</v>
      </c>
      <c r="N2" s="208">
        <v>8</v>
      </c>
      <c r="O2" s="216">
        <v>0.9</v>
      </c>
      <c r="P2" s="208">
        <v>0.75</v>
      </c>
      <c r="Q2" s="245">
        <f>IF(OR(O2="",P2=""),"",AVERAGE(O2,P2))</f>
        <v>0.82499999999999996</v>
      </c>
      <c r="R2" s="216">
        <v>14.3</v>
      </c>
      <c r="S2" s="216">
        <v>94</v>
      </c>
      <c r="T2" s="217">
        <f>IF(H2="","",IF(OR(H2="GREEN",H2="GK"),IF(S2&gt;=$AX$2,VLOOKUP(S2,$AX$2:$AY$10,2,1),""),IF(S2&gt;=$AZ$2,VLOOKUP(S2,$AZ$2:$BA$10,2,1),"")))</f>
        <v>36</v>
      </c>
      <c r="U2" s="216">
        <v>538</v>
      </c>
      <c r="V2" s="217">
        <f>IF(OR(N2="",U2="",T2=""),"",U2/N2*T2)</f>
        <v>2421</v>
      </c>
      <c r="W2" s="216">
        <v>2</v>
      </c>
      <c r="X2" s="55" t="s">
        <v>46</v>
      </c>
      <c r="Y2" s="55" t="s">
        <v>88</v>
      </c>
      <c r="Z2" s="216" t="s">
        <v>55</v>
      </c>
      <c r="AA2" s="55" t="s">
        <v>78</v>
      </c>
      <c r="AB2" s="216" t="s">
        <v>344</v>
      </c>
      <c r="AE2" s="218" t="s">
        <v>35</v>
      </c>
      <c r="AG2" s="231" t="s">
        <v>382</v>
      </c>
      <c r="AH2" s="87" t="s">
        <v>165</v>
      </c>
      <c r="AJ2" s="219" t="s">
        <v>36</v>
      </c>
      <c r="AL2" s="219" t="s">
        <v>127</v>
      </c>
      <c r="AN2" s="219" t="s">
        <v>37</v>
      </c>
      <c r="AP2" s="219" t="s">
        <v>38</v>
      </c>
      <c r="AR2" s="219" t="s">
        <v>120</v>
      </c>
      <c r="AT2" s="219" t="s">
        <v>39</v>
      </c>
      <c r="AV2" s="219" t="s">
        <v>40</v>
      </c>
      <c r="AX2" s="220">
        <v>1</v>
      </c>
      <c r="AY2" s="221">
        <v>50</v>
      </c>
      <c r="AZ2" s="221">
        <v>1</v>
      </c>
      <c r="BA2" s="222">
        <v>50</v>
      </c>
    </row>
    <row r="3" spans="1:53" x14ac:dyDescent="0.15">
      <c r="A3" s="55" t="s">
        <v>56</v>
      </c>
      <c r="B3" s="55" t="s">
        <v>379</v>
      </c>
      <c r="C3" s="216">
        <v>2018</v>
      </c>
      <c r="D3" s="86" t="s">
        <v>380</v>
      </c>
      <c r="E3" s="216" t="s">
        <v>381</v>
      </c>
      <c r="F3" s="216" t="s">
        <v>165</v>
      </c>
      <c r="G3" s="55" t="s">
        <v>42</v>
      </c>
      <c r="H3" s="216" t="s">
        <v>157</v>
      </c>
      <c r="I3" s="55" t="s">
        <v>155</v>
      </c>
      <c r="J3" s="216" t="s">
        <v>38</v>
      </c>
      <c r="K3" s="216" t="s">
        <v>156</v>
      </c>
      <c r="L3" s="208">
        <v>2</v>
      </c>
      <c r="N3" s="208">
        <v>8</v>
      </c>
      <c r="O3" s="208">
        <v>0.6</v>
      </c>
      <c r="P3" s="208">
        <v>0.6</v>
      </c>
      <c r="Q3" s="245">
        <f>IF(OR(O3="",P3=""),"",AVERAGE(O3,P3))</f>
        <v>0.6</v>
      </c>
      <c r="R3" s="208">
        <v>11.5</v>
      </c>
      <c r="S3" s="208">
        <v>101</v>
      </c>
      <c r="T3" s="217">
        <f>IF(H3="","",IF(OR(H3="GREEN",H3="GK"),IF(S3&gt;=$AX$2,VLOOKUP(S3,$AX$2:$AY$10,2,1),""),IF(S3&gt;=$AZ$2,VLOOKUP(S3,$AZ$2:$BA$10,2,1),"")))</f>
        <v>33</v>
      </c>
      <c r="U3" s="208">
        <v>538</v>
      </c>
      <c r="V3" s="217">
        <f>IF(OR(N3="",U3="",T3=""),"",U3/N3*T3)</f>
        <v>2219.25</v>
      </c>
      <c r="W3" s="208">
        <v>2</v>
      </c>
      <c r="X3" s="55" t="s">
        <v>46</v>
      </c>
      <c r="Y3" s="55" t="s">
        <v>88</v>
      </c>
      <c r="Z3" s="216" t="s">
        <v>55</v>
      </c>
      <c r="AA3" s="55" t="s">
        <v>78</v>
      </c>
      <c r="AB3" s="216" t="s">
        <v>344</v>
      </c>
      <c r="AE3" s="223" t="s">
        <v>41</v>
      </c>
      <c r="AG3" s="231" t="s">
        <v>382</v>
      </c>
      <c r="AH3" s="87" t="s">
        <v>166</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55" t="s">
        <v>56</v>
      </c>
      <c r="B4" s="55" t="s">
        <v>379</v>
      </c>
      <c r="C4" s="216">
        <v>2018</v>
      </c>
      <c r="D4" s="86" t="s">
        <v>380</v>
      </c>
      <c r="E4" s="216" t="s">
        <v>381</v>
      </c>
      <c r="F4" s="216" t="s">
        <v>165</v>
      </c>
      <c r="G4" s="55" t="s">
        <v>42</v>
      </c>
      <c r="H4" s="216" t="s">
        <v>157</v>
      </c>
      <c r="I4" s="55" t="s">
        <v>155</v>
      </c>
      <c r="J4" s="216" t="s">
        <v>38</v>
      </c>
      <c r="K4" s="216" t="s">
        <v>156</v>
      </c>
      <c r="L4" s="208">
        <v>3</v>
      </c>
      <c r="N4" s="208">
        <v>8</v>
      </c>
      <c r="O4" s="208">
        <v>0.65</v>
      </c>
      <c r="P4" s="208">
        <v>0.65</v>
      </c>
      <c r="Q4" s="245">
        <f>IF(OR(O4="",P4=""),"",AVERAGE(O4,P4))</f>
        <v>0.65</v>
      </c>
      <c r="R4" s="208">
        <v>12.7</v>
      </c>
      <c r="S4" s="208">
        <v>100</v>
      </c>
      <c r="T4" s="217">
        <f>IF(H4="","",IF(OR(H4="GREEN",H4="GK"),IF(S4&gt;=$AX$2,VLOOKUP(S4,$AX$2:$AY$10,2,1),""),IF(S4&gt;=$AZ$2,VLOOKUP(S4,$AZ$2:$BA$10,2,1),"")))</f>
        <v>33</v>
      </c>
      <c r="U4" s="208">
        <v>538</v>
      </c>
      <c r="V4" s="217">
        <f>IF(OR(N4="",U4="",T4=""),"",U4/N4*T4)</f>
        <v>2219.25</v>
      </c>
      <c r="W4" s="208">
        <v>2</v>
      </c>
      <c r="X4" s="55" t="s">
        <v>46</v>
      </c>
      <c r="Y4" s="55" t="s">
        <v>88</v>
      </c>
      <c r="Z4" s="216" t="s">
        <v>55</v>
      </c>
      <c r="AA4" s="55" t="s">
        <v>78</v>
      </c>
      <c r="AB4" s="216" t="s">
        <v>344</v>
      </c>
      <c r="AE4" s="223" t="s">
        <v>34</v>
      </c>
      <c r="AG4" s="231" t="s">
        <v>383</v>
      </c>
      <c r="AH4" s="87" t="s">
        <v>384</v>
      </c>
      <c r="AJ4" s="228" t="s">
        <v>48</v>
      </c>
      <c r="AL4" s="228" t="s">
        <v>167</v>
      </c>
      <c r="AN4" s="229" t="s">
        <v>49</v>
      </c>
      <c r="AP4" s="224" t="s">
        <v>242</v>
      </c>
      <c r="AR4" s="238" t="s">
        <v>243</v>
      </c>
      <c r="AT4" s="229"/>
      <c r="AV4" s="224" t="s">
        <v>50</v>
      </c>
      <c r="AX4" s="225">
        <v>75</v>
      </c>
      <c r="AY4" s="226">
        <v>42</v>
      </c>
      <c r="AZ4" s="226">
        <v>76</v>
      </c>
      <c r="BA4" s="227">
        <v>39</v>
      </c>
    </row>
    <row r="5" spans="1:53" x14ac:dyDescent="0.15">
      <c r="A5" s="55" t="s">
        <v>56</v>
      </c>
      <c r="B5" s="55" t="s">
        <v>379</v>
      </c>
      <c r="C5" s="216">
        <v>2018</v>
      </c>
      <c r="D5" s="86" t="s">
        <v>380</v>
      </c>
      <c r="E5" s="216" t="s">
        <v>381</v>
      </c>
      <c r="F5" s="216" t="s">
        <v>165</v>
      </c>
      <c r="G5" s="55" t="s">
        <v>42</v>
      </c>
      <c r="H5" s="216" t="s">
        <v>160</v>
      </c>
      <c r="I5" s="55" t="s">
        <v>155</v>
      </c>
      <c r="J5" s="216" t="s">
        <v>38</v>
      </c>
      <c r="K5" s="216" t="s">
        <v>156</v>
      </c>
      <c r="L5" s="208">
        <v>1</v>
      </c>
      <c r="N5" s="208">
        <v>5</v>
      </c>
      <c r="O5" s="208">
        <v>0.7</v>
      </c>
      <c r="P5" s="208">
        <v>0.7</v>
      </c>
      <c r="Q5" s="245">
        <f t="shared" ref="Q5:Q67" si="0">IF(OR(O5="",P5=""),"",AVERAGE(O5,P5))</f>
        <v>0.7</v>
      </c>
      <c r="R5" s="208">
        <v>16.7</v>
      </c>
      <c r="S5" s="208">
        <v>97</v>
      </c>
      <c r="T5" s="217">
        <f t="shared" ref="T5:T67" si="1">IF(H5="","",IF(OR(H5="GREEN",H5="GK"),IF(S5&gt;=$AX$2,VLOOKUP(S5,$AX$2:$AY$10,2,1),""),IF(S5&gt;=$AZ$2,VLOOKUP(S5,$AZ$2:$BA$10,2,1),"")))</f>
        <v>36</v>
      </c>
      <c r="U5" s="208">
        <v>430</v>
      </c>
      <c r="V5" s="217">
        <f t="shared" ref="V5:V67" si="2">IF(OR(N5="",U5="",T5=""),"",U5/N5*T5)</f>
        <v>3096</v>
      </c>
      <c r="W5" s="208">
        <v>2</v>
      </c>
      <c r="X5" s="55" t="s">
        <v>46</v>
      </c>
      <c r="Y5" s="55" t="s">
        <v>88</v>
      </c>
      <c r="Z5" s="216" t="s">
        <v>55</v>
      </c>
      <c r="AA5" s="55" t="s">
        <v>78</v>
      </c>
      <c r="AB5" s="216" t="s">
        <v>344</v>
      </c>
      <c r="AE5" s="223" t="s">
        <v>51</v>
      </c>
      <c r="AG5" s="231" t="s">
        <v>385</v>
      </c>
      <c r="AH5" s="87" t="s">
        <v>386</v>
      </c>
      <c r="AJ5" s="229"/>
      <c r="AL5" s="230" t="s">
        <v>387</v>
      </c>
      <c r="AN5" s="230" t="s">
        <v>161</v>
      </c>
      <c r="AP5" s="224" t="s">
        <v>388</v>
      </c>
      <c r="AR5" s="238" t="s">
        <v>54</v>
      </c>
      <c r="AV5" s="224" t="s">
        <v>55</v>
      </c>
      <c r="AX5" s="225">
        <v>84</v>
      </c>
      <c r="AY5" s="226">
        <v>39</v>
      </c>
      <c r="AZ5" s="226">
        <v>84</v>
      </c>
      <c r="BA5" s="227">
        <v>36</v>
      </c>
    </row>
    <row r="6" spans="1:53" x14ac:dyDescent="0.15">
      <c r="A6" s="55" t="s">
        <v>56</v>
      </c>
      <c r="B6" s="55" t="s">
        <v>379</v>
      </c>
      <c r="C6" s="216">
        <v>2018</v>
      </c>
      <c r="D6" s="86" t="s">
        <v>380</v>
      </c>
      <c r="E6" s="216" t="s">
        <v>381</v>
      </c>
      <c r="F6" s="216" t="s">
        <v>165</v>
      </c>
      <c r="G6" s="55" t="s">
        <v>42</v>
      </c>
      <c r="H6" s="216" t="s">
        <v>160</v>
      </c>
      <c r="I6" s="55" t="s">
        <v>155</v>
      </c>
      <c r="J6" s="216" t="s">
        <v>38</v>
      </c>
      <c r="K6" s="216" t="s">
        <v>156</v>
      </c>
      <c r="L6" s="208">
        <v>2</v>
      </c>
      <c r="N6" s="208">
        <v>5</v>
      </c>
      <c r="O6" s="208">
        <v>0.7</v>
      </c>
      <c r="P6" s="208">
        <v>0.7</v>
      </c>
      <c r="Q6" s="245">
        <f t="shared" si="0"/>
        <v>0.7</v>
      </c>
      <c r="R6" s="208">
        <v>16</v>
      </c>
      <c r="S6" s="208">
        <v>105</v>
      </c>
      <c r="T6" s="217">
        <f t="shared" si="1"/>
        <v>33</v>
      </c>
      <c r="U6" s="208">
        <v>430</v>
      </c>
      <c r="V6" s="217">
        <f t="shared" si="2"/>
        <v>2838</v>
      </c>
      <c r="W6" s="208">
        <v>2</v>
      </c>
      <c r="X6" s="55" t="s">
        <v>46</v>
      </c>
      <c r="Y6" s="55" t="s">
        <v>88</v>
      </c>
      <c r="Z6" s="216" t="s">
        <v>55</v>
      </c>
      <c r="AA6" s="55" t="s">
        <v>78</v>
      </c>
      <c r="AB6" s="216" t="s">
        <v>344</v>
      </c>
      <c r="AE6" s="223" t="s">
        <v>56</v>
      </c>
      <c r="AG6" s="231" t="s">
        <v>389</v>
      </c>
      <c r="AH6" s="87" t="s">
        <v>386</v>
      </c>
      <c r="AL6" s="230" t="s">
        <v>288</v>
      </c>
      <c r="AN6" s="230" t="s">
        <v>289</v>
      </c>
      <c r="AP6" s="224" t="s">
        <v>53</v>
      </c>
      <c r="AR6" s="238" t="s">
        <v>59</v>
      </c>
      <c r="AV6" s="224" t="s">
        <v>60</v>
      </c>
      <c r="AX6" s="225">
        <v>97</v>
      </c>
      <c r="AY6" s="226">
        <v>36</v>
      </c>
      <c r="AZ6" s="226">
        <v>99</v>
      </c>
      <c r="BA6" s="227">
        <v>33</v>
      </c>
    </row>
    <row r="7" spans="1:53" x14ac:dyDescent="0.15">
      <c r="A7" s="55" t="s">
        <v>56</v>
      </c>
      <c r="B7" s="55" t="s">
        <v>379</v>
      </c>
      <c r="C7" s="216">
        <v>2018</v>
      </c>
      <c r="D7" s="86" t="s">
        <v>380</v>
      </c>
      <c r="E7" s="216" t="s">
        <v>381</v>
      </c>
      <c r="F7" s="216" t="s">
        <v>165</v>
      </c>
      <c r="G7" s="55" t="s">
        <v>42</v>
      </c>
      <c r="H7" s="216" t="s">
        <v>160</v>
      </c>
      <c r="I7" s="55" t="s">
        <v>155</v>
      </c>
      <c r="J7" s="216" t="s">
        <v>38</v>
      </c>
      <c r="K7" s="216" t="s">
        <v>156</v>
      </c>
      <c r="L7" s="208">
        <v>3</v>
      </c>
      <c r="N7" s="208">
        <v>5</v>
      </c>
      <c r="O7" s="208">
        <v>0.6</v>
      </c>
      <c r="P7" s="208">
        <v>0.55000000000000004</v>
      </c>
      <c r="Q7" s="245">
        <f t="shared" si="0"/>
        <v>0.57499999999999996</v>
      </c>
      <c r="R7" s="208">
        <v>16.100000000000001</v>
      </c>
      <c r="S7" s="208">
        <v>94</v>
      </c>
      <c r="T7" s="217">
        <f t="shared" si="1"/>
        <v>36</v>
      </c>
      <c r="U7" s="208">
        <v>430</v>
      </c>
      <c r="V7" s="217">
        <f t="shared" si="2"/>
        <v>3096</v>
      </c>
      <c r="W7" s="208">
        <v>2</v>
      </c>
      <c r="X7" s="55" t="s">
        <v>46</v>
      </c>
      <c r="Y7" s="55" t="s">
        <v>88</v>
      </c>
      <c r="Z7" s="216" t="s">
        <v>55</v>
      </c>
      <c r="AA7" s="55" t="s">
        <v>78</v>
      </c>
      <c r="AB7" s="216" t="s">
        <v>344</v>
      </c>
      <c r="AE7" s="223" t="s">
        <v>61</v>
      </c>
      <c r="AG7" s="231" t="s">
        <v>390</v>
      </c>
      <c r="AH7" s="87" t="s">
        <v>168</v>
      </c>
      <c r="AL7" s="88" t="s">
        <v>391</v>
      </c>
      <c r="AP7" s="224" t="s">
        <v>58</v>
      </c>
      <c r="AR7" s="231" t="s">
        <v>122</v>
      </c>
      <c r="AV7" s="224" t="s">
        <v>64</v>
      </c>
      <c r="AX7" s="225">
        <v>109</v>
      </c>
      <c r="AY7" s="226">
        <v>33</v>
      </c>
      <c r="AZ7" s="226">
        <v>113</v>
      </c>
      <c r="BA7" s="227">
        <v>30</v>
      </c>
    </row>
    <row r="8" spans="1:53" x14ac:dyDescent="0.15">
      <c r="A8" s="55" t="s">
        <v>56</v>
      </c>
      <c r="B8" s="55" t="s">
        <v>392</v>
      </c>
      <c r="C8" s="216">
        <v>2018</v>
      </c>
      <c r="D8" s="86" t="s">
        <v>393</v>
      </c>
      <c r="E8" s="216" t="s">
        <v>381</v>
      </c>
      <c r="F8" s="216" t="s">
        <v>166</v>
      </c>
      <c r="G8" s="55" t="s">
        <v>42</v>
      </c>
      <c r="H8" s="216" t="s">
        <v>157</v>
      </c>
      <c r="I8" s="55" t="s">
        <v>155</v>
      </c>
      <c r="J8" s="216" t="s">
        <v>38</v>
      </c>
      <c r="K8" s="216" t="s">
        <v>156</v>
      </c>
      <c r="L8" s="208">
        <v>1</v>
      </c>
      <c r="N8" s="208">
        <v>1</v>
      </c>
      <c r="O8" s="208">
        <v>0.8</v>
      </c>
      <c r="P8" s="208">
        <v>0.85</v>
      </c>
      <c r="Q8" s="245">
        <f t="shared" si="0"/>
        <v>0.82499999999999996</v>
      </c>
      <c r="R8" s="208">
        <v>15.7</v>
      </c>
      <c r="S8" s="208">
        <v>137</v>
      </c>
      <c r="T8" s="217">
        <f t="shared" si="1"/>
        <v>25</v>
      </c>
      <c r="U8" s="208">
        <v>138</v>
      </c>
      <c r="V8" s="217">
        <f t="shared" si="2"/>
        <v>3450</v>
      </c>
      <c r="W8" s="208">
        <v>8</v>
      </c>
      <c r="X8" s="55" t="s">
        <v>46</v>
      </c>
      <c r="Y8" s="55" t="s">
        <v>88</v>
      </c>
      <c r="Z8" s="216" t="s">
        <v>78</v>
      </c>
      <c r="AA8" s="55" t="s">
        <v>55</v>
      </c>
      <c r="AB8" s="216" t="s">
        <v>344</v>
      </c>
      <c r="AE8" s="223" t="s">
        <v>59</v>
      </c>
      <c r="AG8" s="231" t="s">
        <v>394</v>
      </c>
      <c r="AH8" s="87" t="s">
        <v>168</v>
      </c>
      <c r="AL8" s="88" t="s">
        <v>372</v>
      </c>
      <c r="AP8" s="224" t="s">
        <v>62</v>
      </c>
      <c r="AR8" s="238" t="s">
        <v>81</v>
      </c>
      <c r="AV8" s="224" t="s">
        <v>97</v>
      </c>
      <c r="AX8" s="225">
        <v>119</v>
      </c>
      <c r="AY8" s="226">
        <v>30</v>
      </c>
      <c r="AZ8" s="226">
        <v>121</v>
      </c>
      <c r="BA8" s="227">
        <v>27</v>
      </c>
    </row>
    <row r="9" spans="1:53" x14ac:dyDescent="0.15">
      <c r="A9" s="55" t="s">
        <v>56</v>
      </c>
      <c r="B9" s="55" t="s">
        <v>392</v>
      </c>
      <c r="C9" s="216">
        <v>2018</v>
      </c>
      <c r="D9" s="86" t="s">
        <v>393</v>
      </c>
      <c r="E9" s="216" t="s">
        <v>381</v>
      </c>
      <c r="F9" s="216" t="s">
        <v>166</v>
      </c>
      <c r="G9" s="55" t="s">
        <v>42</v>
      </c>
      <c r="H9" s="216" t="s">
        <v>157</v>
      </c>
      <c r="I9" s="55" t="s">
        <v>155</v>
      </c>
      <c r="J9" s="216" t="s">
        <v>38</v>
      </c>
      <c r="K9" s="216" t="s">
        <v>156</v>
      </c>
      <c r="L9" s="208">
        <v>2</v>
      </c>
      <c r="N9" s="208">
        <v>1</v>
      </c>
      <c r="O9" s="208">
        <v>1</v>
      </c>
      <c r="P9" s="208">
        <v>0.8</v>
      </c>
      <c r="Q9" s="245">
        <f t="shared" si="0"/>
        <v>0.9</v>
      </c>
      <c r="R9" s="208">
        <v>12.2</v>
      </c>
      <c r="S9" s="208">
        <v>133</v>
      </c>
      <c r="T9" s="217">
        <f t="shared" si="1"/>
        <v>25</v>
      </c>
      <c r="U9" s="208">
        <v>138</v>
      </c>
      <c r="V9" s="217">
        <f t="shared" si="2"/>
        <v>3450</v>
      </c>
      <c r="W9" s="208">
        <v>8</v>
      </c>
      <c r="X9" s="55" t="s">
        <v>46</v>
      </c>
      <c r="Y9" s="55" t="s">
        <v>88</v>
      </c>
      <c r="Z9" s="216" t="s">
        <v>78</v>
      </c>
      <c r="AA9" s="55" t="s">
        <v>55</v>
      </c>
      <c r="AB9" s="216" t="s">
        <v>344</v>
      </c>
      <c r="AE9" s="223" t="s">
        <v>98</v>
      </c>
      <c r="AG9" s="231" t="s">
        <v>169</v>
      </c>
      <c r="AH9" s="231" t="s">
        <v>166</v>
      </c>
      <c r="AL9" s="230"/>
      <c r="AP9" s="224" t="s">
        <v>95</v>
      </c>
      <c r="AR9" s="231" t="s">
        <v>89</v>
      </c>
      <c r="AV9" s="224" t="s">
        <v>102</v>
      </c>
      <c r="AX9" s="225">
        <v>128</v>
      </c>
      <c r="AY9" s="226">
        <v>27</v>
      </c>
      <c r="AZ9" s="226">
        <v>129</v>
      </c>
      <c r="BA9" s="227">
        <v>25</v>
      </c>
    </row>
    <row r="10" spans="1:53" x14ac:dyDescent="0.15">
      <c r="A10" s="55" t="s">
        <v>56</v>
      </c>
      <c r="B10" s="55" t="s">
        <v>395</v>
      </c>
      <c r="C10" s="216">
        <v>2018</v>
      </c>
      <c r="D10" s="86" t="s">
        <v>396</v>
      </c>
      <c r="E10" s="216" t="s">
        <v>381</v>
      </c>
      <c r="F10" s="216" t="s">
        <v>166</v>
      </c>
      <c r="G10" s="55" t="s">
        <v>42</v>
      </c>
      <c r="H10" s="216" t="s">
        <v>157</v>
      </c>
      <c r="I10" s="55" t="s">
        <v>155</v>
      </c>
      <c r="J10" s="216" t="s">
        <v>38</v>
      </c>
      <c r="K10" s="216" t="s">
        <v>156</v>
      </c>
      <c r="L10" s="208">
        <v>3</v>
      </c>
      <c r="N10" s="208">
        <v>1</v>
      </c>
      <c r="O10" s="208">
        <v>0.9</v>
      </c>
      <c r="P10" s="208">
        <v>0.95</v>
      </c>
      <c r="Q10" s="245">
        <f t="shared" si="0"/>
        <v>0.92500000000000004</v>
      </c>
      <c r="R10" s="208">
        <v>12.3</v>
      </c>
      <c r="S10" s="208">
        <v>149</v>
      </c>
      <c r="T10" s="217">
        <f t="shared" si="1"/>
        <v>22</v>
      </c>
      <c r="U10" s="208">
        <v>138</v>
      </c>
      <c r="V10" s="217">
        <f t="shared" si="2"/>
        <v>3036</v>
      </c>
      <c r="W10" s="208">
        <v>8</v>
      </c>
      <c r="X10" s="55" t="s">
        <v>46</v>
      </c>
      <c r="Y10" s="55" t="s">
        <v>88</v>
      </c>
      <c r="Z10" s="216" t="s">
        <v>78</v>
      </c>
      <c r="AA10" s="55" t="s">
        <v>55</v>
      </c>
      <c r="AB10" s="216" t="s">
        <v>344</v>
      </c>
      <c r="AE10" s="223" t="s">
        <v>103</v>
      </c>
      <c r="AG10" s="231" t="s">
        <v>397</v>
      </c>
      <c r="AH10" s="87" t="s">
        <v>398</v>
      </c>
      <c r="AL10" s="88"/>
      <c r="AP10" s="224" t="s">
        <v>100</v>
      </c>
      <c r="AR10" s="231" t="s">
        <v>123</v>
      </c>
      <c r="AV10" s="224" t="s">
        <v>106</v>
      </c>
      <c r="AX10" s="225">
        <v>138</v>
      </c>
      <c r="AY10" s="226">
        <v>25</v>
      </c>
      <c r="AZ10" s="226">
        <v>138</v>
      </c>
      <c r="BA10" s="227">
        <v>22</v>
      </c>
    </row>
    <row r="11" spans="1:53" x14ac:dyDescent="0.15">
      <c r="A11" s="55" t="s">
        <v>56</v>
      </c>
      <c r="B11" s="55" t="s">
        <v>395</v>
      </c>
      <c r="C11" s="216">
        <v>2018</v>
      </c>
      <c r="D11" s="86" t="s">
        <v>396</v>
      </c>
      <c r="E11" s="216" t="s">
        <v>381</v>
      </c>
      <c r="F11" s="216" t="s">
        <v>166</v>
      </c>
      <c r="G11" s="55" t="s">
        <v>42</v>
      </c>
      <c r="H11" s="216" t="s">
        <v>157</v>
      </c>
      <c r="I11" s="55" t="s">
        <v>158</v>
      </c>
      <c r="J11" s="216" t="s">
        <v>38</v>
      </c>
      <c r="K11" s="216" t="s">
        <v>156</v>
      </c>
      <c r="L11" s="208">
        <v>1</v>
      </c>
      <c r="N11" s="208">
        <v>4</v>
      </c>
      <c r="O11" s="208">
        <v>0.55000000000000004</v>
      </c>
      <c r="P11" s="208">
        <v>0.6</v>
      </c>
      <c r="Q11" s="245">
        <f t="shared" si="0"/>
        <v>0.57499999999999996</v>
      </c>
      <c r="R11" s="208">
        <v>17.600000000000001</v>
      </c>
      <c r="S11" s="208">
        <v>100</v>
      </c>
      <c r="T11" s="217">
        <f t="shared" si="1"/>
        <v>33</v>
      </c>
      <c r="U11" s="208">
        <v>430</v>
      </c>
      <c r="V11" s="217">
        <f t="shared" si="2"/>
        <v>3547.5</v>
      </c>
      <c r="W11" s="208">
        <v>2</v>
      </c>
      <c r="X11" s="55" t="s">
        <v>46</v>
      </c>
      <c r="Y11" s="55" t="s">
        <v>88</v>
      </c>
      <c r="Z11" s="216" t="s">
        <v>78</v>
      </c>
      <c r="AA11" s="55" t="s">
        <v>55</v>
      </c>
      <c r="AB11" s="216" t="s">
        <v>344</v>
      </c>
      <c r="AE11" s="223" t="s">
        <v>65</v>
      </c>
      <c r="AG11" s="231" t="s">
        <v>399</v>
      </c>
      <c r="AH11" s="87" t="s">
        <v>398</v>
      </c>
      <c r="AJ11" s="88"/>
      <c r="AP11" s="224" t="s">
        <v>104</v>
      </c>
      <c r="AR11" s="231" t="s">
        <v>87</v>
      </c>
      <c r="AV11" s="224" t="s">
        <v>69</v>
      </c>
    </row>
    <row r="12" spans="1:53" x14ac:dyDescent="0.15">
      <c r="A12" s="55" t="s">
        <v>56</v>
      </c>
      <c r="B12" s="55" t="s">
        <v>400</v>
      </c>
      <c r="C12" s="216">
        <v>2018</v>
      </c>
      <c r="D12" s="86" t="s">
        <v>401</v>
      </c>
      <c r="E12" s="216" t="s">
        <v>381</v>
      </c>
      <c r="F12" s="216" t="s">
        <v>166</v>
      </c>
      <c r="G12" s="55" t="s">
        <v>42</v>
      </c>
      <c r="H12" s="216" t="s">
        <v>157</v>
      </c>
      <c r="I12" s="55" t="s">
        <v>158</v>
      </c>
      <c r="J12" s="216" t="s">
        <v>38</v>
      </c>
      <c r="K12" s="216" t="s">
        <v>156</v>
      </c>
      <c r="L12" s="208">
        <v>2</v>
      </c>
      <c r="N12" s="208">
        <v>4</v>
      </c>
      <c r="O12" s="208">
        <v>0.5</v>
      </c>
      <c r="P12" s="208">
        <v>0.55000000000000004</v>
      </c>
      <c r="Q12" s="245">
        <f t="shared" si="0"/>
        <v>0.52500000000000002</v>
      </c>
      <c r="R12" s="208">
        <v>13.1</v>
      </c>
      <c r="S12" s="208">
        <v>95</v>
      </c>
      <c r="T12" s="217">
        <f t="shared" si="1"/>
        <v>36</v>
      </c>
      <c r="U12" s="208">
        <v>430</v>
      </c>
      <c r="V12" s="217">
        <f t="shared" si="2"/>
        <v>3870</v>
      </c>
      <c r="W12" s="208">
        <v>2</v>
      </c>
      <c r="X12" s="55" t="s">
        <v>46</v>
      </c>
      <c r="Y12" s="55" t="s">
        <v>88</v>
      </c>
      <c r="Z12" s="216" t="s">
        <v>78</v>
      </c>
      <c r="AA12" s="55" t="s">
        <v>55</v>
      </c>
      <c r="AB12" s="216" t="s">
        <v>344</v>
      </c>
      <c r="AE12" s="223" t="s">
        <v>70</v>
      </c>
      <c r="AG12" s="231" t="s">
        <v>402</v>
      </c>
      <c r="AH12" s="87" t="s">
        <v>403</v>
      </c>
      <c r="AJ12" s="88"/>
      <c r="AP12" s="224" t="s">
        <v>67</v>
      </c>
      <c r="AR12" s="231" t="s">
        <v>124</v>
      </c>
      <c r="AV12" s="224" t="s">
        <v>72</v>
      </c>
    </row>
    <row r="13" spans="1:53" x14ac:dyDescent="0.15">
      <c r="A13" s="55" t="s">
        <v>56</v>
      </c>
      <c r="B13" s="55" t="s">
        <v>404</v>
      </c>
      <c r="C13" s="216">
        <v>2018</v>
      </c>
      <c r="D13" s="86" t="s">
        <v>405</v>
      </c>
      <c r="E13" s="216" t="s">
        <v>381</v>
      </c>
      <c r="F13" s="216" t="s">
        <v>166</v>
      </c>
      <c r="G13" s="55" t="s">
        <v>42</v>
      </c>
      <c r="H13" s="216" t="s">
        <v>157</v>
      </c>
      <c r="I13" s="55" t="s">
        <v>158</v>
      </c>
      <c r="J13" s="216" t="s">
        <v>38</v>
      </c>
      <c r="K13" s="216" t="s">
        <v>156</v>
      </c>
      <c r="L13" s="208">
        <v>3</v>
      </c>
      <c r="N13" s="208">
        <v>4</v>
      </c>
      <c r="O13" s="208">
        <v>0.55000000000000004</v>
      </c>
      <c r="P13" s="208">
        <v>0.55000000000000004</v>
      </c>
      <c r="Q13" s="245">
        <f t="shared" si="0"/>
        <v>0.55000000000000004</v>
      </c>
      <c r="R13" s="237">
        <v>13.9</v>
      </c>
      <c r="S13" s="208">
        <v>91</v>
      </c>
      <c r="T13" s="217">
        <f t="shared" si="1"/>
        <v>36</v>
      </c>
      <c r="U13" s="208">
        <v>430</v>
      </c>
      <c r="V13" s="217">
        <f t="shared" si="2"/>
        <v>3870</v>
      </c>
      <c r="W13" s="208">
        <v>2</v>
      </c>
      <c r="X13" s="55" t="s">
        <v>46</v>
      </c>
      <c r="Y13" s="55" t="s">
        <v>88</v>
      </c>
      <c r="Z13" s="216" t="s">
        <v>78</v>
      </c>
      <c r="AA13" s="55" t="s">
        <v>55</v>
      </c>
      <c r="AB13" s="216" t="s">
        <v>344</v>
      </c>
      <c r="AE13" s="223" t="s">
        <v>73</v>
      </c>
      <c r="AP13" s="224" t="s">
        <v>71</v>
      </c>
      <c r="AR13" s="231" t="s">
        <v>103</v>
      </c>
      <c r="AV13" s="224" t="s">
        <v>75</v>
      </c>
    </row>
    <row r="14" spans="1:53" x14ac:dyDescent="0.15">
      <c r="A14" s="55" t="s">
        <v>56</v>
      </c>
      <c r="B14" s="55" t="s">
        <v>406</v>
      </c>
      <c r="C14" s="216">
        <v>2018</v>
      </c>
      <c r="D14" s="86" t="s">
        <v>407</v>
      </c>
      <c r="E14" s="216" t="s">
        <v>381</v>
      </c>
      <c r="F14" s="216" t="s">
        <v>166</v>
      </c>
      <c r="G14" s="55" t="s">
        <v>42</v>
      </c>
      <c r="H14" s="216" t="s">
        <v>160</v>
      </c>
      <c r="I14" s="55" t="s">
        <v>155</v>
      </c>
      <c r="J14" s="216" t="s">
        <v>38</v>
      </c>
      <c r="K14" s="216" t="s">
        <v>156</v>
      </c>
      <c r="L14" s="208">
        <v>1</v>
      </c>
      <c r="N14" s="208">
        <v>4</v>
      </c>
      <c r="O14" s="208">
        <v>0.75</v>
      </c>
      <c r="P14" s="208">
        <v>0.75</v>
      </c>
      <c r="Q14" s="245">
        <f t="shared" si="0"/>
        <v>0.75</v>
      </c>
      <c r="R14" s="208">
        <v>13.8</v>
      </c>
      <c r="S14" s="208">
        <v>99</v>
      </c>
      <c r="T14" s="217">
        <f t="shared" si="1"/>
        <v>33</v>
      </c>
      <c r="U14" s="208">
        <v>518</v>
      </c>
      <c r="V14" s="217">
        <f t="shared" si="2"/>
        <v>4273.5</v>
      </c>
      <c r="W14" s="208">
        <v>4</v>
      </c>
      <c r="X14" s="55" t="s">
        <v>46</v>
      </c>
      <c r="Y14" s="55" t="s">
        <v>88</v>
      </c>
      <c r="Z14" s="216" t="s">
        <v>78</v>
      </c>
      <c r="AA14" s="55" t="s">
        <v>55</v>
      </c>
      <c r="AB14" s="216" t="s">
        <v>344</v>
      </c>
      <c r="AE14" s="223" t="s">
        <v>76</v>
      </c>
      <c r="AP14" s="224" t="s">
        <v>74</v>
      </c>
      <c r="AR14" s="231" t="s">
        <v>125</v>
      </c>
      <c r="AV14" s="224" t="s">
        <v>78</v>
      </c>
    </row>
    <row r="15" spans="1:53" x14ac:dyDescent="0.15">
      <c r="A15" s="55" t="s">
        <v>56</v>
      </c>
      <c r="B15" s="55" t="s">
        <v>406</v>
      </c>
      <c r="C15" s="216">
        <v>2018</v>
      </c>
      <c r="D15" s="86" t="s">
        <v>407</v>
      </c>
      <c r="E15" s="216" t="s">
        <v>381</v>
      </c>
      <c r="F15" s="216" t="s">
        <v>166</v>
      </c>
      <c r="G15" s="55" t="s">
        <v>42</v>
      </c>
      <c r="H15" s="216" t="s">
        <v>160</v>
      </c>
      <c r="I15" s="55" t="s">
        <v>155</v>
      </c>
      <c r="J15" s="216" t="s">
        <v>38</v>
      </c>
      <c r="K15" s="216" t="s">
        <v>156</v>
      </c>
      <c r="L15" s="208">
        <v>2</v>
      </c>
      <c r="N15" s="208">
        <v>4</v>
      </c>
      <c r="O15" s="208">
        <v>0.95</v>
      </c>
      <c r="P15" s="208">
        <v>0.8</v>
      </c>
      <c r="Q15" s="245">
        <f t="shared" si="0"/>
        <v>0.875</v>
      </c>
      <c r="R15" s="208">
        <v>13.2</v>
      </c>
      <c r="S15" s="208">
        <v>104</v>
      </c>
      <c r="T15" s="217">
        <f t="shared" si="1"/>
        <v>33</v>
      </c>
      <c r="U15" s="208">
        <v>518</v>
      </c>
      <c r="V15" s="217">
        <f t="shared" si="2"/>
        <v>4273.5</v>
      </c>
      <c r="W15" s="208">
        <v>4</v>
      </c>
      <c r="X15" s="55" t="s">
        <v>46</v>
      </c>
      <c r="Y15" s="55" t="s">
        <v>88</v>
      </c>
      <c r="Z15" s="216" t="s">
        <v>78</v>
      </c>
      <c r="AA15" s="55" t="s">
        <v>55</v>
      </c>
      <c r="AB15" s="216" t="s">
        <v>344</v>
      </c>
      <c r="AE15" s="223" t="s">
        <v>79</v>
      </c>
      <c r="AP15" s="224" t="s">
        <v>77</v>
      </c>
      <c r="AR15" s="231" t="s">
        <v>94</v>
      </c>
      <c r="AV15" s="224" t="s">
        <v>107</v>
      </c>
    </row>
    <row r="16" spans="1:53" x14ac:dyDescent="0.15">
      <c r="A16" s="55" t="s">
        <v>56</v>
      </c>
      <c r="B16" s="55" t="s">
        <v>408</v>
      </c>
      <c r="C16" s="216">
        <v>2018</v>
      </c>
      <c r="D16" s="86" t="s">
        <v>409</v>
      </c>
      <c r="E16" s="216" t="s">
        <v>381</v>
      </c>
      <c r="F16" s="216" t="s">
        <v>166</v>
      </c>
      <c r="G16" s="55" t="s">
        <v>42</v>
      </c>
      <c r="H16" s="216" t="s">
        <v>160</v>
      </c>
      <c r="I16" s="55" t="s">
        <v>155</v>
      </c>
      <c r="J16" s="216" t="s">
        <v>38</v>
      </c>
      <c r="K16" s="216" t="s">
        <v>156</v>
      </c>
      <c r="L16" s="208">
        <v>3</v>
      </c>
      <c r="N16" s="208">
        <v>4</v>
      </c>
      <c r="O16" s="208">
        <v>0.6</v>
      </c>
      <c r="P16" s="208">
        <v>0.55000000000000004</v>
      </c>
      <c r="Q16" s="245">
        <f t="shared" si="0"/>
        <v>0.57499999999999996</v>
      </c>
      <c r="R16" s="237">
        <v>18</v>
      </c>
      <c r="S16" s="208">
        <v>106</v>
      </c>
      <c r="T16" s="217">
        <f t="shared" si="1"/>
        <v>33</v>
      </c>
      <c r="U16" s="208">
        <v>518</v>
      </c>
      <c r="V16" s="217">
        <f t="shared" si="2"/>
        <v>4273.5</v>
      </c>
      <c r="W16" s="208">
        <v>4</v>
      </c>
      <c r="X16" s="55" t="s">
        <v>46</v>
      </c>
      <c r="Y16" s="55" t="s">
        <v>88</v>
      </c>
      <c r="Z16" s="216" t="s">
        <v>78</v>
      </c>
      <c r="AA16" s="55" t="s">
        <v>55</v>
      </c>
      <c r="AB16" s="216" t="s">
        <v>344</v>
      </c>
      <c r="AE16" s="223" t="s">
        <v>82</v>
      </c>
      <c r="AP16" s="224" t="s">
        <v>80</v>
      </c>
      <c r="AR16" s="238" t="s">
        <v>63</v>
      </c>
      <c r="AV16" s="224" t="s">
        <v>84</v>
      </c>
    </row>
    <row r="17" spans="1:48" x14ac:dyDescent="0.15">
      <c r="A17" s="55" t="s">
        <v>56</v>
      </c>
      <c r="B17" s="55" t="s">
        <v>408</v>
      </c>
      <c r="C17" s="216">
        <v>2018</v>
      </c>
      <c r="D17" s="86" t="s">
        <v>409</v>
      </c>
      <c r="E17" s="216" t="s">
        <v>410</v>
      </c>
      <c r="F17" s="216" t="s">
        <v>411</v>
      </c>
      <c r="G17" s="55" t="s">
        <v>42</v>
      </c>
      <c r="H17" s="216" t="s">
        <v>157</v>
      </c>
      <c r="I17" s="55" t="s">
        <v>155</v>
      </c>
      <c r="J17" s="216" t="s">
        <v>38</v>
      </c>
      <c r="K17" s="216" t="s">
        <v>156</v>
      </c>
      <c r="L17" s="208">
        <v>1</v>
      </c>
      <c r="N17" s="208">
        <v>8</v>
      </c>
      <c r="O17" s="208">
        <v>0.55000000000000004</v>
      </c>
      <c r="P17" s="208">
        <v>0.6</v>
      </c>
      <c r="Q17" s="245">
        <f t="shared" si="0"/>
        <v>0.57499999999999996</v>
      </c>
      <c r="R17" s="208">
        <v>13.6</v>
      </c>
      <c r="S17" s="208">
        <v>119</v>
      </c>
      <c r="T17" s="217">
        <f t="shared" si="1"/>
        <v>30</v>
      </c>
      <c r="U17" s="208">
        <v>518</v>
      </c>
      <c r="V17" s="217">
        <f t="shared" si="2"/>
        <v>1942.5</v>
      </c>
      <c r="W17" s="208">
        <v>4</v>
      </c>
      <c r="X17" s="55" t="s">
        <v>46</v>
      </c>
      <c r="Y17" s="55" t="s">
        <v>88</v>
      </c>
      <c r="Z17" s="216" t="s">
        <v>55</v>
      </c>
      <c r="AA17" s="55" t="s">
        <v>97</v>
      </c>
      <c r="AB17" s="216" t="s">
        <v>344</v>
      </c>
      <c r="AE17" s="223" t="s">
        <v>85</v>
      </c>
      <c r="AP17" s="239" t="s">
        <v>110</v>
      </c>
      <c r="AR17" s="238" t="s">
        <v>96</v>
      </c>
      <c r="AV17" s="224" t="s">
        <v>86</v>
      </c>
    </row>
    <row r="18" spans="1:48" x14ac:dyDescent="0.15">
      <c r="A18" s="55" t="s">
        <v>56</v>
      </c>
      <c r="B18" s="55" t="s">
        <v>408</v>
      </c>
      <c r="C18" s="216">
        <v>2018</v>
      </c>
      <c r="D18" s="86" t="s">
        <v>409</v>
      </c>
      <c r="E18" s="216" t="s">
        <v>410</v>
      </c>
      <c r="F18" s="216" t="s">
        <v>411</v>
      </c>
      <c r="G18" s="55" t="s">
        <v>42</v>
      </c>
      <c r="H18" s="216" t="s">
        <v>157</v>
      </c>
      <c r="I18" s="55" t="s">
        <v>155</v>
      </c>
      <c r="J18" s="216" t="s">
        <v>38</v>
      </c>
      <c r="K18" s="216" t="s">
        <v>156</v>
      </c>
      <c r="L18" s="208">
        <v>2</v>
      </c>
      <c r="N18" s="208">
        <v>8</v>
      </c>
      <c r="O18" s="208">
        <v>0.7</v>
      </c>
      <c r="P18" s="208">
        <v>0.7</v>
      </c>
      <c r="Q18" s="245">
        <f t="shared" si="0"/>
        <v>0.7</v>
      </c>
      <c r="R18" s="208">
        <v>13.1</v>
      </c>
      <c r="S18" s="208">
        <v>118</v>
      </c>
      <c r="T18" s="217">
        <f t="shared" si="1"/>
        <v>30</v>
      </c>
      <c r="U18" s="208">
        <v>518</v>
      </c>
      <c r="V18" s="217">
        <f t="shared" si="2"/>
        <v>1942.5</v>
      </c>
      <c r="W18" s="208">
        <v>4</v>
      </c>
      <c r="X18" s="55" t="s">
        <v>46</v>
      </c>
      <c r="Y18" s="55" t="s">
        <v>88</v>
      </c>
      <c r="Z18" s="216" t="s">
        <v>55</v>
      </c>
      <c r="AA18" s="55" t="s">
        <v>97</v>
      </c>
      <c r="AB18" s="216" t="s">
        <v>344</v>
      </c>
      <c r="AE18" s="223" t="s">
        <v>87</v>
      </c>
      <c r="AP18" s="239" t="s">
        <v>111</v>
      </c>
      <c r="AR18" s="238" t="s">
        <v>101</v>
      </c>
      <c r="AV18" s="224" t="s">
        <v>88</v>
      </c>
    </row>
    <row r="19" spans="1:48" x14ac:dyDescent="0.15">
      <c r="A19" s="55" t="s">
        <v>56</v>
      </c>
      <c r="B19" s="55" t="s">
        <v>400</v>
      </c>
      <c r="C19" s="216">
        <v>2018</v>
      </c>
      <c r="D19" s="86" t="s">
        <v>401</v>
      </c>
      <c r="E19" s="216" t="s">
        <v>410</v>
      </c>
      <c r="F19" s="216" t="s">
        <v>411</v>
      </c>
      <c r="G19" s="55" t="s">
        <v>42</v>
      </c>
      <c r="H19" s="216" t="s">
        <v>157</v>
      </c>
      <c r="I19" s="55" t="s">
        <v>155</v>
      </c>
      <c r="J19" s="216" t="s">
        <v>38</v>
      </c>
      <c r="K19" s="216" t="s">
        <v>156</v>
      </c>
      <c r="L19" s="208">
        <v>3</v>
      </c>
      <c r="N19" s="208">
        <v>8</v>
      </c>
      <c r="O19" s="208">
        <v>0.75</v>
      </c>
      <c r="P19" s="208">
        <v>0.75</v>
      </c>
      <c r="Q19" s="245">
        <f t="shared" si="0"/>
        <v>0.75</v>
      </c>
      <c r="R19" s="237">
        <v>16.3</v>
      </c>
      <c r="S19" s="208">
        <v>112</v>
      </c>
      <c r="T19" s="217">
        <f t="shared" si="1"/>
        <v>33</v>
      </c>
      <c r="U19" s="208">
        <v>518</v>
      </c>
      <c r="V19" s="217">
        <f t="shared" si="2"/>
        <v>2136.75</v>
      </c>
      <c r="W19" s="208">
        <v>4</v>
      </c>
      <c r="X19" s="55" t="s">
        <v>46</v>
      </c>
      <c r="Y19" s="55" t="s">
        <v>88</v>
      </c>
      <c r="Z19" s="216" t="s">
        <v>55</v>
      </c>
      <c r="AA19" s="55" t="s">
        <v>97</v>
      </c>
      <c r="AB19" s="216" t="s">
        <v>344</v>
      </c>
      <c r="AE19" s="236" t="s">
        <v>89</v>
      </c>
      <c r="AP19" s="239" t="s">
        <v>112</v>
      </c>
      <c r="AR19" s="231" t="s">
        <v>126</v>
      </c>
      <c r="AV19" s="224" t="s">
        <v>90</v>
      </c>
    </row>
    <row r="20" spans="1:48" x14ac:dyDescent="0.15">
      <c r="A20" s="55" t="s">
        <v>56</v>
      </c>
      <c r="B20" s="55" t="s">
        <v>400</v>
      </c>
      <c r="C20" s="216">
        <v>2018</v>
      </c>
      <c r="D20" s="86" t="s">
        <v>401</v>
      </c>
      <c r="E20" s="216" t="s">
        <v>410</v>
      </c>
      <c r="F20" s="216" t="s">
        <v>411</v>
      </c>
      <c r="G20" s="55" t="s">
        <v>42</v>
      </c>
      <c r="H20" s="216" t="s">
        <v>160</v>
      </c>
      <c r="I20" s="55" t="s">
        <v>155</v>
      </c>
      <c r="J20" s="216" t="s">
        <v>38</v>
      </c>
      <c r="K20" s="216" t="s">
        <v>156</v>
      </c>
      <c r="L20" s="208">
        <v>1</v>
      </c>
      <c r="N20" s="208">
        <v>5</v>
      </c>
      <c r="O20" s="208">
        <v>0.55000000000000004</v>
      </c>
      <c r="P20" s="208">
        <v>0.5</v>
      </c>
      <c r="Q20" s="245">
        <f t="shared" si="0"/>
        <v>0.52500000000000002</v>
      </c>
      <c r="R20" s="208">
        <v>16.8</v>
      </c>
      <c r="S20" s="208">
        <v>115</v>
      </c>
      <c r="T20" s="217">
        <f t="shared" si="1"/>
        <v>30</v>
      </c>
      <c r="U20" s="208">
        <v>646</v>
      </c>
      <c r="V20" s="217">
        <f t="shared" si="2"/>
        <v>3875.9999999999995</v>
      </c>
      <c r="W20" s="208">
        <v>2</v>
      </c>
      <c r="X20" s="55" t="s">
        <v>46</v>
      </c>
      <c r="Y20" s="55" t="s">
        <v>88</v>
      </c>
      <c r="Z20" s="216" t="s">
        <v>55</v>
      </c>
      <c r="AA20" s="55" t="s">
        <v>97</v>
      </c>
      <c r="AB20" s="216" t="s">
        <v>344</v>
      </c>
      <c r="AP20" s="239" t="s">
        <v>113</v>
      </c>
      <c r="AR20" s="238" t="s">
        <v>105</v>
      </c>
      <c r="AV20" s="228" t="s">
        <v>373</v>
      </c>
    </row>
    <row r="21" spans="1:48" x14ac:dyDescent="0.15">
      <c r="A21" s="55" t="s">
        <v>56</v>
      </c>
      <c r="B21" s="55" t="s">
        <v>400</v>
      </c>
      <c r="C21" s="216">
        <v>2018</v>
      </c>
      <c r="D21" s="86" t="s">
        <v>401</v>
      </c>
      <c r="E21" s="216" t="s">
        <v>410</v>
      </c>
      <c r="F21" s="216" t="s">
        <v>411</v>
      </c>
      <c r="G21" s="55" t="s">
        <v>42</v>
      </c>
      <c r="H21" s="216" t="s">
        <v>160</v>
      </c>
      <c r="I21" s="55" t="s">
        <v>155</v>
      </c>
      <c r="J21" s="216" t="s">
        <v>38</v>
      </c>
      <c r="K21" s="216" t="s">
        <v>156</v>
      </c>
      <c r="L21" s="208">
        <v>2</v>
      </c>
      <c r="N21" s="208">
        <v>5</v>
      </c>
      <c r="O21" s="208">
        <v>0.5</v>
      </c>
      <c r="P21" s="208">
        <v>0.5</v>
      </c>
      <c r="Q21" s="245">
        <f t="shared" si="0"/>
        <v>0.5</v>
      </c>
      <c r="R21" s="208">
        <v>14.2</v>
      </c>
      <c r="S21" s="208">
        <v>121</v>
      </c>
      <c r="T21" s="217">
        <f t="shared" si="1"/>
        <v>27</v>
      </c>
      <c r="U21" s="208">
        <v>646</v>
      </c>
      <c r="V21" s="217">
        <f t="shared" si="2"/>
        <v>3488.3999999999996</v>
      </c>
      <c r="W21" s="208">
        <v>2</v>
      </c>
      <c r="X21" s="55" t="s">
        <v>46</v>
      </c>
      <c r="Y21" s="55" t="s">
        <v>88</v>
      </c>
      <c r="Z21" s="216" t="s">
        <v>55</v>
      </c>
      <c r="AA21" s="55" t="s">
        <v>97</v>
      </c>
      <c r="AB21" s="216" t="s">
        <v>344</v>
      </c>
      <c r="AP21" s="239" t="s">
        <v>114</v>
      </c>
      <c r="AR21" s="238" t="s">
        <v>68</v>
      </c>
      <c r="AV21" s="229" t="s">
        <v>412</v>
      </c>
    </row>
    <row r="22" spans="1:48" x14ac:dyDescent="0.15">
      <c r="A22" s="55" t="s">
        <v>56</v>
      </c>
      <c r="B22" s="55" t="s">
        <v>400</v>
      </c>
      <c r="C22" s="216">
        <v>2018</v>
      </c>
      <c r="D22" s="86" t="s">
        <v>401</v>
      </c>
      <c r="E22" s="216" t="s">
        <v>410</v>
      </c>
      <c r="F22" s="216" t="s">
        <v>411</v>
      </c>
      <c r="G22" s="55" t="s">
        <v>42</v>
      </c>
      <c r="H22" s="216" t="s">
        <v>160</v>
      </c>
      <c r="I22" s="55" t="s">
        <v>155</v>
      </c>
      <c r="J22" s="216" t="s">
        <v>38</v>
      </c>
      <c r="K22" s="216" t="s">
        <v>156</v>
      </c>
      <c r="L22" s="208">
        <v>3</v>
      </c>
      <c r="N22" s="208">
        <v>5</v>
      </c>
      <c r="O22" s="208">
        <v>0.6</v>
      </c>
      <c r="P22" s="208">
        <v>0.6</v>
      </c>
      <c r="Q22" s="245">
        <f t="shared" si="0"/>
        <v>0.6</v>
      </c>
      <c r="R22" s="237">
        <v>13.7</v>
      </c>
      <c r="S22" s="208">
        <v>117</v>
      </c>
      <c r="T22" s="217">
        <f t="shared" si="1"/>
        <v>30</v>
      </c>
      <c r="U22" s="208">
        <v>646</v>
      </c>
      <c r="V22" s="217">
        <f t="shared" si="2"/>
        <v>3875.9999999999995</v>
      </c>
      <c r="W22" s="208">
        <v>2</v>
      </c>
      <c r="X22" s="55" t="s">
        <v>46</v>
      </c>
      <c r="Y22" s="55" t="s">
        <v>88</v>
      </c>
      <c r="Z22" s="216" t="s">
        <v>55</v>
      </c>
      <c r="AA22" s="55" t="s">
        <v>97</v>
      </c>
      <c r="AB22" s="216" t="s">
        <v>344</v>
      </c>
      <c r="AP22" s="239" t="s">
        <v>115</v>
      </c>
      <c r="AR22" s="238" t="s">
        <v>83</v>
      </c>
    </row>
    <row r="23" spans="1:48" x14ac:dyDescent="0.15">
      <c r="A23" s="55" t="s">
        <v>56</v>
      </c>
      <c r="B23" s="55" t="s">
        <v>400</v>
      </c>
      <c r="C23" s="216">
        <v>2018</v>
      </c>
      <c r="D23" s="86" t="s">
        <v>401</v>
      </c>
      <c r="E23" s="216" t="s">
        <v>413</v>
      </c>
      <c r="F23" s="216" t="s">
        <v>414</v>
      </c>
      <c r="G23" s="55" t="s">
        <v>42</v>
      </c>
      <c r="H23" s="216" t="s">
        <v>157</v>
      </c>
      <c r="I23" s="55" t="s">
        <v>155</v>
      </c>
      <c r="J23" s="216" t="s">
        <v>38</v>
      </c>
      <c r="K23" s="216" t="s">
        <v>156</v>
      </c>
      <c r="L23" s="208">
        <v>1</v>
      </c>
      <c r="N23" s="208">
        <v>1</v>
      </c>
      <c r="O23" s="208">
        <v>0.65</v>
      </c>
      <c r="P23" s="208">
        <v>0.65</v>
      </c>
      <c r="Q23" s="245">
        <f t="shared" si="0"/>
        <v>0.65</v>
      </c>
      <c r="R23" s="208">
        <v>14.8</v>
      </c>
      <c r="S23" s="208">
        <v>120</v>
      </c>
      <c r="T23" s="217">
        <f t="shared" si="1"/>
        <v>30</v>
      </c>
      <c r="U23" s="208">
        <v>83</v>
      </c>
      <c r="V23" s="217">
        <f t="shared" si="2"/>
        <v>2490</v>
      </c>
      <c r="W23" s="208">
        <v>3</v>
      </c>
      <c r="X23" s="55" t="s">
        <v>46</v>
      </c>
      <c r="Y23" s="55" t="s">
        <v>78</v>
      </c>
      <c r="Z23" s="208" t="s">
        <v>88</v>
      </c>
      <c r="AA23" s="55" t="s">
        <v>55</v>
      </c>
      <c r="AB23" s="216" t="s">
        <v>344</v>
      </c>
      <c r="AP23" s="239" t="s">
        <v>415</v>
      </c>
      <c r="AR23" s="238" t="s">
        <v>61</v>
      </c>
    </row>
    <row r="24" spans="1:48" x14ac:dyDescent="0.15">
      <c r="A24" s="55" t="s">
        <v>56</v>
      </c>
      <c r="B24" s="55" t="s">
        <v>400</v>
      </c>
      <c r="C24" s="216">
        <v>2018</v>
      </c>
      <c r="D24" s="86" t="s">
        <v>401</v>
      </c>
      <c r="E24" s="216" t="s">
        <v>413</v>
      </c>
      <c r="F24" s="216" t="s">
        <v>414</v>
      </c>
      <c r="G24" s="55" t="s">
        <v>42</v>
      </c>
      <c r="H24" s="216" t="s">
        <v>157</v>
      </c>
      <c r="I24" s="55" t="s">
        <v>155</v>
      </c>
      <c r="J24" s="216" t="s">
        <v>38</v>
      </c>
      <c r="K24" s="216" t="s">
        <v>156</v>
      </c>
      <c r="L24" s="208">
        <v>2</v>
      </c>
      <c r="N24" s="208">
        <v>1</v>
      </c>
      <c r="O24" s="208">
        <v>0.7</v>
      </c>
      <c r="P24" s="208">
        <v>0.65</v>
      </c>
      <c r="Q24" s="245">
        <f t="shared" si="0"/>
        <v>0.67500000000000004</v>
      </c>
      <c r="R24" s="208">
        <v>14.3</v>
      </c>
      <c r="S24" s="208">
        <v>124</v>
      </c>
      <c r="T24" s="217">
        <f t="shared" si="1"/>
        <v>27</v>
      </c>
      <c r="U24" s="208">
        <v>83</v>
      </c>
      <c r="V24" s="217">
        <f t="shared" si="2"/>
        <v>2241</v>
      </c>
      <c r="W24" s="208">
        <v>3</v>
      </c>
      <c r="X24" s="55" t="s">
        <v>46</v>
      </c>
      <c r="Y24" s="55" t="s">
        <v>78</v>
      </c>
      <c r="Z24" s="208" t="s">
        <v>88</v>
      </c>
      <c r="AA24" s="55" t="s">
        <v>55</v>
      </c>
      <c r="AB24" s="216" t="s">
        <v>344</v>
      </c>
      <c r="AP24" s="239" t="s">
        <v>416</v>
      </c>
      <c r="AR24" s="238" t="s">
        <v>91</v>
      </c>
    </row>
    <row r="25" spans="1:48" x14ac:dyDescent="0.15">
      <c r="A25" s="55" t="s">
        <v>56</v>
      </c>
      <c r="B25" s="55" t="s">
        <v>400</v>
      </c>
      <c r="C25" s="216">
        <v>2018</v>
      </c>
      <c r="D25" s="86" t="s">
        <v>401</v>
      </c>
      <c r="E25" s="216" t="s">
        <v>413</v>
      </c>
      <c r="F25" s="216" t="s">
        <v>414</v>
      </c>
      <c r="G25" s="55" t="s">
        <v>42</v>
      </c>
      <c r="H25" s="216" t="s">
        <v>157</v>
      </c>
      <c r="I25" s="55" t="s">
        <v>155</v>
      </c>
      <c r="J25" s="216" t="s">
        <v>38</v>
      </c>
      <c r="K25" s="216" t="s">
        <v>156</v>
      </c>
      <c r="L25" s="208">
        <v>3</v>
      </c>
      <c r="N25" s="208">
        <v>1</v>
      </c>
      <c r="O25" s="208">
        <v>0.7</v>
      </c>
      <c r="P25" s="208">
        <v>0.75</v>
      </c>
      <c r="Q25" s="245">
        <f t="shared" si="0"/>
        <v>0.72499999999999998</v>
      </c>
      <c r="R25" s="237">
        <v>12.2</v>
      </c>
      <c r="S25" s="208">
        <v>116</v>
      </c>
      <c r="T25" s="217">
        <f t="shared" si="1"/>
        <v>30</v>
      </c>
      <c r="U25" s="208">
        <v>83</v>
      </c>
      <c r="V25" s="217">
        <f t="shared" si="2"/>
        <v>2490</v>
      </c>
      <c r="W25" s="208">
        <v>3</v>
      </c>
      <c r="X25" s="55" t="s">
        <v>46</v>
      </c>
      <c r="Y25" s="55" t="s">
        <v>78</v>
      </c>
      <c r="Z25" s="208" t="s">
        <v>88</v>
      </c>
      <c r="AA25" s="55" t="s">
        <v>55</v>
      </c>
      <c r="AB25" s="216" t="s">
        <v>344</v>
      </c>
      <c r="AP25" s="239" t="s">
        <v>116</v>
      </c>
      <c r="AR25" s="42" t="s">
        <v>92</v>
      </c>
    </row>
    <row r="26" spans="1:48" x14ac:dyDescent="0.15">
      <c r="A26" s="55" t="s">
        <v>56</v>
      </c>
      <c r="B26" s="55" t="s">
        <v>400</v>
      </c>
      <c r="C26" s="216">
        <v>2018</v>
      </c>
      <c r="D26" s="86" t="s">
        <v>401</v>
      </c>
      <c r="E26" s="216" t="s">
        <v>413</v>
      </c>
      <c r="F26" s="216" t="s">
        <v>414</v>
      </c>
      <c r="G26" s="55" t="s">
        <v>42</v>
      </c>
      <c r="H26" s="216" t="s">
        <v>157</v>
      </c>
      <c r="I26" s="55" t="s">
        <v>158</v>
      </c>
      <c r="J26" s="216" t="s">
        <v>38</v>
      </c>
      <c r="K26" s="216" t="s">
        <v>156</v>
      </c>
      <c r="L26" s="208">
        <v>1</v>
      </c>
      <c r="N26" s="208">
        <v>4</v>
      </c>
      <c r="O26" s="208">
        <v>0.65</v>
      </c>
      <c r="P26" s="208">
        <v>0.75</v>
      </c>
      <c r="Q26" s="245">
        <f t="shared" si="0"/>
        <v>0.7</v>
      </c>
      <c r="R26" s="208">
        <v>11.9</v>
      </c>
      <c r="S26" s="208">
        <v>96</v>
      </c>
      <c r="T26" s="217">
        <f t="shared" si="1"/>
        <v>36</v>
      </c>
      <c r="U26" s="208">
        <v>377</v>
      </c>
      <c r="V26" s="217">
        <f t="shared" si="2"/>
        <v>3393</v>
      </c>
      <c r="W26" s="208">
        <v>2</v>
      </c>
      <c r="X26" s="55" t="s">
        <v>46</v>
      </c>
      <c r="Y26" s="55" t="s">
        <v>78</v>
      </c>
      <c r="Z26" s="208" t="s">
        <v>88</v>
      </c>
      <c r="AA26" s="55" t="s">
        <v>55</v>
      </c>
      <c r="AB26" s="216" t="s">
        <v>344</v>
      </c>
      <c r="AP26" s="239" t="s">
        <v>117</v>
      </c>
      <c r="AR26" s="208" t="s">
        <v>294</v>
      </c>
    </row>
    <row r="27" spans="1:48" x14ac:dyDescent="0.15">
      <c r="A27" s="55" t="s">
        <v>56</v>
      </c>
      <c r="B27" s="55" t="s">
        <v>400</v>
      </c>
      <c r="C27" s="216">
        <v>2018</v>
      </c>
      <c r="D27" s="86" t="s">
        <v>401</v>
      </c>
      <c r="E27" s="216" t="s">
        <v>413</v>
      </c>
      <c r="F27" s="216" t="s">
        <v>414</v>
      </c>
      <c r="G27" s="55" t="s">
        <v>42</v>
      </c>
      <c r="H27" s="216" t="s">
        <v>157</v>
      </c>
      <c r="I27" s="55" t="s">
        <v>158</v>
      </c>
      <c r="J27" s="216" t="s">
        <v>38</v>
      </c>
      <c r="K27" s="216" t="s">
        <v>156</v>
      </c>
      <c r="L27" s="208">
        <v>2</v>
      </c>
      <c r="N27" s="208">
        <v>4</v>
      </c>
      <c r="O27" s="208">
        <v>0.6</v>
      </c>
      <c r="P27" s="208">
        <v>0.6</v>
      </c>
      <c r="Q27" s="245">
        <f t="shared" si="0"/>
        <v>0.6</v>
      </c>
      <c r="R27" s="208">
        <v>12.7</v>
      </c>
      <c r="S27" s="208">
        <v>98</v>
      </c>
      <c r="T27" s="217">
        <f t="shared" si="1"/>
        <v>36</v>
      </c>
      <c r="U27" s="208">
        <v>377</v>
      </c>
      <c r="V27" s="217">
        <f t="shared" si="2"/>
        <v>3393</v>
      </c>
      <c r="W27" s="208">
        <v>2</v>
      </c>
      <c r="X27" s="55" t="s">
        <v>46</v>
      </c>
      <c r="Y27" s="55" t="s">
        <v>78</v>
      </c>
      <c r="Z27" s="208" t="s">
        <v>88</v>
      </c>
      <c r="AA27" s="55" t="s">
        <v>55</v>
      </c>
      <c r="AB27" s="216" t="s">
        <v>344</v>
      </c>
      <c r="AP27" s="239" t="s">
        <v>118</v>
      </c>
    </row>
    <row r="28" spans="1:48" x14ac:dyDescent="0.15">
      <c r="A28" s="55" t="s">
        <v>56</v>
      </c>
      <c r="B28" s="55" t="s">
        <v>400</v>
      </c>
      <c r="C28" s="216">
        <v>2018</v>
      </c>
      <c r="D28" s="86" t="s">
        <v>401</v>
      </c>
      <c r="E28" s="216" t="s">
        <v>413</v>
      </c>
      <c r="F28" s="216" t="s">
        <v>414</v>
      </c>
      <c r="G28" s="55" t="s">
        <v>42</v>
      </c>
      <c r="H28" s="216" t="s">
        <v>157</v>
      </c>
      <c r="I28" s="55" t="s">
        <v>158</v>
      </c>
      <c r="J28" s="216" t="s">
        <v>38</v>
      </c>
      <c r="K28" s="216" t="s">
        <v>156</v>
      </c>
      <c r="L28" s="208">
        <v>3</v>
      </c>
      <c r="N28" s="208">
        <v>4</v>
      </c>
      <c r="O28" s="208">
        <v>0.55000000000000004</v>
      </c>
      <c r="P28" s="208">
        <v>0.55000000000000004</v>
      </c>
      <c r="Q28" s="245">
        <f t="shared" si="0"/>
        <v>0.55000000000000004</v>
      </c>
      <c r="R28" s="237">
        <v>12.6</v>
      </c>
      <c r="S28" s="208">
        <v>103</v>
      </c>
      <c r="T28" s="217">
        <f t="shared" si="1"/>
        <v>33</v>
      </c>
      <c r="U28" s="208">
        <v>377</v>
      </c>
      <c r="V28" s="217">
        <f t="shared" si="2"/>
        <v>3110.25</v>
      </c>
      <c r="W28" s="208">
        <v>2</v>
      </c>
      <c r="X28" s="55" t="s">
        <v>46</v>
      </c>
      <c r="Y28" s="55" t="s">
        <v>78</v>
      </c>
      <c r="Z28" s="208" t="s">
        <v>88</v>
      </c>
      <c r="AA28" s="55" t="s">
        <v>55</v>
      </c>
      <c r="AB28" s="216" t="s">
        <v>344</v>
      </c>
    </row>
    <row r="29" spans="1:48" x14ac:dyDescent="0.15">
      <c r="A29" s="55" t="s">
        <v>56</v>
      </c>
      <c r="B29" s="55" t="s">
        <v>400</v>
      </c>
      <c r="C29" s="216">
        <v>2018</v>
      </c>
      <c r="D29" s="86" t="s">
        <v>401</v>
      </c>
      <c r="E29" s="216" t="s">
        <v>413</v>
      </c>
      <c r="F29" s="216" t="s">
        <v>414</v>
      </c>
      <c r="G29" s="55" t="s">
        <v>42</v>
      </c>
      <c r="H29" s="216" t="s">
        <v>160</v>
      </c>
      <c r="I29" s="55" t="s">
        <v>155</v>
      </c>
      <c r="J29" s="216" t="s">
        <v>38</v>
      </c>
      <c r="K29" s="216" t="s">
        <v>156</v>
      </c>
      <c r="L29" s="208">
        <v>1</v>
      </c>
      <c r="N29" s="208">
        <v>1</v>
      </c>
      <c r="O29" s="208">
        <v>0.65</v>
      </c>
      <c r="P29" s="208">
        <v>0.7</v>
      </c>
      <c r="Q29" s="245">
        <f t="shared" si="0"/>
        <v>0.67500000000000004</v>
      </c>
      <c r="R29" s="208">
        <v>14.1</v>
      </c>
      <c r="S29" s="208">
        <v>124</v>
      </c>
      <c r="T29" s="217">
        <f t="shared" si="1"/>
        <v>27</v>
      </c>
      <c r="U29" s="208">
        <v>83</v>
      </c>
      <c r="V29" s="217">
        <f t="shared" si="2"/>
        <v>2241</v>
      </c>
      <c r="W29" s="208">
        <v>3</v>
      </c>
      <c r="X29" s="55" t="s">
        <v>46</v>
      </c>
      <c r="Y29" s="55" t="s">
        <v>78</v>
      </c>
      <c r="Z29" s="208" t="s">
        <v>88</v>
      </c>
      <c r="AA29" s="55" t="s">
        <v>55</v>
      </c>
      <c r="AB29" s="216" t="s">
        <v>344</v>
      </c>
    </row>
    <row r="30" spans="1:48" x14ac:dyDescent="0.15">
      <c r="A30" s="55" t="s">
        <v>56</v>
      </c>
      <c r="B30" s="55" t="s">
        <v>400</v>
      </c>
      <c r="C30" s="216">
        <v>2018</v>
      </c>
      <c r="D30" s="86" t="s">
        <v>401</v>
      </c>
      <c r="E30" s="216" t="s">
        <v>413</v>
      </c>
      <c r="F30" s="216" t="s">
        <v>414</v>
      </c>
      <c r="G30" s="55" t="s">
        <v>42</v>
      </c>
      <c r="H30" s="216" t="s">
        <v>160</v>
      </c>
      <c r="I30" s="55" t="s">
        <v>155</v>
      </c>
      <c r="J30" s="216" t="s">
        <v>38</v>
      </c>
      <c r="K30" s="216" t="s">
        <v>156</v>
      </c>
      <c r="L30" s="208">
        <v>2</v>
      </c>
      <c r="N30" s="208">
        <v>1</v>
      </c>
      <c r="O30" s="208">
        <v>0.55000000000000004</v>
      </c>
      <c r="P30" s="208">
        <v>0.6</v>
      </c>
      <c r="Q30" s="245">
        <f t="shared" si="0"/>
        <v>0.57499999999999996</v>
      </c>
      <c r="R30" s="208">
        <v>16.2</v>
      </c>
      <c r="S30" s="208">
        <v>118</v>
      </c>
      <c r="T30" s="217">
        <f t="shared" si="1"/>
        <v>30</v>
      </c>
      <c r="U30" s="208">
        <v>83</v>
      </c>
      <c r="V30" s="217">
        <f t="shared" si="2"/>
        <v>2490</v>
      </c>
      <c r="W30" s="208">
        <v>3</v>
      </c>
      <c r="X30" s="55" t="s">
        <v>46</v>
      </c>
      <c r="Y30" s="55" t="s">
        <v>78</v>
      </c>
      <c r="Z30" s="208" t="s">
        <v>88</v>
      </c>
      <c r="AA30" s="55" t="s">
        <v>55</v>
      </c>
      <c r="AB30" s="216" t="s">
        <v>344</v>
      </c>
    </row>
    <row r="31" spans="1:48" x14ac:dyDescent="0.15">
      <c r="A31" s="55" t="s">
        <v>56</v>
      </c>
      <c r="B31" s="55" t="s">
        <v>400</v>
      </c>
      <c r="C31" s="216">
        <v>2018</v>
      </c>
      <c r="D31" s="86" t="s">
        <v>401</v>
      </c>
      <c r="E31" s="216" t="s">
        <v>413</v>
      </c>
      <c r="F31" s="216" t="s">
        <v>414</v>
      </c>
      <c r="G31" s="55" t="s">
        <v>42</v>
      </c>
      <c r="H31" s="216" t="s">
        <v>160</v>
      </c>
      <c r="I31" s="55" t="s">
        <v>155</v>
      </c>
      <c r="J31" s="216" t="s">
        <v>38</v>
      </c>
      <c r="K31" s="216" t="s">
        <v>156</v>
      </c>
      <c r="L31" s="208">
        <v>3</v>
      </c>
      <c r="N31" s="208">
        <v>1</v>
      </c>
      <c r="O31" s="208">
        <v>0.7</v>
      </c>
      <c r="P31" s="208">
        <v>0.7</v>
      </c>
      <c r="Q31" s="245">
        <f t="shared" si="0"/>
        <v>0.7</v>
      </c>
      <c r="R31" s="237">
        <v>16.2</v>
      </c>
      <c r="S31" s="208">
        <v>120</v>
      </c>
      <c r="T31" s="217">
        <f t="shared" si="1"/>
        <v>30</v>
      </c>
      <c r="U31" s="208">
        <v>83</v>
      </c>
      <c r="V31" s="217">
        <f t="shared" si="2"/>
        <v>2490</v>
      </c>
      <c r="W31" s="208">
        <v>3</v>
      </c>
      <c r="X31" s="55" t="s">
        <v>46</v>
      </c>
      <c r="Y31" s="55" t="s">
        <v>78</v>
      </c>
      <c r="Z31" s="208" t="s">
        <v>88</v>
      </c>
      <c r="AA31" s="55" t="s">
        <v>55</v>
      </c>
      <c r="AB31" s="216" t="s">
        <v>344</v>
      </c>
    </row>
    <row r="32" spans="1:48" x14ac:dyDescent="0.15">
      <c r="A32" s="55" t="s">
        <v>56</v>
      </c>
      <c r="B32" s="55" t="s">
        <v>400</v>
      </c>
      <c r="C32" s="216">
        <v>2018</v>
      </c>
      <c r="D32" s="86" t="s">
        <v>401</v>
      </c>
      <c r="E32" s="216" t="s">
        <v>320</v>
      </c>
      <c r="F32" s="216" t="s">
        <v>168</v>
      </c>
      <c r="G32" s="55" t="s">
        <v>42</v>
      </c>
      <c r="H32" s="216" t="s">
        <v>157</v>
      </c>
      <c r="I32" s="55" t="s">
        <v>155</v>
      </c>
      <c r="J32" s="216" t="s">
        <v>38</v>
      </c>
      <c r="K32" s="216" t="s">
        <v>156</v>
      </c>
      <c r="L32" s="208">
        <v>1</v>
      </c>
      <c r="N32" s="208">
        <v>1</v>
      </c>
      <c r="O32" s="208">
        <v>0.7</v>
      </c>
      <c r="P32" s="208">
        <v>0.65</v>
      </c>
      <c r="Q32" s="245">
        <f t="shared" si="0"/>
        <v>0.67500000000000004</v>
      </c>
      <c r="R32" s="208">
        <v>14.4</v>
      </c>
      <c r="S32" s="208">
        <v>121</v>
      </c>
      <c r="T32" s="217">
        <f t="shared" si="1"/>
        <v>27</v>
      </c>
      <c r="U32" s="208">
        <v>84</v>
      </c>
      <c r="V32" s="217">
        <f t="shared" si="2"/>
        <v>2268</v>
      </c>
      <c r="W32" s="208">
        <v>6</v>
      </c>
      <c r="X32" s="55" t="s">
        <v>46</v>
      </c>
      <c r="Y32" s="55" t="s">
        <v>78</v>
      </c>
      <c r="Z32" s="208" t="s">
        <v>55</v>
      </c>
      <c r="AA32" s="55" t="s">
        <v>88</v>
      </c>
      <c r="AB32" s="216" t="s">
        <v>344</v>
      </c>
    </row>
    <row r="33" spans="1:28" x14ac:dyDescent="0.15">
      <c r="A33" s="55" t="s">
        <v>56</v>
      </c>
      <c r="B33" s="55" t="s">
        <v>400</v>
      </c>
      <c r="C33" s="216">
        <v>2018</v>
      </c>
      <c r="D33" s="86" t="s">
        <v>401</v>
      </c>
      <c r="E33" s="216" t="s">
        <v>320</v>
      </c>
      <c r="F33" s="216" t="s">
        <v>168</v>
      </c>
      <c r="G33" s="55" t="s">
        <v>42</v>
      </c>
      <c r="H33" s="216" t="s">
        <v>157</v>
      </c>
      <c r="I33" s="55" t="s">
        <v>155</v>
      </c>
      <c r="J33" s="216" t="s">
        <v>38</v>
      </c>
      <c r="K33" s="216" t="s">
        <v>156</v>
      </c>
      <c r="L33" s="208">
        <v>2</v>
      </c>
      <c r="N33" s="208">
        <v>1</v>
      </c>
      <c r="O33" s="208">
        <v>0.8</v>
      </c>
      <c r="P33" s="208">
        <v>0.75</v>
      </c>
      <c r="Q33" s="245">
        <f t="shared" si="0"/>
        <v>0.77500000000000002</v>
      </c>
      <c r="R33" s="208">
        <v>16.5</v>
      </c>
      <c r="S33" s="208">
        <v>120</v>
      </c>
      <c r="T33" s="217">
        <f t="shared" si="1"/>
        <v>30</v>
      </c>
      <c r="U33" s="208">
        <v>84</v>
      </c>
      <c r="V33" s="217">
        <f t="shared" si="2"/>
        <v>2520</v>
      </c>
      <c r="W33" s="208">
        <v>6</v>
      </c>
      <c r="X33" s="55" t="s">
        <v>46</v>
      </c>
      <c r="Y33" s="55" t="s">
        <v>78</v>
      </c>
      <c r="Z33" s="208" t="s">
        <v>55</v>
      </c>
      <c r="AA33" s="55" t="s">
        <v>88</v>
      </c>
      <c r="AB33" s="216" t="s">
        <v>344</v>
      </c>
    </row>
    <row r="34" spans="1:28" x14ac:dyDescent="0.15">
      <c r="A34" s="55" t="s">
        <v>56</v>
      </c>
      <c r="B34" s="55" t="s">
        <v>400</v>
      </c>
      <c r="C34" s="216">
        <v>2018</v>
      </c>
      <c r="D34" s="86" t="s">
        <v>401</v>
      </c>
      <c r="E34" s="216" t="s">
        <v>320</v>
      </c>
      <c r="F34" s="216" t="s">
        <v>168</v>
      </c>
      <c r="G34" s="55" t="s">
        <v>42</v>
      </c>
      <c r="H34" s="216" t="s">
        <v>157</v>
      </c>
      <c r="I34" s="55" t="s">
        <v>155</v>
      </c>
      <c r="J34" s="216" t="s">
        <v>38</v>
      </c>
      <c r="K34" s="216" t="s">
        <v>156</v>
      </c>
      <c r="L34" s="208">
        <v>3</v>
      </c>
      <c r="N34" s="208">
        <v>1</v>
      </c>
      <c r="O34" s="208">
        <v>0.85</v>
      </c>
      <c r="P34" s="208">
        <v>0.8</v>
      </c>
      <c r="Q34" s="245">
        <f t="shared" si="0"/>
        <v>0.82499999999999996</v>
      </c>
      <c r="R34" s="237">
        <v>14.7</v>
      </c>
      <c r="S34" s="208">
        <v>116</v>
      </c>
      <c r="T34" s="217">
        <f t="shared" si="1"/>
        <v>30</v>
      </c>
      <c r="U34" s="208">
        <v>84</v>
      </c>
      <c r="V34" s="217">
        <f t="shared" si="2"/>
        <v>2520</v>
      </c>
      <c r="W34" s="208">
        <v>6</v>
      </c>
      <c r="X34" s="55" t="s">
        <v>46</v>
      </c>
      <c r="Y34" s="55" t="s">
        <v>78</v>
      </c>
      <c r="Z34" s="208" t="s">
        <v>55</v>
      </c>
      <c r="AA34" s="55" t="s">
        <v>88</v>
      </c>
      <c r="AB34" s="216" t="s">
        <v>344</v>
      </c>
    </row>
    <row r="35" spans="1:28" x14ac:dyDescent="0.15">
      <c r="A35" s="55" t="s">
        <v>56</v>
      </c>
      <c r="B35" s="55" t="s">
        <v>400</v>
      </c>
      <c r="C35" s="216">
        <v>2018</v>
      </c>
      <c r="D35" s="86" t="s">
        <v>401</v>
      </c>
      <c r="E35" s="216" t="s">
        <v>320</v>
      </c>
      <c r="F35" s="216" t="s">
        <v>168</v>
      </c>
      <c r="G35" s="55" t="s">
        <v>42</v>
      </c>
      <c r="H35" s="216" t="s">
        <v>160</v>
      </c>
      <c r="I35" s="55" t="s">
        <v>155</v>
      </c>
      <c r="J35" s="216" t="s">
        <v>38</v>
      </c>
      <c r="K35" s="216" t="s">
        <v>156</v>
      </c>
      <c r="L35" s="208">
        <v>1</v>
      </c>
      <c r="N35" s="208">
        <v>1</v>
      </c>
      <c r="O35" s="208">
        <v>0.95</v>
      </c>
      <c r="P35" s="208">
        <v>0.95</v>
      </c>
      <c r="Q35" s="245">
        <f t="shared" si="0"/>
        <v>0.95</v>
      </c>
      <c r="R35" s="208">
        <v>14.9</v>
      </c>
      <c r="S35" s="208">
        <v>140</v>
      </c>
      <c r="T35" s="217">
        <f t="shared" si="1"/>
        <v>22</v>
      </c>
      <c r="U35" s="208">
        <v>149</v>
      </c>
      <c r="V35" s="217">
        <f t="shared" si="2"/>
        <v>3278</v>
      </c>
      <c r="W35" s="208">
        <v>2</v>
      </c>
      <c r="X35" s="55" t="s">
        <v>46</v>
      </c>
      <c r="Y35" s="55" t="s">
        <v>78</v>
      </c>
      <c r="Z35" s="208" t="s">
        <v>55</v>
      </c>
      <c r="AA35" s="55" t="s">
        <v>88</v>
      </c>
      <c r="AB35" s="216" t="s">
        <v>344</v>
      </c>
    </row>
    <row r="36" spans="1:28" x14ac:dyDescent="0.15">
      <c r="A36" s="55" t="s">
        <v>56</v>
      </c>
      <c r="B36" s="55" t="s">
        <v>400</v>
      </c>
      <c r="C36" s="216">
        <v>2018</v>
      </c>
      <c r="D36" s="86" t="s">
        <v>401</v>
      </c>
      <c r="E36" s="216" t="s">
        <v>320</v>
      </c>
      <c r="F36" s="216" t="s">
        <v>168</v>
      </c>
      <c r="G36" s="55" t="s">
        <v>42</v>
      </c>
      <c r="H36" s="216" t="s">
        <v>160</v>
      </c>
      <c r="I36" s="55" t="s">
        <v>155</v>
      </c>
      <c r="J36" s="216" t="s">
        <v>38</v>
      </c>
      <c r="K36" s="216" t="s">
        <v>156</v>
      </c>
      <c r="L36" s="208">
        <v>2</v>
      </c>
      <c r="N36" s="208">
        <v>1</v>
      </c>
      <c r="O36" s="208">
        <v>0.55000000000000004</v>
      </c>
      <c r="P36" s="208">
        <v>0.6</v>
      </c>
      <c r="Q36" s="245">
        <f t="shared" si="0"/>
        <v>0.57499999999999996</v>
      </c>
      <c r="R36" s="208">
        <v>16.2</v>
      </c>
      <c r="S36" s="208">
        <v>138</v>
      </c>
      <c r="T36" s="217">
        <f t="shared" si="1"/>
        <v>22</v>
      </c>
      <c r="U36" s="208">
        <v>149</v>
      </c>
      <c r="V36" s="217">
        <f t="shared" si="2"/>
        <v>3278</v>
      </c>
      <c r="W36" s="208">
        <v>2</v>
      </c>
      <c r="X36" s="55" t="s">
        <v>46</v>
      </c>
      <c r="Y36" s="55" t="s">
        <v>78</v>
      </c>
      <c r="Z36" s="208" t="s">
        <v>55</v>
      </c>
      <c r="AA36" s="55" t="s">
        <v>88</v>
      </c>
      <c r="AB36" s="216" t="s">
        <v>344</v>
      </c>
    </row>
    <row r="37" spans="1:28" x14ac:dyDescent="0.15">
      <c r="A37" s="55" t="s">
        <v>56</v>
      </c>
      <c r="B37" s="55" t="s">
        <v>400</v>
      </c>
      <c r="C37" s="216">
        <v>2018</v>
      </c>
      <c r="D37" s="86" t="s">
        <v>401</v>
      </c>
      <c r="E37" s="216" t="s">
        <v>320</v>
      </c>
      <c r="F37" s="216" t="s">
        <v>168</v>
      </c>
      <c r="G37" s="55" t="s">
        <v>42</v>
      </c>
      <c r="H37" s="216" t="s">
        <v>160</v>
      </c>
      <c r="I37" s="55" t="s">
        <v>155</v>
      </c>
      <c r="J37" s="216" t="s">
        <v>38</v>
      </c>
      <c r="K37" s="216" t="s">
        <v>156</v>
      </c>
      <c r="L37" s="208">
        <v>3</v>
      </c>
      <c r="N37" s="208">
        <v>1</v>
      </c>
      <c r="O37" s="208">
        <v>0.55000000000000004</v>
      </c>
      <c r="P37" s="208">
        <v>0.55000000000000004</v>
      </c>
      <c r="Q37" s="245">
        <f t="shared" si="0"/>
        <v>0.55000000000000004</v>
      </c>
      <c r="R37" s="208">
        <v>17.100000000000001</v>
      </c>
      <c r="S37" s="208">
        <v>146</v>
      </c>
      <c r="T37" s="217">
        <f t="shared" si="1"/>
        <v>22</v>
      </c>
      <c r="U37" s="208">
        <v>149</v>
      </c>
      <c r="V37" s="217">
        <f t="shared" si="2"/>
        <v>3278</v>
      </c>
      <c r="W37" s="208">
        <v>2</v>
      </c>
      <c r="X37" s="55" t="s">
        <v>46</v>
      </c>
      <c r="Y37" s="55" t="s">
        <v>78</v>
      </c>
      <c r="Z37" s="208" t="s">
        <v>55</v>
      </c>
      <c r="AA37" s="55" t="s">
        <v>88</v>
      </c>
      <c r="AB37" s="216" t="s">
        <v>344</v>
      </c>
    </row>
    <row r="38" spans="1:28" x14ac:dyDescent="0.15">
      <c r="A38" s="55" t="s">
        <v>56</v>
      </c>
      <c r="B38" s="55" t="s">
        <v>400</v>
      </c>
      <c r="C38" s="216">
        <v>2018</v>
      </c>
      <c r="D38" s="86" t="s">
        <v>401</v>
      </c>
      <c r="E38" s="216" t="s">
        <v>417</v>
      </c>
      <c r="F38" s="216" t="s">
        <v>168</v>
      </c>
      <c r="G38" s="55" t="s">
        <v>42</v>
      </c>
      <c r="H38" s="216" t="s">
        <v>157</v>
      </c>
      <c r="I38" s="55" t="s">
        <v>155</v>
      </c>
      <c r="J38" s="216" t="s">
        <v>38</v>
      </c>
      <c r="K38" s="216" t="s">
        <v>156</v>
      </c>
      <c r="L38" s="208">
        <v>1</v>
      </c>
      <c r="N38" s="208">
        <v>1</v>
      </c>
      <c r="O38" s="208">
        <v>0.85</v>
      </c>
      <c r="P38" s="208">
        <v>0.75</v>
      </c>
      <c r="Q38" s="217">
        <f t="shared" si="0"/>
        <v>0.8</v>
      </c>
      <c r="R38" s="208">
        <v>12.9</v>
      </c>
      <c r="S38" s="208">
        <v>130</v>
      </c>
      <c r="T38" s="217">
        <f t="shared" si="1"/>
        <v>25</v>
      </c>
      <c r="U38" s="208">
        <v>138</v>
      </c>
      <c r="V38" s="217">
        <f t="shared" si="2"/>
        <v>3450</v>
      </c>
      <c r="W38" s="208">
        <v>1</v>
      </c>
      <c r="X38" s="55" t="s">
        <v>39</v>
      </c>
      <c r="Y38" s="55" t="s">
        <v>88</v>
      </c>
      <c r="Z38" s="208" t="s">
        <v>78</v>
      </c>
      <c r="AA38" s="55" t="s">
        <v>97</v>
      </c>
      <c r="AB38" s="216" t="s">
        <v>344</v>
      </c>
    </row>
    <row r="39" spans="1:28" x14ac:dyDescent="0.15">
      <c r="A39" s="55" t="s">
        <v>56</v>
      </c>
      <c r="B39" s="55" t="s">
        <v>400</v>
      </c>
      <c r="C39" s="216">
        <v>2018</v>
      </c>
      <c r="D39" s="86" t="s">
        <v>401</v>
      </c>
      <c r="E39" s="216" t="s">
        <v>417</v>
      </c>
      <c r="F39" s="216" t="s">
        <v>168</v>
      </c>
      <c r="G39" s="55" t="s">
        <v>42</v>
      </c>
      <c r="H39" s="216" t="s">
        <v>157</v>
      </c>
      <c r="I39" s="55" t="s">
        <v>155</v>
      </c>
      <c r="J39" s="216" t="s">
        <v>38</v>
      </c>
      <c r="K39" s="216" t="s">
        <v>156</v>
      </c>
      <c r="L39" s="208">
        <v>2</v>
      </c>
      <c r="N39" s="208">
        <v>1</v>
      </c>
      <c r="O39" s="208">
        <v>0.65</v>
      </c>
      <c r="P39" s="208">
        <v>0.55000000000000004</v>
      </c>
      <c r="Q39" s="217">
        <f t="shared" si="0"/>
        <v>0.60000000000000009</v>
      </c>
      <c r="R39" s="208">
        <v>14.4</v>
      </c>
      <c r="S39" s="208">
        <v>128</v>
      </c>
      <c r="T39" s="217">
        <f t="shared" si="1"/>
        <v>27</v>
      </c>
      <c r="U39" s="208">
        <v>138</v>
      </c>
      <c r="V39" s="217">
        <f t="shared" si="2"/>
        <v>3726</v>
      </c>
      <c r="W39" s="208">
        <v>1</v>
      </c>
      <c r="X39" s="55" t="s">
        <v>39</v>
      </c>
      <c r="Y39" s="55" t="s">
        <v>88</v>
      </c>
      <c r="Z39" s="208" t="s">
        <v>78</v>
      </c>
      <c r="AA39" s="55" t="s">
        <v>97</v>
      </c>
      <c r="AB39" s="216" t="s">
        <v>344</v>
      </c>
    </row>
    <row r="40" spans="1:28" x14ac:dyDescent="0.15">
      <c r="A40" s="55" t="s">
        <v>56</v>
      </c>
      <c r="B40" s="55" t="s">
        <v>400</v>
      </c>
      <c r="C40" s="216">
        <v>2018</v>
      </c>
      <c r="D40" s="86" t="s">
        <v>401</v>
      </c>
      <c r="E40" s="216" t="s">
        <v>417</v>
      </c>
      <c r="F40" s="216" t="s">
        <v>168</v>
      </c>
      <c r="G40" s="55" t="s">
        <v>42</v>
      </c>
      <c r="H40" s="216" t="s">
        <v>157</v>
      </c>
      <c r="I40" s="55" t="s">
        <v>155</v>
      </c>
      <c r="J40" s="216" t="s">
        <v>38</v>
      </c>
      <c r="K40" s="216" t="s">
        <v>156</v>
      </c>
      <c r="L40" s="208">
        <v>3</v>
      </c>
      <c r="N40" s="208">
        <v>1</v>
      </c>
      <c r="O40" s="208">
        <v>0.65</v>
      </c>
      <c r="P40" s="208">
        <v>0.65</v>
      </c>
      <c r="Q40" s="217">
        <f t="shared" si="0"/>
        <v>0.65</v>
      </c>
      <c r="R40" s="208">
        <v>15.4</v>
      </c>
      <c r="S40" s="208">
        <v>132</v>
      </c>
      <c r="T40" s="217">
        <f t="shared" si="1"/>
        <v>25</v>
      </c>
      <c r="U40" s="208">
        <v>138</v>
      </c>
      <c r="V40" s="217">
        <f t="shared" si="2"/>
        <v>3450</v>
      </c>
      <c r="W40" s="208">
        <v>1</v>
      </c>
      <c r="X40" s="55" t="s">
        <v>39</v>
      </c>
      <c r="Y40" s="55" t="s">
        <v>88</v>
      </c>
      <c r="Z40" s="208" t="s">
        <v>78</v>
      </c>
      <c r="AA40" s="55" t="s">
        <v>97</v>
      </c>
      <c r="AB40" s="216" t="s">
        <v>344</v>
      </c>
    </row>
    <row r="41" spans="1:28" x14ac:dyDescent="0.15">
      <c r="A41" s="55" t="s">
        <v>56</v>
      </c>
      <c r="B41" s="55" t="s">
        <v>400</v>
      </c>
      <c r="C41" s="216">
        <v>2018</v>
      </c>
      <c r="D41" s="86" t="s">
        <v>401</v>
      </c>
      <c r="E41" s="216" t="s">
        <v>417</v>
      </c>
      <c r="F41" s="216" t="s">
        <v>168</v>
      </c>
      <c r="G41" s="55" t="s">
        <v>42</v>
      </c>
      <c r="H41" s="216" t="s">
        <v>160</v>
      </c>
      <c r="I41" s="55" t="s">
        <v>155</v>
      </c>
      <c r="J41" s="216" t="s">
        <v>38</v>
      </c>
      <c r="K41" s="216" t="s">
        <v>156</v>
      </c>
      <c r="L41" s="208">
        <v>1</v>
      </c>
      <c r="N41" s="208">
        <v>1</v>
      </c>
      <c r="O41" s="208">
        <v>0.5</v>
      </c>
      <c r="P41" s="208">
        <v>0.55000000000000004</v>
      </c>
      <c r="Q41" s="217">
        <f t="shared" si="0"/>
        <v>0.52500000000000002</v>
      </c>
      <c r="R41" s="208">
        <v>15.3</v>
      </c>
      <c r="S41" s="208">
        <v>123</v>
      </c>
      <c r="T41" s="217">
        <f t="shared" si="1"/>
        <v>27</v>
      </c>
      <c r="U41" s="208">
        <v>178</v>
      </c>
      <c r="V41" s="217">
        <f t="shared" si="2"/>
        <v>4806</v>
      </c>
      <c r="W41" s="208">
        <v>1</v>
      </c>
      <c r="X41" s="55" t="s">
        <v>39</v>
      </c>
      <c r="Y41" s="55" t="s">
        <v>88</v>
      </c>
      <c r="Z41" s="208" t="s">
        <v>78</v>
      </c>
      <c r="AA41" s="55" t="s">
        <v>97</v>
      </c>
      <c r="AB41" s="216" t="s">
        <v>344</v>
      </c>
    </row>
    <row r="42" spans="1:28" x14ac:dyDescent="0.15">
      <c r="A42" s="55" t="s">
        <v>56</v>
      </c>
      <c r="B42" s="55" t="s">
        <v>400</v>
      </c>
      <c r="C42" s="216">
        <v>2018</v>
      </c>
      <c r="D42" s="86" t="s">
        <v>401</v>
      </c>
      <c r="E42" s="216" t="s">
        <v>417</v>
      </c>
      <c r="F42" s="216" t="s">
        <v>168</v>
      </c>
      <c r="G42" s="55" t="s">
        <v>42</v>
      </c>
      <c r="H42" s="216" t="s">
        <v>160</v>
      </c>
      <c r="I42" s="55" t="s">
        <v>155</v>
      </c>
      <c r="J42" s="216" t="s">
        <v>38</v>
      </c>
      <c r="K42" s="216" t="s">
        <v>156</v>
      </c>
      <c r="L42" s="208">
        <v>2</v>
      </c>
      <c r="N42" s="208">
        <v>1</v>
      </c>
      <c r="O42" s="208">
        <v>0.6</v>
      </c>
      <c r="P42" s="208">
        <v>0.6</v>
      </c>
      <c r="Q42" s="217">
        <f t="shared" si="0"/>
        <v>0.6</v>
      </c>
      <c r="R42" s="208">
        <v>14.5</v>
      </c>
      <c r="S42" s="208">
        <v>128</v>
      </c>
      <c r="T42" s="217">
        <f t="shared" si="1"/>
        <v>27</v>
      </c>
      <c r="U42" s="208">
        <v>178</v>
      </c>
      <c r="V42" s="217">
        <f t="shared" si="2"/>
        <v>4806</v>
      </c>
      <c r="W42" s="208">
        <v>1</v>
      </c>
      <c r="X42" s="55" t="s">
        <v>39</v>
      </c>
      <c r="Y42" s="55" t="s">
        <v>88</v>
      </c>
      <c r="Z42" s="208" t="s">
        <v>78</v>
      </c>
      <c r="AA42" s="55" t="s">
        <v>97</v>
      </c>
      <c r="AB42" s="216" t="s">
        <v>344</v>
      </c>
    </row>
    <row r="43" spans="1:28" x14ac:dyDescent="0.15">
      <c r="A43" s="55" t="s">
        <v>56</v>
      </c>
      <c r="B43" s="55" t="s">
        <v>400</v>
      </c>
      <c r="C43" s="216">
        <v>2018</v>
      </c>
      <c r="D43" s="86" t="s">
        <v>401</v>
      </c>
      <c r="E43" s="216" t="s">
        <v>417</v>
      </c>
      <c r="F43" s="216" t="s">
        <v>168</v>
      </c>
      <c r="G43" s="55" t="s">
        <v>42</v>
      </c>
      <c r="H43" s="216" t="s">
        <v>160</v>
      </c>
      <c r="I43" s="55" t="s">
        <v>155</v>
      </c>
      <c r="J43" s="216" t="s">
        <v>38</v>
      </c>
      <c r="K43" s="216" t="s">
        <v>156</v>
      </c>
      <c r="L43" s="208">
        <v>3</v>
      </c>
      <c r="N43" s="208">
        <v>1</v>
      </c>
      <c r="O43" s="208">
        <v>0.6</v>
      </c>
      <c r="P43" s="208">
        <v>0.55000000000000004</v>
      </c>
      <c r="Q43" s="217">
        <f t="shared" si="0"/>
        <v>0.57499999999999996</v>
      </c>
      <c r="R43" s="208">
        <v>16.7</v>
      </c>
      <c r="S43" s="208">
        <v>131</v>
      </c>
      <c r="T43" s="217">
        <f t="shared" si="1"/>
        <v>25</v>
      </c>
      <c r="U43" s="208">
        <v>178</v>
      </c>
      <c r="V43" s="217">
        <f t="shared" si="2"/>
        <v>4450</v>
      </c>
      <c r="W43" s="208">
        <v>1</v>
      </c>
      <c r="X43" s="55" t="s">
        <v>39</v>
      </c>
      <c r="Y43" s="55" t="s">
        <v>88</v>
      </c>
      <c r="Z43" s="208" t="s">
        <v>78</v>
      </c>
      <c r="AA43" s="55" t="s">
        <v>97</v>
      </c>
      <c r="AB43" s="216" t="s">
        <v>344</v>
      </c>
    </row>
    <row r="44" spans="1:28" x14ac:dyDescent="0.15">
      <c r="A44" s="55" t="s">
        <v>56</v>
      </c>
      <c r="B44" s="55" t="s">
        <v>400</v>
      </c>
      <c r="C44" s="216">
        <v>2018</v>
      </c>
      <c r="D44" s="86" t="s">
        <v>401</v>
      </c>
      <c r="E44" s="216" t="s">
        <v>169</v>
      </c>
      <c r="F44" s="216" t="s">
        <v>414</v>
      </c>
      <c r="G44" s="55" t="s">
        <v>42</v>
      </c>
      <c r="H44" s="216" t="s">
        <v>157</v>
      </c>
      <c r="I44" s="55" t="s">
        <v>158</v>
      </c>
      <c r="J44" s="216" t="s">
        <v>38</v>
      </c>
      <c r="K44" s="216" t="s">
        <v>156</v>
      </c>
      <c r="L44" s="208">
        <v>1</v>
      </c>
      <c r="N44" s="208">
        <v>1</v>
      </c>
      <c r="O44" s="208">
        <v>0.95</v>
      </c>
      <c r="P44" s="208">
        <v>1</v>
      </c>
      <c r="Q44" s="217">
        <f t="shared" si="0"/>
        <v>0.97499999999999998</v>
      </c>
      <c r="R44" s="208">
        <v>13.3</v>
      </c>
      <c r="S44" s="208">
        <v>123</v>
      </c>
      <c r="T44" s="217">
        <f t="shared" si="1"/>
        <v>27</v>
      </c>
      <c r="U44" s="208">
        <v>172</v>
      </c>
      <c r="V44" s="217">
        <f t="shared" si="2"/>
        <v>4644</v>
      </c>
      <c r="W44" s="208">
        <v>2</v>
      </c>
      <c r="X44" s="55" t="s">
        <v>39</v>
      </c>
      <c r="Y44" s="55" t="s">
        <v>55</v>
      </c>
      <c r="Z44" s="208" t="s">
        <v>106</v>
      </c>
      <c r="AA44" s="55" t="s">
        <v>90</v>
      </c>
      <c r="AB44" s="216" t="s">
        <v>344</v>
      </c>
    </row>
    <row r="45" spans="1:28" x14ac:dyDescent="0.15">
      <c r="A45" s="55" t="s">
        <v>56</v>
      </c>
      <c r="B45" s="55" t="s">
        <v>400</v>
      </c>
      <c r="C45" s="216">
        <v>2018</v>
      </c>
      <c r="D45" s="86" t="s">
        <v>401</v>
      </c>
      <c r="E45" s="216" t="s">
        <v>169</v>
      </c>
      <c r="F45" s="216" t="s">
        <v>414</v>
      </c>
      <c r="G45" s="55" t="s">
        <v>42</v>
      </c>
      <c r="H45" s="216" t="s">
        <v>157</v>
      </c>
      <c r="I45" s="55" t="s">
        <v>158</v>
      </c>
      <c r="J45" s="216" t="s">
        <v>38</v>
      </c>
      <c r="K45" s="216" t="s">
        <v>156</v>
      </c>
      <c r="L45" s="208">
        <v>2</v>
      </c>
      <c r="N45" s="208">
        <v>1</v>
      </c>
      <c r="O45" s="208">
        <v>0.75</v>
      </c>
      <c r="P45" s="208">
        <v>0.65</v>
      </c>
      <c r="Q45" s="217">
        <f t="shared" si="0"/>
        <v>0.7</v>
      </c>
      <c r="R45" s="208">
        <v>13.2</v>
      </c>
      <c r="S45" s="208">
        <v>119</v>
      </c>
      <c r="T45" s="217">
        <f t="shared" si="1"/>
        <v>30</v>
      </c>
      <c r="U45" s="208">
        <v>172</v>
      </c>
      <c r="V45" s="217">
        <f t="shared" si="2"/>
        <v>5160</v>
      </c>
      <c r="W45" s="208">
        <v>2</v>
      </c>
      <c r="X45" s="55" t="s">
        <v>39</v>
      </c>
      <c r="Y45" s="55" t="s">
        <v>55</v>
      </c>
      <c r="Z45" s="208" t="s">
        <v>106</v>
      </c>
      <c r="AA45" s="55" t="s">
        <v>90</v>
      </c>
      <c r="AB45" s="216" t="s">
        <v>344</v>
      </c>
    </row>
    <row r="46" spans="1:28" x14ac:dyDescent="0.15">
      <c r="A46" s="55" t="s">
        <v>56</v>
      </c>
      <c r="B46" s="55" t="s">
        <v>400</v>
      </c>
      <c r="C46" s="216">
        <v>2018</v>
      </c>
      <c r="D46" s="86" t="s">
        <v>401</v>
      </c>
      <c r="E46" s="216" t="s">
        <v>169</v>
      </c>
      <c r="F46" s="216" t="s">
        <v>414</v>
      </c>
      <c r="G46" s="55" t="s">
        <v>42</v>
      </c>
      <c r="H46" s="216" t="s">
        <v>157</v>
      </c>
      <c r="I46" s="55" t="s">
        <v>158</v>
      </c>
      <c r="J46" s="216" t="s">
        <v>38</v>
      </c>
      <c r="K46" s="216" t="s">
        <v>156</v>
      </c>
      <c r="L46" s="208">
        <v>3</v>
      </c>
      <c r="N46" s="208">
        <v>1</v>
      </c>
      <c r="O46" s="208">
        <v>0.95</v>
      </c>
      <c r="P46" s="208">
        <v>0.9</v>
      </c>
      <c r="Q46" s="217">
        <f t="shared" si="0"/>
        <v>0.92500000000000004</v>
      </c>
      <c r="R46" s="208">
        <v>12.8</v>
      </c>
      <c r="S46" s="208">
        <v>125</v>
      </c>
      <c r="T46" s="217">
        <f t="shared" si="1"/>
        <v>27</v>
      </c>
      <c r="U46" s="208">
        <v>172</v>
      </c>
      <c r="V46" s="217">
        <f t="shared" si="2"/>
        <v>4644</v>
      </c>
      <c r="W46" s="208">
        <v>2</v>
      </c>
      <c r="X46" s="55" t="s">
        <v>39</v>
      </c>
      <c r="Y46" s="55" t="s">
        <v>55</v>
      </c>
      <c r="Z46" s="208" t="s">
        <v>106</v>
      </c>
      <c r="AA46" s="55" t="s">
        <v>90</v>
      </c>
      <c r="AB46" s="216" t="s">
        <v>344</v>
      </c>
    </row>
    <row r="47" spans="1:28" x14ac:dyDescent="0.15">
      <c r="A47" s="55" t="s">
        <v>56</v>
      </c>
      <c r="B47" s="55" t="s">
        <v>400</v>
      </c>
      <c r="C47" s="216">
        <v>2018</v>
      </c>
      <c r="D47" s="86" t="s">
        <v>401</v>
      </c>
      <c r="E47" s="216" t="s">
        <v>169</v>
      </c>
      <c r="F47" s="216" t="s">
        <v>414</v>
      </c>
      <c r="G47" s="55" t="s">
        <v>42</v>
      </c>
      <c r="H47" s="216" t="s">
        <v>160</v>
      </c>
      <c r="I47" s="55" t="s">
        <v>158</v>
      </c>
      <c r="J47" s="216" t="s">
        <v>38</v>
      </c>
      <c r="K47" s="216" t="s">
        <v>156</v>
      </c>
      <c r="L47" s="208">
        <v>1</v>
      </c>
      <c r="N47" s="208">
        <v>1</v>
      </c>
      <c r="O47" s="208">
        <v>0.65</v>
      </c>
      <c r="P47" s="208">
        <v>0.65</v>
      </c>
      <c r="Q47" s="217">
        <f t="shared" si="0"/>
        <v>0.65</v>
      </c>
      <c r="R47" s="208">
        <v>12.7</v>
      </c>
      <c r="S47" s="208">
        <v>136</v>
      </c>
      <c r="T47" s="217">
        <f t="shared" si="1"/>
        <v>25</v>
      </c>
      <c r="U47" s="208">
        <v>172</v>
      </c>
      <c r="V47" s="217">
        <f t="shared" si="2"/>
        <v>4300</v>
      </c>
      <c r="W47" s="208">
        <v>6</v>
      </c>
      <c r="X47" s="55" t="s">
        <v>39</v>
      </c>
      <c r="Y47" s="55" t="s">
        <v>55</v>
      </c>
      <c r="Z47" s="208" t="s">
        <v>106</v>
      </c>
      <c r="AA47" s="55" t="s">
        <v>90</v>
      </c>
      <c r="AB47" s="216" t="s">
        <v>344</v>
      </c>
    </row>
    <row r="48" spans="1:28" x14ac:dyDescent="0.15">
      <c r="A48" s="55" t="s">
        <v>56</v>
      </c>
      <c r="B48" s="55" t="s">
        <v>400</v>
      </c>
      <c r="C48" s="216">
        <v>2018</v>
      </c>
      <c r="D48" s="86" t="s">
        <v>401</v>
      </c>
      <c r="E48" s="216" t="s">
        <v>169</v>
      </c>
      <c r="F48" s="216" t="s">
        <v>414</v>
      </c>
      <c r="G48" s="55" t="s">
        <v>42</v>
      </c>
      <c r="H48" s="216" t="s">
        <v>160</v>
      </c>
      <c r="I48" s="55" t="s">
        <v>158</v>
      </c>
      <c r="J48" s="216" t="s">
        <v>38</v>
      </c>
      <c r="K48" s="216" t="s">
        <v>156</v>
      </c>
      <c r="L48" s="208">
        <v>2</v>
      </c>
      <c r="N48" s="208">
        <v>1</v>
      </c>
      <c r="O48" s="208">
        <v>0.55000000000000004</v>
      </c>
      <c r="P48" s="208">
        <v>0.55000000000000004</v>
      </c>
      <c r="Q48" s="217">
        <f t="shared" si="0"/>
        <v>0.55000000000000004</v>
      </c>
      <c r="R48" s="208">
        <v>16.2</v>
      </c>
      <c r="S48" s="208">
        <v>132</v>
      </c>
      <c r="T48" s="217">
        <f t="shared" si="1"/>
        <v>25</v>
      </c>
      <c r="U48" s="208">
        <v>172</v>
      </c>
      <c r="V48" s="217">
        <f t="shared" si="2"/>
        <v>4300</v>
      </c>
      <c r="W48" s="208">
        <v>6</v>
      </c>
      <c r="X48" s="55" t="s">
        <v>39</v>
      </c>
      <c r="Y48" s="55" t="s">
        <v>55</v>
      </c>
      <c r="Z48" s="208" t="s">
        <v>106</v>
      </c>
      <c r="AA48" s="55" t="s">
        <v>90</v>
      </c>
      <c r="AB48" s="216" t="s">
        <v>344</v>
      </c>
    </row>
    <row r="49" spans="1:28" x14ac:dyDescent="0.15">
      <c r="A49" s="55" t="s">
        <v>56</v>
      </c>
      <c r="B49" s="55" t="s">
        <v>400</v>
      </c>
      <c r="C49" s="216">
        <v>2018</v>
      </c>
      <c r="D49" s="86" t="s">
        <v>401</v>
      </c>
      <c r="E49" s="216" t="s">
        <v>169</v>
      </c>
      <c r="F49" s="216" t="s">
        <v>414</v>
      </c>
      <c r="G49" s="55" t="s">
        <v>42</v>
      </c>
      <c r="H49" s="216" t="s">
        <v>160</v>
      </c>
      <c r="I49" s="55" t="s">
        <v>158</v>
      </c>
      <c r="J49" s="216" t="s">
        <v>38</v>
      </c>
      <c r="K49" s="216" t="s">
        <v>156</v>
      </c>
      <c r="L49" s="208">
        <v>3</v>
      </c>
      <c r="N49" s="208">
        <v>1</v>
      </c>
      <c r="O49" s="208">
        <v>0.65</v>
      </c>
      <c r="P49" s="208">
        <v>0.6</v>
      </c>
      <c r="Q49" s="217">
        <f t="shared" si="0"/>
        <v>0.625</v>
      </c>
      <c r="R49" s="208">
        <v>16</v>
      </c>
      <c r="S49" s="208">
        <v>132</v>
      </c>
      <c r="T49" s="217">
        <f t="shared" si="1"/>
        <v>25</v>
      </c>
      <c r="U49" s="208">
        <v>172</v>
      </c>
      <c r="V49" s="217">
        <f t="shared" si="2"/>
        <v>4300</v>
      </c>
      <c r="W49" s="208">
        <v>6</v>
      </c>
      <c r="X49" s="55" t="s">
        <v>39</v>
      </c>
      <c r="Y49" s="55" t="s">
        <v>55</v>
      </c>
      <c r="Z49" s="208" t="s">
        <v>106</v>
      </c>
      <c r="AA49" s="55" t="s">
        <v>90</v>
      </c>
      <c r="AB49" s="216" t="s">
        <v>344</v>
      </c>
    </row>
    <row r="50" spans="1:28" x14ac:dyDescent="0.15">
      <c r="A50" s="55" t="s">
        <v>56</v>
      </c>
      <c r="B50" s="55" t="s">
        <v>400</v>
      </c>
      <c r="C50" s="216">
        <v>2018</v>
      </c>
      <c r="D50" s="86" t="s">
        <v>401</v>
      </c>
      <c r="E50" s="216" t="s">
        <v>320</v>
      </c>
      <c r="F50" s="216" t="s">
        <v>414</v>
      </c>
      <c r="G50" s="55" t="s">
        <v>42</v>
      </c>
      <c r="H50" s="216" t="s">
        <v>157</v>
      </c>
      <c r="I50" s="55" t="s">
        <v>155</v>
      </c>
      <c r="J50" s="216" t="s">
        <v>38</v>
      </c>
      <c r="K50" s="216" t="s">
        <v>156</v>
      </c>
      <c r="L50" s="208">
        <v>1</v>
      </c>
      <c r="N50" s="208">
        <v>1</v>
      </c>
      <c r="O50" s="208">
        <v>0.85</v>
      </c>
      <c r="P50" s="208">
        <v>0.75</v>
      </c>
      <c r="Q50" s="217">
        <f t="shared" si="0"/>
        <v>0.8</v>
      </c>
      <c r="R50" s="208">
        <v>13.9</v>
      </c>
      <c r="S50" s="208">
        <v>116</v>
      </c>
      <c r="T50" s="217">
        <f t="shared" si="1"/>
        <v>30</v>
      </c>
      <c r="U50" s="208">
        <v>84</v>
      </c>
      <c r="V50" s="217">
        <f t="shared" si="2"/>
        <v>2520</v>
      </c>
      <c r="W50" s="208">
        <v>3</v>
      </c>
      <c r="X50" s="55" t="s">
        <v>46</v>
      </c>
      <c r="Y50" s="55" t="s">
        <v>88</v>
      </c>
      <c r="Z50" s="208" t="s">
        <v>55</v>
      </c>
      <c r="AA50" s="55" t="s">
        <v>90</v>
      </c>
      <c r="AB50" s="216" t="s">
        <v>344</v>
      </c>
    </row>
    <row r="51" spans="1:28" x14ac:dyDescent="0.15">
      <c r="A51" s="55" t="s">
        <v>56</v>
      </c>
      <c r="B51" s="55" t="s">
        <v>400</v>
      </c>
      <c r="C51" s="216">
        <v>2018</v>
      </c>
      <c r="D51" s="86" t="s">
        <v>401</v>
      </c>
      <c r="E51" s="216" t="s">
        <v>320</v>
      </c>
      <c r="F51" s="216" t="s">
        <v>414</v>
      </c>
      <c r="G51" s="55" t="s">
        <v>42</v>
      </c>
      <c r="H51" s="216" t="s">
        <v>157</v>
      </c>
      <c r="I51" s="55" t="s">
        <v>155</v>
      </c>
      <c r="J51" s="216" t="s">
        <v>38</v>
      </c>
      <c r="K51" s="216" t="s">
        <v>156</v>
      </c>
      <c r="L51" s="208">
        <v>2</v>
      </c>
      <c r="N51" s="208">
        <v>1</v>
      </c>
      <c r="O51" s="208">
        <v>0.8</v>
      </c>
      <c r="P51" s="208">
        <v>0.8</v>
      </c>
      <c r="Q51" s="217">
        <f t="shared" si="0"/>
        <v>0.8</v>
      </c>
      <c r="R51" s="208">
        <v>13.2</v>
      </c>
      <c r="S51" s="208">
        <v>117</v>
      </c>
      <c r="T51" s="217">
        <f t="shared" si="1"/>
        <v>30</v>
      </c>
      <c r="U51" s="208">
        <v>84</v>
      </c>
      <c r="V51" s="217">
        <f t="shared" si="2"/>
        <v>2520</v>
      </c>
      <c r="W51" s="208">
        <v>3</v>
      </c>
      <c r="X51" s="55" t="s">
        <v>46</v>
      </c>
      <c r="Y51" s="55" t="s">
        <v>88</v>
      </c>
      <c r="Z51" s="208" t="s">
        <v>55</v>
      </c>
      <c r="AA51" s="55" t="s">
        <v>90</v>
      </c>
      <c r="AB51" s="216" t="s">
        <v>344</v>
      </c>
    </row>
    <row r="52" spans="1:28" x14ac:dyDescent="0.15">
      <c r="A52" s="55" t="s">
        <v>56</v>
      </c>
      <c r="B52" s="55" t="s">
        <v>400</v>
      </c>
      <c r="C52" s="216">
        <v>2018</v>
      </c>
      <c r="D52" s="86" t="s">
        <v>401</v>
      </c>
      <c r="E52" s="216" t="s">
        <v>320</v>
      </c>
      <c r="F52" s="216" t="s">
        <v>414</v>
      </c>
      <c r="G52" s="55" t="s">
        <v>42</v>
      </c>
      <c r="H52" s="216" t="s">
        <v>157</v>
      </c>
      <c r="I52" s="55" t="s">
        <v>155</v>
      </c>
      <c r="J52" s="216" t="s">
        <v>38</v>
      </c>
      <c r="K52" s="216" t="s">
        <v>156</v>
      </c>
      <c r="L52" s="208">
        <v>3</v>
      </c>
      <c r="N52" s="208">
        <v>1</v>
      </c>
      <c r="O52" s="208">
        <v>0.8</v>
      </c>
      <c r="P52" s="208">
        <v>0.8</v>
      </c>
      <c r="Q52" s="217">
        <f t="shared" si="0"/>
        <v>0.8</v>
      </c>
      <c r="R52" s="208">
        <v>13.5</v>
      </c>
      <c r="S52" s="208">
        <v>117</v>
      </c>
      <c r="T52" s="217">
        <f t="shared" si="1"/>
        <v>30</v>
      </c>
      <c r="U52" s="208">
        <v>84</v>
      </c>
      <c r="V52" s="217">
        <f t="shared" si="2"/>
        <v>2520</v>
      </c>
      <c r="W52" s="208">
        <v>3</v>
      </c>
      <c r="X52" s="55" t="s">
        <v>46</v>
      </c>
      <c r="Y52" s="55" t="s">
        <v>88</v>
      </c>
      <c r="Z52" s="208" t="s">
        <v>55</v>
      </c>
      <c r="AA52" s="55" t="s">
        <v>90</v>
      </c>
      <c r="AB52" s="216" t="s">
        <v>344</v>
      </c>
    </row>
    <row r="53" spans="1:28" x14ac:dyDescent="0.15">
      <c r="A53" s="55" t="s">
        <v>56</v>
      </c>
      <c r="B53" s="55" t="s">
        <v>400</v>
      </c>
      <c r="C53" s="216">
        <v>2018</v>
      </c>
      <c r="D53" s="86" t="s">
        <v>401</v>
      </c>
      <c r="E53" s="216" t="s">
        <v>320</v>
      </c>
      <c r="F53" s="216" t="s">
        <v>414</v>
      </c>
      <c r="G53" s="55" t="s">
        <v>42</v>
      </c>
      <c r="H53" s="216" t="s">
        <v>160</v>
      </c>
      <c r="I53" s="55" t="s">
        <v>155</v>
      </c>
      <c r="J53" s="216" t="s">
        <v>38</v>
      </c>
      <c r="K53" s="216" t="s">
        <v>156</v>
      </c>
      <c r="L53" s="208">
        <v>1</v>
      </c>
      <c r="N53" s="208">
        <v>1</v>
      </c>
      <c r="O53" s="208">
        <v>0.75</v>
      </c>
      <c r="P53" s="208">
        <v>0.75</v>
      </c>
      <c r="Q53" s="217">
        <f t="shared" si="0"/>
        <v>0.75</v>
      </c>
      <c r="R53" s="208">
        <v>15.2</v>
      </c>
      <c r="S53" s="208">
        <v>144</v>
      </c>
      <c r="T53" s="217">
        <f t="shared" si="1"/>
        <v>22</v>
      </c>
      <c r="U53" s="208">
        <v>149</v>
      </c>
      <c r="V53" s="217">
        <f t="shared" si="2"/>
        <v>3278</v>
      </c>
      <c r="W53" s="208">
        <v>3</v>
      </c>
      <c r="X53" s="55" t="s">
        <v>46</v>
      </c>
      <c r="Y53" s="55" t="s">
        <v>88</v>
      </c>
      <c r="Z53" s="208" t="s">
        <v>55</v>
      </c>
      <c r="AA53" s="55" t="s">
        <v>90</v>
      </c>
      <c r="AB53" s="216" t="s">
        <v>344</v>
      </c>
    </row>
    <row r="54" spans="1:28" x14ac:dyDescent="0.15">
      <c r="A54" s="55" t="s">
        <v>56</v>
      </c>
      <c r="B54" s="55" t="s">
        <v>400</v>
      </c>
      <c r="C54" s="216">
        <v>2018</v>
      </c>
      <c r="D54" s="86" t="s">
        <v>401</v>
      </c>
      <c r="E54" s="216" t="s">
        <v>320</v>
      </c>
      <c r="F54" s="216" t="s">
        <v>414</v>
      </c>
      <c r="G54" s="55" t="s">
        <v>42</v>
      </c>
      <c r="H54" s="216" t="s">
        <v>160</v>
      </c>
      <c r="I54" s="55" t="s">
        <v>155</v>
      </c>
      <c r="J54" s="216" t="s">
        <v>38</v>
      </c>
      <c r="K54" s="216" t="s">
        <v>156</v>
      </c>
      <c r="L54" s="208">
        <v>2</v>
      </c>
      <c r="N54" s="208">
        <v>1</v>
      </c>
      <c r="O54" s="208">
        <v>0.65</v>
      </c>
      <c r="P54" s="208">
        <v>0.6</v>
      </c>
      <c r="Q54" s="217">
        <f t="shared" si="0"/>
        <v>0.625</v>
      </c>
      <c r="R54" s="208">
        <v>15.2</v>
      </c>
      <c r="S54" s="208">
        <v>144</v>
      </c>
      <c r="T54" s="217">
        <f t="shared" si="1"/>
        <v>22</v>
      </c>
      <c r="U54" s="208">
        <v>149</v>
      </c>
      <c r="V54" s="217">
        <f t="shared" si="2"/>
        <v>3278</v>
      </c>
      <c r="W54" s="208">
        <v>3</v>
      </c>
      <c r="X54" s="55" t="s">
        <v>46</v>
      </c>
      <c r="Y54" s="55" t="s">
        <v>88</v>
      </c>
      <c r="Z54" s="208" t="s">
        <v>55</v>
      </c>
      <c r="AA54" s="55" t="s">
        <v>90</v>
      </c>
      <c r="AB54" s="216" t="s">
        <v>344</v>
      </c>
    </row>
    <row r="55" spans="1:28" x14ac:dyDescent="0.15">
      <c r="A55" s="55" t="s">
        <v>56</v>
      </c>
      <c r="B55" s="55" t="s">
        <v>400</v>
      </c>
      <c r="C55" s="216">
        <v>2018</v>
      </c>
      <c r="D55" s="86" t="s">
        <v>401</v>
      </c>
      <c r="E55" s="216" t="s">
        <v>320</v>
      </c>
      <c r="F55" s="216" t="s">
        <v>414</v>
      </c>
      <c r="G55" s="55" t="s">
        <v>42</v>
      </c>
      <c r="H55" s="216" t="s">
        <v>160</v>
      </c>
      <c r="I55" s="55" t="s">
        <v>155</v>
      </c>
      <c r="J55" s="216" t="s">
        <v>38</v>
      </c>
      <c r="K55" s="216" t="s">
        <v>156</v>
      </c>
      <c r="L55" s="208">
        <v>3</v>
      </c>
      <c r="N55" s="208">
        <v>1</v>
      </c>
      <c r="O55" s="208">
        <v>0.65</v>
      </c>
      <c r="P55" s="208">
        <v>0.65</v>
      </c>
      <c r="Q55" s="217">
        <f t="shared" si="0"/>
        <v>0.65</v>
      </c>
      <c r="R55" s="208">
        <v>16</v>
      </c>
      <c r="S55" s="208">
        <v>144</v>
      </c>
      <c r="T55" s="217">
        <f t="shared" si="1"/>
        <v>22</v>
      </c>
      <c r="U55" s="208">
        <v>149</v>
      </c>
      <c r="V55" s="217">
        <f t="shared" si="2"/>
        <v>3278</v>
      </c>
      <c r="W55" s="208">
        <v>3</v>
      </c>
      <c r="X55" s="55" t="s">
        <v>46</v>
      </c>
      <c r="Y55" s="55" t="s">
        <v>88</v>
      </c>
      <c r="Z55" s="208" t="s">
        <v>55</v>
      </c>
      <c r="AA55" s="55" t="s">
        <v>90</v>
      </c>
      <c r="AB55" s="216" t="s">
        <v>344</v>
      </c>
    </row>
    <row r="56" spans="1:28" x14ac:dyDescent="0.15">
      <c r="A56" s="55" t="s">
        <v>56</v>
      </c>
      <c r="B56" s="55" t="s">
        <v>400</v>
      </c>
      <c r="C56" s="216">
        <v>2018</v>
      </c>
      <c r="D56" s="86" t="s">
        <v>401</v>
      </c>
      <c r="E56" s="216" t="s">
        <v>381</v>
      </c>
      <c r="F56" s="216" t="s">
        <v>414</v>
      </c>
      <c r="G56" s="55" t="s">
        <v>42</v>
      </c>
      <c r="H56" s="216" t="s">
        <v>157</v>
      </c>
      <c r="I56" s="55" t="s">
        <v>155</v>
      </c>
      <c r="J56" s="216" t="s">
        <v>38</v>
      </c>
      <c r="K56" s="216" t="s">
        <v>156</v>
      </c>
      <c r="L56" s="208">
        <v>1</v>
      </c>
      <c r="N56" s="208">
        <v>1</v>
      </c>
      <c r="O56" s="208">
        <v>0.7</v>
      </c>
      <c r="P56" s="208">
        <v>0.7</v>
      </c>
      <c r="Q56" s="217">
        <f t="shared" si="0"/>
        <v>0.7</v>
      </c>
      <c r="R56" s="208">
        <v>15.2</v>
      </c>
      <c r="S56" s="208">
        <v>142</v>
      </c>
      <c r="T56" s="217">
        <f t="shared" si="1"/>
        <v>22</v>
      </c>
      <c r="U56" s="208">
        <v>138</v>
      </c>
      <c r="V56" s="217">
        <f t="shared" si="2"/>
        <v>3036</v>
      </c>
      <c r="W56" s="208">
        <v>6</v>
      </c>
      <c r="X56" s="55" t="s">
        <v>46</v>
      </c>
      <c r="Y56" s="55" t="s">
        <v>88</v>
      </c>
      <c r="Z56" s="208" t="s">
        <v>55</v>
      </c>
      <c r="AA56" s="55" t="s">
        <v>78</v>
      </c>
      <c r="AB56" s="216" t="s">
        <v>344</v>
      </c>
    </row>
    <row r="57" spans="1:28" x14ac:dyDescent="0.15">
      <c r="A57" s="55" t="s">
        <v>56</v>
      </c>
      <c r="B57" s="55" t="s">
        <v>400</v>
      </c>
      <c r="C57" s="216">
        <v>2018</v>
      </c>
      <c r="D57" s="86" t="s">
        <v>401</v>
      </c>
      <c r="E57" s="216" t="s">
        <v>381</v>
      </c>
      <c r="F57" s="216" t="s">
        <v>414</v>
      </c>
      <c r="G57" s="55" t="s">
        <v>42</v>
      </c>
      <c r="H57" s="216" t="s">
        <v>157</v>
      </c>
      <c r="I57" s="55" t="s">
        <v>155</v>
      </c>
      <c r="J57" s="216" t="s">
        <v>38</v>
      </c>
      <c r="K57" s="216" t="s">
        <v>156</v>
      </c>
      <c r="L57" s="208">
        <v>2</v>
      </c>
      <c r="N57" s="208">
        <v>1</v>
      </c>
      <c r="O57" s="208">
        <v>0.7</v>
      </c>
      <c r="P57" s="208">
        <v>0.8</v>
      </c>
      <c r="Q57" s="217">
        <f t="shared" si="0"/>
        <v>0.75</v>
      </c>
      <c r="R57" s="208">
        <v>14.9</v>
      </c>
      <c r="S57" s="208">
        <v>139</v>
      </c>
      <c r="T57" s="217">
        <f t="shared" si="1"/>
        <v>22</v>
      </c>
      <c r="U57" s="208">
        <v>138</v>
      </c>
      <c r="V57" s="217">
        <f t="shared" si="2"/>
        <v>3036</v>
      </c>
      <c r="W57" s="208">
        <v>6</v>
      </c>
      <c r="X57" s="55" t="s">
        <v>46</v>
      </c>
      <c r="Y57" s="55" t="s">
        <v>88</v>
      </c>
      <c r="Z57" s="208" t="s">
        <v>55</v>
      </c>
      <c r="AA57" s="55" t="s">
        <v>78</v>
      </c>
      <c r="AB57" s="216" t="s">
        <v>344</v>
      </c>
    </row>
    <row r="58" spans="1:28" x14ac:dyDescent="0.15">
      <c r="A58" s="55" t="s">
        <v>56</v>
      </c>
      <c r="B58" s="55" t="s">
        <v>400</v>
      </c>
      <c r="C58" s="216">
        <v>2018</v>
      </c>
      <c r="D58" s="86" t="s">
        <v>401</v>
      </c>
      <c r="E58" s="216" t="s">
        <v>381</v>
      </c>
      <c r="F58" s="216" t="s">
        <v>414</v>
      </c>
      <c r="G58" s="55" t="s">
        <v>42</v>
      </c>
      <c r="H58" s="216" t="s">
        <v>157</v>
      </c>
      <c r="I58" s="55" t="s">
        <v>155</v>
      </c>
      <c r="J58" s="216" t="s">
        <v>38</v>
      </c>
      <c r="K58" s="216" t="s">
        <v>156</v>
      </c>
      <c r="L58" s="208">
        <v>3</v>
      </c>
      <c r="N58" s="208">
        <v>1</v>
      </c>
      <c r="O58" s="208">
        <v>0.65</v>
      </c>
      <c r="P58" s="208">
        <v>0.7</v>
      </c>
      <c r="Q58" s="217">
        <f t="shared" si="0"/>
        <v>0.67500000000000004</v>
      </c>
      <c r="R58" s="208">
        <v>15.4</v>
      </c>
      <c r="S58" s="208">
        <v>135</v>
      </c>
      <c r="T58" s="217">
        <f t="shared" si="1"/>
        <v>25</v>
      </c>
      <c r="U58" s="208">
        <v>138</v>
      </c>
      <c r="V58" s="217">
        <f t="shared" si="2"/>
        <v>3450</v>
      </c>
      <c r="W58" s="208">
        <v>6</v>
      </c>
      <c r="X58" s="55" t="s">
        <v>46</v>
      </c>
      <c r="Y58" s="55" t="s">
        <v>88</v>
      </c>
      <c r="Z58" s="208" t="s">
        <v>55</v>
      </c>
      <c r="AA58" s="55" t="s">
        <v>78</v>
      </c>
      <c r="AB58" s="216" t="s">
        <v>344</v>
      </c>
    </row>
    <row r="59" spans="1:28" x14ac:dyDescent="0.15">
      <c r="A59" s="55" t="s">
        <v>56</v>
      </c>
      <c r="B59" s="55" t="s">
        <v>400</v>
      </c>
      <c r="C59" s="216">
        <v>2018</v>
      </c>
      <c r="D59" s="86" t="s">
        <v>401</v>
      </c>
      <c r="E59" s="216" t="s">
        <v>381</v>
      </c>
      <c r="F59" s="216" t="s">
        <v>414</v>
      </c>
      <c r="G59" s="55" t="s">
        <v>42</v>
      </c>
      <c r="H59" s="216" t="s">
        <v>160</v>
      </c>
      <c r="I59" s="55" t="s">
        <v>155</v>
      </c>
      <c r="J59" s="216" t="s">
        <v>38</v>
      </c>
      <c r="K59" s="216" t="s">
        <v>156</v>
      </c>
      <c r="L59" s="208">
        <v>1</v>
      </c>
      <c r="N59" s="208">
        <v>5</v>
      </c>
      <c r="O59" s="208">
        <v>0.6</v>
      </c>
      <c r="P59" s="208">
        <v>0.6</v>
      </c>
      <c r="Q59" s="217">
        <f t="shared" si="0"/>
        <v>0.6</v>
      </c>
      <c r="R59" s="208">
        <v>14.6</v>
      </c>
      <c r="S59" s="208">
        <v>104</v>
      </c>
      <c r="T59" s="217">
        <f t="shared" si="1"/>
        <v>33</v>
      </c>
      <c r="U59" s="208">
        <v>518</v>
      </c>
      <c r="V59" s="217">
        <f t="shared" si="2"/>
        <v>3418.7999999999997</v>
      </c>
      <c r="W59" s="208">
        <v>6</v>
      </c>
      <c r="X59" s="55" t="s">
        <v>46</v>
      </c>
      <c r="Y59" s="55" t="s">
        <v>88</v>
      </c>
      <c r="Z59" s="208" t="s">
        <v>55</v>
      </c>
      <c r="AA59" s="55" t="s">
        <v>78</v>
      </c>
      <c r="AB59" s="216" t="s">
        <v>344</v>
      </c>
    </row>
    <row r="60" spans="1:28" x14ac:dyDescent="0.15">
      <c r="A60" s="55" t="s">
        <v>56</v>
      </c>
      <c r="B60" s="55" t="s">
        <v>400</v>
      </c>
      <c r="C60" s="216">
        <v>2018</v>
      </c>
      <c r="D60" s="86" t="s">
        <v>401</v>
      </c>
      <c r="E60" s="216" t="s">
        <v>381</v>
      </c>
      <c r="F60" s="216" t="s">
        <v>414</v>
      </c>
      <c r="G60" s="55" t="s">
        <v>42</v>
      </c>
      <c r="H60" s="216" t="s">
        <v>160</v>
      </c>
      <c r="I60" s="55" t="s">
        <v>155</v>
      </c>
      <c r="J60" s="216" t="s">
        <v>38</v>
      </c>
      <c r="K60" s="216" t="s">
        <v>156</v>
      </c>
      <c r="L60" s="208">
        <v>2</v>
      </c>
      <c r="N60" s="208">
        <v>5</v>
      </c>
      <c r="O60" s="208">
        <v>0.6</v>
      </c>
      <c r="P60" s="208">
        <v>0.55000000000000004</v>
      </c>
      <c r="Q60" s="217">
        <f t="shared" si="0"/>
        <v>0.57499999999999996</v>
      </c>
      <c r="R60" s="208">
        <v>17</v>
      </c>
      <c r="S60" s="208">
        <v>105</v>
      </c>
      <c r="T60" s="217">
        <f t="shared" si="1"/>
        <v>33</v>
      </c>
      <c r="U60" s="208">
        <v>518</v>
      </c>
      <c r="V60" s="217">
        <f t="shared" si="2"/>
        <v>3418.7999999999997</v>
      </c>
      <c r="W60" s="208">
        <v>6</v>
      </c>
      <c r="X60" s="55" t="s">
        <v>46</v>
      </c>
      <c r="Y60" s="55" t="s">
        <v>88</v>
      </c>
      <c r="Z60" s="208" t="s">
        <v>55</v>
      </c>
      <c r="AA60" s="55" t="s">
        <v>78</v>
      </c>
      <c r="AB60" s="216" t="s">
        <v>344</v>
      </c>
    </row>
    <row r="61" spans="1:28" x14ac:dyDescent="0.15">
      <c r="A61" s="55" t="s">
        <v>56</v>
      </c>
      <c r="B61" s="55" t="s">
        <v>400</v>
      </c>
      <c r="C61" s="216">
        <v>2018</v>
      </c>
      <c r="D61" s="86" t="s">
        <v>401</v>
      </c>
      <c r="E61" s="216" t="s">
        <v>381</v>
      </c>
      <c r="F61" s="216" t="s">
        <v>414</v>
      </c>
      <c r="G61" s="55" t="s">
        <v>42</v>
      </c>
      <c r="H61" s="216" t="s">
        <v>160</v>
      </c>
      <c r="I61" s="55" t="s">
        <v>155</v>
      </c>
      <c r="J61" s="216" t="s">
        <v>38</v>
      </c>
      <c r="K61" s="216" t="s">
        <v>156</v>
      </c>
      <c r="L61" s="208">
        <v>3</v>
      </c>
      <c r="N61" s="208">
        <v>5</v>
      </c>
      <c r="O61" s="208">
        <v>0.5</v>
      </c>
      <c r="P61" s="208">
        <v>0.5</v>
      </c>
      <c r="Q61" s="217">
        <f t="shared" si="0"/>
        <v>0.5</v>
      </c>
      <c r="R61" s="208">
        <v>16.8</v>
      </c>
      <c r="S61" s="208">
        <v>99</v>
      </c>
      <c r="T61" s="217">
        <f t="shared" si="1"/>
        <v>33</v>
      </c>
      <c r="U61" s="208">
        <v>518</v>
      </c>
      <c r="V61" s="217">
        <f t="shared" si="2"/>
        <v>3418.7999999999997</v>
      </c>
      <c r="W61" s="208">
        <v>6</v>
      </c>
      <c r="X61" s="55" t="s">
        <v>46</v>
      </c>
      <c r="Y61" s="55" t="s">
        <v>88</v>
      </c>
      <c r="Z61" s="208" t="s">
        <v>55</v>
      </c>
      <c r="AA61" s="55" t="s">
        <v>78</v>
      </c>
      <c r="AB61" s="216" t="s">
        <v>344</v>
      </c>
    </row>
    <row r="62" spans="1:28" x14ac:dyDescent="0.15">
      <c r="A62" s="55" t="s">
        <v>56</v>
      </c>
      <c r="B62" s="55" t="s">
        <v>400</v>
      </c>
      <c r="C62" s="216">
        <v>2018</v>
      </c>
      <c r="D62" s="86" t="s">
        <v>401</v>
      </c>
      <c r="E62" s="216" t="s">
        <v>418</v>
      </c>
      <c r="F62" s="216" t="s">
        <v>414</v>
      </c>
      <c r="G62" s="55" t="s">
        <v>42</v>
      </c>
      <c r="H62" s="216" t="s">
        <v>157</v>
      </c>
      <c r="I62" s="55" t="s">
        <v>155</v>
      </c>
      <c r="J62" s="216" t="s">
        <v>38</v>
      </c>
      <c r="K62" s="216" t="s">
        <v>156</v>
      </c>
      <c r="L62" s="208">
        <v>1</v>
      </c>
      <c r="N62" s="208">
        <v>5</v>
      </c>
      <c r="O62" s="208">
        <v>0.5</v>
      </c>
      <c r="P62" s="208">
        <v>0.5</v>
      </c>
      <c r="Q62" s="217">
        <f t="shared" si="0"/>
        <v>0.5</v>
      </c>
      <c r="R62" s="208">
        <v>14.1</v>
      </c>
      <c r="S62" s="208">
        <v>107</v>
      </c>
      <c r="T62" s="217">
        <f t="shared" si="1"/>
        <v>33</v>
      </c>
      <c r="U62" s="208">
        <v>430</v>
      </c>
      <c r="V62" s="217">
        <f t="shared" si="2"/>
        <v>2838</v>
      </c>
      <c r="W62" s="208">
        <v>8</v>
      </c>
      <c r="X62" s="55" t="s">
        <v>46</v>
      </c>
      <c r="Y62" s="55" t="s">
        <v>88</v>
      </c>
      <c r="Z62" s="208" t="s">
        <v>55</v>
      </c>
      <c r="AA62" s="55" t="s">
        <v>78</v>
      </c>
      <c r="AB62" s="216" t="s">
        <v>344</v>
      </c>
    </row>
    <row r="63" spans="1:28" x14ac:dyDescent="0.15">
      <c r="A63" s="55" t="s">
        <v>56</v>
      </c>
      <c r="B63" s="55" t="s">
        <v>400</v>
      </c>
      <c r="C63" s="216">
        <v>2018</v>
      </c>
      <c r="D63" s="86" t="s">
        <v>401</v>
      </c>
      <c r="E63" s="216" t="s">
        <v>418</v>
      </c>
      <c r="F63" s="216" t="s">
        <v>414</v>
      </c>
      <c r="G63" s="55" t="s">
        <v>42</v>
      </c>
      <c r="H63" s="216" t="s">
        <v>157</v>
      </c>
      <c r="I63" s="55" t="s">
        <v>155</v>
      </c>
      <c r="J63" s="216" t="s">
        <v>38</v>
      </c>
      <c r="K63" s="216" t="s">
        <v>156</v>
      </c>
      <c r="L63" s="208">
        <v>2</v>
      </c>
      <c r="N63" s="208">
        <v>5</v>
      </c>
      <c r="O63" s="208">
        <v>0.6</v>
      </c>
      <c r="P63" s="208">
        <v>0.55000000000000004</v>
      </c>
      <c r="Q63" s="217">
        <f t="shared" si="0"/>
        <v>0.57499999999999996</v>
      </c>
      <c r="R63" s="208">
        <v>13</v>
      </c>
      <c r="S63" s="208">
        <v>100</v>
      </c>
      <c r="T63" s="217">
        <f t="shared" si="1"/>
        <v>33</v>
      </c>
      <c r="U63" s="208">
        <v>430</v>
      </c>
      <c r="V63" s="217">
        <f t="shared" si="2"/>
        <v>2838</v>
      </c>
      <c r="W63" s="208">
        <v>8</v>
      </c>
      <c r="X63" s="55" t="s">
        <v>46</v>
      </c>
      <c r="Y63" s="55" t="s">
        <v>88</v>
      </c>
      <c r="Z63" s="208" t="s">
        <v>55</v>
      </c>
      <c r="AA63" s="55" t="s">
        <v>78</v>
      </c>
      <c r="AB63" s="216" t="s">
        <v>344</v>
      </c>
    </row>
    <row r="64" spans="1:28" x14ac:dyDescent="0.15">
      <c r="A64" s="55" t="s">
        <v>56</v>
      </c>
      <c r="B64" s="55" t="s">
        <v>400</v>
      </c>
      <c r="C64" s="216">
        <v>2018</v>
      </c>
      <c r="D64" s="86" t="s">
        <v>401</v>
      </c>
      <c r="E64" s="216" t="s">
        <v>418</v>
      </c>
      <c r="F64" s="216" t="s">
        <v>414</v>
      </c>
      <c r="G64" s="55" t="s">
        <v>42</v>
      </c>
      <c r="H64" s="216" t="s">
        <v>157</v>
      </c>
      <c r="I64" s="55" t="s">
        <v>155</v>
      </c>
      <c r="J64" s="216" t="s">
        <v>38</v>
      </c>
      <c r="K64" s="216" t="s">
        <v>156</v>
      </c>
      <c r="L64" s="208">
        <v>3</v>
      </c>
      <c r="N64" s="208">
        <v>5</v>
      </c>
      <c r="O64" s="208">
        <v>0.55000000000000004</v>
      </c>
      <c r="P64" s="208">
        <v>0.55000000000000004</v>
      </c>
      <c r="Q64" s="217">
        <f t="shared" si="0"/>
        <v>0.55000000000000004</v>
      </c>
      <c r="R64" s="208">
        <v>12.6</v>
      </c>
      <c r="S64" s="208">
        <v>105</v>
      </c>
      <c r="T64" s="217">
        <f t="shared" si="1"/>
        <v>33</v>
      </c>
      <c r="U64" s="208">
        <v>430</v>
      </c>
      <c r="V64" s="217">
        <f t="shared" si="2"/>
        <v>2838</v>
      </c>
      <c r="W64" s="208">
        <v>8</v>
      </c>
      <c r="X64" s="55" t="s">
        <v>46</v>
      </c>
      <c r="Y64" s="55" t="s">
        <v>88</v>
      </c>
      <c r="Z64" s="208" t="s">
        <v>55</v>
      </c>
      <c r="AA64" s="55" t="s">
        <v>78</v>
      </c>
      <c r="AB64" s="216" t="s">
        <v>344</v>
      </c>
    </row>
    <row r="65" spans="1:28" x14ac:dyDescent="0.15">
      <c r="A65" s="55" t="s">
        <v>56</v>
      </c>
      <c r="B65" s="55" t="s">
        <v>400</v>
      </c>
      <c r="C65" s="216">
        <v>2018</v>
      </c>
      <c r="D65" s="86" t="s">
        <v>401</v>
      </c>
      <c r="E65" s="216" t="s">
        <v>418</v>
      </c>
      <c r="F65" s="216" t="s">
        <v>414</v>
      </c>
      <c r="G65" s="55" t="s">
        <v>42</v>
      </c>
      <c r="H65" s="216" t="s">
        <v>160</v>
      </c>
      <c r="I65" s="55" t="s">
        <v>155</v>
      </c>
      <c r="J65" s="216" t="s">
        <v>38</v>
      </c>
      <c r="K65" s="216" t="s">
        <v>156</v>
      </c>
      <c r="L65" s="208">
        <v>1</v>
      </c>
      <c r="N65" s="208">
        <v>5</v>
      </c>
      <c r="O65" s="208">
        <v>0.6</v>
      </c>
      <c r="P65" s="208">
        <v>0.6</v>
      </c>
      <c r="Q65" s="217">
        <f t="shared" si="0"/>
        <v>0.6</v>
      </c>
      <c r="R65" s="208">
        <v>17.2</v>
      </c>
      <c r="S65" s="208">
        <v>130</v>
      </c>
      <c r="T65" s="217">
        <f t="shared" si="1"/>
        <v>25</v>
      </c>
      <c r="U65" s="208">
        <v>646</v>
      </c>
      <c r="V65" s="217">
        <f t="shared" si="2"/>
        <v>3229.9999999999995</v>
      </c>
      <c r="W65" s="208">
        <v>8</v>
      </c>
      <c r="X65" s="55" t="s">
        <v>46</v>
      </c>
      <c r="Y65" s="55" t="s">
        <v>88</v>
      </c>
      <c r="Z65" s="208" t="s">
        <v>55</v>
      </c>
      <c r="AA65" s="55" t="s">
        <v>78</v>
      </c>
      <c r="AB65" s="216" t="s">
        <v>344</v>
      </c>
    </row>
    <row r="66" spans="1:28" x14ac:dyDescent="0.15">
      <c r="A66" s="55" t="s">
        <v>56</v>
      </c>
      <c r="B66" s="55" t="s">
        <v>400</v>
      </c>
      <c r="C66" s="216">
        <v>2018</v>
      </c>
      <c r="D66" s="86" t="s">
        <v>401</v>
      </c>
      <c r="E66" s="216" t="s">
        <v>418</v>
      </c>
      <c r="F66" s="216" t="s">
        <v>414</v>
      </c>
      <c r="G66" s="55" t="s">
        <v>42</v>
      </c>
      <c r="H66" s="216" t="s">
        <v>160</v>
      </c>
      <c r="I66" s="55" t="s">
        <v>155</v>
      </c>
      <c r="J66" s="216" t="s">
        <v>38</v>
      </c>
      <c r="K66" s="216" t="s">
        <v>156</v>
      </c>
      <c r="L66" s="208">
        <v>2</v>
      </c>
      <c r="N66" s="208">
        <v>5</v>
      </c>
      <c r="O66" s="208">
        <v>0.55000000000000004</v>
      </c>
      <c r="P66" s="208">
        <v>0.55000000000000004</v>
      </c>
      <c r="Q66" s="217">
        <f t="shared" si="0"/>
        <v>0.55000000000000004</v>
      </c>
      <c r="R66" s="208">
        <v>17</v>
      </c>
      <c r="S66" s="208">
        <v>131</v>
      </c>
      <c r="T66" s="217">
        <f t="shared" si="1"/>
        <v>25</v>
      </c>
      <c r="U66" s="208">
        <v>646</v>
      </c>
      <c r="V66" s="217">
        <f t="shared" si="2"/>
        <v>3229.9999999999995</v>
      </c>
      <c r="W66" s="208">
        <v>8</v>
      </c>
      <c r="X66" s="55" t="s">
        <v>46</v>
      </c>
      <c r="Y66" s="55" t="s">
        <v>88</v>
      </c>
      <c r="Z66" s="208" t="s">
        <v>55</v>
      </c>
      <c r="AA66" s="55" t="s">
        <v>78</v>
      </c>
      <c r="AB66" s="216" t="s">
        <v>344</v>
      </c>
    </row>
    <row r="67" spans="1:28" x14ac:dyDescent="0.15">
      <c r="A67" s="55" t="s">
        <v>56</v>
      </c>
      <c r="B67" s="55" t="s">
        <v>400</v>
      </c>
      <c r="C67" s="216">
        <v>2018</v>
      </c>
      <c r="D67" s="86" t="s">
        <v>401</v>
      </c>
      <c r="E67" s="216" t="s">
        <v>418</v>
      </c>
      <c r="F67" s="216" t="s">
        <v>414</v>
      </c>
      <c r="G67" s="55" t="s">
        <v>42</v>
      </c>
      <c r="H67" s="216" t="s">
        <v>160</v>
      </c>
      <c r="I67" s="55" t="s">
        <v>155</v>
      </c>
      <c r="J67" s="216" t="s">
        <v>38</v>
      </c>
      <c r="K67" s="216" t="s">
        <v>156</v>
      </c>
      <c r="L67" s="208">
        <v>3</v>
      </c>
      <c r="N67" s="208">
        <v>5</v>
      </c>
      <c r="O67" s="208">
        <v>0.6</v>
      </c>
      <c r="P67" s="208">
        <v>0.6</v>
      </c>
      <c r="Q67" s="217">
        <f t="shared" si="0"/>
        <v>0.6</v>
      </c>
      <c r="R67" s="208">
        <v>15.9</v>
      </c>
      <c r="S67" s="208">
        <v>116</v>
      </c>
      <c r="T67" s="217">
        <f t="shared" si="1"/>
        <v>30</v>
      </c>
      <c r="U67" s="208">
        <v>646</v>
      </c>
      <c r="V67" s="217">
        <f t="shared" si="2"/>
        <v>3875.9999999999995</v>
      </c>
      <c r="W67" s="208">
        <v>8</v>
      </c>
      <c r="X67" s="55" t="s">
        <v>46</v>
      </c>
      <c r="Y67" s="55" t="s">
        <v>88</v>
      </c>
      <c r="Z67" s="208" t="s">
        <v>55</v>
      </c>
      <c r="AA67" s="55" t="s">
        <v>78</v>
      </c>
      <c r="AB67" s="216" t="s">
        <v>344</v>
      </c>
    </row>
    <row r="68" spans="1:28" x14ac:dyDescent="0.15">
      <c r="A68" s="55"/>
      <c r="B68" s="55"/>
      <c r="C68" s="216"/>
      <c r="D68" s="86"/>
      <c r="E68" s="216"/>
      <c r="F68" s="216"/>
      <c r="G68" s="55"/>
      <c r="H68" s="216"/>
      <c r="I68" s="55"/>
      <c r="J68" s="216"/>
      <c r="K68" s="216"/>
      <c r="X68" s="55"/>
      <c r="Y68" s="55"/>
      <c r="AA68" s="55"/>
    </row>
    <row r="69" spans="1:28" x14ac:dyDescent="0.15">
      <c r="A69" s="55"/>
      <c r="B69" s="55"/>
      <c r="C69" s="216"/>
      <c r="D69" s="86"/>
      <c r="E69" s="216"/>
      <c r="F69" s="216"/>
      <c r="G69" s="55"/>
      <c r="H69" s="216"/>
      <c r="I69" s="55"/>
      <c r="J69" s="216"/>
      <c r="K69" s="216"/>
      <c r="X69" s="55"/>
      <c r="Y69" s="55"/>
      <c r="AA69" s="55"/>
    </row>
    <row r="70" spans="1:28" x14ac:dyDescent="0.15">
      <c r="A70" s="55"/>
      <c r="B70" s="55"/>
      <c r="C70" s="216"/>
      <c r="D70" s="86"/>
      <c r="E70" s="216"/>
      <c r="F70" s="216"/>
      <c r="G70" s="55"/>
      <c r="H70" s="216"/>
      <c r="I70" s="55"/>
      <c r="J70" s="216"/>
      <c r="K70" s="216"/>
      <c r="X70" s="55"/>
      <c r="Y70" s="55"/>
      <c r="AA70" s="55"/>
    </row>
    <row r="71" spans="1:28" x14ac:dyDescent="0.15">
      <c r="A71" s="55"/>
      <c r="B71" s="55"/>
      <c r="C71" s="216"/>
      <c r="D71" s="86"/>
      <c r="E71" s="216"/>
      <c r="F71" s="216"/>
      <c r="G71" s="55"/>
      <c r="H71" s="216"/>
      <c r="I71" s="55"/>
      <c r="J71" s="216"/>
      <c r="K71" s="216"/>
      <c r="X71" s="55"/>
      <c r="Y71" s="55"/>
      <c r="AA71" s="55"/>
    </row>
    <row r="72" spans="1:28" x14ac:dyDescent="0.15">
      <c r="A72" s="55"/>
      <c r="B72" s="55"/>
      <c r="C72" s="216"/>
      <c r="D72" s="86"/>
      <c r="E72" s="216"/>
      <c r="F72" s="216"/>
      <c r="G72" s="55"/>
      <c r="H72" s="216"/>
      <c r="I72" s="55"/>
      <c r="J72" s="216"/>
      <c r="K72" s="216"/>
      <c r="X72" s="55"/>
      <c r="Y72" s="55"/>
      <c r="AA72" s="55"/>
    </row>
    <row r="73" spans="1:28" x14ac:dyDescent="0.15">
      <c r="A73" s="55"/>
      <c r="B73" s="55"/>
      <c r="C73" s="216"/>
      <c r="D73" s="86"/>
      <c r="E73" s="216"/>
      <c r="F73" s="216"/>
      <c r="G73" s="55"/>
      <c r="H73" s="216"/>
      <c r="I73" s="55"/>
      <c r="J73" s="216"/>
      <c r="K73" s="216"/>
      <c r="X73" s="55"/>
      <c r="Y73" s="55"/>
      <c r="AA73" s="55"/>
    </row>
    <row r="74" spans="1:28" x14ac:dyDescent="0.15">
      <c r="A74" s="55"/>
      <c r="B74" s="55"/>
      <c r="C74" s="216"/>
      <c r="D74" s="86"/>
      <c r="E74" s="216"/>
      <c r="F74" s="216"/>
      <c r="G74" s="55"/>
      <c r="H74" s="216"/>
      <c r="I74" s="55"/>
      <c r="J74" s="216"/>
      <c r="K74" s="216"/>
      <c r="X74" s="55"/>
      <c r="Y74" s="55"/>
      <c r="AA74" s="55"/>
    </row>
    <row r="75" spans="1:28" x14ac:dyDescent="0.15">
      <c r="A75" s="55"/>
      <c r="B75" s="55"/>
      <c r="C75" s="216"/>
      <c r="D75" s="86"/>
      <c r="E75" s="216"/>
      <c r="F75" s="216"/>
      <c r="G75" s="55"/>
      <c r="H75" s="216"/>
      <c r="I75" s="55"/>
      <c r="J75" s="216"/>
      <c r="K75" s="216"/>
      <c r="X75" s="55"/>
      <c r="Y75" s="55"/>
      <c r="AA75" s="55"/>
    </row>
    <row r="76" spans="1:28" x14ac:dyDescent="0.15">
      <c r="A76" s="55"/>
      <c r="B76" s="55"/>
      <c r="C76" s="216"/>
      <c r="D76" s="86"/>
      <c r="E76" s="216"/>
      <c r="F76" s="216"/>
      <c r="G76" s="55"/>
      <c r="H76" s="216"/>
      <c r="I76" s="55"/>
      <c r="J76" s="216"/>
      <c r="K76" s="216"/>
      <c r="X76" s="55"/>
      <c r="Y76" s="55"/>
      <c r="AA76" s="55"/>
    </row>
    <row r="77" spans="1:28" x14ac:dyDescent="0.15">
      <c r="A77" s="55"/>
      <c r="B77" s="55"/>
      <c r="C77" s="216"/>
      <c r="D77" s="86"/>
      <c r="E77" s="216"/>
      <c r="F77" s="216"/>
      <c r="G77" s="55"/>
      <c r="H77" s="216"/>
      <c r="I77" s="55"/>
      <c r="J77" s="216"/>
      <c r="K77" s="216"/>
      <c r="X77" s="55"/>
      <c r="Y77" s="55"/>
      <c r="AA77" s="55"/>
    </row>
    <row r="78" spans="1:28" x14ac:dyDescent="0.15">
      <c r="A78" s="55"/>
      <c r="B78" s="55"/>
      <c r="C78" s="216"/>
      <c r="D78" s="86"/>
      <c r="E78" s="216"/>
      <c r="F78" s="216"/>
      <c r="G78" s="55"/>
      <c r="H78" s="216"/>
      <c r="I78" s="55"/>
      <c r="J78" s="216"/>
      <c r="K78" s="216"/>
      <c r="X78" s="55"/>
      <c r="Y78" s="55"/>
      <c r="AA78" s="55"/>
    </row>
    <row r="79" spans="1:28" x14ac:dyDescent="0.15">
      <c r="A79" s="55"/>
      <c r="B79" s="55"/>
      <c r="C79" s="216"/>
      <c r="D79" s="86"/>
      <c r="E79" s="216"/>
      <c r="F79" s="216"/>
      <c r="G79" s="55"/>
      <c r="H79" s="216"/>
      <c r="I79" s="55"/>
      <c r="J79" s="216"/>
      <c r="K79" s="216"/>
      <c r="X79" s="55"/>
      <c r="Y79" s="55"/>
      <c r="AA79" s="55"/>
    </row>
    <row r="80" spans="1:28" x14ac:dyDescent="0.15">
      <c r="A80" s="55"/>
      <c r="B80" s="55"/>
      <c r="C80" s="216"/>
      <c r="D80" s="86"/>
      <c r="E80" s="216"/>
      <c r="F80" s="216"/>
      <c r="G80" s="55"/>
      <c r="H80" s="216"/>
      <c r="I80" s="55"/>
      <c r="J80" s="216"/>
      <c r="K80" s="216"/>
      <c r="X80" s="55"/>
      <c r="Y80" s="55"/>
      <c r="AA80" s="55"/>
    </row>
    <row r="81" spans="1:27" x14ac:dyDescent="0.15">
      <c r="A81" s="55"/>
      <c r="B81" s="55"/>
      <c r="C81" s="216"/>
      <c r="D81" s="86"/>
      <c r="E81" s="216"/>
      <c r="F81" s="216"/>
      <c r="G81" s="55"/>
      <c r="H81" s="216"/>
      <c r="I81" s="55"/>
      <c r="J81" s="216"/>
      <c r="K81" s="216"/>
      <c r="X81" s="55"/>
      <c r="Y81" s="55"/>
      <c r="AA81" s="55"/>
    </row>
    <row r="82" spans="1:27" x14ac:dyDescent="0.15">
      <c r="A82" s="55"/>
      <c r="B82" s="55"/>
      <c r="C82" s="216"/>
      <c r="D82" s="86"/>
      <c r="E82" s="216"/>
      <c r="F82" s="216"/>
      <c r="G82" s="55"/>
      <c r="H82" s="216"/>
      <c r="I82" s="55"/>
      <c r="J82" s="216"/>
      <c r="K82" s="216"/>
      <c r="X82" s="55"/>
      <c r="Y82" s="55"/>
      <c r="AA82" s="55"/>
    </row>
    <row r="83" spans="1:27" x14ac:dyDescent="0.15">
      <c r="E83" s="216"/>
      <c r="F83" s="216"/>
      <c r="G83" s="55"/>
      <c r="H83" s="216"/>
      <c r="I83" s="55"/>
      <c r="J83" s="216"/>
      <c r="K83" s="216"/>
      <c r="X83" s="55"/>
      <c r="Y83" s="55"/>
      <c r="AA83" s="55"/>
    </row>
    <row r="84" spans="1:27" x14ac:dyDescent="0.15">
      <c r="E84" s="216"/>
      <c r="F84" s="216"/>
      <c r="G84" s="55"/>
      <c r="H84" s="216"/>
      <c r="I84" s="55"/>
      <c r="J84" s="216"/>
      <c r="K84" s="216"/>
      <c r="X84" s="55"/>
      <c r="Y84" s="55"/>
      <c r="AA84" s="55"/>
    </row>
    <row r="85" spans="1:27" x14ac:dyDescent="0.15">
      <c r="E85" s="216"/>
      <c r="F85" s="216"/>
      <c r="G85" s="55"/>
      <c r="H85" s="216"/>
      <c r="I85" s="55"/>
      <c r="J85" s="216"/>
      <c r="K85" s="216"/>
      <c r="X85" s="55"/>
      <c r="Y85" s="55"/>
      <c r="AA85" s="55"/>
    </row>
    <row r="86" spans="1:27" x14ac:dyDescent="0.15">
      <c r="J86" s="216"/>
      <c r="K86" s="216"/>
    </row>
    <row r="87" spans="1:27" x14ac:dyDescent="0.15">
      <c r="J87" s="216"/>
      <c r="K87" s="216"/>
    </row>
    <row r="88" spans="1:27" x14ac:dyDescent="0.15">
      <c r="J88" s="216"/>
      <c r="K88" s="216"/>
    </row>
    <row r="89" spans="1:27" x14ac:dyDescent="0.15">
      <c r="J89" s="216"/>
      <c r="K89" s="216"/>
    </row>
    <row r="90" spans="1:27" x14ac:dyDescent="0.15">
      <c r="J90" s="216"/>
      <c r="K90" s="216"/>
    </row>
    <row r="91" spans="1:27" x14ac:dyDescent="0.15">
      <c r="J91" s="216"/>
      <c r="K91" s="216"/>
    </row>
    <row r="92" spans="1:27" x14ac:dyDescent="0.15">
      <c r="J92" s="216"/>
      <c r="K92" s="216"/>
    </row>
    <row r="93" spans="1:27" x14ac:dyDescent="0.15">
      <c r="J93" s="216"/>
      <c r="K93" s="216"/>
    </row>
    <row r="94" spans="1:27" x14ac:dyDescent="0.15">
      <c r="J94" s="216"/>
      <c r="K94" s="216"/>
    </row>
    <row r="95" spans="1:27" x14ac:dyDescent="0.15">
      <c r="J95" s="216"/>
      <c r="K95" s="216"/>
    </row>
    <row r="96" spans="1:27" x14ac:dyDescent="0.15">
      <c r="J96" s="216"/>
      <c r="K96" s="216"/>
    </row>
    <row r="97" spans="10:11" x14ac:dyDescent="0.15">
      <c r="J97" s="216"/>
      <c r="K97" s="216"/>
    </row>
    <row r="98" spans="10:11" x14ac:dyDescent="0.15">
      <c r="J98" s="216"/>
      <c r="K98" s="216"/>
    </row>
    <row r="99" spans="10:11" x14ac:dyDescent="0.15">
      <c r="J99" s="216"/>
      <c r="K99" s="216"/>
    </row>
    <row r="100" spans="10:11" x14ac:dyDescent="0.15">
      <c r="J100" s="216"/>
      <c r="K100" s="216"/>
    </row>
    <row r="101" spans="10:11" x14ac:dyDescent="0.15">
      <c r="K101" s="216"/>
    </row>
    <row r="102" spans="10:11" x14ac:dyDescent="0.15">
      <c r="K102" s="216"/>
    </row>
    <row r="103" spans="10:11" x14ac:dyDescent="0.15">
      <c r="K103" s="216"/>
    </row>
    <row r="104" spans="10:11" x14ac:dyDescent="0.15">
      <c r="K104" s="216"/>
    </row>
    <row r="105" spans="10:11" x14ac:dyDescent="0.15">
      <c r="K105" s="216"/>
    </row>
    <row r="106" spans="10:11" x14ac:dyDescent="0.15">
      <c r="K106" s="216"/>
    </row>
    <row r="107" spans="10:11" x14ac:dyDescent="0.15">
      <c r="K107" s="216"/>
    </row>
    <row r="108" spans="10:11" x14ac:dyDescent="0.15">
      <c r="K108" s="216"/>
    </row>
    <row r="109" spans="10:11" x14ac:dyDescent="0.15">
      <c r="K109" s="216"/>
    </row>
    <row r="110" spans="10:11" x14ac:dyDescent="0.15">
      <c r="K110" s="216"/>
    </row>
    <row r="111" spans="10:11" x14ac:dyDescent="0.15">
      <c r="K111" s="216"/>
    </row>
    <row r="112" spans="10: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8"/>
  <sheetViews>
    <sheetView topLeftCell="A22" zoomScale="70" zoomScaleNormal="70" workbookViewId="0">
      <selection activeCell="M58" sqref="M58"/>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170</v>
      </c>
      <c r="C1" s="90" t="s">
        <v>171</v>
      </c>
      <c r="D1" s="91" t="s">
        <v>3</v>
      </c>
      <c r="E1" s="92" t="s">
        <v>4</v>
      </c>
      <c r="F1" s="92" t="s">
        <v>5</v>
      </c>
      <c r="G1" s="92" t="s">
        <v>6</v>
      </c>
      <c r="H1" s="92" t="s">
        <v>7</v>
      </c>
      <c r="I1" s="92" t="s">
        <v>8</v>
      </c>
      <c r="J1" s="92" t="s">
        <v>9</v>
      </c>
      <c r="K1" s="92" t="s">
        <v>10</v>
      </c>
      <c r="L1" s="91" t="s">
        <v>172</v>
      </c>
      <c r="M1" s="91" t="s">
        <v>173</v>
      </c>
      <c r="N1" s="91" t="s">
        <v>13</v>
      </c>
      <c r="O1" s="91" t="s">
        <v>174</v>
      </c>
      <c r="P1" s="91" t="s">
        <v>175</v>
      </c>
      <c r="Q1" s="93" t="s">
        <v>176</v>
      </c>
      <c r="R1" s="91" t="s">
        <v>177</v>
      </c>
      <c r="S1" s="91" t="s">
        <v>178</v>
      </c>
      <c r="T1" s="93" t="s">
        <v>19</v>
      </c>
      <c r="U1" s="94" t="s">
        <v>108</v>
      </c>
      <c r="V1" s="95" t="s">
        <v>20</v>
      </c>
      <c r="W1" s="91" t="s">
        <v>179</v>
      </c>
      <c r="X1" s="92" t="s">
        <v>22</v>
      </c>
      <c r="Y1" s="92" t="s">
        <v>23</v>
      </c>
      <c r="Z1" s="92" t="s">
        <v>24</v>
      </c>
      <c r="AA1" s="96" t="s">
        <v>25</v>
      </c>
      <c r="AB1" s="97" t="s">
        <v>180</v>
      </c>
      <c r="AE1" s="99" t="s">
        <v>0</v>
      </c>
      <c r="AF1" s="100"/>
      <c r="AG1" s="99" t="s">
        <v>4</v>
      </c>
      <c r="AH1" s="99" t="s">
        <v>5</v>
      </c>
      <c r="AI1" s="100"/>
      <c r="AJ1" s="99" t="s">
        <v>6</v>
      </c>
      <c r="AK1" s="100"/>
      <c r="AL1" s="101" t="s">
        <v>7</v>
      </c>
      <c r="AM1" s="100"/>
      <c r="AN1" s="101" t="s">
        <v>8</v>
      </c>
      <c r="AO1" s="100"/>
      <c r="AP1" s="101" t="s">
        <v>27</v>
      </c>
      <c r="AQ1" s="100"/>
      <c r="AR1" s="101" t="s">
        <v>10</v>
      </c>
      <c r="AS1" s="100"/>
      <c r="AT1" s="102" t="s">
        <v>181</v>
      </c>
      <c r="AU1" s="100"/>
      <c r="AV1" s="101" t="s">
        <v>29</v>
      </c>
      <c r="AX1" s="103" t="s">
        <v>182</v>
      </c>
      <c r="AY1" s="104" t="s">
        <v>183</v>
      </c>
      <c r="AZ1" s="104" t="s">
        <v>184</v>
      </c>
      <c r="BA1" s="105" t="s">
        <v>185</v>
      </c>
    </row>
    <row r="2" spans="1:53" s="246" customFormat="1" x14ac:dyDescent="0.15">
      <c r="A2" s="246" t="s">
        <v>51</v>
      </c>
      <c r="B2" s="246" t="s">
        <v>342</v>
      </c>
      <c r="C2" s="246">
        <v>2018</v>
      </c>
      <c r="D2" s="106" t="s">
        <v>421</v>
      </c>
      <c r="E2" s="246" t="s">
        <v>186</v>
      </c>
      <c r="F2" s="246" t="s">
        <v>187</v>
      </c>
      <c r="G2" s="246" t="s">
        <v>42</v>
      </c>
      <c r="H2" s="246" t="s">
        <v>157</v>
      </c>
      <c r="I2" s="246" t="s">
        <v>155</v>
      </c>
      <c r="J2" s="246" t="s">
        <v>38</v>
      </c>
      <c r="K2" s="246" t="s">
        <v>156</v>
      </c>
      <c r="L2" s="246">
        <v>1</v>
      </c>
      <c r="N2" s="246">
        <v>1</v>
      </c>
      <c r="O2" s="246">
        <v>0.7</v>
      </c>
      <c r="P2" s="246">
        <v>0.8</v>
      </c>
      <c r="Q2" s="107">
        <f t="shared" ref="Q2:Q52" si="0">IF(OR(O2="",P2=""),"",AVERAGE(O2,P2))</f>
        <v>0.75</v>
      </c>
      <c r="R2" s="246">
        <v>14.8</v>
      </c>
      <c r="S2" s="246">
        <v>124</v>
      </c>
      <c r="T2" s="108">
        <f t="shared" ref="T2:T65" si="1">IF(H2="","",IF(OR(H2="GREEN",H2="GK"),IF(S2&gt;=$AX$2,VLOOKUP(S2,$AX$2:$AY$12,2,1),""),IF(S2&gt;=$AZ$2,VLOOKUP(S2,$AZ$2:$BA$12,2,1),"")))</f>
        <v>27</v>
      </c>
      <c r="U2" s="246">
        <v>98</v>
      </c>
      <c r="V2" s="109">
        <f t="shared" ref="V2:V52" si="2">IF(OR(N2="",U2="",T2=""),"",U2/N2*T2)</f>
        <v>2646</v>
      </c>
      <c r="W2" s="246">
        <v>12</v>
      </c>
      <c r="X2" s="246" t="s">
        <v>46</v>
      </c>
      <c r="Y2" s="246" t="s">
        <v>69</v>
      </c>
      <c r="Z2" s="246" t="s">
        <v>55</v>
      </c>
      <c r="AA2" s="246" t="s">
        <v>97</v>
      </c>
      <c r="AB2" s="246" t="s">
        <v>344</v>
      </c>
      <c r="AE2" s="110" t="s">
        <v>35</v>
      </c>
      <c r="AG2" s="111" t="s">
        <v>164</v>
      </c>
      <c r="AH2" s="111" t="s">
        <v>188</v>
      </c>
      <c r="AJ2" s="111" t="s">
        <v>36</v>
      </c>
      <c r="AL2" s="111" t="s">
        <v>189</v>
      </c>
      <c r="AN2" s="111" t="s">
        <v>37</v>
      </c>
      <c r="AP2" s="111" t="s">
        <v>38</v>
      </c>
      <c r="AR2" s="111" t="s">
        <v>156</v>
      </c>
      <c r="AT2" s="111" t="s">
        <v>39</v>
      </c>
      <c r="AV2" s="111" t="s">
        <v>40</v>
      </c>
      <c r="AX2" s="112">
        <v>1</v>
      </c>
      <c r="AY2" s="113">
        <v>50</v>
      </c>
      <c r="AZ2" s="113">
        <v>1</v>
      </c>
      <c r="BA2" s="114">
        <v>50</v>
      </c>
    </row>
    <row r="3" spans="1:53" s="115" customFormat="1" x14ac:dyDescent="0.15">
      <c r="A3" s="246" t="s">
        <v>51</v>
      </c>
      <c r="B3" s="246" t="s">
        <v>342</v>
      </c>
      <c r="C3" s="246">
        <v>2018</v>
      </c>
      <c r="D3" s="106" t="s">
        <v>421</v>
      </c>
      <c r="E3" s="246" t="s">
        <v>186</v>
      </c>
      <c r="F3" s="246" t="s">
        <v>187</v>
      </c>
      <c r="G3" s="246" t="s">
        <v>42</v>
      </c>
      <c r="H3" s="246" t="s">
        <v>157</v>
      </c>
      <c r="I3" s="246" t="s">
        <v>155</v>
      </c>
      <c r="J3" s="246" t="s">
        <v>38</v>
      </c>
      <c r="K3" s="246" t="s">
        <v>156</v>
      </c>
      <c r="L3" s="246">
        <v>2</v>
      </c>
      <c r="M3" s="246"/>
      <c r="N3" s="246">
        <v>1</v>
      </c>
      <c r="O3" s="246">
        <v>0.75</v>
      </c>
      <c r="P3" s="246">
        <v>0.75</v>
      </c>
      <c r="Q3" s="107">
        <f t="shared" si="0"/>
        <v>0.75</v>
      </c>
      <c r="R3" s="246">
        <v>15.3</v>
      </c>
      <c r="S3" s="246">
        <v>128</v>
      </c>
      <c r="T3" s="108">
        <f t="shared" si="1"/>
        <v>27</v>
      </c>
      <c r="U3" s="246">
        <v>98</v>
      </c>
      <c r="V3" s="109">
        <f t="shared" si="2"/>
        <v>2646</v>
      </c>
      <c r="W3" s="246">
        <v>12</v>
      </c>
      <c r="X3" s="246" t="s">
        <v>46</v>
      </c>
      <c r="Y3" s="246" t="s">
        <v>69</v>
      </c>
      <c r="Z3" s="246" t="s">
        <v>55</v>
      </c>
      <c r="AA3" s="246" t="s">
        <v>97</v>
      </c>
      <c r="AB3" s="246" t="s">
        <v>344</v>
      </c>
      <c r="AE3" s="116" t="s">
        <v>41</v>
      </c>
      <c r="AG3" s="111" t="s">
        <v>190</v>
      </c>
      <c r="AH3" s="111" t="s">
        <v>191</v>
      </c>
      <c r="AJ3" s="117" t="s">
        <v>42</v>
      </c>
      <c r="AL3" s="117" t="s">
        <v>192</v>
      </c>
      <c r="AN3" s="117" t="s">
        <v>43</v>
      </c>
      <c r="AP3" s="117" t="s">
        <v>44</v>
      </c>
      <c r="AR3" s="118" t="s">
        <v>45</v>
      </c>
      <c r="AT3" s="117" t="s">
        <v>46</v>
      </c>
      <c r="AV3" s="117" t="s">
        <v>47</v>
      </c>
      <c r="AX3" s="119">
        <v>72</v>
      </c>
      <c r="AY3" s="120">
        <v>46</v>
      </c>
      <c r="AZ3" s="120">
        <v>71</v>
      </c>
      <c r="BA3" s="121">
        <v>42</v>
      </c>
    </row>
    <row r="4" spans="1:53" s="115" customFormat="1" x14ac:dyDescent="0.15">
      <c r="A4" s="246" t="s">
        <v>51</v>
      </c>
      <c r="B4" s="246" t="s">
        <v>342</v>
      </c>
      <c r="C4" s="246">
        <v>2018</v>
      </c>
      <c r="D4" s="106" t="s">
        <v>421</v>
      </c>
      <c r="E4" s="246" t="s">
        <v>186</v>
      </c>
      <c r="F4" s="246" t="s">
        <v>187</v>
      </c>
      <c r="G4" s="246" t="s">
        <v>42</v>
      </c>
      <c r="H4" s="246" t="s">
        <v>157</v>
      </c>
      <c r="I4" s="246" t="s">
        <v>155</v>
      </c>
      <c r="J4" s="246" t="s">
        <v>38</v>
      </c>
      <c r="K4" s="246" t="s">
        <v>156</v>
      </c>
      <c r="L4" s="246">
        <v>3</v>
      </c>
      <c r="M4" s="246"/>
      <c r="N4" s="246">
        <v>1</v>
      </c>
      <c r="O4" s="246">
        <v>0.7</v>
      </c>
      <c r="P4" s="246">
        <v>0.65</v>
      </c>
      <c r="Q4" s="107">
        <f t="shared" si="0"/>
        <v>0.67500000000000004</v>
      </c>
      <c r="R4" s="246">
        <v>15.5</v>
      </c>
      <c r="S4" s="246">
        <v>130</v>
      </c>
      <c r="T4" s="108">
        <f t="shared" si="1"/>
        <v>25</v>
      </c>
      <c r="U4" s="246">
        <v>98</v>
      </c>
      <c r="V4" s="109">
        <f t="shared" si="2"/>
        <v>2450</v>
      </c>
      <c r="W4" s="246">
        <v>12</v>
      </c>
      <c r="X4" s="246" t="s">
        <v>46</v>
      </c>
      <c r="Y4" s="246" t="s">
        <v>69</v>
      </c>
      <c r="Z4" s="246" t="s">
        <v>55</v>
      </c>
      <c r="AA4" s="246" t="s">
        <v>97</v>
      </c>
      <c r="AB4" s="246" t="s">
        <v>344</v>
      </c>
      <c r="AE4" s="116" t="s">
        <v>34</v>
      </c>
      <c r="AG4" s="111" t="s">
        <v>193</v>
      </c>
      <c r="AH4" s="111" t="s">
        <v>194</v>
      </c>
      <c r="AJ4" s="122" t="s">
        <v>48</v>
      </c>
      <c r="AL4" s="122" t="s">
        <v>195</v>
      </c>
      <c r="AN4" s="123" t="s">
        <v>196</v>
      </c>
      <c r="AP4" s="117" t="s">
        <v>197</v>
      </c>
      <c r="AR4" s="118" t="s">
        <v>198</v>
      </c>
      <c r="AT4" s="123"/>
      <c r="AV4" s="117" t="s">
        <v>50</v>
      </c>
      <c r="AX4" s="119">
        <v>75</v>
      </c>
      <c r="AY4" s="120">
        <v>42</v>
      </c>
      <c r="AZ4" s="120">
        <v>76</v>
      </c>
      <c r="BA4" s="121">
        <v>39</v>
      </c>
    </row>
    <row r="5" spans="1:53" s="115" customFormat="1" x14ac:dyDescent="0.15">
      <c r="A5" s="246" t="s">
        <v>51</v>
      </c>
      <c r="B5" s="246" t="s">
        <v>342</v>
      </c>
      <c r="C5" s="246">
        <v>2018</v>
      </c>
      <c r="D5" s="106" t="s">
        <v>421</v>
      </c>
      <c r="E5" s="246" t="s">
        <v>186</v>
      </c>
      <c r="F5" s="246" t="s">
        <v>187</v>
      </c>
      <c r="G5" s="246" t="s">
        <v>42</v>
      </c>
      <c r="H5" s="246" t="s">
        <v>160</v>
      </c>
      <c r="I5" s="246" t="s">
        <v>155</v>
      </c>
      <c r="J5" s="246" t="s">
        <v>38</v>
      </c>
      <c r="K5" s="246" t="s">
        <v>156</v>
      </c>
      <c r="L5" s="246">
        <v>1</v>
      </c>
      <c r="M5" s="246"/>
      <c r="N5" s="246">
        <v>1</v>
      </c>
      <c r="O5" s="246">
        <v>0.75</v>
      </c>
      <c r="P5" s="246">
        <v>0.8</v>
      </c>
      <c r="Q5" s="107">
        <f t="shared" si="0"/>
        <v>0.77500000000000002</v>
      </c>
      <c r="R5" s="246">
        <v>17.7</v>
      </c>
      <c r="S5" s="246">
        <v>142</v>
      </c>
      <c r="T5" s="108">
        <f t="shared" si="1"/>
        <v>22</v>
      </c>
      <c r="U5" s="246">
        <v>128</v>
      </c>
      <c r="V5" s="109">
        <f t="shared" si="2"/>
        <v>2816</v>
      </c>
      <c r="W5" s="246">
        <v>12</v>
      </c>
      <c r="X5" s="246" t="s">
        <v>46</v>
      </c>
      <c r="Y5" s="246" t="s">
        <v>69</v>
      </c>
      <c r="Z5" s="246" t="s">
        <v>55</v>
      </c>
      <c r="AA5" s="246" t="s">
        <v>97</v>
      </c>
      <c r="AB5" s="246" t="s">
        <v>344</v>
      </c>
      <c r="AE5" s="116" t="s">
        <v>51</v>
      </c>
      <c r="AG5" s="111" t="s">
        <v>199</v>
      </c>
      <c r="AH5" s="111" t="s">
        <v>187</v>
      </c>
      <c r="AJ5" s="123"/>
      <c r="AL5" s="124" t="s">
        <v>157</v>
      </c>
      <c r="AN5" s="124" t="s">
        <v>155</v>
      </c>
      <c r="AP5" s="117" t="s">
        <v>200</v>
      </c>
      <c r="AR5" s="118" t="s">
        <v>54</v>
      </c>
      <c r="AV5" s="117" t="s">
        <v>55</v>
      </c>
      <c r="AX5" s="119">
        <v>84</v>
      </c>
      <c r="AY5" s="120">
        <v>39</v>
      </c>
      <c r="AZ5" s="120">
        <v>84</v>
      </c>
      <c r="BA5" s="121">
        <v>36</v>
      </c>
    </row>
    <row r="6" spans="1:53" s="115" customFormat="1" x14ac:dyDescent="0.15">
      <c r="A6" s="246" t="s">
        <v>51</v>
      </c>
      <c r="B6" s="246" t="s">
        <v>342</v>
      </c>
      <c r="C6" s="246">
        <v>2018</v>
      </c>
      <c r="D6" s="106" t="s">
        <v>421</v>
      </c>
      <c r="E6" s="246" t="s">
        <v>186</v>
      </c>
      <c r="F6" s="246" t="s">
        <v>187</v>
      </c>
      <c r="G6" s="246" t="s">
        <v>42</v>
      </c>
      <c r="H6" s="246" t="s">
        <v>160</v>
      </c>
      <c r="I6" s="246" t="s">
        <v>155</v>
      </c>
      <c r="J6" s="246" t="s">
        <v>38</v>
      </c>
      <c r="K6" s="246" t="s">
        <v>156</v>
      </c>
      <c r="L6" s="246">
        <v>2</v>
      </c>
      <c r="M6" s="246"/>
      <c r="N6" s="246">
        <v>1</v>
      </c>
      <c r="O6" s="246">
        <v>0.7</v>
      </c>
      <c r="P6" s="246">
        <v>0.75</v>
      </c>
      <c r="Q6" s="107">
        <f t="shared" si="0"/>
        <v>0.72499999999999998</v>
      </c>
      <c r="R6" s="246">
        <v>16.8</v>
      </c>
      <c r="S6" s="246">
        <v>130</v>
      </c>
      <c r="T6" s="108">
        <f t="shared" si="1"/>
        <v>25</v>
      </c>
      <c r="U6" s="246">
        <v>128</v>
      </c>
      <c r="V6" s="109">
        <f t="shared" si="2"/>
        <v>3200</v>
      </c>
      <c r="W6" s="246">
        <v>12</v>
      </c>
      <c r="X6" s="246" t="s">
        <v>46</v>
      </c>
      <c r="Y6" s="246" t="s">
        <v>69</v>
      </c>
      <c r="Z6" s="246" t="s">
        <v>55</v>
      </c>
      <c r="AA6" s="246" t="s">
        <v>97</v>
      </c>
      <c r="AB6" s="246" t="s">
        <v>344</v>
      </c>
      <c r="AE6" s="116" t="s">
        <v>56</v>
      </c>
      <c r="AG6" s="111" t="s">
        <v>201</v>
      </c>
      <c r="AH6" s="111" t="s">
        <v>202</v>
      </c>
      <c r="AL6" s="124" t="s">
        <v>203</v>
      </c>
      <c r="AN6" s="124" t="s">
        <v>158</v>
      </c>
      <c r="AP6" s="117" t="s">
        <v>53</v>
      </c>
      <c r="AR6" s="118" t="s">
        <v>59</v>
      </c>
      <c r="AV6" s="117" t="s">
        <v>60</v>
      </c>
      <c r="AX6" s="119">
        <v>97</v>
      </c>
      <c r="AY6" s="120">
        <v>36</v>
      </c>
      <c r="AZ6" s="120">
        <v>99</v>
      </c>
      <c r="BA6" s="121">
        <v>33</v>
      </c>
    </row>
    <row r="7" spans="1:53" s="115" customFormat="1" x14ac:dyDescent="0.15">
      <c r="A7" s="246" t="s">
        <v>51</v>
      </c>
      <c r="B7" s="246" t="s">
        <v>342</v>
      </c>
      <c r="C7" s="246">
        <v>2018</v>
      </c>
      <c r="D7" s="106" t="s">
        <v>421</v>
      </c>
      <c r="E7" s="246" t="s">
        <v>186</v>
      </c>
      <c r="F7" s="246" t="s">
        <v>187</v>
      </c>
      <c r="G7" s="246" t="s">
        <v>42</v>
      </c>
      <c r="H7" s="246" t="s">
        <v>160</v>
      </c>
      <c r="I7" s="246" t="s">
        <v>155</v>
      </c>
      <c r="J7" s="246" t="s">
        <v>38</v>
      </c>
      <c r="K7" s="246" t="s">
        <v>156</v>
      </c>
      <c r="L7" s="246">
        <v>3</v>
      </c>
      <c r="M7" s="246"/>
      <c r="N7" s="246">
        <v>1</v>
      </c>
      <c r="O7" s="246">
        <v>0.8</v>
      </c>
      <c r="P7" s="246">
        <v>0.85</v>
      </c>
      <c r="Q7" s="107">
        <f t="shared" si="0"/>
        <v>0.82499999999999996</v>
      </c>
      <c r="R7" s="246">
        <v>17.2</v>
      </c>
      <c r="S7" s="246">
        <v>140</v>
      </c>
      <c r="T7" s="108">
        <f t="shared" si="1"/>
        <v>22</v>
      </c>
      <c r="U7" s="246">
        <v>128</v>
      </c>
      <c r="V7" s="109">
        <f t="shared" si="2"/>
        <v>2816</v>
      </c>
      <c r="W7" s="246">
        <v>12</v>
      </c>
      <c r="X7" s="246" t="s">
        <v>46</v>
      </c>
      <c r="Y7" s="246" t="s">
        <v>69</v>
      </c>
      <c r="Z7" s="246" t="s">
        <v>55</v>
      </c>
      <c r="AA7" s="246" t="s">
        <v>97</v>
      </c>
      <c r="AB7" s="246" t="s">
        <v>344</v>
      </c>
      <c r="AE7" s="116" t="s">
        <v>61</v>
      </c>
      <c r="AG7" s="111" t="s">
        <v>204</v>
      </c>
      <c r="AH7" s="111" t="s">
        <v>188</v>
      </c>
      <c r="AL7" s="115" t="s">
        <v>205</v>
      </c>
      <c r="AP7" s="117" t="s">
        <v>58</v>
      </c>
      <c r="AR7" s="118" t="s">
        <v>206</v>
      </c>
      <c r="AV7" s="117" t="s">
        <v>64</v>
      </c>
      <c r="AX7" s="119">
        <v>109</v>
      </c>
      <c r="AY7" s="120">
        <v>33</v>
      </c>
      <c r="AZ7" s="120">
        <v>113</v>
      </c>
      <c r="BA7" s="121">
        <v>30</v>
      </c>
    </row>
    <row r="8" spans="1:53" s="115" customFormat="1" x14ac:dyDescent="0.15">
      <c r="A8" s="246" t="s">
        <v>51</v>
      </c>
      <c r="B8" s="246" t="s">
        <v>342</v>
      </c>
      <c r="C8" s="246">
        <v>2018</v>
      </c>
      <c r="D8" s="106" t="s">
        <v>421</v>
      </c>
      <c r="E8" s="246" t="s">
        <v>190</v>
      </c>
      <c r="F8" s="246" t="s">
        <v>191</v>
      </c>
      <c r="G8" s="246" t="s">
        <v>36</v>
      </c>
      <c r="H8" s="246" t="s">
        <v>157</v>
      </c>
      <c r="I8" s="246" t="s">
        <v>155</v>
      </c>
      <c r="J8" s="246" t="s">
        <v>38</v>
      </c>
      <c r="K8" s="246" t="s">
        <v>156</v>
      </c>
      <c r="L8" s="246">
        <v>1</v>
      </c>
      <c r="M8" s="246"/>
      <c r="N8" s="246">
        <v>3</v>
      </c>
      <c r="O8" s="246">
        <v>0.9</v>
      </c>
      <c r="P8" s="246">
        <v>0.8</v>
      </c>
      <c r="Q8" s="107">
        <f t="shared" si="0"/>
        <v>0.85000000000000009</v>
      </c>
      <c r="R8" s="246">
        <v>17.100000000000001</v>
      </c>
      <c r="S8" s="246">
        <v>168</v>
      </c>
      <c r="T8" s="108">
        <f t="shared" si="1"/>
        <v>18</v>
      </c>
      <c r="U8" s="246">
        <v>398</v>
      </c>
      <c r="V8" s="109">
        <f t="shared" si="2"/>
        <v>2388</v>
      </c>
      <c r="W8" s="246">
        <v>8</v>
      </c>
      <c r="X8" s="246" t="s">
        <v>46</v>
      </c>
      <c r="Y8" s="246" t="s">
        <v>88</v>
      </c>
      <c r="Z8" s="246" t="s">
        <v>55</v>
      </c>
      <c r="AA8" s="246" t="s">
        <v>90</v>
      </c>
      <c r="AB8" s="246" t="s">
        <v>344</v>
      </c>
      <c r="AE8" s="116" t="s">
        <v>59</v>
      </c>
      <c r="AG8" s="111" t="s">
        <v>207</v>
      </c>
      <c r="AH8" s="111" t="s">
        <v>208</v>
      </c>
      <c r="AL8" s="115" t="s">
        <v>160</v>
      </c>
      <c r="AP8" s="117" t="s">
        <v>62</v>
      </c>
      <c r="AR8" s="118" t="s">
        <v>81</v>
      </c>
      <c r="AV8" s="117" t="s">
        <v>97</v>
      </c>
      <c r="AX8" s="119">
        <v>119</v>
      </c>
      <c r="AY8" s="120">
        <v>30</v>
      </c>
      <c r="AZ8" s="120">
        <v>121</v>
      </c>
      <c r="BA8" s="121">
        <v>27</v>
      </c>
    </row>
    <row r="9" spans="1:53" s="115" customFormat="1" x14ac:dyDescent="0.15">
      <c r="A9" s="246" t="s">
        <v>51</v>
      </c>
      <c r="B9" s="246" t="s">
        <v>342</v>
      </c>
      <c r="C9" s="246">
        <v>2018</v>
      </c>
      <c r="D9" s="106" t="s">
        <v>421</v>
      </c>
      <c r="E9" s="246" t="s">
        <v>190</v>
      </c>
      <c r="F9" s="246" t="s">
        <v>191</v>
      </c>
      <c r="G9" s="246" t="s">
        <v>36</v>
      </c>
      <c r="H9" s="246" t="s">
        <v>157</v>
      </c>
      <c r="I9" s="246" t="s">
        <v>155</v>
      </c>
      <c r="J9" s="246" t="s">
        <v>38</v>
      </c>
      <c r="K9" s="246" t="s">
        <v>156</v>
      </c>
      <c r="L9" s="246">
        <v>2</v>
      </c>
      <c r="M9" s="246"/>
      <c r="N9" s="246">
        <v>3</v>
      </c>
      <c r="O9" s="246">
        <v>0.9</v>
      </c>
      <c r="P9" s="246">
        <v>1</v>
      </c>
      <c r="Q9" s="107">
        <f t="shared" si="0"/>
        <v>0.95</v>
      </c>
      <c r="R9" s="246">
        <v>16.399999999999999</v>
      </c>
      <c r="S9" s="246">
        <v>154</v>
      </c>
      <c r="T9" s="108">
        <f t="shared" si="1"/>
        <v>18</v>
      </c>
      <c r="U9" s="246">
        <v>398</v>
      </c>
      <c r="V9" s="109">
        <f t="shared" si="2"/>
        <v>2388</v>
      </c>
      <c r="W9" s="246">
        <v>8</v>
      </c>
      <c r="X9" s="246" t="s">
        <v>46</v>
      </c>
      <c r="Y9" s="246" t="s">
        <v>88</v>
      </c>
      <c r="Z9" s="246" t="s">
        <v>55</v>
      </c>
      <c r="AA9" s="246" t="s">
        <v>90</v>
      </c>
      <c r="AB9" s="246" t="s">
        <v>344</v>
      </c>
      <c r="AE9" s="116" t="s">
        <v>209</v>
      </c>
      <c r="AG9" s="111" t="s">
        <v>210</v>
      </c>
      <c r="AH9" s="111" t="s">
        <v>187</v>
      </c>
      <c r="AL9" s="124"/>
      <c r="AP9" s="117" t="s">
        <v>95</v>
      </c>
      <c r="AR9" s="118" t="s">
        <v>211</v>
      </c>
      <c r="AV9" s="117" t="s">
        <v>102</v>
      </c>
      <c r="AX9" s="119">
        <v>128</v>
      </c>
      <c r="AY9" s="120">
        <v>27</v>
      </c>
      <c r="AZ9" s="120">
        <v>129</v>
      </c>
      <c r="BA9" s="121">
        <v>25</v>
      </c>
    </row>
    <row r="10" spans="1:53" s="115" customFormat="1" x14ac:dyDescent="0.15">
      <c r="A10" s="246" t="s">
        <v>51</v>
      </c>
      <c r="B10" s="246" t="s">
        <v>342</v>
      </c>
      <c r="C10" s="246">
        <v>2018</v>
      </c>
      <c r="D10" s="106" t="s">
        <v>421</v>
      </c>
      <c r="E10" s="246" t="s">
        <v>190</v>
      </c>
      <c r="F10" s="246" t="s">
        <v>191</v>
      </c>
      <c r="G10" s="246" t="s">
        <v>36</v>
      </c>
      <c r="H10" s="246" t="s">
        <v>157</v>
      </c>
      <c r="I10" s="246" t="s">
        <v>155</v>
      </c>
      <c r="J10" s="246" t="s">
        <v>38</v>
      </c>
      <c r="K10" s="246" t="s">
        <v>156</v>
      </c>
      <c r="L10" s="246">
        <v>3</v>
      </c>
      <c r="M10" s="246"/>
      <c r="N10" s="246">
        <v>3</v>
      </c>
      <c r="O10" s="246">
        <v>0.95</v>
      </c>
      <c r="P10" s="246">
        <v>0.9</v>
      </c>
      <c r="Q10" s="107">
        <f t="shared" si="0"/>
        <v>0.92500000000000004</v>
      </c>
      <c r="R10" s="246">
        <v>16.8</v>
      </c>
      <c r="S10" s="246">
        <v>156</v>
      </c>
      <c r="T10" s="108">
        <f t="shared" si="1"/>
        <v>18</v>
      </c>
      <c r="U10" s="246">
        <v>398</v>
      </c>
      <c r="V10" s="109">
        <f t="shared" si="2"/>
        <v>2388</v>
      </c>
      <c r="W10" s="246">
        <v>8</v>
      </c>
      <c r="X10" s="246" t="s">
        <v>46</v>
      </c>
      <c r="Y10" s="246" t="s">
        <v>88</v>
      </c>
      <c r="Z10" s="246" t="s">
        <v>55</v>
      </c>
      <c r="AA10" s="246" t="s">
        <v>90</v>
      </c>
      <c r="AB10" s="246" t="s">
        <v>344</v>
      </c>
      <c r="AE10" s="116" t="s">
        <v>212</v>
      </c>
      <c r="AG10" s="111" t="s">
        <v>186</v>
      </c>
      <c r="AH10" s="117" t="s">
        <v>187</v>
      </c>
      <c r="AP10" s="117" t="s">
        <v>100</v>
      </c>
      <c r="AR10" s="118" t="s">
        <v>213</v>
      </c>
      <c r="AV10" s="117" t="s">
        <v>106</v>
      </c>
      <c r="AX10" s="119">
        <v>138</v>
      </c>
      <c r="AY10" s="120">
        <v>25</v>
      </c>
      <c r="AZ10" s="120">
        <v>138</v>
      </c>
      <c r="BA10" s="121">
        <v>22</v>
      </c>
    </row>
    <row r="11" spans="1:53" s="115" customFormat="1" x14ac:dyDescent="0.15">
      <c r="A11" s="246" t="s">
        <v>51</v>
      </c>
      <c r="B11" s="246" t="s">
        <v>342</v>
      </c>
      <c r="C11" s="246">
        <v>2018</v>
      </c>
      <c r="D11" s="106" t="s">
        <v>421</v>
      </c>
      <c r="E11" s="246" t="s">
        <v>190</v>
      </c>
      <c r="F11" s="246" t="s">
        <v>191</v>
      </c>
      <c r="G11" s="246" t="s">
        <v>36</v>
      </c>
      <c r="H11" s="246" t="s">
        <v>160</v>
      </c>
      <c r="I11" s="246" t="s">
        <v>155</v>
      </c>
      <c r="J11" s="246" t="s">
        <v>38</v>
      </c>
      <c r="K11" s="246" t="s">
        <v>156</v>
      </c>
      <c r="L11" s="246">
        <v>1</v>
      </c>
      <c r="M11" s="246"/>
      <c r="N11" s="246">
        <v>3</v>
      </c>
      <c r="O11" s="246">
        <v>0.7</v>
      </c>
      <c r="P11" s="246">
        <v>0.75</v>
      </c>
      <c r="Q11" s="107">
        <f t="shared" si="0"/>
        <v>0.72499999999999998</v>
      </c>
      <c r="R11" s="246">
        <v>16.8</v>
      </c>
      <c r="S11" s="246">
        <v>164</v>
      </c>
      <c r="T11" s="108">
        <f t="shared" si="1"/>
        <v>18</v>
      </c>
      <c r="U11" s="246">
        <v>398</v>
      </c>
      <c r="V11" s="109">
        <f t="shared" si="2"/>
        <v>2388</v>
      </c>
      <c r="W11" s="246">
        <v>8</v>
      </c>
      <c r="X11" s="246" t="s">
        <v>46</v>
      </c>
      <c r="Y11" s="246" t="s">
        <v>88</v>
      </c>
      <c r="Z11" s="246" t="s">
        <v>55</v>
      </c>
      <c r="AA11" s="246" t="s">
        <v>90</v>
      </c>
      <c r="AB11" s="246" t="s">
        <v>344</v>
      </c>
      <c r="AE11" s="116" t="s">
        <v>68</v>
      </c>
      <c r="AG11" s="111" t="s">
        <v>139</v>
      </c>
      <c r="AH11" s="117" t="s">
        <v>419</v>
      </c>
      <c r="AP11" s="117" t="s">
        <v>104</v>
      </c>
      <c r="AR11" s="118" t="s">
        <v>214</v>
      </c>
      <c r="AV11" s="117" t="s">
        <v>69</v>
      </c>
      <c r="AX11" s="119">
        <v>151</v>
      </c>
      <c r="AY11" s="120">
        <v>22</v>
      </c>
      <c r="AZ11" s="120">
        <v>152</v>
      </c>
      <c r="BA11" s="121">
        <v>18</v>
      </c>
    </row>
    <row r="12" spans="1:53" s="115" customFormat="1" x14ac:dyDescent="0.15">
      <c r="A12" s="246" t="s">
        <v>51</v>
      </c>
      <c r="B12" s="246" t="s">
        <v>342</v>
      </c>
      <c r="C12" s="246">
        <v>2018</v>
      </c>
      <c r="D12" s="106" t="s">
        <v>421</v>
      </c>
      <c r="E12" s="246" t="s">
        <v>190</v>
      </c>
      <c r="F12" s="246" t="s">
        <v>191</v>
      </c>
      <c r="G12" s="246" t="s">
        <v>36</v>
      </c>
      <c r="H12" s="246" t="s">
        <v>160</v>
      </c>
      <c r="I12" s="246" t="s">
        <v>155</v>
      </c>
      <c r="J12" s="246" t="s">
        <v>38</v>
      </c>
      <c r="K12" s="246" t="s">
        <v>156</v>
      </c>
      <c r="L12" s="246">
        <v>2</v>
      </c>
      <c r="M12" s="246"/>
      <c r="N12" s="246">
        <v>3</v>
      </c>
      <c r="O12" s="246">
        <v>0.7</v>
      </c>
      <c r="P12" s="246">
        <v>0.6</v>
      </c>
      <c r="Q12" s="107">
        <f t="shared" si="0"/>
        <v>0.64999999999999991</v>
      </c>
      <c r="R12" s="246">
        <v>17.7</v>
      </c>
      <c r="S12" s="246">
        <v>176</v>
      </c>
      <c r="T12" s="108">
        <f t="shared" si="1"/>
        <v>18</v>
      </c>
      <c r="U12" s="246">
        <v>398</v>
      </c>
      <c r="V12" s="109">
        <f t="shared" si="2"/>
        <v>2388</v>
      </c>
      <c r="W12" s="246">
        <v>8</v>
      </c>
      <c r="X12" s="246" t="s">
        <v>46</v>
      </c>
      <c r="Y12" s="246" t="s">
        <v>88</v>
      </c>
      <c r="Z12" s="246" t="s">
        <v>55</v>
      </c>
      <c r="AA12" s="246" t="s">
        <v>90</v>
      </c>
      <c r="AB12" s="246" t="s">
        <v>344</v>
      </c>
      <c r="AE12" s="116" t="s">
        <v>215</v>
      </c>
      <c r="AG12" s="117"/>
      <c r="AH12" s="117"/>
      <c r="AP12" s="117" t="s">
        <v>67</v>
      </c>
      <c r="AR12" s="118" t="s">
        <v>216</v>
      </c>
      <c r="AV12" s="117" t="s">
        <v>72</v>
      </c>
      <c r="AX12" s="125">
        <v>180</v>
      </c>
      <c r="AY12" s="126">
        <v>18</v>
      </c>
      <c r="AZ12" s="126">
        <v>181</v>
      </c>
      <c r="BA12" s="127">
        <v>16</v>
      </c>
    </row>
    <row r="13" spans="1:53" s="115" customFormat="1" x14ac:dyDescent="0.15">
      <c r="A13" s="246" t="s">
        <v>51</v>
      </c>
      <c r="B13" s="246" t="s">
        <v>342</v>
      </c>
      <c r="C13" s="246">
        <v>2018</v>
      </c>
      <c r="D13" s="106" t="s">
        <v>421</v>
      </c>
      <c r="E13" s="246" t="s">
        <v>190</v>
      </c>
      <c r="F13" s="246" t="s">
        <v>191</v>
      </c>
      <c r="G13" s="246" t="s">
        <v>36</v>
      </c>
      <c r="H13" s="246" t="s">
        <v>160</v>
      </c>
      <c r="I13" s="246" t="s">
        <v>155</v>
      </c>
      <c r="J13" s="246" t="s">
        <v>38</v>
      </c>
      <c r="K13" s="246" t="s">
        <v>156</v>
      </c>
      <c r="L13" s="246">
        <v>3</v>
      </c>
      <c r="M13" s="246"/>
      <c r="N13" s="246">
        <v>3</v>
      </c>
      <c r="O13" s="246">
        <v>0.65</v>
      </c>
      <c r="P13" s="246">
        <v>0.65</v>
      </c>
      <c r="Q13" s="107">
        <f t="shared" si="0"/>
        <v>0.65</v>
      </c>
      <c r="R13" s="246">
        <v>17.2</v>
      </c>
      <c r="S13" s="246">
        <v>160</v>
      </c>
      <c r="T13" s="108">
        <f t="shared" si="1"/>
        <v>18</v>
      </c>
      <c r="U13" s="246">
        <v>398</v>
      </c>
      <c r="V13" s="109">
        <f t="shared" si="2"/>
        <v>2388</v>
      </c>
      <c r="W13" s="246">
        <v>8</v>
      </c>
      <c r="X13" s="246" t="s">
        <v>46</v>
      </c>
      <c r="Y13" s="246" t="s">
        <v>88</v>
      </c>
      <c r="Z13" s="246" t="s">
        <v>55</v>
      </c>
      <c r="AA13" s="246" t="s">
        <v>90</v>
      </c>
      <c r="AB13" s="246" t="s">
        <v>344</v>
      </c>
      <c r="AE13" s="116" t="s">
        <v>217</v>
      </c>
      <c r="AG13" s="117"/>
      <c r="AH13" s="117"/>
      <c r="AP13" s="117" t="s">
        <v>71</v>
      </c>
      <c r="AR13" s="118" t="s">
        <v>212</v>
      </c>
      <c r="AV13" s="117" t="s">
        <v>75</v>
      </c>
    </row>
    <row r="14" spans="1:53" s="115" customFormat="1" x14ac:dyDescent="0.15">
      <c r="A14" s="246" t="s">
        <v>51</v>
      </c>
      <c r="B14" s="246" t="s">
        <v>342</v>
      </c>
      <c r="C14" s="246">
        <v>2018</v>
      </c>
      <c r="D14" s="106" t="s">
        <v>421</v>
      </c>
      <c r="E14" s="246" t="s">
        <v>139</v>
      </c>
      <c r="F14" s="246" t="s">
        <v>419</v>
      </c>
      <c r="G14" s="246" t="s">
        <v>42</v>
      </c>
      <c r="H14" s="246" t="s">
        <v>157</v>
      </c>
      <c r="I14" s="246" t="s">
        <v>155</v>
      </c>
      <c r="J14" s="246" t="s">
        <v>38</v>
      </c>
      <c r="K14" s="246" t="s">
        <v>156</v>
      </c>
      <c r="L14" s="246">
        <v>1</v>
      </c>
      <c r="M14" s="246"/>
      <c r="N14" s="246">
        <v>1</v>
      </c>
      <c r="O14" s="246">
        <v>1</v>
      </c>
      <c r="P14" s="246">
        <v>1.45</v>
      </c>
      <c r="Q14" s="107">
        <f t="shared" si="0"/>
        <v>1.2250000000000001</v>
      </c>
      <c r="R14" s="246">
        <v>15.6</v>
      </c>
      <c r="S14" s="246">
        <v>140</v>
      </c>
      <c r="T14" s="108">
        <f t="shared" si="1"/>
        <v>22</v>
      </c>
      <c r="U14" s="246">
        <v>128</v>
      </c>
      <c r="V14" s="109">
        <f t="shared" si="2"/>
        <v>2816</v>
      </c>
      <c r="W14" s="246">
        <v>20</v>
      </c>
      <c r="X14" s="246" t="s">
        <v>46</v>
      </c>
      <c r="Y14" s="246" t="s">
        <v>55</v>
      </c>
      <c r="Z14" s="246" t="s">
        <v>69</v>
      </c>
      <c r="AA14" s="246" t="s">
        <v>88</v>
      </c>
      <c r="AB14" s="246" t="s">
        <v>344</v>
      </c>
      <c r="AE14" s="116" t="s">
        <v>96</v>
      </c>
      <c r="AG14" s="117"/>
      <c r="AH14" s="117"/>
      <c r="AP14" s="117" t="s">
        <v>74</v>
      </c>
      <c r="AR14" s="118" t="s">
        <v>218</v>
      </c>
      <c r="AV14" s="117" t="s">
        <v>78</v>
      </c>
    </row>
    <row r="15" spans="1:53" s="115" customFormat="1" x14ac:dyDescent="0.15">
      <c r="A15" s="246" t="s">
        <v>51</v>
      </c>
      <c r="B15" s="246" t="s">
        <v>342</v>
      </c>
      <c r="C15" s="246">
        <v>2018</v>
      </c>
      <c r="D15" s="106" t="s">
        <v>421</v>
      </c>
      <c r="E15" s="246" t="s">
        <v>139</v>
      </c>
      <c r="F15" s="246" t="s">
        <v>419</v>
      </c>
      <c r="G15" s="246" t="s">
        <v>42</v>
      </c>
      <c r="H15" s="246" t="s">
        <v>157</v>
      </c>
      <c r="I15" s="246" t="s">
        <v>155</v>
      </c>
      <c r="J15" s="246" t="s">
        <v>38</v>
      </c>
      <c r="K15" s="246" t="s">
        <v>156</v>
      </c>
      <c r="L15" s="246">
        <v>2</v>
      </c>
      <c r="M15" s="246"/>
      <c r="N15" s="246">
        <v>1</v>
      </c>
      <c r="O15" s="246">
        <v>1.1000000000000001</v>
      </c>
      <c r="P15" s="246">
        <v>0.95</v>
      </c>
      <c r="Q15" s="107">
        <f t="shared" si="0"/>
        <v>1.0249999999999999</v>
      </c>
      <c r="R15" s="246">
        <v>15.8</v>
      </c>
      <c r="S15" s="246">
        <v>140</v>
      </c>
      <c r="T15" s="108">
        <f t="shared" si="1"/>
        <v>22</v>
      </c>
      <c r="U15" s="246">
        <v>128</v>
      </c>
      <c r="V15" s="109">
        <f t="shared" si="2"/>
        <v>2816</v>
      </c>
      <c r="W15" s="246">
        <v>20</v>
      </c>
      <c r="X15" s="246" t="s">
        <v>46</v>
      </c>
      <c r="Y15" s="246" t="s">
        <v>55</v>
      </c>
      <c r="Z15" s="246" t="s">
        <v>69</v>
      </c>
      <c r="AA15" s="246" t="s">
        <v>88</v>
      </c>
      <c r="AB15" s="246" t="s">
        <v>344</v>
      </c>
      <c r="AE15" s="116" t="s">
        <v>219</v>
      </c>
      <c r="AG15" s="117"/>
      <c r="AH15" s="117"/>
      <c r="AP15" s="117" t="s">
        <v>77</v>
      </c>
      <c r="AR15" s="118" t="s">
        <v>80</v>
      </c>
      <c r="AV15" s="117" t="s">
        <v>107</v>
      </c>
    </row>
    <row r="16" spans="1:53" s="115" customFormat="1" x14ac:dyDescent="0.15">
      <c r="A16" s="246" t="s">
        <v>51</v>
      </c>
      <c r="B16" s="246" t="s">
        <v>342</v>
      </c>
      <c r="C16" s="246">
        <v>2018</v>
      </c>
      <c r="D16" s="106" t="s">
        <v>421</v>
      </c>
      <c r="E16" s="246" t="s">
        <v>139</v>
      </c>
      <c r="F16" s="246" t="s">
        <v>419</v>
      </c>
      <c r="G16" s="246" t="s">
        <v>42</v>
      </c>
      <c r="H16" s="246" t="s">
        <v>157</v>
      </c>
      <c r="I16" s="246" t="s">
        <v>155</v>
      </c>
      <c r="J16" s="246" t="s">
        <v>38</v>
      </c>
      <c r="K16" s="246" t="s">
        <v>156</v>
      </c>
      <c r="L16" s="246">
        <v>3</v>
      </c>
      <c r="M16" s="246"/>
      <c r="N16" s="246">
        <v>1</v>
      </c>
      <c r="O16" s="246">
        <v>0.95</v>
      </c>
      <c r="P16" s="246">
        <v>1.1499999999999999</v>
      </c>
      <c r="Q16" s="107">
        <f t="shared" si="0"/>
        <v>1.0499999999999998</v>
      </c>
      <c r="R16" s="246">
        <v>16.2</v>
      </c>
      <c r="S16" s="246">
        <v>142</v>
      </c>
      <c r="T16" s="108">
        <f t="shared" si="1"/>
        <v>22</v>
      </c>
      <c r="U16" s="246">
        <v>128</v>
      </c>
      <c r="V16" s="109">
        <f t="shared" si="2"/>
        <v>2816</v>
      </c>
      <c r="W16" s="246">
        <v>20</v>
      </c>
      <c r="X16" s="246" t="s">
        <v>46</v>
      </c>
      <c r="Y16" s="246" t="s">
        <v>55</v>
      </c>
      <c r="Z16" s="246" t="s">
        <v>69</v>
      </c>
      <c r="AA16" s="246" t="s">
        <v>88</v>
      </c>
      <c r="AB16" s="246" t="s">
        <v>344</v>
      </c>
      <c r="AE16" s="116" t="s">
        <v>220</v>
      </c>
      <c r="AG16" s="123"/>
      <c r="AH16" s="123"/>
      <c r="AP16" s="117" t="s">
        <v>80</v>
      </c>
      <c r="AR16" s="118" t="s">
        <v>63</v>
      </c>
      <c r="AV16" s="117" t="s">
        <v>84</v>
      </c>
    </row>
    <row r="17" spans="1:48" s="115" customFormat="1" x14ac:dyDescent="0.15">
      <c r="A17" s="246" t="s">
        <v>51</v>
      </c>
      <c r="B17" s="246" t="s">
        <v>342</v>
      </c>
      <c r="C17" s="246">
        <v>2018</v>
      </c>
      <c r="D17" s="106" t="s">
        <v>421</v>
      </c>
      <c r="E17" s="246" t="s">
        <v>139</v>
      </c>
      <c r="F17" s="246" t="s">
        <v>419</v>
      </c>
      <c r="G17" s="246" t="s">
        <v>42</v>
      </c>
      <c r="H17" s="246" t="s">
        <v>157</v>
      </c>
      <c r="I17" s="246" t="s">
        <v>158</v>
      </c>
      <c r="J17" s="246" t="s">
        <v>38</v>
      </c>
      <c r="K17" s="246" t="s">
        <v>156</v>
      </c>
      <c r="L17" s="246">
        <v>1</v>
      </c>
      <c r="M17" s="246"/>
      <c r="N17" s="246">
        <v>2</v>
      </c>
      <c r="O17" s="246">
        <v>0.5</v>
      </c>
      <c r="P17" s="246">
        <v>0.5</v>
      </c>
      <c r="Q17" s="107">
        <f t="shared" si="0"/>
        <v>0.5</v>
      </c>
      <c r="R17" s="246">
        <v>13.1</v>
      </c>
      <c r="S17" s="246">
        <v>148</v>
      </c>
      <c r="T17" s="108">
        <f t="shared" si="1"/>
        <v>22</v>
      </c>
      <c r="U17" s="246">
        <v>450</v>
      </c>
      <c r="V17" s="109">
        <f t="shared" si="2"/>
        <v>4950</v>
      </c>
      <c r="W17" s="246">
        <v>20</v>
      </c>
      <c r="X17" s="246" t="s">
        <v>46</v>
      </c>
      <c r="Y17" s="246" t="s">
        <v>55</v>
      </c>
      <c r="Z17" s="246" t="s">
        <v>69</v>
      </c>
      <c r="AA17" s="246" t="s">
        <v>88</v>
      </c>
      <c r="AB17" s="246" t="s">
        <v>344</v>
      </c>
      <c r="AE17" s="116" t="s">
        <v>221</v>
      </c>
      <c r="AP17" s="128" t="s">
        <v>222</v>
      </c>
      <c r="AR17" s="118" t="s">
        <v>96</v>
      </c>
      <c r="AV17" s="117" t="s">
        <v>86</v>
      </c>
    </row>
    <row r="18" spans="1:48" s="115" customFormat="1" x14ac:dyDescent="0.15">
      <c r="A18" s="246" t="s">
        <v>51</v>
      </c>
      <c r="B18" s="246" t="s">
        <v>342</v>
      </c>
      <c r="C18" s="246">
        <v>2018</v>
      </c>
      <c r="D18" s="106" t="s">
        <v>421</v>
      </c>
      <c r="E18" s="246" t="s">
        <v>139</v>
      </c>
      <c r="F18" s="246" t="s">
        <v>419</v>
      </c>
      <c r="G18" s="246" t="s">
        <v>42</v>
      </c>
      <c r="H18" s="246" t="s">
        <v>157</v>
      </c>
      <c r="I18" s="246" t="s">
        <v>158</v>
      </c>
      <c r="J18" s="246" t="s">
        <v>38</v>
      </c>
      <c r="K18" s="246" t="s">
        <v>156</v>
      </c>
      <c r="L18" s="246">
        <v>2</v>
      </c>
      <c r="M18" s="246"/>
      <c r="N18" s="246">
        <v>2</v>
      </c>
      <c r="O18" s="246">
        <v>0.55000000000000004</v>
      </c>
      <c r="P18" s="246">
        <v>0.6</v>
      </c>
      <c r="Q18" s="107">
        <f t="shared" si="0"/>
        <v>0.57499999999999996</v>
      </c>
      <c r="R18" s="246">
        <v>12.3</v>
      </c>
      <c r="S18" s="246">
        <v>148</v>
      </c>
      <c r="T18" s="108">
        <f t="shared" si="1"/>
        <v>22</v>
      </c>
      <c r="U18" s="246">
        <v>450</v>
      </c>
      <c r="V18" s="109">
        <f t="shared" si="2"/>
        <v>4950</v>
      </c>
      <c r="W18" s="246">
        <v>20</v>
      </c>
      <c r="X18" s="246" t="s">
        <v>46</v>
      </c>
      <c r="Y18" s="246" t="s">
        <v>55</v>
      </c>
      <c r="Z18" s="246" t="s">
        <v>69</v>
      </c>
      <c r="AA18" s="246" t="s">
        <v>88</v>
      </c>
      <c r="AB18" s="246" t="s">
        <v>344</v>
      </c>
      <c r="AE18" s="116" t="s">
        <v>214</v>
      </c>
      <c r="AP18" s="128" t="s">
        <v>223</v>
      </c>
      <c r="AR18" s="118" t="s">
        <v>101</v>
      </c>
      <c r="AV18" s="117" t="s">
        <v>88</v>
      </c>
    </row>
    <row r="19" spans="1:48" s="115" customFormat="1" x14ac:dyDescent="0.15">
      <c r="A19" s="246" t="s">
        <v>51</v>
      </c>
      <c r="B19" s="246" t="s">
        <v>342</v>
      </c>
      <c r="C19" s="246">
        <v>2018</v>
      </c>
      <c r="D19" s="106" t="s">
        <v>421</v>
      </c>
      <c r="E19" s="246" t="s">
        <v>139</v>
      </c>
      <c r="F19" s="246" t="s">
        <v>419</v>
      </c>
      <c r="G19" s="246" t="s">
        <v>42</v>
      </c>
      <c r="H19" s="246" t="s">
        <v>157</v>
      </c>
      <c r="I19" s="246" t="s">
        <v>158</v>
      </c>
      <c r="J19" s="246" t="s">
        <v>38</v>
      </c>
      <c r="K19" s="246" t="s">
        <v>156</v>
      </c>
      <c r="L19" s="246">
        <v>3</v>
      </c>
      <c r="M19" s="246"/>
      <c r="N19" s="246">
        <v>2</v>
      </c>
      <c r="O19" s="246">
        <v>0.25</v>
      </c>
      <c r="P19" s="246">
        <v>0.25</v>
      </c>
      <c r="Q19" s="107">
        <f t="shared" si="0"/>
        <v>0.25</v>
      </c>
      <c r="R19" s="246">
        <v>12.8</v>
      </c>
      <c r="S19" s="246">
        <v>150</v>
      </c>
      <c r="T19" s="108">
        <f t="shared" si="1"/>
        <v>22</v>
      </c>
      <c r="U19" s="246">
        <v>450</v>
      </c>
      <c r="V19" s="109">
        <f t="shared" si="2"/>
        <v>4950</v>
      </c>
      <c r="W19" s="246">
        <v>20</v>
      </c>
      <c r="X19" s="246" t="s">
        <v>46</v>
      </c>
      <c r="Y19" s="246" t="s">
        <v>55</v>
      </c>
      <c r="Z19" s="246" t="s">
        <v>69</v>
      </c>
      <c r="AA19" s="246" t="s">
        <v>88</v>
      </c>
      <c r="AB19" s="246" t="s">
        <v>344</v>
      </c>
      <c r="AE19" s="129" t="s">
        <v>211</v>
      </c>
      <c r="AP19" s="128" t="s">
        <v>224</v>
      </c>
      <c r="AR19" s="118" t="s">
        <v>225</v>
      </c>
      <c r="AV19" s="117" t="s">
        <v>90</v>
      </c>
    </row>
    <row r="20" spans="1:48" s="115" customFormat="1" x14ac:dyDescent="0.15">
      <c r="A20" s="246" t="s">
        <v>51</v>
      </c>
      <c r="B20" s="246" t="s">
        <v>342</v>
      </c>
      <c r="C20" s="246">
        <v>2018</v>
      </c>
      <c r="D20" s="106" t="s">
        <v>421</v>
      </c>
      <c r="E20" s="246" t="s">
        <v>139</v>
      </c>
      <c r="F20" s="246" t="s">
        <v>419</v>
      </c>
      <c r="G20" s="246" t="s">
        <v>42</v>
      </c>
      <c r="H20" s="246" t="s">
        <v>160</v>
      </c>
      <c r="I20" s="246" t="s">
        <v>155</v>
      </c>
      <c r="J20" s="246" t="s">
        <v>38</v>
      </c>
      <c r="K20" s="246" t="s">
        <v>156</v>
      </c>
      <c r="L20" s="246">
        <v>1</v>
      </c>
      <c r="M20" s="246"/>
      <c r="N20" s="246">
        <v>1</v>
      </c>
      <c r="O20" s="246">
        <v>0.75</v>
      </c>
      <c r="P20" s="246">
        <v>0.8</v>
      </c>
      <c r="Q20" s="107">
        <f t="shared" si="0"/>
        <v>0.77500000000000002</v>
      </c>
      <c r="R20" s="246">
        <v>17.600000000000001</v>
      </c>
      <c r="S20" s="246">
        <v>136</v>
      </c>
      <c r="T20" s="108">
        <f t="shared" si="1"/>
        <v>25</v>
      </c>
      <c r="U20" s="246">
        <v>138</v>
      </c>
      <c r="V20" s="109">
        <f t="shared" si="2"/>
        <v>3450</v>
      </c>
      <c r="W20" s="246">
        <v>20</v>
      </c>
      <c r="X20" s="246" t="s">
        <v>46</v>
      </c>
      <c r="Y20" s="246" t="s">
        <v>55</v>
      </c>
      <c r="Z20" s="246" t="s">
        <v>69</v>
      </c>
      <c r="AA20" s="246" t="s">
        <v>88</v>
      </c>
      <c r="AB20" s="246" t="s">
        <v>344</v>
      </c>
      <c r="AE20" s="129"/>
      <c r="AP20" s="128" t="s">
        <v>226</v>
      </c>
      <c r="AR20" s="118" t="s">
        <v>105</v>
      </c>
      <c r="AV20" s="122" t="s">
        <v>227</v>
      </c>
    </row>
    <row r="21" spans="1:48" s="115" customFormat="1" x14ac:dyDescent="0.15">
      <c r="A21" s="246" t="s">
        <v>51</v>
      </c>
      <c r="B21" s="246" t="s">
        <v>342</v>
      </c>
      <c r="C21" s="246">
        <v>2018</v>
      </c>
      <c r="D21" s="106" t="s">
        <v>421</v>
      </c>
      <c r="E21" s="246" t="s">
        <v>139</v>
      </c>
      <c r="F21" s="246" t="s">
        <v>419</v>
      </c>
      <c r="G21" s="246" t="s">
        <v>42</v>
      </c>
      <c r="H21" s="246" t="s">
        <v>160</v>
      </c>
      <c r="I21" s="246" t="s">
        <v>155</v>
      </c>
      <c r="J21" s="246" t="s">
        <v>38</v>
      </c>
      <c r="K21" s="246" t="s">
        <v>156</v>
      </c>
      <c r="L21" s="246">
        <v>2</v>
      </c>
      <c r="M21" s="246"/>
      <c r="N21" s="246">
        <v>1</v>
      </c>
      <c r="O21" s="246">
        <v>0.65</v>
      </c>
      <c r="P21" s="246">
        <v>0.8</v>
      </c>
      <c r="Q21" s="107">
        <f t="shared" si="0"/>
        <v>0.72500000000000009</v>
      </c>
      <c r="R21" s="246">
        <v>18</v>
      </c>
      <c r="S21" s="246">
        <v>134</v>
      </c>
      <c r="T21" s="108">
        <f t="shared" si="1"/>
        <v>25</v>
      </c>
      <c r="U21" s="246">
        <v>138</v>
      </c>
      <c r="V21" s="109">
        <f t="shared" si="2"/>
        <v>3450</v>
      </c>
      <c r="W21" s="246">
        <v>20</v>
      </c>
      <c r="X21" s="246" t="s">
        <v>46</v>
      </c>
      <c r="Y21" s="246" t="s">
        <v>55</v>
      </c>
      <c r="Z21" s="246" t="s">
        <v>69</v>
      </c>
      <c r="AA21" s="246" t="s">
        <v>88</v>
      </c>
      <c r="AB21" s="246" t="s">
        <v>344</v>
      </c>
      <c r="AE21" s="123"/>
      <c r="AP21" s="128" t="s">
        <v>228</v>
      </c>
      <c r="AR21" s="118" t="s">
        <v>68</v>
      </c>
      <c r="AV21" s="122" t="s">
        <v>163</v>
      </c>
    </row>
    <row r="22" spans="1:48" s="115" customFormat="1" x14ac:dyDescent="0.15">
      <c r="A22" s="246" t="s">
        <v>51</v>
      </c>
      <c r="B22" s="246" t="s">
        <v>342</v>
      </c>
      <c r="C22" s="246">
        <v>2018</v>
      </c>
      <c r="D22" s="106" t="s">
        <v>421</v>
      </c>
      <c r="E22" s="246" t="s">
        <v>139</v>
      </c>
      <c r="F22" s="246" t="s">
        <v>419</v>
      </c>
      <c r="G22" s="246" t="s">
        <v>42</v>
      </c>
      <c r="H22" s="246" t="s">
        <v>160</v>
      </c>
      <c r="I22" s="246" t="s">
        <v>155</v>
      </c>
      <c r="J22" s="246" t="s">
        <v>38</v>
      </c>
      <c r="K22" s="246" t="s">
        <v>156</v>
      </c>
      <c r="L22" s="246">
        <v>3</v>
      </c>
      <c r="M22" s="246"/>
      <c r="N22" s="246">
        <v>1</v>
      </c>
      <c r="O22" s="246">
        <v>0.7</v>
      </c>
      <c r="P22" s="246">
        <v>0.7</v>
      </c>
      <c r="Q22" s="107">
        <f t="shared" si="0"/>
        <v>0.7</v>
      </c>
      <c r="R22" s="246">
        <v>17.8</v>
      </c>
      <c r="S22" s="246">
        <v>136</v>
      </c>
      <c r="T22" s="108">
        <f t="shared" si="1"/>
        <v>25</v>
      </c>
      <c r="U22" s="246">
        <v>138</v>
      </c>
      <c r="V22" s="109">
        <f t="shared" si="2"/>
        <v>3450</v>
      </c>
      <c r="W22" s="246">
        <v>20</v>
      </c>
      <c r="X22" s="246" t="s">
        <v>46</v>
      </c>
      <c r="Y22" s="246" t="s">
        <v>55</v>
      </c>
      <c r="Z22" s="246" t="s">
        <v>69</v>
      </c>
      <c r="AA22" s="246" t="s">
        <v>88</v>
      </c>
      <c r="AB22" s="246" t="s">
        <v>344</v>
      </c>
      <c r="AP22" s="128" t="s">
        <v>229</v>
      </c>
      <c r="AR22" s="118" t="s">
        <v>83</v>
      </c>
      <c r="AV22" s="122"/>
    </row>
    <row r="23" spans="1:48" s="115" customFormat="1" x14ac:dyDescent="0.15">
      <c r="A23" s="246" t="s">
        <v>51</v>
      </c>
      <c r="B23" s="246" t="s">
        <v>342</v>
      </c>
      <c r="C23" s="246">
        <v>2018</v>
      </c>
      <c r="D23" s="106" t="s">
        <v>421</v>
      </c>
      <c r="E23" s="246" t="s">
        <v>139</v>
      </c>
      <c r="F23" s="246" t="s">
        <v>419</v>
      </c>
      <c r="G23" s="246" t="s">
        <v>42</v>
      </c>
      <c r="H23" s="246" t="s">
        <v>160</v>
      </c>
      <c r="I23" s="246" t="s">
        <v>158</v>
      </c>
      <c r="J23" s="246" t="s">
        <v>38</v>
      </c>
      <c r="K23" s="246" t="s">
        <v>156</v>
      </c>
      <c r="L23" s="246">
        <v>1</v>
      </c>
      <c r="M23" s="246"/>
      <c r="N23" s="246">
        <v>2</v>
      </c>
      <c r="O23" s="246">
        <v>0.6</v>
      </c>
      <c r="P23" s="246">
        <v>0.65</v>
      </c>
      <c r="Q23" s="107">
        <f t="shared" si="0"/>
        <v>0.625</v>
      </c>
      <c r="R23" s="246">
        <v>18.3</v>
      </c>
      <c r="S23" s="246">
        <v>150</v>
      </c>
      <c r="T23" s="108">
        <f t="shared" si="1"/>
        <v>22</v>
      </c>
      <c r="U23" s="246">
        <v>450</v>
      </c>
      <c r="V23" s="109">
        <f t="shared" si="2"/>
        <v>4950</v>
      </c>
      <c r="W23" s="246">
        <v>20</v>
      </c>
      <c r="X23" s="246" t="s">
        <v>46</v>
      </c>
      <c r="Y23" s="246" t="s">
        <v>55</v>
      </c>
      <c r="Z23" s="246" t="s">
        <v>69</v>
      </c>
      <c r="AA23" s="246" t="s">
        <v>88</v>
      </c>
      <c r="AB23" s="246" t="s">
        <v>344</v>
      </c>
      <c r="AP23" s="128" t="s">
        <v>230</v>
      </c>
      <c r="AR23" s="118" t="s">
        <v>61</v>
      </c>
    </row>
    <row r="24" spans="1:48" s="115" customFormat="1" x14ac:dyDescent="0.15">
      <c r="A24" s="246" t="s">
        <v>51</v>
      </c>
      <c r="B24" s="246" t="s">
        <v>342</v>
      </c>
      <c r="C24" s="246">
        <v>2018</v>
      </c>
      <c r="D24" s="106" t="s">
        <v>421</v>
      </c>
      <c r="E24" s="246" t="s">
        <v>139</v>
      </c>
      <c r="F24" s="246" t="s">
        <v>419</v>
      </c>
      <c r="G24" s="246" t="s">
        <v>42</v>
      </c>
      <c r="H24" s="246" t="s">
        <v>160</v>
      </c>
      <c r="I24" s="246" t="s">
        <v>158</v>
      </c>
      <c r="J24" s="246" t="s">
        <v>38</v>
      </c>
      <c r="K24" s="246" t="s">
        <v>156</v>
      </c>
      <c r="L24" s="246">
        <v>2</v>
      </c>
      <c r="M24" s="246"/>
      <c r="N24" s="246">
        <v>2</v>
      </c>
      <c r="O24" s="246">
        <v>0.5</v>
      </c>
      <c r="P24" s="246">
        <v>0.5</v>
      </c>
      <c r="Q24" s="107">
        <f t="shared" si="0"/>
        <v>0.5</v>
      </c>
      <c r="R24" s="246">
        <v>19.7</v>
      </c>
      <c r="S24" s="246">
        <v>140</v>
      </c>
      <c r="T24" s="108">
        <f t="shared" si="1"/>
        <v>22</v>
      </c>
      <c r="U24" s="246">
        <v>450</v>
      </c>
      <c r="V24" s="109">
        <f t="shared" si="2"/>
        <v>4950</v>
      </c>
      <c r="W24" s="246">
        <v>20</v>
      </c>
      <c r="X24" s="246" t="s">
        <v>46</v>
      </c>
      <c r="Y24" s="246" t="s">
        <v>55</v>
      </c>
      <c r="Z24" s="246" t="s">
        <v>69</v>
      </c>
      <c r="AA24" s="246" t="s">
        <v>88</v>
      </c>
      <c r="AB24" s="246" t="s">
        <v>344</v>
      </c>
      <c r="AP24" s="128" t="s">
        <v>231</v>
      </c>
      <c r="AR24" s="118" t="s">
        <v>91</v>
      </c>
    </row>
    <row r="25" spans="1:48" s="115" customFormat="1" x14ac:dyDescent="0.15">
      <c r="A25" s="246" t="s">
        <v>51</v>
      </c>
      <c r="B25" s="246" t="s">
        <v>342</v>
      </c>
      <c r="C25" s="246">
        <v>2018</v>
      </c>
      <c r="D25" s="106" t="s">
        <v>421</v>
      </c>
      <c r="E25" s="246" t="s">
        <v>139</v>
      </c>
      <c r="F25" s="246" t="s">
        <v>419</v>
      </c>
      <c r="G25" s="246" t="s">
        <v>42</v>
      </c>
      <c r="H25" s="246" t="s">
        <v>160</v>
      </c>
      <c r="I25" s="246" t="s">
        <v>158</v>
      </c>
      <c r="J25" s="246" t="s">
        <v>38</v>
      </c>
      <c r="K25" s="246" t="s">
        <v>156</v>
      </c>
      <c r="L25" s="246">
        <v>3</v>
      </c>
      <c r="M25" s="246"/>
      <c r="N25" s="246">
        <v>2</v>
      </c>
      <c r="O25" s="246">
        <v>0.7</v>
      </c>
      <c r="P25" s="246">
        <v>0.75</v>
      </c>
      <c r="Q25" s="107">
        <f t="shared" si="0"/>
        <v>0.72499999999999998</v>
      </c>
      <c r="R25" s="246">
        <v>17.2</v>
      </c>
      <c r="S25" s="246">
        <v>134</v>
      </c>
      <c r="T25" s="108">
        <f t="shared" si="1"/>
        <v>25</v>
      </c>
      <c r="U25" s="246">
        <v>450</v>
      </c>
      <c r="V25" s="109">
        <f t="shared" si="2"/>
        <v>5625</v>
      </c>
      <c r="W25" s="246">
        <v>20</v>
      </c>
      <c r="X25" s="246" t="s">
        <v>46</v>
      </c>
      <c r="Y25" s="246" t="s">
        <v>55</v>
      </c>
      <c r="Z25" s="246" t="s">
        <v>69</v>
      </c>
      <c r="AA25" s="246" t="s">
        <v>88</v>
      </c>
      <c r="AB25" s="246" t="s">
        <v>344</v>
      </c>
      <c r="AP25" s="128" t="s">
        <v>232</v>
      </c>
      <c r="AR25" s="128" t="s">
        <v>51</v>
      </c>
    </row>
    <row r="26" spans="1:48" s="115" customFormat="1" x14ac:dyDescent="0.15">
      <c r="A26" s="246" t="s">
        <v>51</v>
      </c>
      <c r="B26" s="246" t="s">
        <v>342</v>
      </c>
      <c r="C26" s="246">
        <v>2018</v>
      </c>
      <c r="D26" s="106" t="s">
        <v>421</v>
      </c>
      <c r="E26" s="246" t="s">
        <v>201</v>
      </c>
      <c r="F26" s="246" t="s">
        <v>202</v>
      </c>
      <c r="G26" s="246" t="s">
        <v>36</v>
      </c>
      <c r="H26" s="246" t="s">
        <v>157</v>
      </c>
      <c r="I26" s="246" t="s">
        <v>155</v>
      </c>
      <c r="J26" s="246" t="s">
        <v>38</v>
      </c>
      <c r="K26" s="246" t="s">
        <v>156</v>
      </c>
      <c r="L26" s="246">
        <v>1</v>
      </c>
      <c r="M26" s="246"/>
      <c r="N26" s="246">
        <v>1</v>
      </c>
      <c r="O26" s="246">
        <v>1</v>
      </c>
      <c r="P26" s="246">
        <v>0.85</v>
      </c>
      <c r="Q26" s="107">
        <f t="shared" si="0"/>
        <v>0.92500000000000004</v>
      </c>
      <c r="R26" s="246">
        <v>15</v>
      </c>
      <c r="S26" s="246">
        <v>150</v>
      </c>
      <c r="T26" s="108">
        <f t="shared" si="1"/>
        <v>22</v>
      </c>
      <c r="U26" s="246">
        <v>98</v>
      </c>
      <c r="V26" s="109">
        <f t="shared" si="2"/>
        <v>2156</v>
      </c>
      <c r="W26" s="246">
        <v>19</v>
      </c>
      <c r="X26" s="246" t="s">
        <v>46</v>
      </c>
      <c r="Y26" s="246" t="s">
        <v>55</v>
      </c>
      <c r="Z26" s="246" t="s">
        <v>69</v>
      </c>
      <c r="AA26" s="246" t="s">
        <v>88</v>
      </c>
      <c r="AB26" s="246" t="s">
        <v>344</v>
      </c>
      <c r="AP26" s="128" t="s">
        <v>233</v>
      </c>
      <c r="AR26" s="115" t="s">
        <v>420</v>
      </c>
    </row>
    <row r="27" spans="1:48" s="115" customFormat="1" x14ac:dyDescent="0.15">
      <c r="A27" s="246" t="s">
        <v>51</v>
      </c>
      <c r="B27" s="246" t="s">
        <v>342</v>
      </c>
      <c r="C27" s="246">
        <v>2018</v>
      </c>
      <c r="D27" s="106" t="s">
        <v>421</v>
      </c>
      <c r="E27" s="246" t="s">
        <v>201</v>
      </c>
      <c r="F27" s="246" t="s">
        <v>202</v>
      </c>
      <c r="G27" s="246" t="s">
        <v>36</v>
      </c>
      <c r="H27" s="246" t="s">
        <v>157</v>
      </c>
      <c r="I27" s="246" t="s">
        <v>155</v>
      </c>
      <c r="J27" s="246" t="s">
        <v>38</v>
      </c>
      <c r="K27" s="246" t="s">
        <v>156</v>
      </c>
      <c r="L27" s="246">
        <v>2</v>
      </c>
      <c r="M27" s="246"/>
      <c r="N27" s="246">
        <v>1</v>
      </c>
      <c r="O27" s="246">
        <v>0.9</v>
      </c>
      <c r="P27" s="246">
        <v>1.1000000000000001</v>
      </c>
      <c r="Q27" s="107">
        <f t="shared" si="0"/>
        <v>1</v>
      </c>
      <c r="R27" s="246">
        <v>14.1</v>
      </c>
      <c r="S27" s="246">
        <v>148</v>
      </c>
      <c r="T27" s="108">
        <f t="shared" si="1"/>
        <v>22</v>
      </c>
      <c r="U27" s="246">
        <v>98</v>
      </c>
      <c r="V27" s="109">
        <f t="shared" si="2"/>
        <v>2156</v>
      </c>
      <c r="W27" s="246">
        <v>19</v>
      </c>
      <c r="X27" s="246" t="s">
        <v>46</v>
      </c>
      <c r="Y27" s="246" t="s">
        <v>55</v>
      </c>
      <c r="Z27" s="246" t="s">
        <v>69</v>
      </c>
      <c r="AA27" s="246" t="s">
        <v>88</v>
      </c>
      <c r="AB27" s="246" t="s">
        <v>344</v>
      </c>
      <c r="AP27" s="128" t="s">
        <v>234</v>
      </c>
    </row>
    <row r="28" spans="1:48" s="115" customFormat="1" x14ac:dyDescent="0.15">
      <c r="A28" s="246" t="s">
        <v>51</v>
      </c>
      <c r="B28" s="246" t="s">
        <v>342</v>
      </c>
      <c r="C28" s="246">
        <v>2018</v>
      </c>
      <c r="D28" s="106" t="s">
        <v>421</v>
      </c>
      <c r="E28" s="246" t="s">
        <v>201</v>
      </c>
      <c r="F28" s="246" t="s">
        <v>202</v>
      </c>
      <c r="G28" s="246" t="s">
        <v>36</v>
      </c>
      <c r="H28" s="246" t="s">
        <v>157</v>
      </c>
      <c r="I28" s="246" t="s">
        <v>155</v>
      </c>
      <c r="J28" s="246" t="s">
        <v>38</v>
      </c>
      <c r="K28" s="246" t="s">
        <v>156</v>
      </c>
      <c r="L28" s="246">
        <v>3</v>
      </c>
      <c r="M28" s="246"/>
      <c r="N28" s="246">
        <v>1</v>
      </c>
      <c r="O28" s="246">
        <v>0.85</v>
      </c>
      <c r="P28" s="246">
        <v>0.9</v>
      </c>
      <c r="Q28" s="107">
        <f t="shared" si="0"/>
        <v>0.875</v>
      </c>
      <c r="R28" s="246">
        <v>14.6</v>
      </c>
      <c r="S28" s="246">
        <v>144</v>
      </c>
      <c r="T28" s="108">
        <f t="shared" si="1"/>
        <v>22</v>
      </c>
      <c r="U28" s="246">
        <v>98</v>
      </c>
      <c r="V28" s="109">
        <f t="shared" si="2"/>
        <v>2156</v>
      </c>
      <c r="W28" s="246">
        <v>19</v>
      </c>
      <c r="X28" s="246" t="s">
        <v>46</v>
      </c>
      <c r="Y28" s="246" t="s">
        <v>55</v>
      </c>
      <c r="Z28" s="246" t="s">
        <v>69</v>
      </c>
      <c r="AA28" s="246" t="s">
        <v>88</v>
      </c>
      <c r="AB28" s="246" t="s">
        <v>344</v>
      </c>
    </row>
    <row r="29" spans="1:48" s="115" customFormat="1" x14ac:dyDescent="0.15">
      <c r="A29" s="246" t="s">
        <v>51</v>
      </c>
      <c r="B29" s="246" t="s">
        <v>342</v>
      </c>
      <c r="C29" s="246">
        <v>2018</v>
      </c>
      <c r="D29" s="106" t="s">
        <v>421</v>
      </c>
      <c r="E29" s="246" t="s">
        <v>201</v>
      </c>
      <c r="F29" s="246" t="s">
        <v>202</v>
      </c>
      <c r="G29" s="246" t="s">
        <v>36</v>
      </c>
      <c r="H29" s="246" t="s">
        <v>160</v>
      </c>
      <c r="I29" s="246" t="s">
        <v>155</v>
      </c>
      <c r="J29" s="246" t="s">
        <v>38</v>
      </c>
      <c r="K29" s="246" t="s">
        <v>156</v>
      </c>
      <c r="L29" s="246">
        <v>1</v>
      </c>
      <c r="M29" s="246"/>
      <c r="N29" s="246">
        <v>1</v>
      </c>
      <c r="O29" s="246">
        <v>0.55000000000000004</v>
      </c>
      <c r="P29" s="246">
        <v>0.65</v>
      </c>
      <c r="Q29" s="107">
        <f t="shared" si="0"/>
        <v>0.60000000000000009</v>
      </c>
      <c r="R29" s="246">
        <v>17.899999999999999</v>
      </c>
      <c r="S29" s="246">
        <v>146</v>
      </c>
      <c r="T29" s="108">
        <f t="shared" si="1"/>
        <v>22</v>
      </c>
      <c r="U29" s="246">
        <v>98</v>
      </c>
      <c r="V29" s="109">
        <f t="shared" si="2"/>
        <v>2156</v>
      </c>
      <c r="W29" s="246">
        <v>19</v>
      </c>
      <c r="X29" s="246" t="s">
        <v>46</v>
      </c>
      <c r="Y29" s="246" t="s">
        <v>55</v>
      </c>
      <c r="Z29" s="246" t="s">
        <v>69</v>
      </c>
      <c r="AA29" s="246" t="s">
        <v>88</v>
      </c>
      <c r="AB29" s="246" t="s">
        <v>344</v>
      </c>
    </row>
    <row r="30" spans="1:48" s="115" customFormat="1" x14ac:dyDescent="0.15">
      <c r="A30" s="246" t="s">
        <v>51</v>
      </c>
      <c r="B30" s="246" t="s">
        <v>342</v>
      </c>
      <c r="C30" s="246">
        <v>2018</v>
      </c>
      <c r="D30" s="106" t="s">
        <v>421</v>
      </c>
      <c r="E30" s="246" t="s">
        <v>201</v>
      </c>
      <c r="F30" s="246" t="s">
        <v>202</v>
      </c>
      <c r="G30" s="246" t="s">
        <v>36</v>
      </c>
      <c r="H30" s="246" t="s">
        <v>160</v>
      </c>
      <c r="I30" s="246" t="s">
        <v>155</v>
      </c>
      <c r="J30" s="246" t="s">
        <v>38</v>
      </c>
      <c r="K30" s="246" t="s">
        <v>156</v>
      </c>
      <c r="L30" s="246">
        <v>2</v>
      </c>
      <c r="M30" s="246"/>
      <c r="N30" s="246">
        <v>1</v>
      </c>
      <c r="O30" s="246">
        <v>0.6</v>
      </c>
      <c r="P30" s="246">
        <v>0.7</v>
      </c>
      <c r="Q30" s="107">
        <f t="shared" si="0"/>
        <v>0.64999999999999991</v>
      </c>
      <c r="R30" s="246">
        <v>17.3</v>
      </c>
      <c r="S30" s="246">
        <v>150</v>
      </c>
      <c r="T30" s="108">
        <f t="shared" si="1"/>
        <v>22</v>
      </c>
      <c r="U30" s="246">
        <v>98</v>
      </c>
      <c r="V30" s="109">
        <f t="shared" si="2"/>
        <v>2156</v>
      </c>
      <c r="W30" s="246">
        <v>19</v>
      </c>
      <c r="X30" s="246" t="s">
        <v>46</v>
      </c>
      <c r="Y30" s="246" t="s">
        <v>55</v>
      </c>
      <c r="Z30" s="246" t="s">
        <v>69</v>
      </c>
      <c r="AA30" s="246" t="s">
        <v>88</v>
      </c>
      <c r="AB30" s="246" t="s">
        <v>344</v>
      </c>
    </row>
    <row r="31" spans="1:48" s="115" customFormat="1" x14ac:dyDescent="0.15">
      <c r="A31" s="246" t="s">
        <v>51</v>
      </c>
      <c r="B31" s="246" t="s">
        <v>342</v>
      </c>
      <c r="C31" s="246">
        <v>2018</v>
      </c>
      <c r="D31" s="106" t="s">
        <v>421</v>
      </c>
      <c r="E31" s="246" t="s">
        <v>201</v>
      </c>
      <c r="F31" s="246" t="s">
        <v>202</v>
      </c>
      <c r="G31" s="246" t="s">
        <v>36</v>
      </c>
      <c r="H31" s="246" t="s">
        <v>160</v>
      </c>
      <c r="I31" s="246" t="s">
        <v>155</v>
      </c>
      <c r="J31" s="246" t="s">
        <v>38</v>
      </c>
      <c r="K31" s="246" t="s">
        <v>156</v>
      </c>
      <c r="L31" s="246">
        <v>3</v>
      </c>
      <c r="M31" s="246"/>
      <c r="N31" s="246">
        <v>1</v>
      </c>
      <c r="O31" s="246">
        <v>0.7</v>
      </c>
      <c r="P31" s="246">
        <v>0.65</v>
      </c>
      <c r="Q31" s="107">
        <f t="shared" si="0"/>
        <v>0.67500000000000004</v>
      </c>
      <c r="R31" s="246">
        <v>18.100000000000001</v>
      </c>
      <c r="S31" s="246">
        <v>146</v>
      </c>
      <c r="T31" s="108">
        <f t="shared" si="1"/>
        <v>22</v>
      </c>
      <c r="U31" s="246">
        <v>98</v>
      </c>
      <c r="V31" s="109">
        <f t="shared" si="2"/>
        <v>2156</v>
      </c>
      <c r="W31" s="246">
        <v>19</v>
      </c>
      <c r="X31" s="246" t="s">
        <v>46</v>
      </c>
      <c r="Y31" s="246" t="s">
        <v>55</v>
      </c>
      <c r="Z31" s="246" t="s">
        <v>69</v>
      </c>
      <c r="AA31" s="246" t="s">
        <v>88</v>
      </c>
      <c r="AB31" s="246" t="s">
        <v>344</v>
      </c>
    </row>
    <row r="32" spans="1:48" s="115" customFormat="1" x14ac:dyDescent="0.15">
      <c r="A32" s="246" t="s">
        <v>51</v>
      </c>
      <c r="B32" s="246" t="s">
        <v>342</v>
      </c>
      <c r="C32" s="246">
        <v>2018</v>
      </c>
      <c r="D32" s="106" t="s">
        <v>421</v>
      </c>
      <c r="E32" s="246" t="s">
        <v>164</v>
      </c>
      <c r="F32" s="246" t="s">
        <v>188</v>
      </c>
      <c r="G32" s="246" t="s">
        <v>42</v>
      </c>
      <c r="H32" s="246" t="s">
        <v>157</v>
      </c>
      <c r="I32" s="246" t="s">
        <v>155</v>
      </c>
      <c r="J32" s="246" t="s">
        <v>38</v>
      </c>
      <c r="K32" s="246" t="s">
        <v>156</v>
      </c>
      <c r="L32" s="246">
        <v>1</v>
      </c>
      <c r="M32" s="246"/>
      <c r="N32" s="246">
        <v>1</v>
      </c>
      <c r="O32" s="246">
        <v>0.75</v>
      </c>
      <c r="P32" s="246">
        <v>0.85</v>
      </c>
      <c r="Q32" s="107">
        <f t="shared" si="0"/>
        <v>0.8</v>
      </c>
      <c r="R32" s="246">
        <v>17.399999999999999</v>
      </c>
      <c r="S32" s="246">
        <v>152</v>
      </c>
      <c r="T32" s="108">
        <f t="shared" si="1"/>
        <v>18</v>
      </c>
      <c r="U32" s="246">
        <v>128</v>
      </c>
      <c r="V32" s="109">
        <f t="shared" si="2"/>
        <v>2304</v>
      </c>
      <c r="W32" s="246">
        <v>15</v>
      </c>
      <c r="X32" s="246" t="s">
        <v>46</v>
      </c>
      <c r="Y32" s="246" t="s">
        <v>88</v>
      </c>
      <c r="Z32" s="246" t="s">
        <v>55</v>
      </c>
      <c r="AA32" s="246" t="s">
        <v>69</v>
      </c>
      <c r="AB32" s="246" t="s">
        <v>344</v>
      </c>
    </row>
    <row r="33" spans="1:28" s="115" customFormat="1" x14ac:dyDescent="0.15">
      <c r="A33" s="246" t="s">
        <v>51</v>
      </c>
      <c r="B33" s="246" t="s">
        <v>342</v>
      </c>
      <c r="C33" s="246">
        <v>2018</v>
      </c>
      <c r="D33" s="106" t="s">
        <v>421</v>
      </c>
      <c r="E33" s="246" t="s">
        <v>164</v>
      </c>
      <c r="F33" s="246" t="s">
        <v>188</v>
      </c>
      <c r="G33" s="246" t="s">
        <v>42</v>
      </c>
      <c r="H33" s="246" t="s">
        <v>157</v>
      </c>
      <c r="I33" s="246" t="s">
        <v>155</v>
      </c>
      <c r="J33" s="246" t="s">
        <v>38</v>
      </c>
      <c r="K33" s="246" t="s">
        <v>156</v>
      </c>
      <c r="L33" s="246">
        <v>2</v>
      </c>
      <c r="M33" s="246"/>
      <c r="N33" s="246">
        <v>1</v>
      </c>
      <c r="O33" s="246">
        <v>0.8</v>
      </c>
      <c r="P33" s="246">
        <v>0.9</v>
      </c>
      <c r="Q33" s="107">
        <f t="shared" si="0"/>
        <v>0.85000000000000009</v>
      </c>
      <c r="R33" s="246">
        <v>16.7</v>
      </c>
      <c r="S33" s="246">
        <v>138</v>
      </c>
      <c r="T33" s="108">
        <f t="shared" si="1"/>
        <v>22</v>
      </c>
      <c r="U33" s="246">
        <v>128</v>
      </c>
      <c r="V33" s="109">
        <f t="shared" si="2"/>
        <v>2816</v>
      </c>
      <c r="W33" s="246">
        <v>15</v>
      </c>
      <c r="X33" s="246" t="s">
        <v>46</v>
      </c>
      <c r="Y33" s="246" t="s">
        <v>88</v>
      </c>
      <c r="Z33" s="246" t="s">
        <v>55</v>
      </c>
      <c r="AA33" s="246" t="s">
        <v>69</v>
      </c>
      <c r="AB33" s="246" t="s">
        <v>344</v>
      </c>
    </row>
    <row r="34" spans="1:28" s="115" customFormat="1" x14ac:dyDescent="0.15">
      <c r="A34" s="246" t="s">
        <v>51</v>
      </c>
      <c r="B34" s="246" t="s">
        <v>342</v>
      </c>
      <c r="C34" s="246">
        <v>2018</v>
      </c>
      <c r="D34" s="106" t="s">
        <v>421</v>
      </c>
      <c r="E34" s="246" t="s">
        <v>164</v>
      </c>
      <c r="F34" s="246" t="s">
        <v>188</v>
      </c>
      <c r="G34" s="246" t="s">
        <v>42</v>
      </c>
      <c r="H34" s="246" t="s">
        <v>157</v>
      </c>
      <c r="I34" s="246" t="s">
        <v>155</v>
      </c>
      <c r="J34" s="246" t="s">
        <v>38</v>
      </c>
      <c r="K34" s="246" t="s">
        <v>156</v>
      </c>
      <c r="L34" s="246">
        <v>3</v>
      </c>
      <c r="M34" s="246"/>
      <c r="N34" s="246">
        <v>1</v>
      </c>
      <c r="O34" s="246">
        <v>0.8</v>
      </c>
      <c r="P34" s="246">
        <v>0.75</v>
      </c>
      <c r="Q34" s="107">
        <f t="shared" si="0"/>
        <v>0.77500000000000002</v>
      </c>
      <c r="R34" s="246">
        <v>17.2</v>
      </c>
      <c r="S34" s="246">
        <v>152</v>
      </c>
      <c r="T34" s="108">
        <f t="shared" si="1"/>
        <v>18</v>
      </c>
      <c r="U34" s="246">
        <v>128</v>
      </c>
      <c r="V34" s="109">
        <f t="shared" si="2"/>
        <v>2304</v>
      </c>
      <c r="W34" s="246">
        <v>15</v>
      </c>
      <c r="X34" s="246" t="s">
        <v>46</v>
      </c>
      <c r="Y34" s="246" t="s">
        <v>88</v>
      </c>
      <c r="Z34" s="246" t="s">
        <v>55</v>
      </c>
      <c r="AA34" s="246" t="s">
        <v>69</v>
      </c>
      <c r="AB34" s="246" t="s">
        <v>344</v>
      </c>
    </row>
    <row r="35" spans="1:28" s="115" customFormat="1" x14ac:dyDescent="0.15">
      <c r="A35" s="246" t="s">
        <v>51</v>
      </c>
      <c r="B35" s="246" t="s">
        <v>342</v>
      </c>
      <c r="C35" s="246">
        <v>2018</v>
      </c>
      <c r="D35" s="106" t="s">
        <v>421</v>
      </c>
      <c r="E35" s="246" t="s">
        <v>164</v>
      </c>
      <c r="F35" s="246" t="s">
        <v>188</v>
      </c>
      <c r="G35" s="246" t="s">
        <v>42</v>
      </c>
      <c r="H35" s="246" t="s">
        <v>160</v>
      </c>
      <c r="I35" s="246" t="s">
        <v>155</v>
      </c>
      <c r="J35" s="246" t="s">
        <v>38</v>
      </c>
      <c r="K35" s="246" t="s">
        <v>156</v>
      </c>
      <c r="L35" s="246">
        <v>1</v>
      </c>
      <c r="M35" s="246"/>
      <c r="N35" s="246">
        <v>1</v>
      </c>
      <c r="O35" s="246">
        <v>0.55000000000000004</v>
      </c>
      <c r="P35" s="246">
        <v>0.6</v>
      </c>
      <c r="Q35" s="107">
        <f t="shared" si="0"/>
        <v>0.57499999999999996</v>
      </c>
      <c r="R35" s="246">
        <v>17.7</v>
      </c>
      <c r="S35" s="246">
        <v>164</v>
      </c>
      <c r="T35" s="108">
        <f t="shared" si="1"/>
        <v>18</v>
      </c>
      <c r="U35" s="246">
        <v>128</v>
      </c>
      <c r="V35" s="109">
        <f t="shared" si="2"/>
        <v>2304</v>
      </c>
      <c r="W35" s="246">
        <v>15</v>
      </c>
      <c r="X35" s="246" t="s">
        <v>46</v>
      </c>
      <c r="Y35" s="246" t="s">
        <v>88</v>
      </c>
      <c r="Z35" s="246" t="s">
        <v>55</v>
      </c>
      <c r="AA35" s="246" t="s">
        <v>69</v>
      </c>
      <c r="AB35" s="246" t="s">
        <v>344</v>
      </c>
    </row>
    <row r="36" spans="1:28" s="115" customFormat="1" x14ac:dyDescent="0.15">
      <c r="A36" s="246" t="s">
        <v>51</v>
      </c>
      <c r="B36" s="246" t="s">
        <v>342</v>
      </c>
      <c r="C36" s="246">
        <v>2018</v>
      </c>
      <c r="D36" s="106" t="s">
        <v>421</v>
      </c>
      <c r="E36" s="246" t="s">
        <v>164</v>
      </c>
      <c r="F36" s="246" t="s">
        <v>188</v>
      </c>
      <c r="G36" s="246" t="s">
        <v>42</v>
      </c>
      <c r="H36" s="246" t="s">
        <v>160</v>
      </c>
      <c r="I36" s="246" t="s">
        <v>155</v>
      </c>
      <c r="J36" s="246" t="s">
        <v>38</v>
      </c>
      <c r="K36" s="246" t="s">
        <v>156</v>
      </c>
      <c r="L36" s="246">
        <v>2</v>
      </c>
      <c r="M36" s="246"/>
      <c r="N36" s="246">
        <v>1</v>
      </c>
      <c r="O36" s="246">
        <v>0.6</v>
      </c>
      <c r="P36" s="246">
        <v>0.6</v>
      </c>
      <c r="Q36" s="107">
        <f t="shared" si="0"/>
        <v>0.6</v>
      </c>
      <c r="R36" s="246">
        <v>18.3</v>
      </c>
      <c r="S36" s="246">
        <v>166</v>
      </c>
      <c r="T36" s="108">
        <f t="shared" si="1"/>
        <v>18</v>
      </c>
      <c r="U36" s="246">
        <v>128</v>
      </c>
      <c r="V36" s="109">
        <f t="shared" si="2"/>
        <v>2304</v>
      </c>
      <c r="W36" s="246">
        <v>15</v>
      </c>
      <c r="X36" s="246" t="s">
        <v>46</v>
      </c>
      <c r="Y36" s="246" t="s">
        <v>88</v>
      </c>
      <c r="Z36" s="246" t="s">
        <v>55</v>
      </c>
      <c r="AA36" s="246" t="s">
        <v>69</v>
      </c>
      <c r="AB36" s="246" t="s">
        <v>344</v>
      </c>
    </row>
    <row r="37" spans="1:28" s="115" customFormat="1" x14ac:dyDescent="0.15">
      <c r="A37" s="246" t="s">
        <v>51</v>
      </c>
      <c r="B37" s="246" t="s">
        <v>342</v>
      </c>
      <c r="C37" s="246">
        <v>2018</v>
      </c>
      <c r="D37" s="106" t="s">
        <v>421</v>
      </c>
      <c r="E37" s="246" t="s">
        <v>164</v>
      </c>
      <c r="F37" s="246" t="s">
        <v>188</v>
      </c>
      <c r="G37" s="246" t="s">
        <v>42</v>
      </c>
      <c r="H37" s="246" t="s">
        <v>160</v>
      </c>
      <c r="I37" s="246" t="s">
        <v>155</v>
      </c>
      <c r="J37" s="246" t="s">
        <v>38</v>
      </c>
      <c r="K37" s="246" t="s">
        <v>156</v>
      </c>
      <c r="L37" s="246">
        <v>3</v>
      </c>
      <c r="M37" s="246"/>
      <c r="N37" s="246">
        <v>1</v>
      </c>
      <c r="O37" s="246">
        <v>0.65</v>
      </c>
      <c r="P37" s="246">
        <v>0.55000000000000004</v>
      </c>
      <c r="Q37" s="107">
        <f t="shared" si="0"/>
        <v>0.60000000000000009</v>
      </c>
      <c r="R37" s="246">
        <v>17.899999999999999</v>
      </c>
      <c r="S37" s="246">
        <v>166</v>
      </c>
      <c r="T37" s="108">
        <f t="shared" si="1"/>
        <v>18</v>
      </c>
      <c r="U37" s="246">
        <v>128</v>
      </c>
      <c r="V37" s="109">
        <f t="shared" si="2"/>
        <v>2304</v>
      </c>
      <c r="W37" s="246">
        <v>15</v>
      </c>
      <c r="X37" s="246" t="s">
        <v>46</v>
      </c>
      <c r="Y37" s="246" t="s">
        <v>88</v>
      </c>
      <c r="Z37" s="246" t="s">
        <v>55</v>
      </c>
      <c r="AA37" s="246" t="s">
        <v>69</v>
      </c>
      <c r="AB37" s="246" t="s">
        <v>344</v>
      </c>
    </row>
    <row r="38" spans="1:28" s="115" customFormat="1" x14ac:dyDescent="0.15">
      <c r="A38" s="246" t="s">
        <v>51</v>
      </c>
      <c r="B38" s="246" t="s">
        <v>342</v>
      </c>
      <c r="C38" s="246">
        <v>2018</v>
      </c>
      <c r="D38" s="106" t="s">
        <v>421</v>
      </c>
      <c r="E38" s="246" t="s">
        <v>204</v>
      </c>
      <c r="F38" s="246" t="s">
        <v>188</v>
      </c>
      <c r="G38" s="246" t="s">
        <v>42</v>
      </c>
      <c r="H38" s="246" t="s">
        <v>157</v>
      </c>
      <c r="I38" s="246" t="s">
        <v>155</v>
      </c>
      <c r="J38" s="246" t="s">
        <v>38</v>
      </c>
      <c r="K38" s="246" t="s">
        <v>156</v>
      </c>
      <c r="L38" s="246">
        <v>1</v>
      </c>
      <c r="M38" s="246"/>
      <c r="N38" s="246">
        <v>4</v>
      </c>
      <c r="O38" s="246">
        <v>0.6</v>
      </c>
      <c r="P38" s="246">
        <v>0.55000000000000004</v>
      </c>
      <c r="Q38" s="107">
        <f t="shared" si="0"/>
        <v>0.57499999999999996</v>
      </c>
      <c r="R38" s="246">
        <v>13.4</v>
      </c>
      <c r="S38" s="246">
        <v>102</v>
      </c>
      <c r="T38" s="108">
        <f t="shared" si="1"/>
        <v>33</v>
      </c>
      <c r="U38" s="246">
        <v>298</v>
      </c>
      <c r="V38" s="109">
        <f t="shared" si="2"/>
        <v>2458.5</v>
      </c>
      <c r="W38" s="246">
        <v>30</v>
      </c>
      <c r="X38" s="246" t="s">
        <v>46</v>
      </c>
      <c r="Y38" s="246" t="s">
        <v>55</v>
      </c>
      <c r="Z38" s="246" t="s">
        <v>97</v>
      </c>
      <c r="AA38" s="246" t="s">
        <v>88</v>
      </c>
      <c r="AB38" s="246" t="s">
        <v>344</v>
      </c>
    </row>
    <row r="39" spans="1:28" s="115" customFormat="1" x14ac:dyDescent="0.15">
      <c r="A39" s="246" t="s">
        <v>51</v>
      </c>
      <c r="B39" s="246" t="s">
        <v>342</v>
      </c>
      <c r="C39" s="246">
        <v>2018</v>
      </c>
      <c r="D39" s="106" t="s">
        <v>421</v>
      </c>
      <c r="E39" s="246" t="s">
        <v>204</v>
      </c>
      <c r="F39" s="246" t="s">
        <v>188</v>
      </c>
      <c r="G39" s="246" t="s">
        <v>42</v>
      </c>
      <c r="H39" s="246" t="s">
        <v>157</v>
      </c>
      <c r="I39" s="246" t="s">
        <v>155</v>
      </c>
      <c r="J39" s="246" t="s">
        <v>38</v>
      </c>
      <c r="K39" s="246" t="s">
        <v>156</v>
      </c>
      <c r="L39" s="246">
        <v>2</v>
      </c>
      <c r="M39" s="246"/>
      <c r="N39" s="246">
        <v>4</v>
      </c>
      <c r="O39" s="246">
        <v>0.55000000000000004</v>
      </c>
      <c r="P39" s="246">
        <v>0.5</v>
      </c>
      <c r="Q39" s="107">
        <f t="shared" si="0"/>
        <v>0.52500000000000002</v>
      </c>
      <c r="R39" s="246">
        <v>13.6</v>
      </c>
      <c r="S39" s="246">
        <v>102</v>
      </c>
      <c r="T39" s="108">
        <f t="shared" si="1"/>
        <v>33</v>
      </c>
      <c r="U39" s="246">
        <v>298</v>
      </c>
      <c r="V39" s="109">
        <f t="shared" si="2"/>
        <v>2458.5</v>
      </c>
      <c r="W39" s="246">
        <v>30</v>
      </c>
      <c r="X39" s="246" t="s">
        <v>46</v>
      </c>
      <c r="Y39" s="246" t="s">
        <v>55</v>
      </c>
      <c r="Z39" s="246" t="s">
        <v>97</v>
      </c>
      <c r="AA39" s="246" t="s">
        <v>88</v>
      </c>
      <c r="AB39" s="246" t="s">
        <v>344</v>
      </c>
    </row>
    <row r="40" spans="1:28" s="115" customFormat="1" x14ac:dyDescent="0.15">
      <c r="A40" s="246" t="s">
        <v>51</v>
      </c>
      <c r="B40" s="246" t="s">
        <v>342</v>
      </c>
      <c r="C40" s="246">
        <v>2018</v>
      </c>
      <c r="D40" s="106" t="s">
        <v>421</v>
      </c>
      <c r="E40" s="246" t="s">
        <v>204</v>
      </c>
      <c r="F40" s="246" t="s">
        <v>188</v>
      </c>
      <c r="G40" s="246" t="s">
        <v>42</v>
      </c>
      <c r="H40" s="246" t="s">
        <v>157</v>
      </c>
      <c r="I40" s="246" t="s">
        <v>155</v>
      </c>
      <c r="J40" s="246" t="s">
        <v>38</v>
      </c>
      <c r="K40" s="246" t="s">
        <v>156</v>
      </c>
      <c r="L40" s="246">
        <v>3</v>
      </c>
      <c r="M40" s="246"/>
      <c r="N40" s="246">
        <v>4</v>
      </c>
      <c r="O40" s="246">
        <v>0.5</v>
      </c>
      <c r="P40" s="246">
        <v>0.6</v>
      </c>
      <c r="Q40" s="107">
        <f t="shared" si="0"/>
        <v>0.55000000000000004</v>
      </c>
      <c r="R40" s="246">
        <v>13.1</v>
      </c>
      <c r="S40" s="246">
        <v>99</v>
      </c>
      <c r="T40" s="108">
        <f t="shared" si="1"/>
        <v>33</v>
      </c>
      <c r="U40" s="246">
        <v>298</v>
      </c>
      <c r="V40" s="109">
        <f t="shared" si="2"/>
        <v>2458.5</v>
      </c>
      <c r="W40" s="246">
        <v>30</v>
      </c>
      <c r="X40" s="246" t="s">
        <v>46</v>
      </c>
      <c r="Y40" s="246" t="s">
        <v>55</v>
      </c>
      <c r="Z40" s="246" t="s">
        <v>97</v>
      </c>
      <c r="AA40" s="246" t="s">
        <v>88</v>
      </c>
      <c r="AB40" s="246" t="s">
        <v>344</v>
      </c>
    </row>
    <row r="41" spans="1:28" s="115" customFormat="1" x14ac:dyDescent="0.15">
      <c r="A41" s="246" t="s">
        <v>51</v>
      </c>
      <c r="B41" s="246" t="s">
        <v>342</v>
      </c>
      <c r="C41" s="246">
        <v>2018</v>
      </c>
      <c r="D41" s="106" t="s">
        <v>421</v>
      </c>
      <c r="E41" s="246" t="s">
        <v>204</v>
      </c>
      <c r="F41" s="246" t="s">
        <v>188</v>
      </c>
      <c r="G41" s="246" t="s">
        <v>42</v>
      </c>
      <c r="H41" s="246" t="s">
        <v>160</v>
      </c>
      <c r="I41" s="246" t="s">
        <v>155</v>
      </c>
      <c r="J41" s="246" t="s">
        <v>38</v>
      </c>
      <c r="K41" s="246" t="s">
        <v>156</v>
      </c>
      <c r="L41" s="246">
        <v>1</v>
      </c>
      <c r="M41" s="246"/>
      <c r="N41" s="246">
        <v>4</v>
      </c>
      <c r="O41" s="246">
        <v>0.7</v>
      </c>
      <c r="P41" s="246">
        <v>0.7</v>
      </c>
      <c r="Q41" s="107">
        <f t="shared" si="0"/>
        <v>0.7</v>
      </c>
      <c r="R41" s="246">
        <v>15.8</v>
      </c>
      <c r="S41" s="246">
        <v>142</v>
      </c>
      <c r="T41" s="108">
        <f t="shared" si="1"/>
        <v>22</v>
      </c>
      <c r="U41" s="246">
        <v>498</v>
      </c>
      <c r="V41" s="109">
        <f t="shared" si="2"/>
        <v>2739</v>
      </c>
      <c r="W41" s="246">
        <v>30</v>
      </c>
      <c r="X41" s="246" t="s">
        <v>46</v>
      </c>
      <c r="Y41" s="246" t="s">
        <v>55</v>
      </c>
      <c r="Z41" s="246" t="s">
        <v>97</v>
      </c>
      <c r="AA41" s="246" t="s">
        <v>88</v>
      </c>
      <c r="AB41" s="246" t="s">
        <v>344</v>
      </c>
    </row>
    <row r="42" spans="1:28" s="115" customFormat="1" x14ac:dyDescent="0.15">
      <c r="A42" s="246" t="s">
        <v>51</v>
      </c>
      <c r="B42" s="246" t="s">
        <v>342</v>
      </c>
      <c r="C42" s="246">
        <v>2018</v>
      </c>
      <c r="D42" s="106" t="s">
        <v>421</v>
      </c>
      <c r="E42" s="246" t="s">
        <v>204</v>
      </c>
      <c r="F42" s="246" t="s">
        <v>188</v>
      </c>
      <c r="G42" s="246" t="s">
        <v>42</v>
      </c>
      <c r="H42" s="246" t="s">
        <v>160</v>
      </c>
      <c r="I42" s="246" t="s">
        <v>155</v>
      </c>
      <c r="J42" s="246" t="s">
        <v>38</v>
      </c>
      <c r="K42" s="246" t="s">
        <v>156</v>
      </c>
      <c r="L42" s="246">
        <v>2</v>
      </c>
      <c r="M42" s="246"/>
      <c r="N42" s="246">
        <v>4</v>
      </c>
      <c r="O42" s="246">
        <v>0.7</v>
      </c>
      <c r="P42" s="246">
        <v>0.65</v>
      </c>
      <c r="Q42" s="107">
        <f t="shared" si="0"/>
        <v>0.67500000000000004</v>
      </c>
      <c r="R42" s="246">
        <v>14.7</v>
      </c>
      <c r="S42" s="246">
        <v>134</v>
      </c>
      <c r="T42" s="108">
        <f t="shared" si="1"/>
        <v>25</v>
      </c>
      <c r="U42" s="246">
        <v>498</v>
      </c>
      <c r="V42" s="109">
        <f t="shared" si="2"/>
        <v>3112.5</v>
      </c>
      <c r="W42" s="246">
        <v>30</v>
      </c>
      <c r="X42" s="246" t="s">
        <v>46</v>
      </c>
      <c r="Y42" s="246" t="s">
        <v>55</v>
      </c>
      <c r="Z42" s="246" t="s">
        <v>97</v>
      </c>
      <c r="AA42" s="246" t="s">
        <v>88</v>
      </c>
      <c r="AB42" s="246" t="s">
        <v>344</v>
      </c>
    </row>
    <row r="43" spans="1:28" s="115" customFormat="1" x14ac:dyDescent="0.15">
      <c r="A43" s="246" t="s">
        <v>51</v>
      </c>
      <c r="B43" s="246" t="s">
        <v>342</v>
      </c>
      <c r="C43" s="246">
        <v>2018</v>
      </c>
      <c r="D43" s="106" t="s">
        <v>421</v>
      </c>
      <c r="E43" s="246" t="s">
        <v>204</v>
      </c>
      <c r="F43" s="246" t="s">
        <v>188</v>
      </c>
      <c r="G43" s="246" t="s">
        <v>42</v>
      </c>
      <c r="H43" s="246" t="s">
        <v>160</v>
      </c>
      <c r="I43" s="246" t="s">
        <v>155</v>
      </c>
      <c r="J43" s="246" t="s">
        <v>38</v>
      </c>
      <c r="K43" s="246" t="s">
        <v>156</v>
      </c>
      <c r="L43" s="246">
        <v>3</v>
      </c>
      <c r="M43" s="246"/>
      <c r="N43" s="246">
        <v>4</v>
      </c>
      <c r="O43" s="246">
        <v>0.75</v>
      </c>
      <c r="P43" s="246">
        <v>0.65</v>
      </c>
      <c r="Q43" s="107">
        <f>IF(OR(O43="",P43=""),"",AVERAGE(O43,P43))</f>
        <v>0.7</v>
      </c>
      <c r="R43" s="246">
        <v>15.2</v>
      </c>
      <c r="S43" s="246">
        <v>138</v>
      </c>
      <c r="T43" s="108">
        <f t="shared" si="1"/>
        <v>22</v>
      </c>
      <c r="U43" s="246">
        <v>498</v>
      </c>
      <c r="V43" s="109">
        <f t="shared" si="2"/>
        <v>2739</v>
      </c>
      <c r="W43" s="246">
        <v>30</v>
      </c>
      <c r="X43" s="246" t="s">
        <v>46</v>
      </c>
      <c r="Y43" s="246" t="s">
        <v>55</v>
      </c>
      <c r="Z43" s="246" t="s">
        <v>97</v>
      </c>
      <c r="AA43" s="246" t="s">
        <v>88</v>
      </c>
      <c r="AB43" s="246" t="s">
        <v>344</v>
      </c>
    </row>
    <row r="44" spans="1:28" s="115" customFormat="1" x14ac:dyDescent="0.15">
      <c r="A44" s="246" t="s">
        <v>51</v>
      </c>
      <c r="B44" s="246" t="s">
        <v>342</v>
      </c>
      <c r="C44" s="246">
        <v>2018</v>
      </c>
      <c r="D44" s="106" t="s">
        <v>421</v>
      </c>
      <c r="E44" s="246" t="s">
        <v>193</v>
      </c>
      <c r="F44" s="246" t="s">
        <v>194</v>
      </c>
      <c r="G44" s="246" t="s">
        <v>42</v>
      </c>
      <c r="H44" s="246" t="s">
        <v>157</v>
      </c>
      <c r="I44" s="246" t="s">
        <v>155</v>
      </c>
      <c r="J44" s="246" t="s">
        <v>38</v>
      </c>
      <c r="K44" s="246" t="s">
        <v>156</v>
      </c>
      <c r="L44" s="246">
        <v>1</v>
      </c>
      <c r="M44" s="246"/>
      <c r="N44" s="246">
        <v>1</v>
      </c>
      <c r="O44" s="246">
        <v>0.8</v>
      </c>
      <c r="P44" s="246">
        <v>0.8</v>
      </c>
      <c r="Q44" s="107">
        <f t="shared" si="0"/>
        <v>0.8</v>
      </c>
      <c r="R44" s="246">
        <v>16.2</v>
      </c>
      <c r="S44" s="246">
        <v>144</v>
      </c>
      <c r="T44" s="108">
        <f t="shared" si="1"/>
        <v>22</v>
      </c>
      <c r="U44" s="246">
        <v>138</v>
      </c>
      <c r="V44" s="109">
        <f t="shared" si="2"/>
        <v>3036</v>
      </c>
      <c r="W44" s="246">
        <v>3</v>
      </c>
      <c r="X44" s="246" t="s">
        <v>46</v>
      </c>
      <c r="Y44" s="246" t="s">
        <v>88</v>
      </c>
      <c r="Z44" s="130" t="s">
        <v>69</v>
      </c>
      <c r="AA44" s="246" t="s">
        <v>97</v>
      </c>
      <c r="AB44" s="246" t="s">
        <v>344</v>
      </c>
    </row>
    <row r="45" spans="1:28" s="115" customFormat="1" x14ac:dyDescent="0.15">
      <c r="A45" s="246" t="s">
        <v>51</v>
      </c>
      <c r="B45" s="246" t="s">
        <v>342</v>
      </c>
      <c r="C45" s="246">
        <v>2018</v>
      </c>
      <c r="D45" s="106" t="s">
        <v>421</v>
      </c>
      <c r="E45" s="246" t="s">
        <v>193</v>
      </c>
      <c r="F45" s="246" t="s">
        <v>194</v>
      </c>
      <c r="G45" s="246" t="s">
        <v>42</v>
      </c>
      <c r="H45" s="246" t="s">
        <v>157</v>
      </c>
      <c r="I45" s="246" t="s">
        <v>155</v>
      </c>
      <c r="J45" s="246" t="s">
        <v>38</v>
      </c>
      <c r="K45" s="246" t="s">
        <v>156</v>
      </c>
      <c r="L45" s="246">
        <v>2</v>
      </c>
      <c r="M45" s="246"/>
      <c r="N45" s="246">
        <v>1</v>
      </c>
      <c r="O45" s="246">
        <v>0.9</v>
      </c>
      <c r="P45" s="246">
        <v>0.85</v>
      </c>
      <c r="Q45" s="107">
        <f t="shared" si="0"/>
        <v>0.875</v>
      </c>
      <c r="R45" s="246">
        <v>15.6</v>
      </c>
      <c r="S45" s="246">
        <v>138</v>
      </c>
      <c r="T45" s="108">
        <f t="shared" si="1"/>
        <v>22</v>
      </c>
      <c r="U45" s="246">
        <v>138</v>
      </c>
      <c r="V45" s="109">
        <f t="shared" si="2"/>
        <v>3036</v>
      </c>
      <c r="W45" s="246">
        <v>3</v>
      </c>
      <c r="X45" s="246" t="s">
        <v>46</v>
      </c>
      <c r="Y45" s="246" t="s">
        <v>88</v>
      </c>
      <c r="Z45" s="130" t="s">
        <v>69</v>
      </c>
      <c r="AA45" s="246" t="s">
        <v>97</v>
      </c>
      <c r="AB45" s="246" t="s">
        <v>344</v>
      </c>
    </row>
    <row r="46" spans="1:28" s="115" customFormat="1" x14ac:dyDescent="0.15">
      <c r="A46" s="246" t="s">
        <v>51</v>
      </c>
      <c r="B46" s="246" t="s">
        <v>342</v>
      </c>
      <c r="C46" s="246">
        <v>2018</v>
      </c>
      <c r="D46" s="106" t="s">
        <v>421</v>
      </c>
      <c r="E46" s="246" t="s">
        <v>193</v>
      </c>
      <c r="F46" s="246" t="s">
        <v>194</v>
      </c>
      <c r="G46" s="246" t="s">
        <v>42</v>
      </c>
      <c r="H46" s="246" t="s">
        <v>157</v>
      </c>
      <c r="I46" s="246" t="s">
        <v>155</v>
      </c>
      <c r="J46" s="246" t="s">
        <v>38</v>
      </c>
      <c r="K46" s="246" t="s">
        <v>156</v>
      </c>
      <c r="L46" s="246">
        <v>3</v>
      </c>
      <c r="M46" s="246"/>
      <c r="N46" s="246">
        <v>1</v>
      </c>
      <c r="O46" s="246">
        <v>0.85</v>
      </c>
      <c r="P46" s="246">
        <v>0.95</v>
      </c>
      <c r="Q46" s="107">
        <f t="shared" si="0"/>
        <v>0.89999999999999991</v>
      </c>
      <c r="R46" s="246">
        <v>15.8</v>
      </c>
      <c r="S46" s="246">
        <v>140</v>
      </c>
      <c r="T46" s="108">
        <f t="shared" si="1"/>
        <v>22</v>
      </c>
      <c r="U46" s="246">
        <v>138</v>
      </c>
      <c r="V46" s="109">
        <f t="shared" si="2"/>
        <v>3036</v>
      </c>
      <c r="W46" s="246">
        <v>3</v>
      </c>
      <c r="X46" s="246" t="s">
        <v>46</v>
      </c>
      <c r="Y46" s="246" t="s">
        <v>88</v>
      </c>
      <c r="Z46" s="130" t="s">
        <v>69</v>
      </c>
      <c r="AA46" s="246" t="s">
        <v>97</v>
      </c>
      <c r="AB46" s="246" t="s">
        <v>344</v>
      </c>
    </row>
    <row r="47" spans="1:28" s="115" customFormat="1" x14ac:dyDescent="0.15">
      <c r="A47" s="246" t="s">
        <v>51</v>
      </c>
      <c r="B47" s="246" t="s">
        <v>342</v>
      </c>
      <c r="C47" s="246">
        <v>2018</v>
      </c>
      <c r="D47" s="106" t="s">
        <v>421</v>
      </c>
      <c r="E47" s="246" t="s">
        <v>199</v>
      </c>
      <c r="F47" s="246" t="s">
        <v>187</v>
      </c>
      <c r="G47" s="246" t="s">
        <v>36</v>
      </c>
      <c r="H47" s="246" t="s">
        <v>157</v>
      </c>
      <c r="I47" s="246" t="s">
        <v>155</v>
      </c>
      <c r="J47" s="246" t="s">
        <v>38</v>
      </c>
      <c r="K47" s="246" t="s">
        <v>156</v>
      </c>
      <c r="L47" s="246">
        <v>1</v>
      </c>
      <c r="M47" s="246"/>
      <c r="N47" s="246">
        <v>1</v>
      </c>
      <c r="O47" s="246">
        <v>0.65</v>
      </c>
      <c r="P47" s="246">
        <v>0.25</v>
      </c>
      <c r="Q47" s="107">
        <f t="shared" si="0"/>
        <v>0.45</v>
      </c>
      <c r="R47" s="246">
        <v>13.6</v>
      </c>
      <c r="S47" s="246">
        <v>112</v>
      </c>
      <c r="T47" s="108">
        <f t="shared" si="1"/>
        <v>33</v>
      </c>
      <c r="U47" s="246">
        <v>68</v>
      </c>
      <c r="V47" s="109">
        <f t="shared" si="2"/>
        <v>2244</v>
      </c>
      <c r="W47" s="246">
        <v>9</v>
      </c>
      <c r="X47" s="246" t="s">
        <v>46</v>
      </c>
      <c r="Y47" s="246" t="s">
        <v>97</v>
      </c>
      <c r="Z47" s="130" t="s">
        <v>88</v>
      </c>
      <c r="AA47" s="246" t="s">
        <v>69</v>
      </c>
      <c r="AB47" s="246" t="s">
        <v>344</v>
      </c>
    </row>
    <row r="48" spans="1:28" s="115" customFormat="1" x14ac:dyDescent="0.15">
      <c r="A48" s="246" t="s">
        <v>51</v>
      </c>
      <c r="B48" s="246" t="s">
        <v>342</v>
      </c>
      <c r="C48" s="246">
        <v>2018</v>
      </c>
      <c r="D48" s="106" t="s">
        <v>421</v>
      </c>
      <c r="E48" s="246" t="s">
        <v>199</v>
      </c>
      <c r="F48" s="246" t="s">
        <v>187</v>
      </c>
      <c r="G48" s="246" t="s">
        <v>36</v>
      </c>
      <c r="H48" s="246" t="s">
        <v>157</v>
      </c>
      <c r="I48" s="246" t="s">
        <v>155</v>
      </c>
      <c r="J48" s="246" t="s">
        <v>38</v>
      </c>
      <c r="K48" s="246" t="s">
        <v>156</v>
      </c>
      <c r="L48" s="246">
        <v>2</v>
      </c>
      <c r="M48" s="246"/>
      <c r="N48" s="246">
        <v>1</v>
      </c>
      <c r="O48" s="246">
        <v>0.55000000000000004</v>
      </c>
      <c r="P48" s="246">
        <v>0.6</v>
      </c>
      <c r="Q48" s="107">
        <f t="shared" si="0"/>
        <v>0.57499999999999996</v>
      </c>
      <c r="R48" s="246">
        <v>13.9</v>
      </c>
      <c r="S48" s="246">
        <v>112</v>
      </c>
      <c r="T48" s="108">
        <f t="shared" si="1"/>
        <v>33</v>
      </c>
      <c r="U48" s="246">
        <v>68</v>
      </c>
      <c r="V48" s="109">
        <f t="shared" si="2"/>
        <v>2244</v>
      </c>
      <c r="W48" s="246">
        <v>9</v>
      </c>
      <c r="X48" s="246" t="s">
        <v>46</v>
      </c>
      <c r="Y48" s="246" t="s">
        <v>97</v>
      </c>
      <c r="Z48" s="130" t="s">
        <v>88</v>
      </c>
      <c r="AA48" s="246" t="s">
        <v>69</v>
      </c>
      <c r="AB48" s="246" t="s">
        <v>344</v>
      </c>
    </row>
    <row r="49" spans="1:28" s="115" customFormat="1" x14ac:dyDescent="0.15">
      <c r="A49" s="246" t="s">
        <v>51</v>
      </c>
      <c r="B49" s="246" t="s">
        <v>342</v>
      </c>
      <c r="C49" s="246">
        <v>2018</v>
      </c>
      <c r="D49" s="106" t="s">
        <v>421</v>
      </c>
      <c r="E49" s="246" t="s">
        <v>199</v>
      </c>
      <c r="F49" s="246" t="s">
        <v>187</v>
      </c>
      <c r="G49" s="246" t="s">
        <v>36</v>
      </c>
      <c r="H49" s="246" t="s">
        <v>157</v>
      </c>
      <c r="I49" s="246" t="s">
        <v>155</v>
      </c>
      <c r="J49" s="246" t="s">
        <v>38</v>
      </c>
      <c r="K49" s="246" t="s">
        <v>156</v>
      </c>
      <c r="L49" s="246">
        <v>3</v>
      </c>
      <c r="M49" s="246"/>
      <c r="N49" s="246">
        <v>1</v>
      </c>
      <c r="O49" s="246">
        <v>0.65</v>
      </c>
      <c r="P49" s="246">
        <v>0.65</v>
      </c>
      <c r="Q49" s="107">
        <f t="shared" si="0"/>
        <v>0.65</v>
      </c>
      <c r="R49" s="246">
        <v>13.5</v>
      </c>
      <c r="S49" s="246">
        <v>112</v>
      </c>
      <c r="T49" s="108">
        <f t="shared" si="1"/>
        <v>33</v>
      </c>
      <c r="U49" s="246">
        <v>68</v>
      </c>
      <c r="V49" s="109">
        <f t="shared" si="2"/>
        <v>2244</v>
      </c>
      <c r="W49" s="246">
        <v>9</v>
      </c>
      <c r="X49" s="246" t="s">
        <v>46</v>
      </c>
      <c r="Y49" s="246" t="s">
        <v>97</v>
      </c>
      <c r="Z49" s="130" t="s">
        <v>88</v>
      </c>
      <c r="AA49" s="246" t="s">
        <v>69</v>
      </c>
      <c r="AB49" s="246" t="s">
        <v>344</v>
      </c>
    </row>
    <row r="50" spans="1:28" s="115" customFormat="1" x14ac:dyDescent="0.15">
      <c r="A50" s="246" t="s">
        <v>51</v>
      </c>
      <c r="B50" s="246" t="s">
        <v>342</v>
      </c>
      <c r="C50" s="246">
        <v>2018</v>
      </c>
      <c r="D50" s="106" t="s">
        <v>421</v>
      </c>
      <c r="E50" s="246" t="s">
        <v>199</v>
      </c>
      <c r="F50" s="246" t="s">
        <v>187</v>
      </c>
      <c r="G50" s="246" t="s">
        <v>36</v>
      </c>
      <c r="H50" s="246" t="s">
        <v>157</v>
      </c>
      <c r="I50" s="246" t="s">
        <v>158</v>
      </c>
      <c r="J50" s="246" t="s">
        <v>38</v>
      </c>
      <c r="K50" s="246" t="s">
        <v>156</v>
      </c>
      <c r="L50" s="246">
        <v>1</v>
      </c>
      <c r="M50" s="246"/>
      <c r="N50" s="246">
        <v>2</v>
      </c>
      <c r="O50" s="246">
        <v>0.8</v>
      </c>
      <c r="P50" s="246">
        <v>0.8</v>
      </c>
      <c r="Q50" s="107">
        <f t="shared" si="0"/>
        <v>0.8</v>
      </c>
      <c r="R50" s="246">
        <v>13.7</v>
      </c>
      <c r="S50" s="246">
        <v>144</v>
      </c>
      <c r="T50" s="108">
        <f t="shared" si="1"/>
        <v>22</v>
      </c>
      <c r="U50" s="246">
        <v>398</v>
      </c>
      <c r="V50" s="109">
        <f t="shared" si="2"/>
        <v>4378</v>
      </c>
      <c r="W50" s="246">
        <v>9</v>
      </c>
      <c r="X50" s="246" t="s">
        <v>39</v>
      </c>
      <c r="Y50" s="246" t="s">
        <v>97</v>
      </c>
      <c r="Z50" s="130" t="s">
        <v>88</v>
      </c>
      <c r="AA50" s="246" t="s">
        <v>69</v>
      </c>
      <c r="AB50" s="246" t="s">
        <v>344</v>
      </c>
    </row>
    <row r="51" spans="1:28" s="115" customFormat="1" x14ac:dyDescent="0.15">
      <c r="A51" s="246" t="s">
        <v>51</v>
      </c>
      <c r="B51" s="246" t="s">
        <v>342</v>
      </c>
      <c r="C51" s="246">
        <v>2018</v>
      </c>
      <c r="D51" s="106" t="s">
        <v>421</v>
      </c>
      <c r="E51" s="246" t="s">
        <v>199</v>
      </c>
      <c r="F51" s="246" t="s">
        <v>187</v>
      </c>
      <c r="G51" s="246" t="s">
        <v>36</v>
      </c>
      <c r="H51" s="246" t="s">
        <v>157</v>
      </c>
      <c r="I51" s="246" t="s">
        <v>158</v>
      </c>
      <c r="J51" s="246" t="s">
        <v>38</v>
      </c>
      <c r="K51" s="246" t="s">
        <v>156</v>
      </c>
      <c r="L51" s="246">
        <v>2</v>
      </c>
      <c r="M51" s="246"/>
      <c r="N51" s="246">
        <v>2</v>
      </c>
      <c r="O51" s="246">
        <v>0.85</v>
      </c>
      <c r="P51" s="246">
        <v>0.9</v>
      </c>
      <c r="Q51" s="107">
        <f t="shared" si="0"/>
        <v>0.875</v>
      </c>
      <c r="R51" s="246">
        <v>12.4</v>
      </c>
      <c r="S51" s="246">
        <v>136</v>
      </c>
      <c r="T51" s="108">
        <f t="shared" si="1"/>
        <v>25</v>
      </c>
      <c r="U51" s="246">
        <v>398</v>
      </c>
      <c r="V51" s="109">
        <f t="shared" si="2"/>
        <v>4975</v>
      </c>
      <c r="W51" s="246">
        <v>9</v>
      </c>
      <c r="X51" s="246" t="s">
        <v>39</v>
      </c>
      <c r="Y51" s="246" t="s">
        <v>97</v>
      </c>
      <c r="Z51" s="130" t="s">
        <v>88</v>
      </c>
      <c r="AA51" s="246" t="s">
        <v>69</v>
      </c>
      <c r="AB51" s="246" t="s">
        <v>344</v>
      </c>
    </row>
    <row r="52" spans="1:28" s="115" customFormat="1" x14ac:dyDescent="0.15">
      <c r="A52" s="246" t="s">
        <v>51</v>
      </c>
      <c r="B52" s="246" t="s">
        <v>342</v>
      </c>
      <c r="C52" s="246">
        <v>2018</v>
      </c>
      <c r="D52" s="106" t="s">
        <v>421</v>
      </c>
      <c r="E52" s="246" t="s">
        <v>199</v>
      </c>
      <c r="F52" s="246" t="s">
        <v>187</v>
      </c>
      <c r="G52" s="246" t="s">
        <v>36</v>
      </c>
      <c r="H52" s="246" t="s">
        <v>157</v>
      </c>
      <c r="I52" s="246" t="s">
        <v>158</v>
      </c>
      <c r="J52" s="246" t="s">
        <v>38</v>
      </c>
      <c r="K52" s="246" t="s">
        <v>156</v>
      </c>
      <c r="L52" s="246">
        <v>3</v>
      </c>
      <c r="M52" s="246"/>
      <c r="N52" s="246">
        <v>2</v>
      </c>
      <c r="O52" s="246">
        <v>0.9</v>
      </c>
      <c r="P52" s="246">
        <v>0.75</v>
      </c>
      <c r="Q52" s="107">
        <f t="shared" si="0"/>
        <v>0.82499999999999996</v>
      </c>
      <c r="R52" s="246">
        <v>13.8</v>
      </c>
      <c r="S52" s="246">
        <v>142</v>
      </c>
      <c r="T52" s="108">
        <f t="shared" si="1"/>
        <v>22</v>
      </c>
      <c r="U52" s="246">
        <v>398</v>
      </c>
      <c r="V52" s="109">
        <f t="shared" si="2"/>
        <v>4378</v>
      </c>
      <c r="W52" s="246">
        <v>9</v>
      </c>
      <c r="X52" s="246" t="s">
        <v>39</v>
      </c>
      <c r="Y52" s="246" t="s">
        <v>97</v>
      </c>
      <c r="Z52" s="130" t="s">
        <v>88</v>
      </c>
      <c r="AA52" s="246" t="s">
        <v>69</v>
      </c>
      <c r="AB52" s="246" t="s">
        <v>344</v>
      </c>
    </row>
    <row r="53" spans="1:28" s="115" customFormat="1" x14ac:dyDescent="0.15">
      <c r="A53" s="246" t="s">
        <v>51</v>
      </c>
      <c r="B53" s="246" t="s">
        <v>342</v>
      </c>
      <c r="C53" s="246">
        <v>2018</v>
      </c>
      <c r="D53" s="106" t="s">
        <v>421</v>
      </c>
      <c r="E53" s="246" t="s">
        <v>199</v>
      </c>
      <c r="F53" s="246" t="s">
        <v>187</v>
      </c>
      <c r="G53" s="246" t="s">
        <v>36</v>
      </c>
      <c r="H53" s="246" t="s">
        <v>205</v>
      </c>
      <c r="I53" s="246" t="s">
        <v>155</v>
      </c>
      <c r="J53" s="246" t="s">
        <v>38</v>
      </c>
      <c r="K53" s="246" t="s">
        <v>156</v>
      </c>
      <c r="L53" s="246">
        <v>1</v>
      </c>
      <c r="M53" s="246"/>
      <c r="N53" s="246">
        <v>5</v>
      </c>
      <c r="O53" s="246">
        <v>0.6</v>
      </c>
      <c r="P53" s="246">
        <v>0.65</v>
      </c>
      <c r="Q53" s="107">
        <f>IF(OR(O53="",P53=""),"",AVERAGE(O53,P53))</f>
        <v>0.625</v>
      </c>
      <c r="R53" s="246">
        <v>19.100000000000001</v>
      </c>
      <c r="S53" s="246">
        <v>106</v>
      </c>
      <c r="T53" s="108">
        <f t="shared" si="1"/>
        <v>33</v>
      </c>
      <c r="U53" s="246">
        <v>398</v>
      </c>
      <c r="V53" s="109">
        <f>IF(OR(N53="",U53="",T53=""),"",U53/N53*T53)</f>
        <v>2626.7999999999997</v>
      </c>
      <c r="W53" s="246">
        <v>9</v>
      </c>
      <c r="X53" s="246" t="s">
        <v>39</v>
      </c>
      <c r="Y53" s="246" t="s">
        <v>97</v>
      </c>
      <c r="Z53" s="130" t="s">
        <v>88</v>
      </c>
      <c r="AA53" s="246" t="s">
        <v>69</v>
      </c>
      <c r="AB53" s="246" t="s">
        <v>344</v>
      </c>
    </row>
    <row r="54" spans="1:28" s="115" customFormat="1" x14ac:dyDescent="0.15">
      <c r="A54" s="246" t="s">
        <v>51</v>
      </c>
      <c r="B54" s="246" t="s">
        <v>342</v>
      </c>
      <c r="C54" s="246">
        <v>2018</v>
      </c>
      <c r="D54" s="106" t="s">
        <v>421</v>
      </c>
      <c r="E54" s="246" t="s">
        <v>199</v>
      </c>
      <c r="F54" s="246" t="s">
        <v>187</v>
      </c>
      <c r="G54" s="246" t="s">
        <v>36</v>
      </c>
      <c r="H54" s="246" t="s">
        <v>205</v>
      </c>
      <c r="I54" s="246" t="s">
        <v>155</v>
      </c>
      <c r="J54" s="246" t="s">
        <v>38</v>
      </c>
      <c r="K54" s="246" t="s">
        <v>156</v>
      </c>
      <c r="L54" s="246">
        <v>2</v>
      </c>
      <c r="M54" s="246"/>
      <c r="N54" s="246">
        <v>5</v>
      </c>
      <c r="O54" s="246">
        <v>0.5</v>
      </c>
      <c r="P54" s="246">
        <v>0.6</v>
      </c>
      <c r="Q54" s="107">
        <f>IF(OR(O54="",P54=""),"",AVERAGE(O54,P54))</f>
        <v>0.55000000000000004</v>
      </c>
      <c r="R54" s="246">
        <v>18.600000000000001</v>
      </c>
      <c r="S54" s="246">
        <v>96</v>
      </c>
      <c r="T54" s="108">
        <f t="shared" si="1"/>
        <v>36</v>
      </c>
      <c r="U54" s="246">
        <v>398</v>
      </c>
      <c r="V54" s="109">
        <f>IF(OR(N54="",U54="",T54=""),"",U54/N54*T54)</f>
        <v>2865.6</v>
      </c>
      <c r="W54" s="246">
        <v>9</v>
      </c>
      <c r="X54" s="246" t="s">
        <v>39</v>
      </c>
      <c r="Y54" s="246" t="s">
        <v>97</v>
      </c>
      <c r="Z54" s="130" t="s">
        <v>88</v>
      </c>
      <c r="AA54" s="246" t="s">
        <v>69</v>
      </c>
      <c r="AB54" s="246" t="s">
        <v>344</v>
      </c>
    </row>
    <row r="55" spans="1:28" s="115" customFormat="1" x14ac:dyDescent="0.15">
      <c r="A55" s="246" t="s">
        <v>51</v>
      </c>
      <c r="B55" s="246" t="s">
        <v>342</v>
      </c>
      <c r="C55" s="246">
        <v>2018</v>
      </c>
      <c r="D55" s="106" t="s">
        <v>421</v>
      </c>
      <c r="E55" s="246" t="s">
        <v>199</v>
      </c>
      <c r="F55" s="246" t="s">
        <v>187</v>
      </c>
      <c r="G55" s="246" t="s">
        <v>36</v>
      </c>
      <c r="H55" s="246" t="s">
        <v>205</v>
      </c>
      <c r="I55" s="246" t="s">
        <v>155</v>
      </c>
      <c r="J55" s="246" t="s">
        <v>38</v>
      </c>
      <c r="K55" s="246" t="s">
        <v>156</v>
      </c>
      <c r="L55" s="246">
        <v>3</v>
      </c>
      <c r="M55" s="246"/>
      <c r="N55" s="246">
        <v>5</v>
      </c>
      <c r="O55" s="246">
        <v>0.55000000000000004</v>
      </c>
      <c r="P55" s="246">
        <v>0.5</v>
      </c>
      <c r="Q55" s="107">
        <f>IF(OR(O55="",P55=""),"",AVERAGE(O55,P55))</f>
        <v>0.52500000000000002</v>
      </c>
      <c r="R55" s="246">
        <v>18.5</v>
      </c>
      <c r="S55" s="246">
        <v>98</v>
      </c>
      <c r="T55" s="108">
        <f t="shared" si="1"/>
        <v>36</v>
      </c>
      <c r="U55" s="246">
        <v>398</v>
      </c>
      <c r="V55" s="109">
        <f>IF(OR(N55="",U55="",T55=""),"",U55/N55*T55)</f>
        <v>2865.6</v>
      </c>
      <c r="W55" s="246">
        <v>9</v>
      </c>
      <c r="X55" s="246" t="s">
        <v>39</v>
      </c>
      <c r="Y55" s="246" t="s">
        <v>97</v>
      </c>
      <c r="Z55" s="130" t="s">
        <v>88</v>
      </c>
      <c r="AA55" s="246" t="s">
        <v>69</v>
      </c>
      <c r="AB55" s="246" t="s">
        <v>344</v>
      </c>
    </row>
    <row r="56" spans="1:28" s="115" customFormat="1" x14ac:dyDescent="0.15">
      <c r="A56" s="246" t="s">
        <v>51</v>
      </c>
      <c r="B56" s="246" t="s">
        <v>342</v>
      </c>
      <c r="C56" s="246">
        <v>2018</v>
      </c>
      <c r="D56" s="106" t="s">
        <v>421</v>
      </c>
      <c r="E56" s="246" t="s">
        <v>199</v>
      </c>
      <c r="F56" s="246" t="s">
        <v>187</v>
      </c>
      <c r="G56" s="246" t="s">
        <v>36</v>
      </c>
      <c r="H56" s="246" t="s">
        <v>160</v>
      </c>
      <c r="I56" s="246" t="s">
        <v>155</v>
      </c>
      <c r="J56" s="246" t="s">
        <v>38</v>
      </c>
      <c r="K56" s="246" t="s">
        <v>156</v>
      </c>
      <c r="L56" s="246">
        <v>1</v>
      </c>
      <c r="M56" s="246"/>
      <c r="N56" s="246">
        <v>3</v>
      </c>
      <c r="O56" s="246">
        <v>0.55000000000000004</v>
      </c>
      <c r="P56" s="246">
        <v>0.7</v>
      </c>
      <c r="Q56" s="107">
        <f t="shared" ref="Q56:Q58" si="3">IF(OR(O56="",P56=""),"",AVERAGE(O56,P56))</f>
        <v>0.625</v>
      </c>
      <c r="R56" s="246">
        <v>18</v>
      </c>
      <c r="S56" s="246">
        <v>148</v>
      </c>
      <c r="T56" s="108">
        <f t="shared" si="1"/>
        <v>22</v>
      </c>
      <c r="U56" s="246">
        <v>498</v>
      </c>
      <c r="V56" s="109">
        <f t="shared" ref="V56:V58" si="4">IF(OR(N56="",U56="",T56=""),"",U56/N56*T56)</f>
        <v>3652</v>
      </c>
      <c r="W56" s="246">
        <v>9</v>
      </c>
      <c r="X56" s="246" t="s">
        <v>46</v>
      </c>
      <c r="Y56" s="246" t="s">
        <v>97</v>
      </c>
      <c r="Z56" s="130" t="s">
        <v>88</v>
      </c>
      <c r="AA56" s="246" t="s">
        <v>69</v>
      </c>
      <c r="AB56" s="246" t="s">
        <v>344</v>
      </c>
    </row>
    <row r="57" spans="1:28" s="115" customFormat="1" x14ac:dyDescent="0.15">
      <c r="A57" s="246" t="s">
        <v>51</v>
      </c>
      <c r="B57" s="246" t="s">
        <v>342</v>
      </c>
      <c r="C57" s="246">
        <v>2018</v>
      </c>
      <c r="D57" s="106" t="s">
        <v>421</v>
      </c>
      <c r="E57" s="246" t="s">
        <v>199</v>
      </c>
      <c r="F57" s="246" t="s">
        <v>187</v>
      </c>
      <c r="G57" s="246" t="s">
        <v>36</v>
      </c>
      <c r="H57" s="246" t="s">
        <v>160</v>
      </c>
      <c r="I57" s="246" t="s">
        <v>155</v>
      </c>
      <c r="J57" s="246" t="s">
        <v>38</v>
      </c>
      <c r="K57" s="246" t="s">
        <v>156</v>
      </c>
      <c r="L57" s="246">
        <v>2</v>
      </c>
      <c r="M57" s="246"/>
      <c r="N57" s="246">
        <v>3</v>
      </c>
      <c r="O57" s="246">
        <v>0.65</v>
      </c>
      <c r="P57" s="246">
        <v>0.65</v>
      </c>
      <c r="Q57" s="107">
        <f t="shared" si="3"/>
        <v>0.65</v>
      </c>
      <c r="R57" s="246">
        <v>16.8</v>
      </c>
      <c r="S57" s="246">
        <v>144</v>
      </c>
      <c r="T57" s="108">
        <f t="shared" si="1"/>
        <v>22</v>
      </c>
      <c r="U57" s="246">
        <v>498</v>
      </c>
      <c r="V57" s="109">
        <f t="shared" si="4"/>
        <v>3652</v>
      </c>
      <c r="W57" s="246">
        <v>9</v>
      </c>
      <c r="X57" s="246" t="s">
        <v>46</v>
      </c>
      <c r="Y57" s="246" t="s">
        <v>97</v>
      </c>
      <c r="Z57" s="130" t="s">
        <v>88</v>
      </c>
      <c r="AA57" s="246" t="s">
        <v>69</v>
      </c>
      <c r="AB57" s="246" t="s">
        <v>344</v>
      </c>
    </row>
    <row r="58" spans="1:28" s="115" customFormat="1" x14ac:dyDescent="0.15">
      <c r="A58" s="246" t="s">
        <v>51</v>
      </c>
      <c r="B58" s="246" t="s">
        <v>342</v>
      </c>
      <c r="C58" s="246">
        <v>2018</v>
      </c>
      <c r="D58" s="106" t="s">
        <v>421</v>
      </c>
      <c r="E58" s="246" t="s">
        <v>199</v>
      </c>
      <c r="F58" s="246" t="s">
        <v>187</v>
      </c>
      <c r="G58" s="246" t="s">
        <v>36</v>
      </c>
      <c r="H58" s="246" t="s">
        <v>160</v>
      </c>
      <c r="I58" s="246" t="s">
        <v>155</v>
      </c>
      <c r="J58" s="246" t="s">
        <v>38</v>
      </c>
      <c r="K58" s="246" t="s">
        <v>156</v>
      </c>
      <c r="L58" s="246">
        <v>3</v>
      </c>
      <c r="M58" s="246"/>
      <c r="N58" s="246">
        <v>3</v>
      </c>
      <c r="O58" s="246">
        <v>0.7</v>
      </c>
      <c r="P58" s="246">
        <v>0.65</v>
      </c>
      <c r="Q58" s="107">
        <f t="shared" si="3"/>
        <v>0.67500000000000004</v>
      </c>
      <c r="R58" s="246">
        <v>17.3</v>
      </c>
      <c r="S58" s="246">
        <v>144</v>
      </c>
      <c r="T58" s="108">
        <f t="shared" si="1"/>
        <v>22</v>
      </c>
      <c r="U58" s="246">
        <v>498</v>
      </c>
      <c r="V58" s="109">
        <f t="shared" si="4"/>
        <v>3652</v>
      </c>
      <c r="W58" s="246">
        <v>9</v>
      </c>
      <c r="X58" s="246" t="s">
        <v>46</v>
      </c>
      <c r="Y58" s="246" t="s">
        <v>97</v>
      </c>
      <c r="Z58" s="130" t="s">
        <v>88</v>
      </c>
      <c r="AA58" s="246" t="s">
        <v>69</v>
      </c>
      <c r="AB58" s="246" t="s">
        <v>344</v>
      </c>
    </row>
    <row r="59" spans="1:28" s="115" customFormat="1" x14ac:dyDescent="0.15">
      <c r="A59" s="246" t="s">
        <v>51</v>
      </c>
      <c r="B59" s="246" t="s">
        <v>342</v>
      </c>
      <c r="C59" s="246">
        <v>2018</v>
      </c>
      <c r="D59" s="106" t="s">
        <v>421</v>
      </c>
      <c r="E59" s="246" t="s">
        <v>199</v>
      </c>
      <c r="F59" s="246" t="s">
        <v>187</v>
      </c>
      <c r="G59" s="246" t="s">
        <v>36</v>
      </c>
      <c r="H59" s="246" t="s">
        <v>160</v>
      </c>
      <c r="I59" s="246" t="s">
        <v>158</v>
      </c>
      <c r="J59" s="246" t="s">
        <v>38</v>
      </c>
      <c r="K59" s="246" t="s">
        <v>156</v>
      </c>
      <c r="L59" s="246">
        <v>1</v>
      </c>
      <c r="M59" s="246"/>
      <c r="N59" s="246">
        <v>2</v>
      </c>
      <c r="O59" s="246">
        <v>0.75</v>
      </c>
      <c r="P59" s="246">
        <v>0.85</v>
      </c>
      <c r="Q59" s="107">
        <f>IF(OR(O59="",P59=""),"",AVERAGE(O59,P59))</f>
        <v>0.8</v>
      </c>
      <c r="R59" s="246">
        <v>18.100000000000001</v>
      </c>
      <c r="S59" s="246">
        <v>140</v>
      </c>
      <c r="T59" s="108">
        <f t="shared" si="1"/>
        <v>22</v>
      </c>
      <c r="U59" s="246">
        <v>398</v>
      </c>
      <c r="V59" s="109">
        <f>IF(OR(N59="",U59="",T59=""),"",U59/N59*T59)</f>
        <v>4378</v>
      </c>
      <c r="W59" s="246">
        <v>9</v>
      </c>
      <c r="X59" s="246" t="s">
        <v>39</v>
      </c>
      <c r="Y59" s="246" t="s">
        <v>97</v>
      </c>
      <c r="Z59" s="130" t="s">
        <v>88</v>
      </c>
      <c r="AA59" s="246" t="s">
        <v>69</v>
      </c>
      <c r="AB59" s="246" t="s">
        <v>344</v>
      </c>
    </row>
    <row r="60" spans="1:28" s="115" customFormat="1" x14ac:dyDescent="0.15">
      <c r="A60" s="246" t="s">
        <v>51</v>
      </c>
      <c r="B60" s="246" t="s">
        <v>342</v>
      </c>
      <c r="C60" s="246">
        <v>2018</v>
      </c>
      <c r="D60" s="106" t="s">
        <v>421</v>
      </c>
      <c r="E60" s="246" t="s">
        <v>199</v>
      </c>
      <c r="F60" s="246" t="s">
        <v>187</v>
      </c>
      <c r="G60" s="246" t="s">
        <v>36</v>
      </c>
      <c r="H60" s="246" t="s">
        <v>160</v>
      </c>
      <c r="I60" s="246" t="s">
        <v>158</v>
      </c>
      <c r="J60" s="246" t="s">
        <v>38</v>
      </c>
      <c r="K60" s="246" t="s">
        <v>156</v>
      </c>
      <c r="L60" s="246">
        <v>2</v>
      </c>
      <c r="M60" s="246"/>
      <c r="N60" s="246">
        <v>2</v>
      </c>
      <c r="O60" s="246">
        <v>0.8</v>
      </c>
      <c r="P60" s="246">
        <v>0.8</v>
      </c>
      <c r="Q60" s="107">
        <f>IF(OR(O60="",P60=""),"",AVERAGE(O60,P60))</f>
        <v>0.8</v>
      </c>
      <c r="R60" s="246">
        <v>17.600000000000001</v>
      </c>
      <c r="S60" s="246">
        <v>142</v>
      </c>
      <c r="T60" s="108">
        <f t="shared" si="1"/>
        <v>22</v>
      </c>
      <c r="U60" s="246">
        <v>398</v>
      </c>
      <c r="V60" s="109">
        <f>IF(OR(N60="",U60="",T60=""),"",U60/N60*T60)</f>
        <v>4378</v>
      </c>
      <c r="W60" s="246">
        <v>9</v>
      </c>
      <c r="X60" s="246" t="s">
        <v>39</v>
      </c>
      <c r="Y60" s="246" t="s">
        <v>97</v>
      </c>
      <c r="Z60" s="130" t="s">
        <v>88</v>
      </c>
      <c r="AA60" s="246" t="s">
        <v>69</v>
      </c>
      <c r="AB60" s="246" t="s">
        <v>344</v>
      </c>
    </row>
    <row r="61" spans="1:28" s="115" customFormat="1" x14ac:dyDescent="0.15">
      <c r="A61" s="246" t="s">
        <v>51</v>
      </c>
      <c r="B61" s="246" t="s">
        <v>342</v>
      </c>
      <c r="C61" s="246">
        <v>2018</v>
      </c>
      <c r="D61" s="106" t="s">
        <v>421</v>
      </c>
      <c r="E61" s="246" t="s">
        <v>199</v>
      </c>
      <c r="F61" s="246" t="s">
        <v>187</v>
      </c>
      <c r="G61" s="246" t="s">
        <v>36</v>
      </c>
      <c r="H61" s="246" t="s">
        <v>160</v>
      </c>
      <c r="I61" s="246" t="s">
        <v>158</v>
      </c>
      <c r="J61" s="246" t="s">
        <v>38</v>
      </c>
      <c r="K61" s="246" t="s">
        <v>156</v>
      </c>
      <c r="L61" s="246">
        <v>3</v>
      </c>
      <c r="M61" s="246"/>
      <c r="N61" s="246">
        <v>2</v>
      </c>
      <c r="O61" s="246">
        <v>0.7</v>
      </c>
      <c r="P61" s="246">
        <v>0.75</v>
      </c>
      <c r="Q61" s="107">
        <f>IF(OR(O61="",P61=""),"",AVERAGE(O61,P61))</f>
        <v>0.72499999999999998</v>
      </c>
      <c r="R61" s="246">
        <v>18.3</v>
      </c>
      <c r="S61" s="246">
        <v>152</v>
      </c>
      <c r="T61" s="108">
        <f t="shared" si="1"/>
        <v>18</v>
      </c>
      <c r="U61" s="246">
        <v>398</v>
      </c>
      <c r="V61" s="109">
        <f>IF(OR(N61="",U61="",T61=""),"",U61/N61*T61)</f>
        <v>3582</v>
      </c>
      <c r="W61" s="246">
        <v>9</v>
      </c>
      <c r="X61" s="246" t="s">
        <v>39</v>
      </c>
      <c r="Y61" s="246" t="s">
        <v>97</v>
      </c>
      <c r="Z61" s="130" t="s">
        <v>88</v>
      </c>
      <c r="AA61" s="246" t="s">
        <v>69</v>
      </c>
      <c r="AB61" s="246" t="s">
        <v>344</v>
      </c>
    </row>
    <row r="62" spans="1:28" s="115" customFormat="1" x14ac:dyDescent="0.15">
      <c r="A62" s="246" t="s">
        <v>51</v>
      </c>
      <c r="B62" s="246" t="s">
        <v>342</v>
      </c>
      <c r="C62" s="246">
        <v>2018</v>
      </c>
      <c r="D62" s="106" t="s">
        <v>421</v>
      </c>
      <c r="E62" s="246" t="s">
        <v>207</v>
      </c>
      <c r="F62" s="246" t="s">
        <v>208</v>
      </c>
      <c r="G62" s="246" t="s">
        <v>36</v>
      </c>
      <c r="H62" s="246" t="s">
        <v>157</v>
      </c>
      <c r="I62" s="246" t="s">
        <v>155</v>
      </c>
      <c r="J62" s="246" t="s">
        <v>38</v>
      </c>
      <c r="K62" s="246" t="s">
        <v>156</v>
      </c>
      <c r="L62" s="246">
        <v>1</v>
      </c>
      <c r="M62" s="246"/>
      <c r="N62" s="246">
        <v>1</v>
      </c>
      <c r="O62" s="246">
        <v>0.75</v>
      </c>
      <c r="P62" s="246">
        <v>0.9</v>
      </c>
      <c r="Q62" s="107">
        <f t="shared" ref="Q62:Q91" si="5">IF(OR(O62="",P62=""),"",AVERAGE(O62,P62))</f>
        <v>0.82499999999999996</v>
      </c>
      <c r="R62" s="246">
        <v>16.600000000000001</v>
      </c>
      <c r="S62" s="246">
        <v>164</v>
      </c>
      <c r="T62" s="108">
        <f t="shared" si="1"/>
        <v>18</v>
      </c>
      <c r="U62" s="246">
        <v>128</v>
      </c>
      <c r="V62" s="109">
        <f t="shared" ref="V62:V91" si="6">IF(OR(N62="",U62="",T62=""),"",U62/N62*T62)</f>
        <v>2304</v>
      </c>
      <c r="W62" s="246">
        <v>14</v>
      </c>
      <c r="X62" s="246" t="s">
        <v>46</v>
      </c>
      <c r="Y62" s="246" t="s">
        <v>55</v>
      </c>
      <c r="Z62" s="130" t="s">
        <v>69</v>
      </c>
      <c r="AA62" s="130" t="s">
        <v>97</v>
      </c>
      <c r="AB62" s="246" t="s">
        <v>344</v>
      </c>
    </row>
    <row r="63" spans="1:28" s="115" customFormat="1" x14ac:dyDescent="0.15">
      <c r="A63" s="246" t="s">
        <v>51</v>
      </c>
      <c r="B63" s="246" t="s">
        <v>342</v>
      </c>
      <c r="C63" s="246">
        <v>2018</v>
      </c>
      <c r="D63" s="106" t="s">
        <v>421</v>
      </c>
      <c r="E63" s="246" t="s">
        <v>207</v>
      </c>
      <c r="F63" s="246" t="s">
        <v>208</v>
      </c>
      <c r="G63" s="246" t="s">
        <v>36</v>
      </c>
      <c r="H63" s="246" t="s">
        <v>157</v>
      </c>
      <c r="I63" s="246" t="s">
        <v>155</v>
      </c>
      <c r="J63" s="246" t="s">
        <v>38</v>
      </c>
      <c r="K63" s="246" t="s">
        <v>156</v>
      </c>
      <c r="L63" s="246">
        <v>2</v>
      </c>
      <c r="M63" s="246"/>
      <c r="N63" s="246">
        <v>1</v>
      </c>
      <c r="O63" s="246">
        <v>0.8</v>
      </c>
      <c r="P63" s="246">
        <v>0.75</v>
      </c>
      <c r="Q63" s="107">
        <f t="shared" si="5"/>
        <v>0.77500000000000002</v>
      </c>
      <c r="R63" s="246">
        <v>17</v>
      </c>
      <c r="S63" s="246">
        <v>174</v>
      </c>
      <c r="T63" s="108">
        <f t="shared" si="1"/>
        <v>18</v>
      </c>
      <c r="U63" s="246">
        <v>128</v>
      </c>
      <c r="V63" s="109">
        <f t="shared" si="6"/>
        <v>2304</v>
      </c>
      <c r="W63" s="246">
        <v>14</v>
      </c>
      <c r="X63" s="246" t="s">
        <v>46</v>
      </c>
      <c r="Y63" s="246" t="s">
        <v>55</v>
      </c>
      <c r="Z63" s="130" t="s">
        <v>69</v>
      </c>
      <c r="AA63" s="130" t="s">
        <v>97</v>
      </c>
      <c r="AB63" s="246" t="s">
        <v>344</v>
      </c>
    </row>
    <row r="64" spans="1:28" s="115" customFormat="1" x14ac:dyDescent="0.15">
      <c r="A64" s="246" t="s">
        <v>51</v>
      </c>
      <c r="B64" s="246" t="s">
        <v>342</v>
      </c>
      <c r="C64" s="246">
        <v>2018</v>
      </c>
      <c r="D64" s="106" t="s">
        <v>421</v>
      </c>
      <c r="E64" s="246" t="s">
        <v>207</v>
      </c>
      <c r="F64" s="246" t="s">
        <v>208</v>
      </c>
      <c r="G64" s="246" t="s">
        <v>36</v>
      </c>
      <c r="H64" s="246" t="s">
        <v>157</v>
      </c>
      <c r="I64" s="246" t="s">
        <v>155</v>
      </c>
      <c r="J64" s="246" t="s">
        <v>38</v>
      </c>
      <c r="K64" s="246" t="s">
        <v>156</v>
      </c>
      <c r="L64" s="246">
        <v>3</v>
      </c>
      <c r="M64" s="246"/>
      <c r="N64" s="246">
        <v>1</v>
      </c>
      <c r="O64" s="246">
        <v>0.7</v>
      </c>
      <c r="P64" s="246">
        <v>0.7</v>
      </c>
      <c r="Q64" s="107">
        <f t="shared" si="5"/>
        <v>0.7</v>
      </c>
      <c r="R64" s="246">
        <v>17.5</v>
      </c>
      <c r="S64" s="246">
        <v>174</v>
      </c>
      <c r="T64" s="108">
        <f t="shared" si="1"/>
        <v>18</v>
      </c>
      <c r="U64" s="246">
        <v>128</v>
      </c>
      <c r="V64" s="109">
        <f t="shared" si="6"/>
        <v>2304</v>
      </c>
      <c r="W64" s="246">
        <v>14</v>
      </c>
      <c r="X64" s="246" t="s">
        <v>46</v>
      </c>
      <c r="Y64" s="246" t="s">
        <v>55</v>
      </c>
      <c r="Z64" s="130" t="s">
        <v>69</v>
      </c>
      <c r="AA64" s="130" t="s">
        <v>97</v>
      </c>
      <c r="AB64" s="246" t="s">
        <v>344</v>
      </c>
    </row>
    <row r="65" spans="1:28" s="115" customFormat="1" x14ac:dyDescent="0.15">
      <c r="A65" s="246" t="s">
        <v>51</v>
      </c>
      <c r="B65" s="246" t="s">
        <v>342</v>
      </c>
      <c r="C65" s="246">
        <v>2018</v>
      </c>
      <c r="D65" s="106" t="s">
        <v>421</v>
      </c>
      <c r="E65" s="246" t="s">
        <v>207</v>
      </c>
      <c r="F65" s="246" t="s">
        <v>208</v>
      </c>
      <c r="G65" s="246" t="s">
        <v>36</v>
      </c>
      <c r="H65" s="246" t="s">
        <v>157</v>
      </c>
      <c r="I65" s="246" t="s">
        <v>158</v>
      </c>
      <c r="J65" s="246" t="s">
        <v>38</v>
      </c>
      <c r="K65" s="246" t="s">
        <v>156</v>
      </c>
      <c r="L65" s="115">
        <v>1</v>
      </c>
      <c r="N65" s="246">
        <v>4</v>
      </c>
      <c r="O65" s="115">
        <v>0.5</v>
      </c>
      <c r="P65" s="115">
        <v>0.5</v>
      </c>
      <c r="Q65" s="107">
        <f t="shared" si="5"/>
        <v>0.5</v>
      </c>
      <c r="R65" s="115">
        <v>13.1</v>
      </c>
      <c r="S65" s="115">
        <v>170</v>
      </c>
      <c r="T65" s="108">
        <f t="shared" si="1"/>
        <v>18</v>
      </c>
      <c r="U65" s="246">
        <v>398</v>
      </c>
      <c r="V65" s="109">
        <f t="shared" si="6"/>
        <v>1791</v>
      </c>
      <c r="W65" s="246">
        <v>14</v>
      </c>
      <c r="X65" s="246" t="s">
        <v>46</v>
      </c>
      <c r="Y65" s="246" t="s">
        <v>55</v>
      </c>
      <c r="Z65" s="130" t="s">
        <v>69</v>
      </c>
      <c r="AA65" s="130" t="s">
        <v>97</v>
      </c>
      <c r="AB65" s="246" t="s">
        <v>344</v>
      </c>
    </row>
    <row r="66" spans="1:28" s="115" customFormat="1" x14ac:dyDescent="0.15">
      <c r="A66" s="246" t="s">
        <v>51</v>
      </c>
      <c r="B66" s="246" t="s">
        <v>342</v>
      </c>
      <c r="C66" s="246">
        <v>2018</v>
      </c>
      <c r="D66" s="106" t="s">
        <v>421</v>
      </c>
      <c r="E66" s="246" t="s">
        <v>207</v>
      </c>
      <c r="F66" s="246" t="s">
        <v>208</v>
      </c>
      <c r="G66" s="246" t="s">
        <v>36</v>
      </c>
      <c r="H66" s="246" t="s">
        <v>157</v>
      </c>
      <c r="I66" s="246" t="s">
        <v>158</v>
      </c>
      <c r="J66" s="246" t="s">
        <v>38</v>
      </c>
      <c r="K66" s="246" t="s">
        <v>156</v>
      </c>
      <c r="L66" s="115">
        <v>2</v>
      </c>
      <c r="N66" s="246">
        <v>4</v>
      </c>
      <c r="O66" s="115">
        <v>0.5</v>
      </c>
      <c r="P66" s="115">
        <v>0.5</v>
      </c>
      <c r="Q66" s="107">
        <f t="shared" si="5"/>
        <v>0.5</v>
      </c>
      <c r="R66" s="115">
        <v>12.9</v>
      </c>
      <c r="S66" s="115">
        <v>162</v>
      </c>
      <c r="T66" s="108">
        <f t="shared" ref="T66:T91" si="7">IF(H66="","",IF(OR(H66="GREEN",H66="GK"),IF(S66&gt;=$AX$2,VLOOKUP(S66,$AX$2:$AY$12,2,1),""),IF(S66&gt;=$AZ$2,VLOOKUP(S66,$AZ$2:$BA$12,2,1),"")))</f>
        <v>18</v>
      </c>
      <c r="U66" s="246">
        <v>398</v>
      </c>
      <c r="V66" s="109">
        <f t="shared" si="6"/>
        <v>1791</v>
      </c>
      <c r="W66" s="246">
        <v>14</v>
      </c>
      <c r="X66" s="246" t="s">
        <v>46</v>
      </c>
      <c r="Y66" s="246" t="s">
        <v>55</v>
      </c>
      <c r="Z66" s="130" t="s">
        <v>69</v>
      </c>
      <c r="AA66" s="130" t="s">
        <v>97</v>
      </c>
      <c r="AB66" s="246" t="s">
        <v>344</v>
      </c>
    </row>
    <row r="67" spans="1:28" s="115" customFormat="1" x14ac:dyDescent="0.15">
      <c r="A67" s="246" t="s">
        <v>51</v>
      </c>
      <c r="B67" s="246" t="s">
        <v>342</v>
      </c>
      <c r="C67" s="246">
        <v>2018</v>
      </c>
      <c r="D67" s="106" t="s">
        <v>421</v>
      </c>
      <c r="E67" s="246" t="s">
        <v>207</v>
      </c>
      <c r="F67" s="246" t="s">
        <v>208</v>
      </c>
      <c r="G67" s="246" t="s">
        <v>36</v>
      </c>
      <c r="H67" s="246" t="s">
        <v>157</v>
      </c>
      <c r="I67" s="246" t="s">
        <v>158</v>
      </c>
      <c r="J67" s="246" t="s">
        <v>38</v>
      </c>
      <c r="K67" s="246" t="s">
        <v>156</v>
      </c>
      <c r="L67" s="115">
        <v>3</v>
      </c>
      <c r="N67" s="246">
        <v>4</v>
      </c>
      <c r="O67" s="115">
        <v>0.5</v>
      </c>
      <c r="P67" s="115">
        <v>0.6</v>
      </c>
      <c r="Q67" s="107">
        <f t="shared" si="5"/>
        <v>0.55000000000000004</v>
      </c>
      <c r="R67" s="115">
        <v>13</v>
      </c>
      <c r="S67" s="115">
        <v>168</v>
      </c>
      <c r="T67" s="108">
        <f t="shared" si="7"/>
        <v>18</v>
      </c>
      <c r="U67" s="246">
        <v>398</v>
      </c>
      <c r="V67" s="109">
        <f t="shared" si="6"/>
        <v>1791</v>
      </c>
      <c r="W67" s="246">
        <v>14</v>
      </c>
      <c r="X67" s="246" t="s">
        <v>46</v>
      </c>
      <c r="Y67" s="246" t="s">
        <v>55</v>
      </c>
      <c r="Z67" s="130" t="s">
        <v>69</v>
      </c>
      <c r="AA67" s="130" t="s">
        <v>97</v>
      </c>
      <c r="AB67" s="246" t="s">
        <v>344</v>
      </c>
    </row>
    <row r="68" spans="1:28" s="115" customFormat="1" x14ac:dyDescent="0.15">
      <c r="A68" s="246" t="s">
        <v>51</v>
      </c>
      <c r="B68" s="246" t="s">
        <v>342</v>
      </c>
      <c r="C68" s="246">
        <v>2018</v>
      </c>
      <c r="D68" s="106" t="s">
        <v>421</v>
      </c>
      <c r="E68" s="246" t="s">
        <v>207</v>
      </c>
      <c r="F68" s="246" t="s">
        <v>208</v>
      </c>
      <c r="G68" s="246" t="s">
        <v>36</v>
      </c>
      <c r="H68" s="246" t="s">
        <v>160</v>
      </c>
      <c r="I68" s="246" t="s">
        <v>155</v>
      </c>
      <c r="J68" s="246" t="s">
        <v>38</v>
      </c>
      <c r="K68" s="246" t="s">
        <v>156</v>
      </c>
      <c r="L68" s="115">
        <v>1</v>
      </c>
      <c r="N68" s="246">
        <v>1</v>
      </c>
      <c r="O68" s="115">
        <v>0.75</v>
      </c>
      <c r="P68" s="115">
        <v>0.7</v>
      </c>
      <c r="Q68" s="107">
        <f t="shared" si="5"/>
        <v>0.72499999999999998</v>
      </c>
      <c r="R68" s="115">
        <v>15.5</v>
      </c>
      <c r="S68" s="115">
        <v>100</v>
      </c>
      <c r="T68" s="108">
        <f t="shared" si="7"/>
        <v>33</v>
      </c>
      <c r="U68" s="246">
        <v>128</v>
      </c>
      <c r="V68" s="109">
        <f t="shared" si="6"/>
        <v>4224</v>
      </c>
      <c r="W68" s="246">
        <v>14</v>
      </c>
      <c r="X68" s="246" t="s">
        <v>46</v>
      </c>
      <c r="Y68" s="246" t="s">
        <v>55</v>
      </c>
      <c r="Z68" s="130" t="s">
        <v>69</v>
      </c>
      <c r="AA68" s="130" t="s">
        <v>97</v>
      </c>
      <c r="AB68" s="246" t="s">
        <v>344</v>
      </c>
    </row>
    <row r="69" spans="1:28" s="115" customFormat="1" x14ac:dyDescent="0.15">
      <c r="A69" s="246" t="s">
        <v>51</v>
      </c>
      <c r="B69" s="246" t="s">
        <v>342</v>
      </c>
      <c r="C69" s="246">
        <v>2018</v>
      </c>
      <c r="D69" s="106" t="s">
        <v>421</v>
      </c>
      <c r="E69" s="246" t="s">
        <v>207</v>
      </c>
      <c r="F69" s="246" t="s">
        <v>208</v>
      </c>
      <c r="G69" s="246" t="s">
        <v>36</v>
      </c>
      <c r="H69" s="246" t="s">
        <v>160</v>
      </c>
      <c r="I69" s="246" t="s">
        <v>155</v>
      </c>
      <c r="J69" s="246" t="s">
        <v>38</v>
      </c>
      <c r="K69" s="246" t="s">
        <v>156</v>
      </c>
      <c r="L69" s="115">
        <v>2</v>
      </c>
      <c r="N69" s="246">
        <v>1</v>
      </c>
      <c r="O69" s="115">
        <v>0.8</v>
      </c>
      <c r="P69" s="115">
        <v>0.75</v>
      </c>
      <c r="Q69" s="107">
        <f t="shared" si="5"/>
        <v>0.77500000000000002</v>
      </c>
      <c r="R69" s="115">
        <v>15.7</v>
      </c>
      <c r="S69" s="115">
        <v>102</v>
      </c>
      <c r="T69" s="108">
        <f t="shared" si="7"/>
        <v>33</v>
      </c>
      <c r="U69" s="246">
        <v>128</v>
      </c>
      <c r="V69" s="109">
        <f t="shared" si="6"/>
        <v>4224</v>
      </c>
      <c r="W69" s="246">
        <v>14</v>
      </c>
      <c r="X69" s="246" t="s">
        <v>46</v>
      </c>
      <c r="Y69" s="246" t="s">
        <v>55</v>
      </c>
      <c r="Z69" s="130" t="s">
        <v>69</v>
      </c>
      <c r="AA69" s="130" t="s">
        <v>97</v>
      </c>
      <c r="AB69" s="246" t="s">
        <v>344</v>
      </c>
    </row>
    <row r="70" spans="1:28" s="115" customFormat="1" x14ac:dyDescent="0.15">
      <c r="A70" s="246" t="s">
        <v>51</v>
      </c>
      <c r="B70" s="246" t="s">
        <v>342</v>
      </c>
      <c r="C70" s="246">
        <v>2018</v>
      </c>
      <c r="D70" s="106" t="s">
        <v>421</v>
      </c>
      <c r="E70" s="246" t="s">
        <v>207</v>
      </c>
      <c r="F70" s="246" t="s">
        <v>208</v>
      </c>
      <c r="G70" s="246" t="s">
        <v>36</v>
      </c>
      <c r="H70" s="246" t="s">
        <v>160</v>
      </c>
      <c r="I70" s="246" t="s">
        <v>155</v>
      </c>
      <c r="J70" s="246" t="s">
        <v>38</v>
      </c>
      <c r="K70" s="246" t="s">
        <v>156</v>
      </c>
      <c r="L70" s="115">
        <v>3</v>
      </c>
      <c r="N70" s="246">
        <v>1</v>
      </c>
      <c r="O70" s="115">
        <v>0.7</v>
      </c>
      <c r="P70" s="115">
        <v>0.7</v>
      </c>
      <c r="Q70" s="107">
        <f t="shared" si="5"/>
        <v>0.7</v>
      </c>
      <c r="R70" s="115">
        <v>15</v>
      </c>
      <c r="S70" s="115">
        <v>93</v>
      </c>
      <c r="T70" s="108">
        <f t="shared" si="7"/>
        <v>36</v>
      </c>
      <c r="U70" s="246">
        <v>128</v>
      </c>
      <c r="V70" s="109">
        <f t="shared" si="6"/>
        <v>4608</v>
      </c>
      <c r="W70" s="246">
        <v>14</v>
      </c>
      <c r="X70" s="246" t="s">
        <v>46</v>
      </c>
      <c r="Y70" s="246" t="s">
        <v>55</v>
      </c>
      <c r="Z70" s="130" t="s">
        <v>69</v>
      </c>
      <c r="AA70" s="130" t="s">
        <v>97</v>
      </c>
      <c r="AB70" s="246" t="s">
        <v>344</v>
      </c>
    </row>
    <row r="71" spans="1:28" s="115" customFormat="1" x14ac:dyDescent="0.15">
      <c r="A71" s="246" t="s">
        <v>51</v>
      </c>
      <c r="B71" s="246" t="s">
        <v>342</v>
      </c>
      <c r="C71" s="246">
        <v>2018</v>
      </c>
      <c r="D71" s="106" t="s">
        <v>421</v>
      </c>
      <c r="E71" s="246" t="s">
        <v>210</v>
      </c>
      <c r="F71" s="246" t="s">
        <v>187</v>
      </c>
      <c r="G71" s="246" t="s">
        <v>42</v>
      </c>
      <c r="H71" s="246" t="s">
        <v>157</v>
      </c>
      <c r="I71" s="246" t="s">
        <v>155</v>
      </c>
      <c r="J71" s="246" t="s">
        <v>38</v>
      </c>
      <c r="K71" s="246" t="s">
        <v>156</v>
      </c>
      <c r="L71" s="115">
        <v>1</v>
      </c>
      <c r="N71" s="246">
        <v>1</v>
      </c>
      <c r="O71" s="115">
        <v>0.5</v>
      </c>
      <c r="P71" s="115">
        <v>0.6</v>
      </c>
      <c r="Q71" s="108">
        <f t="shared" si="5"/>
        <v>0.55000000000000004</v>
      </c>
      <c r="R71" s="115">
        <v>17.100000000000001</v>
      </c>
      <c r="S71" s="115">
        <v>134</v>
      </c>
      <c r="T71" s="108">
        <f t="shared" si="7"/>
        <v>25</v>
      </c>
      <c r="U71" s="246">
        <v>98</v>
      </c>
      <c r="V71" s="108">
        <f t="shared" si="6"/>
        <v>2450</v>
      </c>
      <c r="W71" s="246">
        <v>6</v>
      </c>
      <c r="X71" s="246" t="s">
        <v>46</v>
      </c>
      <c r="Y71" s="246" t="s">
        <v>69</v>
      </c>
      <c r="Z71" s="130" t="s">
        <v>88</v>
      </c>
      <c r="AA71" s="130" t="s">
        <v>97</v>
      </c>
      <c r="AB71" s="246" t="s">
        <v>344</v>
      </c>
    </row>
    <row r="72" spans="1:28" x14ac:dyDescent="0.15">
      <c r="A72" s="246" t="s">
        <v>51</v>
      </c>
      <c r="B72" s="246" t="s">
        <v>342</v>
      </c>
      <c r="C72" s="246">
        <v>2018</v>
      </c>
      <c r="D72" s="106" t="s">
        <v>421</v>
      </c>
      <c r="E72" s="246" t="s">
        <v>210</v>
      </c>
      <c r="F72" s="246" t="s">
        <v>187</v>
      </c>
      <c r="G72" s="246" t="s">
        <v>42</v>
      </c>
      <c r="H72" s="246" t="s">
        <v>157</v>
      </c>
      <c r="I72" s="246" t="s">
        <v>155</v>
      </c>
      <c r="J72" s="246" t="s">
        <v>38</v>
      </c>
      <c r="K72" s="246" t="s">
        <v>156</v>
      </c>
      <c r="L72" s="98">
        <v>2</v>
      </c>
      <c r="N72" s="130">
        <v>1</v>
      </c>
      <c r="O72" s="98">
        <v>0.65</v>
      </c>
      <c r="P72" s="98">
        <v>0.65</v>
      </c>
      <c r="Q72" s="132">
        <f t="shared" si="5"/>
        <v>0.65</v>
      </c>
      <c r="R72" s="98">
        <v>16.8</v>
      </c>
      <c r="S72" s="98">
        <v>134</v>
      </c>
      <c r="T72" s="132">
        <f t="shared" si="7"/>
        <v>25</v>
      </c>
      <c r="U72" s="246">
        <v>98</v>
      </c>
      <c r="V72" s="132">
        <f t="shared" si="6"/>
        <v>2450</v>
      </c>
      <c r="W72" s="246">
        <v>6</v>
      </c>
      <c r="X72" s="246" t="s">
        <v>46</v>
      </c>
      <c r="Y72" s="246" t="s">
        <v>69</v>
      </c>
      <c r="Z72" s="130" t="s">
        <v>88</v>
      </c>
      <c r="AA72" s="130" t="s">
        <v>97</v>
      </c>
      <c r="AB72" s="246" t="s">
        <v>344</v>
      </c>
    </row>
    <row r="73" spans="1:28" x14ac:dyDescent="0.15">
      <c r="A73" s="246" t="s">
        <v>51</v>
      </c>
      <c r="B73" s="246" t="s">
        <v>342</v>
      </c>
      <c r="C73" s="246">
        <v>2018</v>
      </c>
      <c r="D73" s="106" t="s">
        <v>421</v>
      </c>
      <c r="E73" s="246" t="s">
        <v>210</v>
      </c>
      <c r="F73" s="246" t="s">
        <v>187</v>
      </c>
      <c r="G73" s="246" t="s">
        <v>42</v>
      </c>
      <c r="H73" s="246" t="s">
        <v>157</v>
      </c>
      <c r="I73" s="246" t="s">
        <v>155</v>
      </c>
      <c r="J73" s="246" t="s">
        <v>38</v>
      </c>
      <c r="K73" s="246" t="s">
        <v>156</v>
      </c>
      <c r="L73" s="98">
        <v>3</v>
      </c>
      <c r="N73" s="130">
        <v>1</v>
      </c>
      <c r="O73" s="115">
        <v>0.7</v>
      </c>
      <c r="P73" s="98">
        <v>0.6</v>
      </c>
      <c r="Q73" s="132">
        <f t="shared" si="5"/>
        <v>0.64999999999999991</v>
      </c>
      <c r="R73" s="98">
        <v>17.3</v>
      </c>
      <c r="S73" s="98">
        <v>138</v>
      </c>
      <c r="T73" s="132">
        <f t="shared" si="7"/>
        <v>22</v>
      </c>
      <c r="U73" s="246">
        <v>98</v>
      </c>
      <c r="V73" s="132">
        <f t="shared" si="6"/>
        <v>2156</v>
      </c>
      <c r="W73" s="246">
        <v>6</v>
      </c>
      <c r="X73" s="246" t="s">
        <v>46</v>
      </c>
      <c r="Y73" s="246" t="s">
        <v>69</v>
      </c>
      <c r="Z73" s="130" t="s">
        <v>88</v>
      </c>
      <c r="AA73" s="130" t="s">
        <v>97</v>
      </c>
      <c r="AB73" s="246" t="s">
        <v>344</v>
      </c>
    </row>
    <row r="74" spans="1:28" x14ac:dyDescent="0.15">
      <c r="A74" s="246" t="s">
        <v>51</v>
      </c>
      <c r="B74" s="246" t="s">
        <v>342</v>
      </c>
      <c r="C74" s="246">
        <v>2018</v>
      </c>
      <c r="D74" s="106" t="s">
        <v>421</v>
      </c>
      <c r="E74" s="246" t="s">
        <v>210</v>
      </c>
      <c r="F74" s="246" t="s">
        <v>187</v>
      </c>
      <c r="G74" s="246" t="s">
        <v>42</v>
      </c>
      <c r="H74" s="246" t="s">
        <v>160</v>
      </c>
      <c r="I74" s="246" t="s">
        <v>155</v>
      </c>
      <c r="J74" s="246" t="s">
        <v>38</v>
      </c>
      <c r="K74" s="246" t="s">
        <v>156</v>
      </c>
      <c r="L74" s="98">
        <v>1</v>
      </c>
      <c r="N74" s="130">
        <v>1</v>
      </c>
      <c r="O74" s="98">
        <v>0.7</v>
      </c>
      <c r="P74" s="98">
        <v>0.75</v>
      </c>
      <c r="Q74" s="132">
        <f t="shared" si="5"/>
        <v>0.72499999999999998</v>
      </c>
      <c r="R74" s="98">
        <v>16.899999999999999</v>
      </c>
      <c r="S74" s="98">
        <v>146</v>
      </c>
      <c r="T74" s="132">
        <f t="shared" si="7"/>
        <v>22</v>
      </c>
      <c r="U74" s="246">
        <v>128</v>
      </c>
      <c r="V74" s="132">
        <f t="shared" si="6"/>
        <v>2816</v>
      </c>
      <c r="W74" s="246">
        <v>6</v>
      </c>
      <c r="X74" s="246" t="s">
        <v>46</v>
      </c>
      <c r="Y74" s="246" t="s">
        <v>69</v>
      </c>
      <c r="Z74" s="130" t="s">
        <v>88</v>
      </c>
      <c r="AA74" s="130" t="s">
        <v>97</v>
      </c>
      <c r="AB74" s="246" t="s">
        <v>344</v>
      </c>
    </row>
    <row r="75" spans="1:28" x14ac:dyDescent="0.15">
      <c r="A75" s="246" t="s">
        <v>51</v>
      </c>
      <c r="B75" s="246" t="s">
        <v>342</v>
      </c>
      <c r="C75" s="246">
        <v>2018</v>
      </c>
      <c r="D75" s="106" t="s">
        <v>421</v>
      </c>
      <c r="E75" s="246" t="s">
        <v>210</v>
      </c>
      <c r="F75" s="246" t="s">
        <v>187</v>
      </c>
      <c r="G75" s="246" t="s">
        <v>42</v>
      </c>
      <c r="H75" s="246" t="s">
        <v>160</v>
      </c>
      <c r="I75" s="246" t="s">
        <v>155</v>
      </c>
      <c r="J75" s="246" t="s">
        <v>38</v>
      </c>
      <c r="K75" s="246" t="s">
        <v>156</v>
      </c>
      <c r="L75" s="98">
        <v>2</v>
      </c>
      <c r="N75" s="130">
        <v>1</v>
      </c>
      <c r="O75" s="115">
        <v>0.7</v>
      </c>
      <c r="P75" s="98">
        <v>0.8</v>
      </c>
      <c r="Q75" s="132">
        <f t="shared" si="5"/>
        <v>0.75</v>
      </c>
      <c r="R75" s="98">
        <v>17.2</v>
      </c>
      <c r="S75" s="98">
        <v>146</v>
      </c>
      <c r="T75" s="132">
        <f t="shared" si="7"/>
        <v>22</v>
      </c>
      <c r="U75" s="246">
        <v>128</v>
      </c>
      <c r="V75" s="132">
        <f t="shared" si="6"/>
        <v>2816</v>
      </c>
      <c r="W75" s="246">
        <v>6</v>
      </c>
      <c r="X75" s="246" t="s">
        <v>46</v>
      </c>
      <c r="Y75" s="246" t="s">
        <v>69</v>
      </c>
      <c r="Z75" s="130" t="s">
        <v>88</v>
      </c>
      <c r="AA75" s="130" t="s">
        <v>97</v>
      </c>
      <c r="AB75" s="246" t="s">
        <v>344</v>
      </c>
    </row>
    <row r="76" spans="1:28" x14ac:dyDescent="0.15">
      <c r="A76" s="246" t="s">
        <v>51</v>
      </c>
      <c r="B76" s="246" t="s">
        <v>342</v>
      </c>
      <c r="C76" s="246">
        <v>2018</v>
      </c>
      <c r="D76" s="106" t="s">
        <v>421</v>
      </c>
      <c r="E76" s="246" t="s">
        <v>210</v>
      </c>
      <c r="F76" s="246" t="s">
        <v>187</v>
      </c>
      <c r="G76" s="246" t="s">
        <v>42</v>
      </c>
      <c r="H76" s="246" t="s">
        <v>160</v>
      </c>
      <c r="I76" s="246" t="s">
        <v>155</v>
      </c>
      <c r="J76" s="246" t="s">
        <v>38</v>
      </c>
      <c r="K76" s="246" t="s">
        <v>156</v>
      </c>
      <c r="L76" s="98">
        <v>3</v>
      </c>
      <c r="N76" s="130">
        <v>1</v>
      </c>
      <c r="O76" s="98">
        <v>0.8</v>
      </c>
      <c r="P76" s="98">
        <v>0.75</v>
      </c>
      <c r="Q76" s="132">
        <f t="shared" si="5"/>
        <v>0.77500000000000002</v>
      </c>
      <c r="R76" s="98">
        <v>17.5</v>
      </c>
      <c r="S76" s="98">
        <v>148</v>
      </c>
      <c r="T76" s="132">
        <f t="shared" si="7"/>
        <v>22</v>
      </c>
      <c r="U76" s="246">
        <v>128</v>
      </c>
      <c r="V76" s="132">
        <f t="shared" si="6"/>
        <v>2816</v>
      </c>
      <c r="W76" s="246">
        <v>6</v>
      </c>
      <c r="X76" s="246" t="s">
        <v>46</v>
      </c>
      <c r="Y76" s="246" t="s">
        <v>69</v>
      </c>
      <c r="Z76" s="130" t="s">
        <v>88</v>
      </c>
      <c r="AA76" s="130" t="s">
        <v>97</v>
      </c>
      <c r="AB76" s="246" t="s">
        <v>344</v>
      </c>
    </row>
    <row r="77" spans="1:28" x14ac:dyDescent="0.15">
      <c r="A77" s="246"/>
      <c r="B77" s="246"/>
      <c r="C77" s="246"/>
      <c r="D77" s="106"/>
      <c r="E77" s="246"/>
      <c r="F77" s="246"/>
      <c r="G77" s="246"/>
      <c r="H77" s="246"/>
      <c r="I77" s="246"/>
      <c r="J77" s="246"/>
      <c r="K77" s="246"/>
      <c r="N77" s="130"/>
      <c r="Q77" s="132" t="str">
        <f t="shared" si="5"/>
        <v/>
      </c>
      <c r="T77" s="132" t="str">
        <f t="shared" si="7"/>
        <v/>
      </c>
      <c r="U77" s="246"/>
      <c r="V77" s="132" t="str">
        <f t="shared" si="6"/>
        <v/>
      </c>
      <c r="W77" s="246"/>
      <c r="X77" s="246"/>
      <c r="Y77" s="246"/>
      <c r="Z77" s="130"/>
      <c r="AA77" s="130"/>
      <c r="AB77" s="246"/>
    </row>
    <row r="78" spans="1:28" x14ac:dyDescent="0.15">
      <c r="A78" s="246"/>
      <c r="B78" s="246"/>
      <c r="C78" s="246"/>
      <c r="D78" s="106"/>
      <c r="E78" s="246"/>
      <c r="F78" s="246"/>
      <c r="G78" s="246"/>
      <c r="H78" s="246"/>
      <c r="I78" s="246"/>
      <c r="J78" s="246"/>
      <c r="K78" s="246"/>
      <c r="N78" s="130"/>
      <c r="Q78" s="132" t="str">
        <f t="shared" si="5"/>
        <v/>
      </c>
      <c r="T78" s="132" t="str">
        <f t="shared" si="7"/>
        <v/>
      </c>
      <c r="U78" s="246"/>
      <c r="V78" s="132" t="str">
        <f t="shared" si="6"/>
        <v/>
      </c>
      <c r="W78" s="246"/>
      <c r="X78" s="246"/>
      <c r="Y78" s="246"/>
      <c r="Z78" s="130"/>
      <c r="AA78" s="130"/>
      <c r="AB78" s="246"/>
    </row>
    <row r="79" spans="1:28" x14ac:dyDescent="0.15">
      <c r="A79" s="246"/>
      <c r="B79" s="246"/>
      <c r="C79" s="246"/>
      <c r="D79" s="106"/>
      <c r="E79" s="246"/>
      <c r="F79" s="246"/>
      <c r="G79" s="246"/>
      <c r="H79" s="246"/>
      <c r="I79" s="246"/>
      <c r="J79" s="246"/>
      <c r="K79" s="246"/>
      <c r="N79" s="130"/>
      <c r="P79" s="115"/>
      <c r="Q79" s="132" t="str">
        <f t="shared" si="5"/>
        <v/>
      </c>
      <c r="T79" s="132" t="str">
        <f t="shared" si="7"/>
        <v/>
      </c>
      <c r="U79" s="246"/>
      <c r="V79" s="132" t="str">
        <f t="shared" si="6"/>
        <v/>
      </c>
      <c r="W79" s="246"/>
      <c r="X79" s="246"/>
      <c r="Y79" s="246"/>
      <c r="Z79" s="130"/>
      <c r="AA79" s="130"/>
      <c r="AB79" s="246"/>
    </row>
    <row r="80" spans="1:28" x14ac:dyDescent="0.15">
      <c r="A80" s="246"/>
      <c r="B80" s="246"/>
      <c r="C80" s="246"/>
      <c r="D80" s="106"/>
      <c r="E80" s="246"/>
      <c r="F80" s="246"/>
      <c r="G80" s="246"/>
      <c r="H80" s="246"/>
      <c r="I80" s="246"/>
      <c r="J80" s="246"/>
      <c r="K80" s="246"/>
      <c r="N80" s="130"/>
      <c r="Q80" s="132" t="str">
        <f t="shared" si="5"/>
        <v/>
      </c>
      <c r="T80" s="132" t="str">
        <f t="shared" si="7"/>
        <v/>
      </c>
      <c r="V80" s="132" t="str">
        <f t="shared" si="6"/>
        <v/>
      </c>
      <c r="W80" s="130"/>
      <c r="X80" s="246"/>
      <c r="Y80" s="246"/>
      <c r="Z80" s="130"/>
      <c r="AA80" s="130"/>
      <c r="AB80" s="246"/>
    </row>
    <row r="81" spans="1:28" x14ac:dyDescent="0.15">
      <c r="A81" s="246"/>
      <c r="B81" s="246"/>
      <c r="C81" s="246"/>
      <c r="D81" s="106"/>
      <c r="E81" s="246"/>
      <c r="F81" s="246"/>
      <c r="G81" s="246"/>
      <c r="H81" s="246"/>
      <c r="I81" s="246"/>
      <c r="J81" s="246"/>
      <c r="K81" s="246"/>
      <c r="N81" s="130"/>
      <c r="Q81" s="132" t="str">
        <f t="shared" si="5"/>
        <v/>
      </c>
      <c r="T81" s="132" t="str">
        <f t="shared" si="7"/>
        <v/>
      </c>
      <c r="V81" s="132" t="str">
        <f t="shared" si="6"/>
        <v/>
      </c>
      <c r="W81" s="130"/>
      <c r="X81" s="246"/>
      <c r="Y81" s="246"/>
      <c r="Z81" s="130"/>
      <c r="AA81" s="130"/>
      <c r="AB81" s="246"/>
    </row>
    <row r="82" spans="1:28" x14ac:dyDescent="0.15">
      <c r="A82" s="246"/>
      <c r="B82" s="246"/>
      <c r="C82" s="246"/>
      <c r="D82" s="106"/>
      <c r="E82" s="246"/>
      <c r="F82" s="246"/>
      <c r="G82" s="246"/>
      <c r="H82" s="246"/>
      <c r="I82" s="246"/>
      <c r="J82" s="246"/>
      <c r="K82" s="246"/>
      <c r="N82" s="130"/>
      <c r="Q82" s="132" t="str">
        <f t="shared" si="5"/>
        <v/>
      </c>
      <c r="T82" s="132" t="str">
        <f t="shared" si="7"/>
        <v/>
      </c>
      <c r="V82" s="132" t="str">
        <f t="shared" si="6"/>
        <v/>
      </c>
      <c r="W82" s="130"/>
      <c r="X82" s="246"/>
      <c r="Y82" s="246"/>
      <c r="Z82" s="130"/>
      <c r="AA82" s="130"/>
      <c r="AB82" s="246"/>
    </row>
    <row r="83" spans="1:28" x14ac:dyDescent="0.15">
      <c r="A83" s="246"/>
      <c r="B83" s="246"/>
      <c r="C83" s="246"/>
      <c r="D83" s="106"/>
      <c r="E83" s="246"/>
      <c r="F83" s="246"/>
      <c r="G83" s="246"/>
      <c r="H83" s="246"/>
      <c r="I83" s="246"/>
      <c r="J83" s="246"/>
      <c r="K83" s="246"/>
      <c r="N83" s="130"/>
      <c r="Q83" s="132" t="str">
        <f t="shared" si="5"/>
        <v/>
      </c>
      <c r="T83" s="132" t="str">
        <f t="shared" si="7"/>
        <v/>
      </c>
      <c r="V83" s="132" t="str">
        <f t="shared" si="6"/>
        <v/>
      </c>
      <c r="W83" s="130"/>
      <c r="X83" s="246"/>
      <c r="Y83" s="246"/>
      <c r="Z83" s="130"/>
      <c r="AA83" s="130"/>
      <c r="AB83" s="246"/>
    </row>
    <row r="84" spans="1:28" x14ac:dyDescent="0.15">
      <c r="A84" s="246"/>
      <c r="B84" s="246"/>
      <c r="C84" s="246"/>
      <c r="D84" s="106"/>
      <c r="E84" s="246"/>
      <c r="F84" s="246"/>
      <c r="G84" s="246"/>
      <c r="H84" s="246"/>
      <c r="I84" s="246"/>
      <c r="J84" s="246"/>
      <c r="K84" s="246"/>
      <c r="N84" s="130"/>
      <c r="Q84" s="132" t="str">
        <f t="shared" si="5"/>
        <v/>
      </c>
      <c r="T84" s="132" t="str">
        <f t="shared" si="7"/>
        <v/>
      </c>
      <c r="V84" s="132" t="str">
        <f t="shared" si="6"/>
        <v/>
      </c>
      <c r="W84" s="130"/>
      <c r="X84" s="246"/>
      <c r="Y84" s="246"/>
      <c r="Z84" s="130"/>
      <c r="AA84" s="130"/>
      <c r="AB84" s="246"/>
    </row>
    <row r="85" spans="1:28" x14ac:dyDescent="0.15">
      <c r="A85" s="246"/>
      <c r="B85" s="246"/>
      <c r="C85" s="246"/>
      <c r="D85" s="106"/>
      <c r="E85" s="246"/>
      <c r="F85" s="246"/>
      <c r="G85" s="246"/>
      <c r="H85" s="246"/>
      <c r="I85" s="246"/>
      <c r="J85" s="246"/>
      <c r="K85" s="246"/>
      <c r="N85" s="130"/>
      <c r="Q85" s="132" t="str">
        <f t="shared" si="5"/>
        <v/>
      </c>
      <c r="R85" s="115"/>
      <c r="T85" s="132" t="str">
        <f t="shared" si="7"/>
        <v/>
      </c>
      <c r="V85" s="132" t="str">
        <f t="shared" si="6"/>
        <v/>
      </c>
      <c r="W85" s="130"/>
      <c r="X85" s="246"/>
      <c r="Y85" s="246"/>
      <c r="Z85" s="130"/>
      <c r="AA85" s="130"/>
      <c r="AB85" s="246"/>
    </row>
    <row r="86" spans="1:28" x14ac:dyDescent="0.15">
      <c r="A86" s="246"/>
      <c r="B86" s="246"/>
      <c r="C86" s="246"/>
      <c r="D86" s="106"/>
      <c r="E86" s="246"/>
      <c r="F86" s="246"/>
      <c r="G86" s="246"/>
      <c r="H86" s="246"/>
      <c r="I86" s="246"/>
      <c r="J86" s="246"/>
      <c r="K86" s="246"/>
      <c r="N86" s="130"/>
      <c r="Q86" s="132" t="str">
        <f t="shared" si="5"/>
        <v/>
      </c>
      <c r="T86" s="132" t="str">
        <f t="shared" si="7"/>
        <v/>
      </c>
      <c r="V86" s="132" t="str">
        <f t="shared" si="6"/>
        <v/>
      </c>
      <c r="W86" s="130"/>
      <c r="X86" s="246"/>
      <c r="Y86" s="246"/>
      <c r="Z86" s="130"/>
      <c r="AA86" s="130"/>
      <c r="AB86" s="246"/>
    </row>
    <row r="87" spans="1:28" x14ac:dyDescent="0.15">
      <c r="A87" s="246"/>
      <c r="B87" s="246"/>
      <c r="C87" s="246"/>
      <c r="D87" s="106"/>
      <c r="E87" s="246"/>
      <c r="F87" s="246"/>
      <c r="G87" s="246"/>
      <c r="H87" s="246"/>
      <c r="I87" s="246"/>
      <c r="J87" s="246"/>
      <c r="K87" s="246"/>
      <c r="N87" s="130"/>
      <c r="Q87" s="132" t="str">
        <f t="shared" si="5"/>
        <v/>
      </c>
      <c r="T87" s="132" t="str">
        <f t="shared" si="7"/>
        <v/>
      </c>
      <c r="V87" s="132" t="str">
        <f t="shared" si="6"/>
        <v/>
      </c>
      <c r="W87" s="130"/>
      <c r="X87" s="246"/>
      <c r="Y87" s="246"/>
      <c r="Z87" s="130"/>
      <c r="AA87" s="130"/>
      <c r="AB87" s="246"/>
    </row>
    <row r="88" spans="1:28" x14ac:dyDescent="0.15">
      <c r="A88" s="246"/>
      <c r="B88" s="246"/>
      <c r="C88" s="246"/>
      <c r="D88" s="106"/>
      <c r="E88" s="246"/>
      <c r="F88" s="246"/>
      <c r="G88" s="246"/>
      <c r="H88" s="246"/>
      <c r="I88" s="246"/>
      <c r="J88" s="246"/>
      <c r="K88" s="246"/>
      <c r="N88" s="130"/>
      <c r="Q88" s="132" t="str">
        <f t="shared" si="5"/>
        <v/>
      </c>
      <c r="T88" s="132" t="str">
        <f t="shared" si="7"/>
        <v/>
      </c>
      <c r="V88" s="132" t="str">
        <f t="shared" si="6"/>
        <v/>
      </c>
      <c r="W88" s="130"/>
      <c r="X88" s="246"/>
      <c r="Y88" s="246"/>
      <c r="Z88" s="130"/>
      <c r="AA88" s="130"/>
      <c r="AB88" s="246"/>
    </row>
    <row r="89" spans="1:28" x14ac:dyDescent="0.15">
      <c r="A89" s="246"/>
      <c r="B89" s="246"/>
      <c r="C89" s="246"/>
      <c r="D89" s="106"/>
      <c r="E89" s="246"/>
      <c r="F89" s="246"/>
      <c r="G89" s="246"/>
      <c r="H89" s="246"/>
      <c r="I89" s="246"/>
      <c r="J89" s="246"/>
      <c r="K89" s="246"/>
      <c r="N89" s="130"/>
      <c r="Q89" s="132" t="str">
        <f t="shared" si="5"/>
        <v/>
      </c>
      <c r="T89" s="132" t="str">
        <f t="shared" si="7"/>
        <v/>
      </c>
      <c r="V89" s="132" t="str">
        <f t="shared" si="6"/>
        <v/>
      </c>
      <c r="W89" s="130"/>
      <c r="X89" s="246"/>
      <c r="Y89" s="246"/>
      <c r="Z89" s="130"/>
      <c r="AA89" s="130"/>
      <c r="AB89" s="246"/>
    </row>
    <row r="90" spans="1:28" x14ac:dyDescent="0.15">
      <c r="A90" s="246"/>
      <c r="B90" s="246"/>
      <c r="C90" s="246"/>
      <c r="D90" s="106"/>
      <c r="E90" s="246"/>
      <c r="F90" s="246"/>
      <c r="G90" s="246"/>
      <c r="H90" s="246"/>
      <c r="I90" s="246"/>
      <c r="J90" s="246"/>
      <c r="K90" s="246"/>
      <c r="N90" s="130"/>
      <c r="Q90" s="132" t="str">
        <f t="shared" si="5"/>
        <v/>
      </c>
      <c r="T90" s="132" t="str">
        <f t="shared" si="7"/>
        <v/>
      </c>
      <c r="V90" s="132" t="str">
        <f t="shared" si="6"/>
        <v/>
      </c>
      <c r="W90" s="130"/>
      <c r="X90" s="246"/>
      <c r="Y90" s="246"/>
      <c r="Z90" s="130"/>
      <c r="AA90" s="130"/>
      <c r="AB90" s="246"/>
    </row>
    <row r="91" spans="1:28" x14ac:dyDescent="0.15">
      <c r="A91" s="246"/>
      <c r="B91" s="246"/>
      <c r="C91" s="246"/>
      <c r="D91" s="106"/>
      <c r="E91" s="246"/>
      <c r="F91" s="246"/>
      <c r="G91" s="246"/>
      <c r="H91" s="246"/>
      <c r="I91" s="246"/>
      <c r="J91" s="246"/>
      <c r="K91" s="246"/>
      <c r="N91" s="130"/>
      <c r="Q91" s="132" t="str">
        <f t="shared" si="5"/>
        <v/>
      </c>
      <c r="T91" s="132" t="str">
        <f t="shared" si="7"/>
        <v/>
      </c>
      <c r="V91" s="132" t="str">
        <f t="shared" si="6"/>
        <v/>
      </c>
      <c r="W91" s="130"/>
      <c r="X91" s="246"/>
      <c r="Y91" s="246"/>
      <c r="Z91" s="130"/>
      <c r="AA91" s="130"/>
      <c r="AB91" s="246"/>
    </row>
    <row r="92" spans="1:28" x14ac:dyDescent="0.15">
      <c r="A92" s="246"/>
      <c r="B92" s="246"/>
      <c r="C92" s="130"/>
      <c r="D92" s="131"/>
      <c r="E92" s="246"/>
      <c r="F92" s="246"/>
      <c r="G92" s="130"/>
      <c r="H92" s="130"/>
      <c r="I92" s="130"/>
      <c r="J92" s="130"/>
      <c r="K92" s="246"/>
      <c r="N92" s="130"/>
      <c r="W92" s="130"/>
      <c r="X92" s="130"/>
      <c r="Y92" s="130"/>
      <c r="Z92" s="130"/>
      <c r="AA92" s="130"/>
      <c r="AB92" s="246"/>
    </row>
    <row r="93" spans="1:28" x14ac:dyDescent="0.15">
      <c r="A93" s="246"/>
      <c r="B93" s="246"/>
      <c r="C93" s="130"/>
      <c r="D93" s="131"/>
      <c r="E93" s="246"/>
      <c r="F93" s="246"/>
      <c r="G93" s="130"/>
      <c r="H93" s="130"/>
      <c r="I93" s="130"/>
      <c r="J93" s="130"/>
      <c r="K93" s="246"/>
      <c r="N93" s="130"/>
      <c r="W93" s="130"/>
      <c r="X93" s="130"/>
      <c r="Y93" s="130"/>
      <c r="Z93" s="130"/>
      <c r="AA93" s="130"/>
      <c r="AB93" s="246"/>
    </row>
    <row r="94" spans="1:28" x14ac:dyDescent="0.15">
      <c r="A94" s="246"/>
      <c r="B94" s="246"/>
      <c r="C94" s="130"/>
      <c r="D94" s="131"/>
      <c r="E94" s="246"/>
      <c r="F94" s="246"/>
      <c r="G94" s="130"/>
      <c r="H94" s="130"/>
      <c r="I94" s="130"/>
      <c r="J94" s="130"/>
      <c r="K94" s="246"/>
      <c r="N94" s="130"/>
      <c r="W94" s="130"/>
      <c r="X94" s="130"/>
      <c r="Y94" s="130"/>
      <c r="Z94" s="130"/>
      <c r="AA94" s="130"/>
      <c r="AB94" s="246"/>
    </row>
    <row r="95" spans="1:28" x14ac:dyDescent="0.15">
      <c r="A95" s="246"/>
      <c r="B95" s="246"/>
      <c r="C95" s="130"/>
      <c r="D95" s="131"/>
      <c r="E95" s="246"/>
      <c r="F95" s="246"/>
      <c r="G95" s="130"/>
      <c r="H95" s="130"/>
      <c r="I95" s="130"/>
      <c r="J95" s="130"/>
      <c r="K95" s="246"/>
      <c r="N95" s="130"/>
      <c r="W95" s="130"/>
      <c r="X95" s="130"/>
      <c r="Y95" s="130"/>
      <c r="Z95" s="130"/>
      <c r="AA95" s="130"/>
      <c r="AB95" s="246"/>
    </row>
    <row r="96" spans="1:28" x14ac:dyDescent="0.15">
      <c r="A96" s="246"/>
      <c r="B96" s="246"/>
      <c r="C96" s="130"/>
      <c r="D96" s="131"/>
      <c r="E96" s="246"/>
      <c r="F96" s="246"/>
      <c r="G96" s="130"/>
      <c r="H96" s="130"/>
      <c r="I96" s="130"/>
      <c r="J96" s="130"/>
      <c r="K96" s="130"/>
      <c r="N96" s="130"/>
      <c r="W96" s="130"/>
      <c r="X96" s="130"/>
      <c r="Y96" s="130"/>
      <c r="Z96" s="130"/>
      <c r="AA96" s="130"/>
      <c r="AB96" s="246"/>
    </row>
    <row r="97" spans="1:28" x14ac:dyDescent="0.15">
      <c r="A97" s="246"/>
      <c r="B97" s="246"/>
      <c r="C97" s="130"/>
      <c r="D97" s="131"/>
      <c r="E97" s="246"/>
      <c r="F97" s="246"/>
      <c r="G97" s="130"/>
      <c r="H97" s="130"/>
      <c r="I97" s="130"/>
      <c r="J97" s="130"/>
      <c r="K97" s="130"/>
      <c r="N97" s="130"/>
      <c r="W97" s="130"/>
      <c r="X97" s="130"/>
      <c r="Y97" s="130"/>
      <c r="Z97" s="130"/>
      <c r="AA97" s="130"/>
      <c r="AB97" s="246"/>
    </row>
    <row r="98" spans="1:28" x14ac:dyDescent="0.15">
      <c r="E98" s="246"/>
      <c r="F98" s="246"/>
    </row>
    <row r="99" spans="1:28" x14ac:dyDescent="0.15">
      <c r="E99" s="246"/>
      <c r="F99" s="246"/>
    </row>
    <row r="100" spans="1:28" x14ac:dyDescent="0.15">
      <c r="E100" s="246"/>
      <c r="F100" s="246"/>
    </row>
    <row r="101" spans="1:28" x14ac:dyDescent="0.15">
      <c r="E101" s="246"/>
      <c r="F101" s="246"/>
    </row>
    <row r="102" spans="1:28" x14ac:dyDescent="0.15">
      <c r="E102" s="246"/>
      <c r="F102" s="246"/>
    </row>
    <row r="103" spans="1:28" x14ac:dyDescent="0.15">
      <c r="E103" s="246"/>
      <c r="F103" s="246"/>
    </row>
    <row r="104" spans="1:28" x14ac:dyDescent="0.15">
      <c r="E104" s="246"/>
      <c r="F104" s="246"/>
    </row>
    <row r="105" spans="1:28" x14ac:dyDescent="0.15">
      <c r="E105" s="246"/>
      <c r="F105" s="246"/>
    </row>
    <row r="106" spans="1:28" x14ac:dyDescent="0.15">
      <c r="E106" s="246"/>
      <c r="F106" s="246"/>
    </row>
    <row r="107" spans="1:28" x14ac:dyDescent="0.15">
      <c r="E107" s="246"/>
      <c r="F107" s="246"/>
    </row>
    <row r="108" spans="1:28" x14ac:dyDescent="0.15">
      <c r="E108" s="246"/>
      <c r="F108" s="246"/>
    </row>
    <row r="109" spans="1:28" x14ac:dyDescent="0.15">
      <c r="E109" s="246"/>
      <c r="F109" s="246"/>
    </row>
    <row r="110" spans="1:28" x14ac:dyDescent="0.15">
      <c r="E110" s="246"/>
      <c r="F110" s="246"/>
    </row>
    <row r="111" spans="1:28" x14ac:dyDescent="0.15">
      <c r="E111" s="246"/>
      <c r="F111" s="246"/>
    </row>
    <row r="112" spans="1:28" x14ac:dyDescent="0.15">
      <c r="E112" s="246"/>
      <c r="F112" s="246"/>
    </row>
    <row r="113" spans="5:6" x14ac:dyDescent="0.15">
      <c r="E113" s="246"/>
      <c r="F113" s="246"/>
    </row>
    <row r="114" spans="5:6" x14ac:dyDescent="0.15">
      <c r="E114" s="246"/>
      <c r="F114" s="246"/>
    </row>
    <row r="115" spans="5:6" x14ac:dyDescent="0.15">
      <c r="E115" s="246"/>
      <c r="F115" s="246"/>
    </row>
    <row r="116" spans="5:6" x14ac:dyDescent="0.15">
      <c r="E116" s="246"/>
      <c r="F116" s="246"/>
    </row>
    <row r="117" spans="5:6" x14ac:dyDescent="0.15">
      <c r="E117" s="246"/>
      <c r="F117" s="246"/>
    </row>
    <row r="118" spans="5:6" x14ac:dyDescent="0.15">
      <c r="E118" s="246"/>
      <c r="F118" s="246"/>
    </row>
    <row r="119" spans="5:6" x14ac:dyDescent="0.15">
      <c r="E119" s="246"/>
      <c r="F119" s="246"/>
    </row>
    <row r="120" spans="5:6" x14ac:dyDescent="0.15">
      <c r="E120" s="246"/>
      <c r="F120" s="246"/>
    </row>
    <row r="121" spans="5:6" x14ac:dyDescent="0.15">
      <c r="E121" s="246"/>
      <c r="F121" s="246"/>
    </row>
    <row r="122" spans="5:6" x14ac:dyDescent="0.15">
      <c r="E122" s="246"/>
      <c r="F122" s="246"/>
    </row>
    <row r="123" spans="5:6" x14ac:dyDescent="0.15">
      <c r="E123" s="246"/>
      <c r="F123" s="246"/>
    </row>
    <row r="124" spans="5:6" x14ac:dyDescent="0.15">
      <c r="E124" s="246"/>
      <c r="F124" s="246"/>
    </row>
    <row r="125" spans="5:6" x14ac:dyDescent="0.15">
      <c r="E125" s="246"/>
      <c r="F125" s="246"/>
    </row>
    <row r="126" spans="5:6" x14ac:dyDescent="0.15">
      <c r="E126" s="246"/>
      <c r="F126" s="246"/>
    </row>
    <row r="127" spans="5:6" x14ac:dyDescent="0.15">
      <c r="E127" s="246"/>
      <c r="F127" s="246"/>
    </row>
    <row r="128" spans="5:6" x14ac:dyDescent="0.15">
      <c r="E128" s="246"/>
      <c r="F128" s="246"/>
    </row>
    <row r="129" spans="5:6" x14ac:dyDescent="0.15">
      <c r="E129" s="246"/>
      <c r="F129" s="246"/>
    </row>
    <row r="130" spans="5:6" x14ac:dyDescent="0.15">
      <c r="E130" s="246"/>
      <c r="F130" s="246"/>
    </row>
    <row r="131" spans="5:6" x14ac:dyDescent="0.15">
      <c r="E131" s="246"/>
      <c r="F131" s="246"/>
    </row>
    <row r="132" spans="5:6" x14ac:dyDescent="0.15">
      <c r="E132" s="246"/>
      <c r="F132" s="246"/>
    </row>
    <row r="133" spans="5:6" x14ac:dyDescent="0.15">
      <c r="E133" s="246"/>
      <c r="F133" s="246"/>
    </row>
    <row r="134" spans="5:6" x14ac:dyDescent="0.15">
      <c r="E134" s="246"/>
      <c r="F134" s="246"/>
    </row>
    <row r="135" spans="5:6" x14ac:dyDescent="0.15">
      <c r="E135" s="246"/>
      <c r="F135" s="246"/>
    </row>
    <row r="136" spans="5:6" x14ac:dyDescent="0.15">
      <c r="E136" s="246"/>
      <c r="F136" s="246"/>
    </row>
    <row r="137" spans="5:6" x14ac:dyDescent="0.15">
      <c r="E137" s="246"/>
      <c r="F137" s="246"/>
    </row>
    <row r="138" spans="5:6" x14ac:dyDescent="0.15">
      <c r="E138" s="246"/>
      <c r="F138" s="246"/>
    </row>
    <row r="139" spans="5:6" x14ac:dyDescent="0.15">
      <c r="E139" s="246"/>
      <c r="F139" s="246"/>
    </row>
    <row r="140" spans="5:6" x14ac:dyDescent="0.15">
      <c r="E140" s="246"/>
      <c r="F140" s="246"/>
    </row>
    <row r="141" spans="5:6" x14ac:dyDescent="0.15">
      <c r="E141" s="246"/>
      <c r="F141" s="246"/>
    </row>
    <row r="142" spans="5:6" x14ac:dyDescent="0.15">
      <c r="E142" s="246"/>
      <c r="F142" s="246"/>
    </row>
    <row r="143" spans="5:6" x14ac:dyDescent="0.15">
      <c r="E143" s="246"/>
      <c r="F143" s="246"/>
    </row>
    <row r="144" spans="5:6" x14ac:dyDescent="0.15">
      <c r="E144" s="246"/>
      <c r="F144" s="246"/>
    </row>
    <row r="145" spans="5:6" x14ac:dyDescent="0.15">
      <c r="E145" s="246"/>
      <c r="F145" s="246"/>
    </row>
    <row r="146" spans="5:6" x14ac:dyDescent="0.15">
      <c r="E146" s="246"/>
      <c r="F146" s="246"/>
    </row>
    <row r="147" spans="5:6" x14ac:dyDescent="0.15">
      <c r="E147" s="246"/>
      <c r="F147" s="246"/>
    </row>
    <row r="148" spans="5:6" x14ac:dyDescent="0.15">
      <c r="E148" s="246"/>
      <c r="F148" s="246"/>
    </row>
    <row r="149" spans="5:6" x14ac:dyDescent="0.15">
      <c r="E149" s="246"/>
      <c r="F149" s="246"/>
    </row>
    <row r="150" spans="5:6" x14ac:dyDescent="0.15">
      <c r="E150" s="246"/>
      <c r="F150" s="246"/>
    </row>
    <row r="151" spans="5:6" x14ac:dyDescent="0.15">
      <c r="E151" s="246"/>
      <c r="F151" s="246"/>
    </row>
    <row r="152" spans="5:6" x14ac:dyDescent="0.15">
      <c r="E152" s="246"/>
      <c r="F152" s="246"/>
    </row>
    <row r="153" spans="5:6" x14ac:dyDescent="0.15">
      <c r="E153" s="246"/>
      <c r="F153" s="246"/>
    </row>
    <row r="154" spans="5:6" x14ac:dyDescent="0.15">
      <c r="E154" s="246"/>
      <c r="F154" s="246"/>
    </row>
    <row r="155" spans="5:6" x14ac:dyDescent="0.15">
      <c r="E155" s="246"/>
      <c r="F155" s="246"/>
    </row>
    <row r="156" spans="5:6" x14ac:dyDescent="0.15">
      <c r="E156" s="246"/>
      <c r="F156" s="246"/>
    </row>
    <row r="157" spans="5:6" x14ac:dyDescent="0.15">
      <c r="E157" s="246"/>
      <c r="F157" s="246"/>
    </row>
    <row r="158" spans="5:6" x14ac:dyDescent="0.15">
      <c r="E158" s="246"/>
      <c r="F158" s="246"/>
    </row>
    <row r="159" spans="5:6" x14ac:dyDescent="0.15">
      <c r="E159" s="246"/>
      <c r="F159" s="246"/>
    </row>
    <row r="160" spans="5:6" x14ac:dyDescent="0.15">
      <c r="E160" s="246"/>
      <c r="F160" s="246"/>
    </row>
    <row r="161" spans="5:6" x14ac:dyDescent="0.15">
      <c r="E161" s="246"/>
      <c r="F161" s="246"/>
    </row>
    <row r="162" spans="5:6" x14ac:dyDescent="0.15">
      <c r="E162" s="246"/>
      <c r="F162" s="246"/>
    </row>
    <row r="163" spans="5:6" x14ac:dyDescent="0.15">
      <c r="E163" s="246"/>
      <c r="F163" s="246"/>
    </row>
    <row r="164" spans="5:6" x14ac:dyDescent="0.15">
      <c r="E164" s="246"/>
      <c r="F164" s="246"/>
    </row>
    <row r="165" spans="5:6" x14ac:dyDescent="0.15">
      <c r="E165" s="246"/>
      <c r="F165" s="246"/>
    </row>
    <row r="166" spans="5:6" x14ac:dyDescent="0.15">
      <c r="E166" s="246"/>
      <c r="F166" s="246"/>
    </row>
    <row r="167" spans="5:6" x14ac:dyDescent="0.15">
      <c r="E167" s="246"/>
      <c r="F167" s="246"/>
    </row>
    <row r="168" spans="5:6" x14ac:dyDescent="0.15">
      <c r="E168" s="246"/>
      <c r="F168" s="246"/>
    </row>
    <row r="169" spans="5:6" x14ac:dyDescent="0.15">
      <c r="E169" s="246"/>
      <c r="F169" s="246"/>
    </row>
    <row r="170" spans="5:6" x14ac:dyDescent="0.15">
      <c r="E170" s="246"/>
      <c r="F170" s="246"/>
    </row>
    <row r="171" spans="5:6" x14ac:dyDescent="0.15">
      <c r="E171" s="246"/>
      <c r="F171" s="246"/>
    </row>
    <row r="172" spans="5:6" x14ac:dyDescent="0.15">
      <c r="E172" s="246"/>
      <c r="F172" s="246"/>
    </row>
    <row r="173" spans="5:6" x14ac:dyDescent="0.15">
      <c r="E173" s="246"/>
      <c r="F173" s="246"/>
    </row>
    <row r="174" spans="5:6" x14ac:dyDescent="0.15">
      <c r="E174" s="246"/>
      <c r="F174" s="246"/>
    </row>
    <row r="175" spans="5:6" x14ac:dyDescent="0.15">
      <c r="E175" s="246"/>
      <c r="F175" s="246"/>
    </row>
    <row r="176" spans="5:6" x14ac:dyDescent="0.15">
      <c r="E176" s="246"/>
      <c r="F176" s="246"/>
    </row>
    <row r="177" spans="5:6" x14ac:dyDescent="0.15">
      <c r="E177" s="246"/>
      <c r="F177" s="246"/>
    </row>
    <row r="178" spans="5:6" x14ac:dyDescent="0.15">
      <c r="E178" s="246"/>
      <c r="F178" s="246"/>
    </row>
    <row r="179" spans="5:6" x14ac:dyDescent="0.15">
      <c r="E179" s="246"/>
      <c r="F179" s="246"/>
    </row>
    <row r="180" spans="5:6" x14ac:dyDescent="0.15">
      <c r="E180" s="246"/>
      <c r="F180" s="246"/>
    </row>
    <row r="181" spans="5:6" x14ac:dyDescent="0.15">
      <c r="E181" s="246"/>
      <c r="F181" s="246"/>
    </row>
    <row r="182" spans="5:6" x14ac:dyDescent="0.15">
      <c r="E182" s="246"/>
      <c r="F182" s="246"/>
    </row>
    <row r="183" spans="5:6" x14ac:dyDescent="0.15">
      <c r="E183" s="246"/>
      <c r="F183" s="246"/>
    </row>
    <row r="184" spans="5:6" x14ac:dyDescent="0.15">
      <c r="E184" s="246"/>
      <c r="F184" s="246"/>
    </row>
    <row r="185" spans="5:6" x14ac:dyDescent="0.15">
      <c r="E185" s="246"/>
      <c r="F185" s="246"/>
    </row>
    <row r="186" spans="5:6" x14ac:dyDescent="0.15">
      <c r="E186" s="246"/>
      <c r="F186" s="246"/>
    </row>
    <row r="187" spans="5:6" x14ac:dyDescent="0.15">
      <c r="E187" s="246"/>
      <c r="F187" s="246"/>
    </row>
    <row r="188" spans="5:6" x14ac:dyDescent="0.15">
      <c r="E188" s="246"/>
      <c r="F188" s="246"/>
    </row>
    <row r="189" spans="5:6" x14ac:dyDescent="0.15">
      <c r="E189" s="246"/>
      <c r="F189" s="246"/>
    </row>
    <row r="190" spans="5:6" x14ac:dyDescent="0.15">
      <c r="E190" s="246"/>
      <c r="F190" s="246"/>
    </row>
    <row r="191" spans="5:6" x14ac:dyDescent="0.15">
      <c r="E191" s="246"/>
      <c r="F191" s="246"/>
    </row>
    <row r="192" spans="5:6" x14ac:dyDescent="0.15">
      <c r="E192" s="246"/>
      <c r="F192" s="246"/>
    </row>
    <row r="193" spans="5:6" x14ac:dyDescent="0.15">
      <c r="E193" s="246"/>
      <c r="F193" s="246"/>
    </row>
    <row r="194" spans="5:6" x14ac:dyDescent="0.15">
      <c r="E194" s="246"/>
      <c r="F194" s="246"/>
    </row>
    <row r="195" spans="5:6" x14ac:dyDescent="0.15">
      <c r="E195" s="246"/>
      <c r="F195" s="246"/>
    </row>
    <row r="196" spans="5:6" x14ac:dyDescent="0.15">
      <c r="E196" s="246"/>
      <c r="F196" s="246"/>
    </row>
    <row r="197" spans="5:6" x14ac:dyDescent="0.15">
      <c r="E197" s="246"/>
      <c r="F197" s="246"/>
    </row>
    <row r="198" spans="5:6" x14ac:dyDescent="0.15">
      <c r="E198" s="246"/>
      <c r="F198" s="246"/>
    </row>
    <row r="199" spans="5:6" x14ac:dyDescent="0.15">
      <c r="E199" s="246"/>
      <c r="F199" s="246"/>
    </row>
    <row r="200" spans="5:6" x14ac:dyDescent="0.15">
      <c r="E200" s="246"/>
      <c r="F200" s="246"/>
    </row>
    <row r="201" spans="5:6" x14ac:dyDescent="0.15">
      <c r="E201" s="246"/>
      <c r="F201" s="246"/>
    </row>
    <row r="202" spans="5:6" x14ac:dyDescent="0.15">
      <c r="E202" s="246"/>
      <c r="F202" s="246"/>
    </row>
    <row r="203" spans="5:6" x14ac:dyDescent="0.15">
      <c r="E203" s="246"/>
      <c r="F203" s="246"/>
    </row>
    <row r="204" spans="5:6" x14ac:dyDescent="0.15">
      <c r="E204" s="246"/>
      <c r="F204" s="246"/>
    </row>
    <row r="205" spans="5:6" x14ac:dyDescent="0.15">
      <c r="E205" s="246"/>
      <c r="F205" s="246"/>
    </row>
    <row r="206" spans="5:6" x14ac:dyDescent="0.15">
      <c r="E206" s="246"/>
      <c r="F206" s="246"/>
    </row>
    <row r="207" spans="5:6" x14ac:dyDescent="0.15">
      <c r="E207" s="246"/>
      <c r="F207" s="246"/>
    </row>
    <row r="208" spans="5:6" x14ac:dyDescent="0.15">
      <c r="E208" s="246"/>
      <c r="F208" s="246"/>
    </row>
    <row r="209" spans="5:6" x14ac:dyDescent="0.15">
      <c r="E209" s="246"/>
      <c r="F209" s="246"/>
    </row>
    <row r="210" spans="5:6" x14ac:dyDescent="0.15">
      <c r="E210" s="246"/>
      <c r="F210" s="246"/>
    </row>
    <row r="211" spans="5:6" x14ac:dyDescent="0.15">
      <c r="E211" s="246"/>
      <c r="F211" s="246"/>
    </row>
    <row r="212" spans="5:6" x14ac:dyDescent="0.15">
      <c r="E212" s="246"/>
      <c r="F212" s="246"/>
    </row>
    <row r="213" spans="5:6" x14ac:dyDescent="0.15">
      <c r="E213" s="246"/>
      <c r="F213" s="246"/>
    </row>
    <row r="214" spans="5:6" x14ac:dyDescent="0.15">
      <c r="E214" s="246"/>
      <c r="F214" s="246"/>
    </row>
    <row r="215" spans="5:6" x14ac:dyDescent="0.15">
      <c r="E215" s="246"/>
      <c r="F215" s="246"/>
    </row>
    <row r="216" spans="5:6" x14ac:dyDescent="0.15">
      <c r="E216" s="246"/>
      <c r="F216" s="246"/>
    </row>
    <row r="217" spans="5:6" x14ac:dyDescent="0.15">
      <c r="E217" s="246"/>
      <c r="F217" s="246"/>
    </row>
    <row r="218" spans="5:6" x14ac:dyDescent="0.15">
      <c r="E218" s="246"/>
      <c r="F218" s="246"/>
    </row>
    <row r="219" spans="5:6" x14ac:dyDescent="0.15">
      <c r="E219" s="246"/>
      <c r="F219" s="246"/>
    </row>
    <row r="220" spans="5:6" x14ac:dyDescent="0.15">
      <c r="E220" s="246"/>
      <c r="F220" s="246"/>
    </row>
    <row r="221" spans="5:6" x14ac:dyDescent="0.15">
      <c r="E221" s="246"/>
      <c r="F221" s="246"/>
    </row>
    <row r="222" spans="5:6" x14ac:dyDescent="0.15">
      <c r="E222" s="246"/>
      <c r="F222" s="246"/>
    </row>
    <row r="223" spans="5:6" x14ac:dyDescent="0.15">
      <c r="E223" s="246"/>
      <c r="F223" s="246"/>
    </row>
    <row r="224" spans="5:6" x14ac:dyDescent="0.15">
      <c r="E224" s="246"/>
      <c r="F224" s="246"/>
    </row>
    <row r="225" spans="5:6" x14ac:dyDescent="0.15">
      <c r="E225" s="246"/>
      <c r="F225" s="246"/>
    </row>
    <row r="226" spans="5:6" x14ac:dyDescent="0.15">
      <c r="E226" s="246"/>
      <c r="F226" s="246"/>
    </row>
    <row r="227" spans="5:6" x14ac:dyDescent="0.15">
      <c r="E227" s="246"/>
      <c r="F227" s="246"/>
    </row>
    <row r="228" spans="5:6" x14ac:dyDescent="0.15">
      <c r="E228" s="246"/>
      <c r="F228" s="246"/>
    </row>
    <row r="229" spans="5:6" x14ac:dyDescent="0.15">
      <c r="E229" s="246"/>
      <c r="F229" s="246"/>
    </row>
    <row r="230" spans="5:6" x14ac:dyDescent="0.15">
      <c r="E230" s="246"/>
      <c r="F230" s="246"/>
    </row>
    <row r="231" spans="5:6" x14ac:dyDescent="0.15">
      <c r="E231" s="246"/>
      <c r="F231" s="246"/>
    </row>
    <row r="232" spans="5:6" x14ac:dyDescent="0.15">
      <c r="E232" s="246"/>
      <c r="F232" s="246"/>
    </row>
    <row r="233" spans="5:6" x14ac:dyDescent="0.15">
      <c r="E233" s="246"/>
      <c r="F233" s="246"/>
    </row>
    <row r="234" spans="5:6" x14ac:dyDescent="0.15">
      <c r="E234" s="246"/>
      <c r="F234" s="246"/>
    </row>
    <row r="235" spans="5:6" x14ac:dyDescent="0.15">
      <c r="E235" s="246"/>
      <c r="F235" s="246"/>
    </row>
    <row r="236" spans="5:6" x14ac:dyDescent="0.15">
      <c r="E236" s="246"/>
      <c r="F236" s="246"/>
    </row>
    <row r="237" spans="5:6" x14ac:dyDescent="0.15">
      <c r="E237" s="246"/>
      <c r="F237" s="246"/>
    </row>
    <row r="238" spans="5:6" x14ac:dyDescent="0.15">
      <c r="E238" s="246"/>
      <c r="F238" s="246"/>
    </row>
    <row r="239" spans="5:6" x14ac:dyDescent="0.15">
      <c r="E239" s="246"/>
      <c r="F239" s="246"/>
    </row>
    <row r="240" spans="5:6" x14ac:dyDescent="0.15">
      <c r="E240" s="246"/>
      <c r="F240" s="246"/>
    </row>
    <row r="241" spans="5:6" x14ac:dyDescent="0.15">
      <c r="E241" s="246"/>
      <c r="F241" s="246"/>
    </row>
    <row r="242" spans="5:6" x14ac:dyDescent="0.15">
      <c r="E242" s="246"/>
      <c r="F242" s="246"/>
    </row>
    <row r="243" spans="5:6" x14ac:dyDescent="0.15">
      <c r="E243" s="246"/>
      <c r="F243" s="246"/>
    </row>
    <row r="244" spans="5:6" x14ac:dyDescent="0.15">
      <c r="E244" s="246"/>
      <c r="F244" s="246"/>
    </row>
    <row r="245" spans="5:6" x14ac:dyDescent="0.15">
      <c r="E245" s="246"/>
      <c r="F245" s="246"/>
    </row>
    <row r="246" spans="5:6" x14ac:dyDescent="0.15">
      <c r="E246" s="246"/>
      <c r="F246" s="246"/>
    </row>
    <row r="247" spans="5:6" x14ac:dyDescent="0.15">
      <c r="E247" s="246"/>
      <c r="F247" s="246"/>
    </row>
    <row r="248" spans="5:6" x14ac:dyDescent="0.15">
      <c r="E248" s="246"/>
      <c r="F248" s="246"/>
    </row>
    <row r="249" spans="5:6" x14ac:dyDescent="0.15">
      <c r="E249" s="246"/>
      <c r="F249" s="246"/>
    </row>
    <row r="250" spans="5:6" x14ac:dyDescent="0.15">
      <c r="E250" s="246"/>
      <c r="F250" s="246"/>
    </row>
    <row r="251" spans="5:6" x14ac:dyDescent="0.15">
      <c r="E251" s="246"/>
      <c r="F251" s="246"/>
    </row>
    <row r="252" spans="5:6" x14ac:dyDescent="0.15">
      <c r="E252" s="246"/>
      <c r="F252" s="246"/>
    </row>
    <row r="253" spans="5:6" x14ac:dyDescent="0.15">
      <c r="E253" s="246"/>
      <c r="F253" s="246"/>
    </row>
    <row r="254" spans="5:6" x14ac:dyDescent="0.15">
      <c r="E254" s="246"/>
      <c r="F254" s="246"/>
    </row>
    <row r="255" spans="5:6" x14ac:dyDescent="0.15">
      <c r="E255" s="246"/>
      <c r="F255" s="246"/>
    </row>
    <row r="256" spans="5:6" x14ac:dyDescent="0.15">
      <c r="E256" s="246"/>
      <c r="F256" s="246"/>
    </row>
    <row r="257" spans="5:6" x14ac:dyDescent="0.15">
      <c r="E257" s="246"/>
      <c r="F257" s="246"/>
    </row>
    <row r="258" spans="5:6" x14ac:dyDescent="0.15">
      <c r="E258" s="246"/>
      <c r="F258" s="246"/>
    </row>
    <row r="259" spans="5:6" x14ac:dyDescent="0.15">
      <c r="E259" s="246"/>
      <c r="F259" s="246"/>
    </row>
    <row r="260" spans="5:6" x14ac:dyDescent="0.15">
      <c r="E260" s="246"/>
      <c r="F260" s="246"/>
    </row>
    <row r="261" spans="5:6" x14ac:dyDescent="0.15">
      <c r="E261" s="246"/>
      <c r="F261" s="246"/>
    </row>
    <row r="262" spans="5:6" x14ac:dyDescent="0.15">
      <c r="E262" s="246"/>
      <c r="F262" s="246"/>
    </row>
    <row r="263" spans="5:6" x14ac:dyDescent="0.15">
      <c r="E263" s="246"/>
      <c r="F263" s="246"/>
    </row>
    <row r="264" spans="5:6" x14ac:dyDescent="0.15">
      <c r="E264" s="246"/>
      <c r="F264" s="246"/>
    </row>
    <row r="265" spans="5:6" x14ac:dyDescent="0.15">
      <c r="E265" s="246"/>
      <c r="F265" s="246"/>
    </row>
    <row r="266" spans="5:6" x14ac:dyDescent="0.15">
      <c r="E266" s="246"/>
      <c r="F266" s="246"/>
    </row>
    <row r="267" spans="5:6" x14ac:dyDescent="0.15">
      <c r="E267" s="246"/>
      <c r="F267" s="246"/>
    </row>
    <row r="268" spans="5:6" x14ac:dyDescent="0.15">
      <c r="E268" s="246"/>
      <c r="F268" s="246"/>
    </row>
    <row r="269" spans="5:6" x14ac:dyDescent="0.15">
      <c r="E269" s="246"/>
      <c r="F269" s="246"/>
    </row>
    <row r="270" spans="5:6" x14ac:dyDescent="0.15">
      <c r="E270" s="246"/>
      <c r="F270" s="246"/>
    </row>
    <row r="271" spans="5:6" x14ac:dyDescent="0.15">
      <c r="E271" s="246"/>
      <c r="F271" s="246"/>
    </row>
    <row r="272" spans="5:6" x14ac:dyDescent="0.15">
      <c r="E272" s="246"/>
      <c r="F272" s="246"/>
    </row>
    <row r="273" spans="5:6" x14ac:dyDescent="0.15">
      <c r="E273" s="246"/>
      <c r="F273" s="246"/>
    </row>
    <row r="274" spans="5:6" x14ac:dyDescent="0.15">
      <c r="E274" s="246"/>
      <c r="F274" s="246"/>
    </row>
    <row r="275" spans="5:6" x14ac:dyDescent="0.15">
      <c r="E275" s="246"/>
      <c r="F275" s="246"/>
    </row>
    <row r="276" spans="5:6" x14ac:dyDescent="0.15">
      <c r="E276" s="246"/>
      <c r="F276" s="246"/>
    </row>
    <row r="277" spans="5:6" x14ac:dyDescent="0.15">
      <c r="E277" s="246"/>
      <c r="F277" s="246"/>
    </row>
    <row r="278" spans="5:6" x14ac:dyDescent="0.15">
      <c r="E278" s="246"/>
      <c r="F278" s="246"/>
    </row>
    <row r="279" spans="5:6" x14ac:dyDescent="0.15">
      <c r="E279" s="246"/>
      <c r="F279" s="246"/>
    </row>
    <row r="280" spans="5:6" x14ac:dyDescent="0.15">
      <c r="E280" s="246"/>
      <c r="F280" s="246"/>
    </row>
    <row r="281" spans="5:6" x14ac:dyDescent="0.15">
      <c r="E281" s="246"/>
      <c r="F281" s="246"/>
    </row>
    <row r="282" spans="5:6" x14ac:dyDescent="0.15">
      <c r="E282" s="246"/>
      <c r="F282" s="246"/>
    </row>
    <row r="283" spans="5:6" x14ac:dyDescent="0.15">
      <c r="E283" s="246"/>
      <c r="F283" s="246"/>
    </row>
    <row r="284" spans="5:6" x14ac:dyDescent="0.15">
      <c r="E284" s="246"/>
      <c r="F284" s="246"/>
    </row>
    <row r="285" spans="5:6" x14ac:dyDescent="0.15">
      <c r="E285" s="246"/>
      <c r="F285" s="246"/>
    </row>
    <row r="286" spans="5:6" x14ac:dyDescent="0.15">
      <c r="E286" s="246"/>
      <c r="F286" s="246"/>
    </row>
    <row r="287" spans="5:6" x14ac:dyDescent="0.15">
      <c r="E287" s="246"/>
      <c r="F287" s="246"/>
    </row>
    <row r="288" spans="5:6" x14ac:dyDescent="0.15">
      <c r="E288" s="246"/>
      <c r="F288" s="246"/>
    </row>
    <row r="289" spans="5:6" x14ac:dyDescent="0.15">
      <c r="E289" s="246"/>
      <c r="F289" s="246"/>
    </row>
    <row r="290" spans="5:6" x14ac:dyDescent="0.15">
      <c r="E290" s="246"/>
      <c r="F290" s="246"/>
    </row>
    <row r="291" spans="5:6" x14ac:dyDescent="0.15">
      <c r="E291" s="246"/>
      <c r="F291" s="246"/>
    </row>
    <row r="292" spans="5:6" x14ac:dyDescent="0.15">
      <c r="E292" s="246"/>
      <c r="F292" s="246"/>
    </row>
    <row r="293" spans="5:6" x14ac:dyDescent="0.15">
      <c r="E293" s="246"/>
      <c r="F293" s="246"/>
    </row>
    <row r="294" spans="5:6" x14ac:dyDescent="0.15">
      <c r="E294" s="246"/>
      <c r="F294" s="246"/>
    </row>
    <row r="295" spans="5:6" x14ac:dyDescent="0.15">
      <c r="E295" s="246"/>
      <c r="F295" s="246"/>
    </row>
    <row r="296" spans="5:6" x14ac:dyDescent="0.15">
      <c r="E296" s="246"/>
      <c r="F296" s="246"/>
    </row>
    <row r="297" spans="5:6" x14ac:dyDescent="0.15">
      <c r="E297" s="246"/>
      <c r="F297" s="246"/>
    </row>
    <row r="298" spans="5:6" x14ac:dyDescent="0.15">
      <c r="E298" s="246"/>
      <c r="F298" s="246"/>
    </row>
    <row r="299" spans="5:6" x14ac:dyDescent="0.15">
      <c r="E299" s="246"/>
      <c r="F299" s="246"/>
    </row>
    <row r="300" spans="5:6" x14ac:dyDescent="0.15">
      <c r="E300" s="246"/>
      <c r="F300" s="246"/>
    </row>
    <row r="301" spans="5:6" x14ac:dyDescent="0.15">
      <c r="E301" s="246"/>
      <c r="F301" s="246"/>
    </row>
    <row r="302" spans="5:6" x14ac:dyDescent="0.15">
      <c r="E302" s="246"/>
      <c r="F302" s="246"/>
    </row>
    <row r="303" spans="5:6" x14ac:dyDescent="0.15">
      <c r="E303" s="246"/>
      <c r="F303" s="246"/>
    </row>
    <row r="304" spans="5:6" x14ac:dyDescent="0.15">
      <c r="E304" s="246"/>
      <c r="F304" s="246"/>
    </row>
    <row r="305" spans="5:6" x14ac:dyDescent="0.15">
      <c r="E305" s="246"/>
      <c r="F305" s="246"/>
    </row>
    <row r="306" spans="5:6" x14ac:dyDescent="0.15">
      <c r="E306" s="246"/>
      <c r="F306" s="246"/>
    </row>
    <row r="307" spans="5:6" x14ac:dyDescent="0.15">
      <c r="E307" s="246"/>
      <c r="F307" s="246"/>
    </row>
    <row r="308" spans="5:6" x14ac:dyDescent="0.15">
      <c r="E308" s="246"/>
      <c r="F308" s="246"/>
    </row>
    <row r="309" spans="5:6" x14ac:dyDescent="0.15">
      <c r="E309" s="246"/>
      <c r="F309" s="246"/>
    </row>
    <row r="310" spans="5:6" x14ac:dyDescent="0.15">
      <c r="E310" s="246"/>
      <c r="F310" s="246"/>
    </row>
    <row r="311" spans="5:6" x14ac:dyDescent="0.15">
      <c r="E311" s="246"/>
      <c r="F311" s="246"/>
    </row>
    <row r="312" spans="5:6" x14ac:dyDescent="0.15">
      <c r="E312" s="246"/>
      <c r="F312" s="246"/>
    </row>
    <row r="313" spans="5:6" x14ac:dyDescent="0.15">
      <c r="E313" s="246"/>
      <c r="F313" s="246"/>
    </row>
    <row r="314" spans="5:6" x14ac:dyDescent="0.15">
      <c r="E314" s="246"/>
      <c r="F314" s="246"/>
    </row>
    <row r="315" spans="5:6" x14ac:dyDescent="0.15">
      <c r="E315" s="246"/>
      <c r="F315" s="246"/>
    </row>
    <row r="316" spans="5:6" x14ac:dyDescent="0.15">
      <c r="E316" s="246"/>
      <c r="F316" s="246"/>
    </row>
    <row r="317" spans="5:6" x14ac:dyDescent="0.15">
      <c r="E317" s="246"/>
      <c r="F317" s="246"/>
    </row>
    <row r="318" spans="5:6" x14ac:dyDescent="0.15">
      <c r="E318" s="246"/>
      <c r="F318" s="246"/>
    </row>
    <row r="319" spans="5:6" x14ac:dyDescent="0.15">
      <c r="E319" s="246"/>
      <c r="F319" s="246"/>
    </row>
    <row r="320" spans="5:6" x14ac:dyDescent="0.15">
      <c r="E320" s="246"/>
      <c r="F320" s="246"/>
    </row>
    <row r="321" spans="5:6" x14ac:dyDescent="0.15">
      <c r="E321" s="246"/>
      <c r="F321" s="246"/>
    </row>
    <row r="322" spans="5:6" x14ac:dyDescent="0.15">
      <c r="E322" s="246"/>
      <c r="F322" s="246"/>
    </row>
    <row r="323" spans="5:6" x14ac:dyDescent="0.15">
      <c r="E323" s="246"/>
      <c r="F323" s="246"/>
    </row>
    <row r="324" spans="5:6" x14ac:dyDescent="0.15">
      <c r="E324" s="246"/>
      <c r="F324" s="246"/>
    </row>
    <row r="325" spans="5:6" x14ac:dyDescent="0.15">
      <c r="E325" s="246"/>
      <c r="F325" s="246"/>
    </row>
    <row r="326" spans="5:6" x14ac:dyDescent="0.15">
      <c r="E326" s="246"/>
      <c r="F326" s="246"/>
    </row>
    <row r="327" spans="5:6" x14ac:dyDescent="0.15">
      <c r="E327" s="246"/>
      <c r="F327" s="246"/>
    </row>
    <row r="328" spans="5:6" x14ac:dyDescent="0.15">
      <c r="E328" s="246"/>
      <c r="F328" s="246"/>
    </row>
    <row r="329" spans="5:6" x14ac:dyDescent="0.15">
      <c r="E329" s="246"/>
      <c r="F329" s="246"/>
    </row>
    <row r="330" spans="5:6" x14ac:dyDescent="0.15">
      <c r="E330" s="246"/>
      <c r="F330" s="246"/>
    </row>
    <row r="331" spans="5:6" x14ac:dyDescent="0.15">
      <c r="E331" s="246"/>
      <c r="F331" s="246"/>
    </row>
    <row r="332" spans="5:6" x14ac:dyDescent="0.15">
      <c r="E332" s="246"/>
      <c r="F332" s="246"/>
    </row>
    <row r="333" spans="5:6" x14ac:dyDescent="0.15">
      <c r="E333" s="246"/>
      <c r="F333" s="246"/>
    </row>
    <row r="334" spans="5:6" x14ac:dyDescent="0.15">
      <c r="E334" s="246"/>
      <c r="F334" s="246"/>
    </row>
    <row r="335" spans="5:6" x14ac:dyDescent="0.15">
      <c r="E335" s="246"/>
      <c r="F335" s="246"/>
    </row>
    <row r="336" spans="5:6" x14ac:dyDescent="0.15">
      <c r="E336" s="246"/>
      <c r="F336" s="246"/>
    </row>
    <row r="337" spans="5:6" x14ac:dyDescent="0.15">
      <c r="E337" s="246"/>
      <c r="F337" s="246"/>
    </row>
    <row r="338" spans="5:6" x14ac:dyDescent="0.15">
      <c r="E338" s="246"/>
      <c r="F338" s="246"/>
    </row>
    <row r="339" spans="5:6" x14ac:dyDescent="0.15">
      <c r="E339" s="246"/>
      <c r="F339" s="246"/>
    </row>
    <row r="340" spans="5:6" x14ac:dyDescent="0.15">
      <c r="E340" s="246"/>
      <c r="F340" s="246"/>
    </row>
    <row r="341" spans="5:6" x14ac:dyDescent="0.15">
      <c r="E341" s="246"/>
      <c r="F341" s="246"/>
    </row>
    <row r="342" spans="5:6" x14ac:dyDescent="0.15">
      <c r="E342" s="246"/>
      <c r="F342" s="246"/>
    </row>
    <row r="343" spans="5:6" x14ac:dyDescent="0.15">
      <c r="E343" s="246"/>
      <c r="F343" s="246"/>
    </row>
    <row r="344" spans="5:6" x14ac:dyDescent="0.15">
      <c r="E344" s="246"/>
      <c r="F344" s="246"/>
    </row>
    <row r="345" spans="5:6" x14ac:dyDescent="0.15">
      <c r="E345" s="246"/>
      <c r="F345" s="246"/>
    </row>
    <row r="346" spans="5:6" x14ac:dyDescent="0.15">
      <c r="E346" s="246"/>
      <c r="F346" s="246"/>
    </row>
    <row r="347" spans="5:6" x14ac:dyDescent="0.15">
      <c r="E347" s="246"/>
      <c r="F347" s="246"/>
    </row>
    <row r="348" spans="5:6" x14ac:dyDescent="0.15">
      <c r="E348" s="246"/>
      <c r="F348" s="246"/>
    </row>
    <row r="349" spans="5:6" x14ac:dyDescent="0.15">
      <c r="E349" s="246"/>
      <c r="F349" s="246"/>
    </row>
    <row r="350" spans="5:6" x14ac:dyDescent="0.15">
      <c r="E350" s="246"/>
      <c r="F350" s="246"/>
    </row>
    <row r="351" spans="5:6" x14ac:dyDescent="0.15">
      <c r="E351" s="246"/>
      <c r="F351" s="246"/>
    </row>
    <row r="352" spans="5:6" x14ac:dyDescent="0.15">
      <c r="E352" s="246"/>
      <c r="F352" s="246"/>
    </row>
    <row r="353" spans="5:6" x14ac:dyDescent="0.15">
      <c r="E353" s="246"/>
      <c r="F353" s="246"/>
    </row>
    <row r="354" spans="5:6" x14ac:dyDescent="0.15">
      <c r="E354" s="246"/>
      <c r="F354" s="246"/>
    </row>
    <row r="355" spans="5:6" x14ac:dyDescent="0.15">
      <c r="E355" s="246"/>
      <c r="F355" s="246"/>
    </row>
    <row r="356" spans="5:6" x14ac:dyDescent="0.15">
      <c r="E356" s="246"/>
      <c r="F356" s="246"/>
    </row>
    <row r="357" spans="5:6" x14ac:dyDescent="0.15">
      <c r="E357" s="246"/>
      <c r="F357" s="246"/>
    </row>
    <row r="358" spans="5:6" x14ac:dyDescent="0.15">
      <c r="E358" s="246"/>
      <c r="F358" s="246"/>
    </row>
    <row r="359" spans="5:6" x14ac:dyDescent="0.15">
      <c r="E359" s="246"/>
      <c r="F359" s="246"/>
    </row>
    <row r="360" spans="5:6" x14ac:dyDescent="0.15">
      <c r="E360" s="246"/>
      <c r="F360" s="246"/>
    </row>
    <row r="361" spans="5:6" x14ac:dyDescent="0.15">
      <c r="E361" s="246"/>
      <c r="F361" s="246"/>
    </row>
    <row r="362" spans="5:6" x14ac:dyDescent="0.15">
      <c r="E362" s="246"/>
      <c r="F362" s="246"/>
    </row>
    <row r="363" spans="5:6" x14ac:dyDescent="0.15">
      <c r="E363" s="246"/>
      <c r="F363" s="246"/>
    </row>
    <row r="364" spans="5:6" x14ac:dyDescent="0.15">
      <c r="E364" s="246"/>
      <c r="F364" s="246"/>
    </row>
    <row r="365" spans="5:6" x14ac:dyDescent="0.15">
      <c r="E365" s="246"/>
      <c r="F365" s="246"/>
    </row>
    <row r="366" spans="5:6" x14ac:dyDescent="0.15">
      <c r="E366" s="246"/>
      <c r="F366" s="246"/>
    </row>
    <row r="367" spans="5:6" x14ac:dyDescent="0.15">
      <c r="E367" s="246"/>
      <c r="F367" s="246"/>
    </row>
    <row r="368" spans="5:6" x14ac:dyDescent="0.15">
      <c r="E368" s="246"/>
      <c r="F368" s="246"/>
    </row>
    <row r="369" spans="5:6" x14ac:dyDescent="0.15">
      <c r="E369" s="246"/>
      <c r="F369" s="246"/>
    </row>
    <row r="370" spans="5:6" x14ac:dyDescent="0.15">
      <c r="E370" s="246"/>
      <c r="F370" s="246"/>
    </row>
    <row r="371" spans="5:6" x14ac:dyDescent="0.15">
      <c r="E371" s="246"/>
      <c r="F371" s="246"/>
    </row>
    <row r="372" spans="5:6" x14ac:dyDescent="0.15">
      <c r="E372" s="246"/>
      <c r="F372" s="246"/>
    </row>
    <row r="373" spans="5:6" x14ac:dyDescent="0.15">
      <c r="E373" s="246"/>
      <c r="F373" s="246"/>
    </row>
    <row r="374" spans="5:6" x14ac:dyDescent="0.15">
      <c r="E374" s="246"/>
      <c r="F374" s="246"/>
    </row>
    <row r="375" spans="5:6" x14ac:dyDescent="0.15">
      <c r="E375" s="246"/>
      <c r="F375" s="246"/>
    </row>
    <row r="376" spans="5:6" x14ac:dyDescent="0.15">
      <c r="E376" s="246"/>
      <c r="F376" s="246"/>
    </row>
    <row r="377" spans="5:6" x14ac:dyDescent="0.15">
      <c r="E377" s="246"/>
      <c r="F377" s="246"/>
    </row>
    <row r="378" spans="5:6" x14ac:dyDescent="0.15">
      <c r="E378" s="246"/>
      <c r="F378" s="246"/>
    </row>
    <row r="379" spans="5:6" x14ac:dyDescent="0.15">
      <c r="E379" s="246"/>
      <c r="F379" s="246"/>
    </row>
    <row r="380" spans="5:6" x14ac:dyDescent="0.15">
      <c r="E380" s="246"/>
      <c r="F380" s="246"/>
    </row>
    <row r="381" spans="5:6" x14ac:dyDescent="0.15">
      <c r="E381" s="246"/>
      <c r="F381" s="246"/>
    </row>
    <row r="382" spans="5:6" x14ac:dyDescent="0.15">
      <c r="E382" s="246"/>
      <c r="F382" s="246"/>
    </row>
    <row r="383" spans="5:6" x14ac:dyDescent="0.15">
      <c r="E383" s="246"/>
      <c r="F383" s="246"/>
    </row>
    <row r="384" spans="5:6" x14ac:dyDescent="0.15">
      <c r="E384" s="246"/>
      <c r="F384" s="246"/>
    </row>
    <row r="385" spans="5:6" x14ac:dyDescent="0.15">
      <c r="E385" s="246"/>
      <c r="F385" s="246"/>
    </row>
    <row r="386" spans="5:6" x14ac:dyDescent="0.15">
      <c r="E386" s="246"/>
      <c r="F386" s="246"/>
    </row>
    <row r="387" spans="5:6" x14ac:dyDescent="0.15">
      <c r="E387" s="246"/>
      <c r="F387" s="246"/>
    </row>
    <row r="388" spans="5:6" x14ac:dyDescent="0.15">
      <c r="E388" s="246"/>
      <c r="F388" s="246"/>
    </row>
    <row r="389" spans="5:6" x14ac:dyDescent="0.15">
      <c r="E389" s="246"/>
      <c r="F389" s="246"/>
    </row>
    <row r="390" spans="5:6" x14ac:dyDescent="0.15">
      <c r="E390" s="246"/>
      <c r="F390" s="246"/>
    </row>
    <row r="391" spans="5:6" x14ac:dyDescent="0.15">
      <c r="E391" s="246"/>
      <c r="F391" s="246"/>
    </row>
    <row r="392" spans="5:6" x14ac:dyDescent="0.15">
      <c r="E392" s="246"/>
      <c r="F392" s="246"/>
    </row>
    <row r="393" spans="5:6" x14ac:dyDescent="0.15">
      <c r="E393" s="246"/>
      <c r="F393" s="246"/>
    </row>
    <row r="394" spans="5:6" x14ac:dyDescent="0.15">
      <c r="E394" s="246"/>
      <c r="F394" s="246"/>
    </row>
    <row r="395" spans="5:6" x14ac:dyDescent="0.15">
      <c r="E395" s="246"/>
      <c r="F395" s="246"/>
    </row>
    <row r="396" spans="5:6" x14ac:dyDescent="0.15">
      <c r="E396" s="246"/>
      <c r="F396" s="246"/>
    </row>
    <row r="397" spans="5:6" x14ac:dyDescent="0.15">
      <c r="E397" s="246"/>
      <c r="F397" s="246"/>
    </row>
    <row r="398" spans="5:6" x14ac:dyDescent="0.15">
      <c r="E398" s="246"/>
      <c r="F398" s="246"/>
    </row>
    <row r="399" spans="5:6" x14ac:dyDescent="0.15">
      <c r="E399" s="246"/>
      <c r="F399" s="246"/>
    </row>
    <row r="400" spans="5:6" x14ac:dyDescent="0.15">
      <c r="E400" s="246"/>
      <c r="F400" s="246"/>
    </row>
    <row r="401" spans="5:6" x14ac:dyDescent="0.15">
      <c r="E401" s="246"/>
      <c r="F401" s="246"/>
    </row>
    <row r="402" spans="5:6" x14ac:dyDescent="0.15">
      <c r="E402" s="246"/>
      <c r="F402" s="246"/>
    </row>
    <row r="403" spans="5:6" x14ac:dyDescent="0.15">
      <c r="E403" s="246"/>
      <c r="F403" s="246"/>
    </row>
    <row r="404" spans="5:6" x14ac:dyDescent="0.15">
      <c r="E404" s="246"/>
      <c r="F404" s="246"/>
    </row>
    <row r="405" spans="5:6" x14ac:dyDescent="0.15">
      <c r="E405" s="246"/>
      <c r="F405" s="246"/>
    </row>
    <row r="406" spans="5:6" x14ac:dyDescent="0.15">
      <c r="E406" s="246"/>
      <c r="F406" s="246"/>
    </row>
    <row r="407" spans="5:6" x14ac:dyDescent="0.15">
      <c r="E407" s="246"/>
      <c r="F407" s="246"/>
    </row>
    <row r="408" spans="5:6" x14ac:dyDescent="0.15">
      <c r="E408" s="246"/>
      <c r="F408" s="246"/>
    </row>
    <row r="409" spans="5:6" x14ac:dyDescent="0.15">
      <c r="E409" s="246"/>
      <c r="F409" s="246"/>
    </row>
    <row r="410" spans="5:6" x14ac:dyDescent="0.15">
      <c r="E410" s="246"/>
      <c r="F410" s="246"/>
    </row>
    <row r="411" spans="5:6" x14ac:dyDescent="0.15">
      <c r="E411" s="246"/>
      <c r="F411" s="246"/>
    </row>
    <row r="412" spans="5:6" x14ac:dyDescent="0.15">
      <c r="E412" s="246"/>
      <c r="F412" s="246"/>
    </row>
    <row r="413" spans="5:6" x14ac:dyDescent="0.15">
      <c r="E413" s="246"/>
      <c r="F413" s="246"/>
    </row>
    <row r="414" spans="5:6" x14ac:dyDescent="0.15">
      <c r="E414" s="246"/>
      <c r="F414" s="246"/>
    </row>
    <row r="415" spans="5:6" x14ac:dyDescent="0.15">
      <c r="E415" s="246"/>
      <c r="F415" s="246"/>
    </row>
    <row r="416" spans="5:6" x14ac:dyDescent="0.15">
      <c r="E416" s="246"/>
      <c r="F416" s="246"/>
    </row>
    <row r="417" spans="5:6" x14ac:dyDescent="0.15">
      <c r="E417" s="246"/>
      <c r="F417" s="246"/>
    </row>
    <row r="418" spans="5:6" x14ac:dyDescent="0.15">
      <c r="E418" s="246"/>
      <c r="F418" s="246"/>
    </row>
    <row r="419" spans="5:6" x14ac:dyDescent="0.15">
      <c r="E419" s="246"/>
      <c r="F419" s="246"/>
    </row>
    <row r="420" spans="5:6" x14ac:dyDescent="0.15">
      <c r="E420" s="246"/>
      <c r="F420" s="246"/>
    </row>
    <row r="421" spans="5:6" x14ac:dyDescent="0.15">
      <c r="E421" s="246"/>
      <c r="F421" s="246"/>
    </row>
    <row r="422" spans="5:6" x14ac:dyDescent="0.15">
      <c r="E422" s="246"/>
      <c r="F422" s="246"/>
    </row>
    <row r="423" spans="5:6" x14ac:dyDescent="0.15">
      <c r="E423" s="246"/>
      <c r="F423" s="246"/>
    </row>
    <row r="424" spans="5:6" x14ac:dyDescent="0.15">
      <c r="E424" s="246"/>
      <c r="F424" s="246"/>
    </row>
    <row r="425" spans="5:6" x14ac:dyDescent="0.15">
      <c r="E425" s="246"/>
      <c r="F425" s="246"/>
    </row>
    <row r="426" spans="5:6" x14ac:dyDescent="0.15">
      <c r="E426" s="246"/>
      <c r="F426" s="246"/>
    </row>
    <row r="427" spans="5:6" x14ac:dyDescent="0.15">
      <c r="E427" s="246"/>
      <c r="F427" s="246"/>
    </row>
    <row r="428" spans="5:6" x14ac:dyDescent="0.15">
      <c r="E428" s="246"/>
      <c r="F428" s="246"/>
    </row>
    <row r="429" spans="5:6" x14ac:dyDescent="0.15">
      <c r="E429" s="246"/>
      <c r="F429" s="246"/>
    </row>
    <row r="430" spans="5:6" x14ac:dyDescent="0.15">
      <c r="E430" s="246"/>
      <c r="F430" s="246"/>
    </row>
    <row r="431" spans="5:6" x14ac:dyDescent="0.15">
      <c r="E431" s="246"/>
      <c r="F431" s="246"/>
    </row>
    <row r="432" spans="5:6" x14ac:dyDescent="0.15">
      <c r="E432" s="246"/>
      <c r="F432" s="246"/>
    </row>
    <row r="433" spans="5:6" x14ac:dyDescent="0.15">
      <c r="E433" s="246"/>
      <c r="F433" s="246"/>
    </row>
    <row r="434" spans="5:6" x14ac:dyDescent="0.15">
      <c r="E434" s="246"/>
      <c r="F434" s="246"/>
    </row>
    <row r="435" spans="5:6" x14ac:dyDescent="0.15">
      <c r="E435" s="246"/>
      <c r="F435" s="246"/>
    </row>
    <row r="436" spans="5:6" x14ac:dyDescent="0.15">
      <c r="E436" s="246"/>
      <c r="F436" s="246"/>
    </row>
    <row r="437" spans="5:6" x14ac:dyDescent="0.15">
      <c r="E437" s="246"/>
      <c r="F437" s="246"/>
    </row>
    <row r="438" spans="5:6" x14ac:dyDescent="0.15">
      <c r="E438" s="246"/>
      <c r="F438" s="246"/>
    </row>
    <row r="439" spans="5:6" x14ac:dyDescent="0.15">
      <c r="E439" s="246"/>
      <c r="F439" s="246"/>
    </row>
    <row r="440" spans="5:6" x14ac:dyDescent="0.15">
      <c r="E440" s="246"/>
      <c r="F440" s="246"/>
    </row>
    <row r="441" spans="5:6" x14ac:dyDescent="0.15">
      <c r="E441" s="246"/>
      <c r="F441" s="246"/>
    </row>
    <row r="442" spans="5:6" x14ac:dyDescent="0.15">
      <c r="E442" s="246"/>
      <c r="F442" s="246"/>
    </row>
    <row r="443" spans="5:6" x14ac:dyDescent="0.15">
      <c r="E443" s="246"/>
      <c r="F443" s="246"/>
    </row>
    <row r="444" spans="5:6" x14ac:dyDescent="0.15">
      <c r="E444" s="246"/>
      <c r="F444" s="246"/>
    </row>
    <row r="445" spans="5:6" x14ac:dyDescent="0.15">
      <c r="E445" s="246"/>
      <c r="F445" s="246"/>
    </row>
    <row r="446" spans="5:6" x14ac:dyDescent="0.15">
      <c r="E446" s="246"/>
      <c r="F446" s="246"/>
    </row>
    <row r="447" spans="5:6" x14ac:dyDescent="0.15">
      <c r="E447" s="246"/>
      <c r="F447" s="246"/>
    </row>
    <row r="448" spans="5:6" x14ac:dyDescent="0.15">
      <c r="E448" s="246"/>
      <c r="F448" s="246"/>
    </row>
    <row r="449" spans="5:6" x14ac:dyDescent="0.15">
      <c r="E449" s="246"/>
      <c r="F449" s="246"/>
    </row>
    <row r="450" spans="5:6" x14ac:dyDescent="0.15">
      <c r="E450" s="246"/>
      <c r="F450" s="246"/>
    </row>
    <row r="451" spans="5:6" x14ac:dyDescent="0.15">
      <c r="E451" s="246"/>
      <c r="F451" s="246"/>
    </row>
    <row r="452" spans="5:6" x14ac:dyDescent="0.15">
      <c r="E452" s="246"/>
      <c r="F452" s="246"/>
    </row>
    <row r="453" spans="5:6" x14ac:dyDescent="0.15">
      <c r="E453" s="246"/>
      <c r="F453" s="246"/>
    </row>
    <row r="454" spans="5:6" x14ac:dyDescent="0.15">
      <c r="E454" s="246"/>
      <c r="F454" s="246"/>
    </row>
    <row r="455" spans="5:6" x14ac:dyDescent="0.15">
      <c r="E455" s="246"/>
      <c r="F455" s="246"/>
    </row>
    <row r="456" spans="5:6" x14ac:dyDescent="0.15">
      <c r="E456" s="246"/>
      <c r="F456" s="246"/>
    </row>
    <row r="457" spans="5:6" x14ac:dyDescent="0.15">
      <c r="E457" s="246"/>
      <c r="F457" s="246"/>
    </row>
    <row r="458" spans="5:6" x14ac:dyDescent="0.15">
      <c r="E458" s="246"/>
      <c r="F458" s="246"/>
    </row>
    <row r="459" spans="5:6" x14ac:dyDescent="0.15">
      <c r="E459" s="246"/>
      <c r="F459" s="246"/>
    </row>
    <row r="460" spans="5:6" x14ac:dyDescent="0.15">
      <c r="E460" s="246"/>
      <c r="F460" s="246"/>
    </row>
    <row r="461" spans="5:6" x14ac:dyDescent="0.15">
      <c r="E461" s="246"/>
      <c r="F461" s="246"/>
    </row>
    <row r="462" spans="5:6" x14ac:dyDescent="0.15">
      <c r="E462" s="246"/>
      <c r="F462" s="246"/>
    </row>
    <row r="463" spans="5:6" x14ac:dyDescent="0.15">
      <c r="E463" s="246"/>
      <c r="F463" s="246"/>
    </row>
    <row r="464" spans="5:6" x14ac:dyDescent="0.15">
      <c r="E464" s="246"/>
      <c r="F464" s="246"/>
    </row>
    <row r="465" spans="5:6" x14ac:dyDescent="0.15">
      <c r="E465" s="246"/>
      <c r="F465" s="246"/>
    </row>
    <row r="466" spans="5:6" x14ac:dyDescent="0.15">
      <c r="E466" s="246"/>
      <c r="F466" s="246"/>
    </row>
    <row r="467" spans="5:6" x14ac:dyDescent="0.15">
      <c r="E467" s="246"/>
      <c r="F467" s="246"/>
    </row>
    <row r="468" spans="5:6" x14ac:dyDescent="0.15">
      <c r="E468" s="246"/>
      <c r="F468" s="246"/>
    </row>
    <row r="469" spans="5:6" x14ac:dyDescent="0.15">
      <c r="E469" s="246"/>
      <c r="F469" s="246"/>
    </row>
    <row r="470" spans="5:6" x14ac:dyDescent="0.15">
      <c r="E470" s="246"/>
      <c r="F470" s="246"/>
    </row>
    <row r="471" spans="5:6" x14ac:dyDescent="0.15">
      <c r="E471" s="246"/>
      <c r="F471" s="246"/>
    </row>
    <row r="472" spans="5:6" x14ac:dyDescent="0.15">
      <c r="E472" s="246"/>
      <c r="F472" s="246"/>
    </row>
    <row r="473" spans="5:6" x14ac:dyDescent="0.15">
      <c r="E473" s="246"/>
      <c r="F473" s="246"/>
    </row>
    <row r="474" spans="5:6" x14ac:dyDescent="0.15">
      <c r="E474" s="246"/>
      <c r="F474" s="246"/>
    </row>
    <row r="475" spans="5:6" x14ac:dyDescent="0.15">
      <c r="E475" s="246"/>
      <c r="F475" s="246"/>
    </row>
    <row r="476" spans="5:6" x14ac:dyDescent="0.15">
      <c r="E476" s="246"/>
      <c r="F476" s="246"/>
    </row>
    <row r="477" spans="5:6" x14ac:dyDescent="0.15">
      <c r="E477" s="246"/>
      <c r="F477" s="246"/>
    </row>
    <row r="478" spans="5:6" x14ac:dyDescent="0.15">
      <c r="E478" s="246"/>
      <c r="F478" s="246"/>
    </row>
    <row r="479" spans="5:6" x14ac:dyDescent="0.15">
      <c r="E479" s="246"/>
      <c r="F479" s="246"/>
    </row>
    <row r="480" spans="5:6" x14ac:dyDescent="0.15">
      <c r="E480" s="246"/>
      <c r="F480" s="246"/>
    </row>
    <row r="481" spans="5:6" x14ac:dyDescent="0.15">
      <c r="E481" s="246"/>
      <c r="F481" s="246"/>
    </row>
    <row r="482" spans="5:6" x14ac:dyDescent="0.15">
      <c r="E482" s="246"/>
      <c r="F482" s="246"/>
    </row>
    <row r="483" spans="5:6" x14ac:dyDescent="0.15">
      <c r="E483" s="246"/>
      <c r="F483" s="246"/>
    </row>
    <row r="484" spans="5:6" x14ac:dyDescent="0.15">
      <c r="E484" s="246"/>
      <c r="F484" s="246"/>
    </row>
    <row r="485" spans="5:6" x14ac:dyDescent="0.15">
      <c r="E485" s="246"/>
      <c r="F485" s="246"/>
    </row>
    <row r="486" spans="5:6" x14ac:dyDescent="0.15">
      <c r="E486" s="246"/>
      <c r="F486" s="246"/>
    </row>
    <row r="487" spans="5:6" x14ac:dyDescent="0.15">
      <c r="E487" s="246"/>
      <c r="F487" s="246"/>
    </row>
    <row r="488" spans="5:6" x14ac:dyDescent="0.15">
      <c r="E488" s="246"/>
      <c r="F488" s="246"/>
    </row>
    <row r="489" spans="5:6" x14ac:dyDescent="0.15">
      <c r="E489" s="246"/>
      <c r="F489" s="246"/>
    </row>
    <row r="490" spans="5:6" x14ac:dyDescent="0.15">
      <c r="E490" s="246"/>
      <c r="F490" s="246"/>
    </row>
    <row r="491" spans="5:6" x14ac:dyDescent="0.15">
      <c r="E491" s="246"/>
      <c r="F491" s="246"/>
    </row>
    <row r="492" spans="5:6" x14ac:dyDescent="0.15">
      <c r="E492" s="246"/>
      <c r="F492" s="246"/>
    </row>
    <row r="493" spans="5:6" x14ac:dyDescent="0.15">
      <c r="E493" s="246"/>
      <c r="F493" s="246"/>
    </row>
    <row r="494" spans="5:6" x14ac:dyDescent="0.15">
      <c r="E494" s="246"/>
      <c r="F494" s="246"/>
    </row>
    <row r="495" spans="5:6" x14ac:dyDescent="0.15">
      <c r="E495" s="246"/>
      <c r="F495" s="246"/>
    </row>
    <row r="496" spans="5:6" x14ac:dyDescent="0.15">
      <c r="E496" s="246"/>
      <c r="F496" s="246"/>
    </row>
    <row r="497" spans="5:6" x14ac:dyDescent="0.15">
      <c r="E497" s="246"/>
      <c r="F497" s="246"/>
    </row>
    <row r="498" spans="5:6" x14ac:dyDescent="0.15">
      <c r="E498" s="246"/>
      <c r="F498" s="246"/>
    </row>
    <row r="499" spans="5:6" x14ac:dyDescent="0.15">
      <c r="E499" s="246"/>
      <c r="F499" s="246"/>
    </row>
    <row r="500" spans="5:6" x14ac:dyDescent="0.15">
      <c r="E500" s="246"/>
      <c r="F500" s="246"/>
    </row>
    <row r="501" spans="5:6" x14ac:dyDescent="0.15">
      <c r="E501" s="246"/>
      <c r="F501" s="246"/>
    </row>
    <row r="502" spans="5:6" x14ac:dyDescent="0.15">
      <c r="E502" s="246"/>
      <c r="F502" s="246"/>
    </row>
    <row r="503" spans="5:6" x14ac:dyDescent="0.15">
      <c r="E503" s="246"/>
      <c r="F503" s="246"/>
    </row>
    <row r="504" spans="5:6" x14ac:dyDescent="0.15">
      <c r="E504" s="246"/>
      <c r="F504" s="246"/>
    </row>
    <row r="505" spans="5:6" x14ac:dyDescent="0.15">
      <c r="E505" s="246"/>
      <c r="F505" s="246"/>
    </row>
    <row r="506" spans="5:6" x14ac:dyDescent="0.15">
      <c r="E506" s="246"/>
      <c r="F506" s="246"/>
    </row>
    <row r="507" spans="5:6" x14ac:dyDescent="0.15">
      <c r="E507" s="246"/>
      <c r="F507" s="246"/>
    </row>
    <row r="508" spans="5:6" x14ac:dyDescent="0.15">
      <c r="E508" s="246"/>
      <c r="F508" s="246"/>
    </row>
    <row r="509" spans="5:6" x14ac:dyDescent="0.15">
      <c r="E509" s="246"/>
      <c r="F509" s="246"/>
    </row>
    <row r="510" spans="5:6" x14ac:dyDescent="0.15">
      <c r="E510" s="246"/>
      <c r="F510" s="246"/>
    </row>
    <row r="511" spans="5:6" x14ac:dyDescent="0.15">
      <c r="E511" s="246"/>
      <c r="F511" s="246"/>
    </row>
    <row r="512" spans="5:6" x14ac:dyDescent="0.15">
      <c r="E512" s="246"/>
      <c r="F512" s="246"/>
    </row>
    <row r="513" spans="5:6" x14ac:dyDescent="0.15">
      <c r="E513" s="246"/>
      <c r="F513" s="246"/>
    </row>
    <row r="514" spans="5:6" x14ac:dyDescent="0.15">
      <c r="E514" s="246"/>
      <c r="F514" s="246"/>
    </row>
    <row r="515" spans="5:6" x14ac:dyDescent="0.15">
      <c r="E515" s="246"/>
      <c r="F515" s="246"/>
    </row>
    <row r="516" spans="5:6" x14ac:dyDescent="0.15">
      <c r="E516" s="246"/>
      <c r="F516" s="246"/>
    </row>
    <row r="517" spans="5:6" x14ac:dyDescent="0.15">
      <c r="E517" s="246"/>
      <c r="F517" s="246"/>
    </row>
    <row r="518" spans="5:6" x14ac:dyDescent="0.15">
      <c r="E518" s="246"/>
      <c r="F518" s="246"/>
    </row>
    <row r="519" spans="5:6" x14ac:dyDescent="0.15">
      <c r="E519" s="246"/>
      <c r="F519" s="246"/>
    </row>
    <row r="520" spans="5:6" x14ac:dyDescent="0.15">
      <c r="E520" s="246"/>
      <c r="F520" s="246"/>
    </row>
    <row r="521" spans="5:6" x14ac:dyDescent="0.15">
      <c r="E521" s="246"/>
      <c r="F521" s="246"/>
    </row>
    <row r="522" spans="5:6" x14ac:dyDescent="0.15">
      <c r="E522" s="246"/>
      <c r="F522" s="246"/>
    </row>
    <row r="523" spans="5:6" x14ac:dyDescent="0.15">
      <c r="E523" s="246"/>
      <c r="F523" s="246"/>
    </row>
    <row r="524" spans="5:6" x14ac:dyDescent="0.15">
      <c r="E524" s="246"/>
      <c r="F524" s="246"/>
    </row>
    <row r="525" spans="5:6" x14ac:dyDescent="0.15">
      <c r="E525" s="246"/>
      <c r="F525" s="246"/>
    </row>
    <row r="526" spans="5:6" x14ac:dyDescent="0.15">
      <c r="E526" s="246"/>
      <c r="F526" s="246"/>
    </row>
    <row r="527" spans="5:6" x14ac:dyDescent="0.15">
      <c r="E527" s="246"/>
      <c r="F527" s="246"/>
    </row>
    <row r="528" spans="5:6" x14ac:dyDescent="0.15">
      <c r="E528" s="246"/>
      <c r="F528" s="246"/>
    </row>
    <row r="529" spans="5:6" x14ac:dyDescent="0.15">
      <c r="E529" s="246"/>
      <c r="F529" s="246"/>
    </row>
    <row r="530" spans="5:6" x14ac:dyDescent="0.15">
      <c r="E530" s="246"/>
      <c r="F530" s="246"/>
    </row>
    <row r="531" spans="5:6" x14ac:dyDescent="0.15">
      <c r="E531" s="246"/>
      <c r="F531" s="246"/>
    </row>
    <row r="532" spans="5:6" x14ac:dyDescent="0.15">
      <c r="E532" s="246"/>
      <c r="F532" s="246"/>
    </row>
    <row r="533" spans="5:6" x14ac:dyDescent="0.15">
      <c r="E533" s="246"/>
      <c r="F533" s="246"/>
    </row>
    <row r="534" spans="5:6" x14ac:dyDescent="0.15">
      <c r="E534" s="246"/>
      <c r="F534" s="246"/>
    </row>
    <row r="535" spans="5:6" x14ac:dyDescent="0.15">
      <c r="E535" s="246"/>
      <c r="F535" s="246"/>
    </row>
    <row r="536" spans="5:6" x14ac:dyDescent="0.15">
      <c r="E536" s="246"/>
      <c r="F536" s="246"/>
    </row>
    <row r="537" spans="5:6" x14ac:dyDescent="0.15">
      <c r="E537" s="246"/>
      <c r="F537" s="246"/>
    </row>
    <row r="538" spans="5:6" x14ac:dyDescent="0.15">
      <c r="E538" s="246"/>
      <c r="F538" s="246"/>
    </row>
    <row r="539" spans="5:6" x14ac:dyDescent="0.15">
      <c r="E539" s="246"/>
      <c r="F539" s="246"/>
    </row>
    <row r="540" spans="5:6" x14ac:dyDescent="0.15">
      <c r="E540" s="246"/>
      <c r="F540" s="246"/>
    </row>
    <row r="541" spans="5:6" x14ac:dyDescent="0.15">
      <c r="E541" s="246"/>
      <c r="F541" s="246"/>
    </row>
    <row r="542" spans="5:6" x14ac:dyDescent="0.15">
      <c r="E542" s="246"/>
      <c r="F542" s="246"/>
    </row>
    <row r="543" spans="5:6" x14ac:dyDescent="0.15">
      <c r="E543" s="246"/>
      <c r="F543" s="246"/>
    </row>
    <row r="544" spans="5:6" x14ac:dyDescent="0.15">
      <c r="E544" s="246"/>
      <c r="F544" s="246"/>
    </row>
    <row r="545" spans="5:6" x14ac:dyDescent="0.15">
      <c r="E545" s="246"/>
      <c r="F545" s="246"/>
    </row>
    <row r="546" spans="5:6" x14ac:dyDescent="0.15">
      <c r="E546" s="246"/>
      <c r="F546" s="246"/>
    </row>
    <row r="547" spans="5:6" x14ac:dyDescent="0.15">
      <c r="E547" s="246"/>
      <c r="F547" s="246"/>
    </row>
    <row r="548" spans="5:6" x14ac:dyDescent="0.15">
      <c r="E548" s="246"/>
      <c r="F548" s="246"/>
    </row>
    <row r="549" spans="5:6" x14ac:dyDescent="0.15">
      <c r="E549" s="246"/>
      <c r="F549" s="246"/>
    </row>
    <row r="550" spans="5:6" x14ac:dyDescent="0.15">
      <c r="E550" s="246"/>
      <c r="F550" s="246"/>
    </row>
    <row r="551" spans="5:6" x14ac:dyDescent="0.15">
      <c r="E551" s="246"/>
      <c r="F551" s="246"/>
    </row>
    <row r="552" spans="5:6" x14ac:dyDescent="0.15">
      <c r="E552" s="246"/>
      <c r="F552" s="246"/>
    </row>
    <row r="553" spans="5:6" x14ac:dyDescent="0.15">
      <c r="E553" s="246"/>
      <c r="F553" s="246"/>
    </row>
    <row r="554" spans="5:6" x14ac:dyDescent="0.15">
      <c r="E554" s="246"/>
      <c r="F554" s="246"/>
    </row>
    <row r="555" spans="5:6" x14ac:dyDescent="0.15">
      <c r="E555" s="246"/>
      <c r="F555" s="246"/>
    </row>
    <row r="556" spans="5:6" x14ac:dyDescent="0.15">
      <c r="E556" s="246"/>
      <c r="F556" s="246"/>
    </row>
    <row r="557" spans="5:6" x14ac:dyDescent="0.15">
      <c r="E557" s="246"/>
      <c r="F557" s="246"/>
    </row>
    <row r="558" spans="5:6" x14ac:dyDescent="0.15">
      <c r="E558" s="246"/>
      <c r="F558" s="246"/>
    </row>
    <row r="559" spans="5:6" x14ac:dyDescent="0.15">
      <c r="E559" s="246"/>
      <c r="F559" s="246"/>
    </row>
    <row r="560" spans="5:6" x14ac:dyDescent="0.15">
      <c r="E560" s="246"/>
      <c r="F560" s="246"/>
    </row>
    <row r="561" spans="5:6" x14ac:dyDescent="0.15">
      <c r="E561" s="246"/>
      <c r="F561" s="246"/>
    </row>
    <row r="562" spans="5:6" x14ac:dyDescent="0.15">
      <c r="E562" s="246"/>
      <c r="F562" s="246"/>
    </row>
    <row r="563" spans="5:6" x14ac:dyDescent="0.15">
      <c r="E563" s="246"/>
      <c r="F563" s="246"/>
    </row>
    <row r="564" spans="5:6" x14ac:dyDescent="0.15">
      <c r="E564" s="246"/>
      <c r="F564" s="246"/>
    </row>
    <row r="565" spans="5:6" x14ac:dyDescent="0.15">
      <c r="E565" s="246"/>
      <c r="F565" s="246"/>
    </row>
    <row r="566" spans="5:6" x14ac:dyDescent="0.15">
      <c r="E566" s="246"/>
      <c r="F566" s="246"/>
    </row>
    <row r="567" spans="5:6" x14ac:dyDescent="0.15">
      <c r="E567" s="246"/>
      <c r="F567" s="246"/>
    </row>
    <row r="568" spans="5:6" x14ac:dyDescent="0.15">
      <c r="E568" s="246"/>
      <c r="F568" s="246"/>
    </row>
    <row r="569" spans="5:6" x14ac:dyDescent="0.15">
      <c r="E569" s="246"/>
      <c r="F569" s="246"/>
    </row>
    <row r="570" spans="5:6" x14ac:dyDescent="0.15">
      <c r="E570" s="246"/>
      <c r="F570" s="246"/>
    </row>
    <row r="571" spans="5:6" x14ac:dyDescent="0.15">
      <c r="E571" s="246"/>
      <c r="F571" s="246"/>
    </row>
    <row r="572" spans="5:6" x14ac:dyDescent="0.15">
      <c r="E572" s="246"/>
      <c r="F572" s="246"/>
    </row>
    <row r="573" spans="5:6" x14ac:dyDescent="0.15">
      <c r="E573" s="246"/>
      <c r="F573" s="246"/>
    </row>
    <row r="574" spans="5:6" x14ac:dyDescent="0.15">
      <c r="E574" s="246"/>
      <c r="F574" s="246"/>
    </row>
    <row r="575" spans="5:6" x14ac:dyDescent="0.15">
      <c r="E575" s="246"/>
      <c r="F575" s="246"/>
    </row>
    <row r="576" spans="5:6" x14ac:dyDescent="0.15">
      <c r="E576" s="246"/>
      <c r="F576" s="246"/>
    </row>
    <row r="577" spans="5:6" x14ac:dyDescent="0.15">
      <c r="E577" s="246"/>
      <c r="F577" s="246"/>
    </row>
    <row r="578" spans="5:6" x14ac:dyDescent="0.15">
      <c r="E578" s="246"/>
      <c r="F578" s="246"/>
    </row>
    <row r="579" spans="5:6" x14ac:dyDescent="0.15">
      <c r="E579" s="246"/>
      <c r="F579" s="246"/>
    </row>
    <row r="580" spans="5:6" x14ac:dyDescent="0.15">
      <c r="E580" s="246"/>
      <c r="F580" s="246"/>
    </row>
    <row r="581" spans="5:6" x14ac:dyDescent="0.15">
      <c r="E581" s="246"/>
      <c r="F581" s="246"/>
    </row>
    <row r="582" spans="5:6" x14ac:dyDescent="0.15">
      <c r="E582" s="246"/>
      <c r="F582" s="246"/>
    </row>
    <row r="583" spans="5:6" x14ac:dyDescent="0.15">
      <c r="E583" s="246"/>
      <c r="F583" s="246"/>
    </row>
    <row r="584" spans="5:6" x14ac:dyDescent="0.15">
      <c r="E584" s="246"/>
      <c r="F584" s="246"/>
    </row>
    <row r="585" spans="5:6" x14ac:dyDescent="0.15">
      <c r="E585" s="246"/>
      <c r="F585" s="246"/>
    </row>
    <row r="586" spans="5:6" x14ac:dyDescent="0.15">
      <c r="E586" s="246"/>
      <c r="F586" s="246"/>
    </row>
    <row r="587" spans="5:6" x14ac:dyDescent="0.15">
      <c r="E587" s="246"/>
      <c r="F587" s="246"/>
    </row>
    <row r="588" spans="5:6" x14ac:dyDescent="0.15">
      <c r="E588" s="246"/>
      <c r="F588" s="246"/>
    </row>
    <row r="589" spans="5:6" x14ac:dyDescent="0.15">
      <c r="E589" s="246"/>
      <c r="F589" s="246"/>
    </row>
    <row r="590" spans="5:6" x14ac:dyDescent="0.15">
      <c r="E590" s="246"/>
      <c r="F590" s="246"/>
    </row>
    <row r="591" spans="5:6" x14ac:dyDescent="0.15">
      <c r="E591" s="246"/>
      <c r="F591" s="246"/>
    </row>
    <row r="592" spans="5:6" x14ac:dyDescent="0.15">
      <c r="E592" s="246"/>
      <c r="F592" s="246"/>
    </row>
    <row r="593" spans="5:6" x14ac:dyDescent="0.15">
      <c r="E593" s="246"/>
      <c r="F593" s="246"/>
    </row>
    <row r="594" spans="5:6" x14ac:dyDescent="0.15">
      <c r="E594" s="246"/>
      <c r="F594" s="246"/>
    </row>
    <row r="595" spans="5:6" x14ac:dyDescent="0.15">
      <c r="E595" s="246"/>
      <c r="F595" s="246"/>
    </row>
    <row r="596" spans="5:6" x14ac:dyDescent="0.15">
      <c r="E596" s="246"/>
      <c r="F596" s="246"/>
    </row>
    <row r="597" spans="5:6" x14ac:dyDescent="0.15">
      <c r="E597" s="246"/>
      <c r="F597" s="246"/>
    </row>
    <row r="598" spans="5:6" x14ac:dyDescent="0.15">
      <c r="E598" s="246"/>
      <c r="F598" s="246"/>
    </row>
    <row r="599" spans="5:6" x14ac:dyDescent="0.15">
      <c r="E599" s="246"/>
      <c r="F599" s="246"/>
    </row>
    <row r="600" spans="5:6" x14ac:dyDescent="0.15">
      <c r="E600" s="246"/>
      <c r="F600" s="246"/>
    </row>
    <row r="601" spans="5:6" x14ac:dyDescent="0.15">
      <c r="E601" s="246"/>
      <c r="F601" s="246"/>
    </row>
    <row r="602" spans="5:6" x14ac:dyDescent="0.15">
      <c r="E602" s="246"/>
      <c r="F602" s="246"/>
    </row>
    <row r="603" spans="5:6" x14ac:dyDescent="0.15">
      <c r="E603" s="246"/>
      <c r="F603" s="246"/>
    </row>
    <row r="604" spans="5:6" x14ac:dyDescent="0.15">
      <c r="E604" s="246"/>
      <c r="F604" s="246"/>
    </row>
    <row r="605" spans="5:6" x14ac:dyDescent="0.15">
      <c r="E605" s="246"/>
      <c r="F605" s="246"/>
    </row>
    <row r="606" spans="5:6" x14ac:dyDescent="0.15">
      <c r="E606" s="246"/>
      <c r="F606" s="246"/>
    </row>
    <row r="607" spans="5:6" x14ac:dyDescent="0.15">
      <c r="E607" s="246"/>
      <c r="F607" s="246"/>
    </row>
    <row r="608" spans="5:6" x14ac:dyDescent="0.15">
      <c r="E608" s="246"/>
      <c r="F608" s="246"/>
    </row>
    <row r="609" spans="5:6" x14ac:dyDescent="0.15">
      <c r="E609" s="246"/>
      <c r="F609" s="246"/>
    </row>
    <row r="610" spans="5:6" x14ac:dyDescent="0.15">
      <c r="E610" s="246"/>
      <c r="F610" s="246"/>
    </row>
    <row r="611" spans="5:6" x14ac:dyDescent="0.15">
      <c r="E611" s="246"/>
      <c r="F611" s="246"/>
    </row>
    <row r="612" spans="5:6" x14ac:dyDescent="0.15">
      <c r="E612" s="246"/>
      <c r="F612" s="246"/>
    </row>
    <row r="613" spans="5:6" x14ac:dyDescent="0.15">
      <c r="E613" s="246"/>
      <c r="F613" s="246"/>
    </row>
    <row r="614" spans="5:6" x14ac:dyDescent="0.15">
      <c r="E614" s="246"/>
      <c r="F614" s="246"/>
    </row>
    <row r="615" spans="5:6" x14ac:dyDescent="0.15">
      <c r="E615" s="246"/>
      <c r="F615" s="246"/>
    </row>
    <row r="616" spans="5:6" x14ac:dyDescent="0.15">
      <c r="E616" s="246"/>
      <c r="F616" s="246"/>
    </row>
    <row r="617" spans="5:6" x14ac:dyDescent="0.15">
      <c r="E617" s="246"/>
      <c r="F617" s="246"/>
    </row>
    <row r="618" spans="5:6" x14ac:dyDescent="0.15">
      <c r="E618" s="246"/>
      <c r="F618" s="246"/>
    </row>
    <row r="619" spans="5:6" x14ac:dyDescent="0.15">
      <c r="E619" s="246"/>
      <c r="F619" s="246"/>
    </row>
    <row r="620" spans="5:6" x14ac:dyDescent="0.15">
      <c r="E620" s="246"/>
      <c r="F620" s="246"/>
    </row>
    <row r="621" spans="5:6" x14ac:dyDescent="0.15">
      <c r="E621" s="246"/>
      <c r="F621" s="246"/>
    </row>
    <row r="622" spans="5:6" x14ac:dyDescent="0.15">
      <c r="E622" s="246"/>
      <c r="F622" s="246"/>
    </row>
    <row r="623" spans="5:6" x14ac:dyDescent="0.15">
      <c r="E623" s="246"/>
      <c r="F623" s="246"/>
    </row>
    <row r="624" spans="5:6" x14ac:dyDescent="0.15">
      <c r="E624" s="246"/>
      <c r="F624" s="246"/>
    </row>
    <row r="625" spans="5:6" x14ac:dyDescent="0.15">
      <c r="E625" s="246"/>
      <c r="F625" s="246"/>
    </row>
    <row r="626" spans="5:6" x14ac:dyDescent="0.15">
      <c r="E626" s="246"/>
      <c r="F626" s="246"/>
    </row>
    <row r="627" spans="5:6" x14ac:dyDescent="0.15">
      <c r="E627" s="246"/>
      <c r="F627" s="246"/>
    </row>
    <row r="628" spans="5:6" x14ac:dyDescent="0.15">
      <c r="E628" s="246"/>
      <c r="F628" s="246"/>
    </row>
    <row r="629" spans="5:6" x14ac:dyDescent="0.15">
      <c r="E629" s="246"/>
      <c r="F629" s="246"/>
    </row>
    <row r="630" spans="5:6" x14ac:dyDescent="0.15">
      <c r="E630" s="246"/>
      <c r="F630" s="246"/>
    </row>
    <row r="631" spans="5:6" x14ac:dyDescent="0.15">
      <c r="E631" s="246"/>
      <c r="F631" s="246"/>
    </row>
    <row r="632" spans="5:6" x14ac:dyDescent="0.15">
      <c r="E632" s="246"/>
      <c r="F632" s="246"/>
    </row>
    <row r="633" spans="5:6" x14ac:dyDescent="0.15">
      <c r="E633" s="246"/>
      <c r="F633" s="246"/>
    </row>
    <row r="634" spans="5:6" x14ac:dyDescent="0.15">
      <c r="E634" s="246"/>
      <c r="F634" s="246"/>
    </row>
    <row r="635" spans="5:6" x14ac:dyDescent="0.15">
      <c r="E635" s="246"/>
      <c r="F635" s="246"/>
    </row>
    <row r="636" spans="5:6" x14ac:dyDescent="0.15">
      <c r="E636" s="246"/>
      <c r="F636" s="246"/>
    </row>
    <row r="637" spans="5:6" x14ac:dyDescent="0.15">
      <c r="E637" s="246"/>
      <c r="F637" s="246"/>
    </row>
    <row r="638" spans="5:6" x14ac:dyDescent="0.15">
      <c r="E638" s="246"/>
      <c r="F638" s="246"/>
    </row>
    <row r="639" spans="5:6" x14ac:dyDescent="0.15">
      <c r="E639" s="246"/>
      <c r="F639" s="246"/>
    </row>
    <row r="640" spans="5:6" x14ac:dyDescent="0.15">
      <c r="E640" s="246"/>
      <c r="F640" s="246"/>
    </row>
    <row r="641" spans="5:6" x14ac:dyDescent="0.15">
      <c r="E641" s="246"/>
      <c r="F641" s="246"/>
    </row>
    <row r="642" spans="5:6" x14ac:dyDescent="0.15">
      <c r="E642" s="246"/>
      <c r="F642" s="246"/>
    </row>
    <row r="643" spans="5:6" x14ac:dyDescent="0.15">
      <c r="E643" s="246"/>
      <c r="F643" s="246"/>
    </row>
    <row r="644" spans="5:6" x14ac:dyDescent="0.15">
      <c r="E644" s="246"/>
      <c r="F644" s="246"/>
    </row>
    <row r="645" spans="5:6" x14ac:dyDescent="0.15">
      <c r="E645" s="246"/>
      <c r="F645" s="246"/>
    </row>
    <row r="646" spans="5:6" x14ac:dyDescent="0.15">
      <c r="E646" s="246"/>
      <c r="F646" s="246"/>
    </row>
    <row r="647" spans="5:6" x14ac:dyDescent="0.15">
      <c r="E647" s="246"/>
      <c r="F647" s="246"/>
    </row>
    <row r="648" spans="5:6" x14ac:dyDescent="0.15">
      <c r="E648" s="246"/>
      <c r="F648" s="246"/>
    </row>
    <row r="649" spans="5:6" x14ac:dyDescent="0.15">
      <c r="E649" s="246"/>
      <c r="F649" s="246"/>
    </row>
    <row r="650" spans="5:6" x14ac:dyDescent="0.15">
      <c r="E650" s="246"/>
      <c r="F650" s="246"/>
    </row>
    <row r="651" spans="5:6" x14ac:dyDescent="0.15">
      <c r="E651" s="246"/>
      <c r="F651" s="246"/>
    </row>
    <row r="652" spans="5:6" x14ac:dyDescent="0.15">
      <c r="E652" s="246"/>
      <c r="F652" s="246"/>
    </row>
    <row r="653" spans="5:6" x14ac:dyDescent="0.15">
      <c r="E653" s="246"/>
      <c r="F653" s="246"/>
    </row>
    <row r="654" spans="5:6" x14ac:dyDescent="0.15">
      <c r="E654" s="246"/>
      <c r="F654" s="246"/>
    </row>
    <row r="655" spans="5:6" x14ac:dyDescent="0.15">
      <c r="E655" s="246"/>
      <c r="F655" s="246"/>
    </row>
    <row r="656" spans="5:6" x14ac:dyDescent="0.15">
      <c r="E656" s="246"/>
      <c r="F656" s="246"/>
    </row>
    <row r="657" spans="5:6" x14ac:dyDescent="0.15">
      <c r="E657" s="246"/>
      <c r="F657" s="246"/>
    </row>
    <row r="658" spans="5:6" x14ac:dyDescent="0.15">
      <c r="E658" s="246"/>
      <c r="F658" s="246"/>
    </row>
    <row r="659" spans="5:6" x14ac:dyDescent="0.15">
      <c r="E659" s="246"/>
      <c r="F659" s="246"/>
    </row>
    <row r="660" spans="5:6" x14ac:dyDescent="0.15">
      <c r="E660" s="246"/>
      <c r="F660" s="246"/>
    </row>
    <row r="661" spans="5:6" x14ac:dyDescent="0.15">
      <c r="E661" s="246"/>
      <c r="F661" s="246"/>
    </row>
    <row r="662" spans="5:6" x14ac:dyDescent="0.15">
      <c r="E662" s="246"/>
      <c r="F662" s="246"/>
    </row>
    <row r="663" spans="5:6" x14ac:dyDescent="0.15">
      <c r="E663" s="246"/>
      <c r="F663" s="246"/>
    </row>
    <row r="664" spans="5:6" x14ac:dyDescent="0.15">
      <c r="E664" s="246"/>
      <c r="F664" s="246"/>
    </row>
    <row r="665" spans="5:6" x14ac:dyDescent="0.15">
      <c r="E665" s="246"/>
      <c r="F665" s="246"/>
    </row>
    <row r="666" spans="5:6" x14ac:dyDescent="0.15">
      <c r="E666" s="246"/>
      <c r="F666" s="246"/>
    </row>
    <row r="667" spans="5:6" x14ac:dyDescent="0.15">
      <c r="E667" s="246"/>
      <c r="F667" s="246"/>
    </row>
    <row r="668" spans="5:6" x14ac:dyDescent="0.15">
      <c r="E668" s="246"/>
      <c r="F668" s="246"/>
    </row>
    <row r="669" spans="5:6" x14ac:dyDescent="0.15">
      <c r="E669" s="246"/>
      <c r="F669" s="246"/>
    </row>
    <row r="670" spans="5:6" x14ac:dyDescent="0.15">
      <c r="E670" s="246"/>
      <c r="F670" s="246"/>
    </row>
    <row r="671" spans="5:6" x14ac:dyDescent="0.15">
      <c r="E671" s="246"/>
      <c r="F671" s="246"/>
    </row>
    <row r="672" spans="5:6" x14ac:dyDescent="0.15">
      <c r="E672" s="246"/>
      <c r="F672" s="246"/>
    </row>
    <row r="673" spans="5:6" x14ac:dyDescent="0.15">
      <c r="E673" s="246"/>
      <c r="F673" s="246"/>
    </row>
    <row r="674" spans="5:6" x14ac:dyDescent="0.15">
      <c r="E674" s="246"/>
      <c r="F674" s="246"/>
    </row>
    <row r="675" spans="5:6" x14ac:dyDescent="0.15">
      <c r="E675" s="246"/>
      <c r="F675" s="246"/>
    </row>
    <row r="676" spans="5:6" x14ac:dyDescent="0.15">
      <c r="E676" s="246"/>
      <c r="F676" s="246"/>
    </row>
    <row r="677" spans="5:6" x14ac:dyDescent="0.15">
      <c r="E677" s="246"/>
      <c r="F677" s="246"/>
    </row>
    <row r="678" spans="5:6" x14ac:dyDescent="0.15">
      <c r="E678" s="246"/>
      <c r="F678" s="246"/>
    </row>
    <row r="679" spans="5:6" x14ac:dyDescent="0.15">
      <c r="E679" s="246"/>
      <c r="F679" s="246"/>
    </row>
    <row r="680" spans="5:6" x14ac:dyDescent="0.15">
      <c r="E680" s="246"/>
      <c r="F680" s="246"/>
    </row>
    <row r="681" spans="5:6" x14ac:dyDescent="0.15">
      <c r="E681" s="246"/>
      <c r="F681" s="246"/>
    </row>
    <row r="682" spans="5:6" x14ac:dyDescent="0.15">
      <c r="E682" s="246"/>
      <c r="F682" s="246"/>
    </row>
    <row r="683" spans="5:6" x14ac:dyDescent="0.15">
      <c r="E683" s="246"/>
      <c r="F683" s="246"/>
    </row>
    <row r="684" spans="5:6" x14ac:dyDescent="0.15">
      <c r="E684" s="246"/>
      <c r="F684" s="246"/>
    </row>
    <row r="685" spans="5:6" x14ac:dyDescent="0.15">
      <c r="E685" s="246"/>
      <c r="F685" s="246"/>
    </row>
    <row r="686" spans="5:6" x14ac:dyDescent="0.15">
      <c r="E686" s="246"/>
      <c r="F686" s="246"/>
    </row>
    <row r="687" spans="5:6" x14ac:dyDescent="0.15">
      <c r="E687" s="246"/>
      <c r="F687" s="246"/>
    </row>
    <row r="688" spans="5:6" x14ac:dyDescent="0.15">
      <c r="E688" s="246"/>
      <c r="F688" s="246"/>
    </row>
    <row r="689" spans="5:6" x14ac:dyDescent="0.15">
      <c r="E689" s="246"/>
      <c r="F689" s="246"/>
    </row>
    <row r="690" spans="5:6" x14ac:dyDescent="0.15">
      <c r="E690" s="246"/>
      <c r="F690" s="246"/>
    </row>
    <row r="691" spans="5:6" x14ac:dyDescent="0.15">
      <c r="E691" s="246"/>
      <c r="F691" s="246"/>
    </row>
    <row r="692" spans="5:6" x14ac:dyDescent="0.15">
      <c r="E692" s="246"/>
      <c r="F692" s="246"/>
    </row>
    <row r="693" spans="5:6" x14ac:dyDescent="0.15">
      <c r="E693" s="246"/>
      <c r="F693" s="246"/>
    </row>
    <row r="694" spans="5:6" x14ac:dyDescent="0.15">
      <c r="E694" s="246"/>
      <c r="F694" s="246"/>
    </row>
    <row r="695" spans="5:6" x14ac:dyDescent="0.15">
      <c r="E695" s="246"/>
      <c r="F695" s="246"/>
    </row>
    <row r="696" spans="5:6" x14ac:dyDescent="0.15">
      <c r="E696" s="246"/>
      <c r="F696" s="246"/>
    </row>
    <row r="697" spans="5:6" x14ac:dyDescent="0.15">
      <c r="E697" s="246"/>
      <c r="F697" s="246"/>
    </row>
    <row r="698" spans="5:6" x14ac:dyDescent="0.15">
      <c r="E698" s="246"/>
      <c r="F698" s="246"/>
    </row>
    <row r="699" spans="5:6" x14ac:dyDescent="0.15">
      <c r="E699" s="246"/>
      <c r="F699" s="246"/>
    </row>
    <row r="700" spans="5:6" x14ac:dyDescent="0.15">
      <c r="E700" s="246"/>
      <c r="F700" s="246"/>
    </row>
    <row r="701" spans="5:6" x14ac:dyDescent="0.15">
      <c r="E701" s="246"/>
      <c r="F701" s="246"/>
    </row>
    <row r="702" spans="5:6" x14ac:dyDescent="0.15">
      <c r="E702" s="246"/>
      <c r="F702" s="246"/>
    </row>
    <row r="703" spans="5:6" x14ac:dyDescent="0.15">
      <c r="E703" s="246"/>
      <c r="F703" s="246"/>
    </row>
    <row r="704" spans="5:6" x14ac:dyDescent="0.15">
      <c r="E704" s="246"/>
      <c r="F704" s="246"/>
    </row>
    <row r="705" spans="5:6" x14ac:dyDescent="0.15">
      <c r="E705" s="246"/>
      <c r="F705" s="246"/>
    </row>
    <row r="706" spans="5:6" x14ac:dyDescent="0.15">
      <c r="E706" s="246"/>
      <c r="F706" s="246"/>
    </row>
    <row r="707" spans="5:6" x14ac:dyDescent="0.15">
      <c r="E707" s="246"/>
      <c r="F707" s="246"/>
    </row>
    <row r="708" spans="5:6" x14ac:dyDescent="0.15">
      <c r="E708" s="246"/>
      <c r="F708" s="246"/>
    </row>
    <row r="709" spans="5:6" x14ac:dyDescent="0.15">
      <c r="E709" s="246"/>
      <c r="F709" s="246"/>
    </row>
    <row r="710" spans="5:6" x14ac:dyDescent="0.15">
      <c r="E710" s="246"/>
      <c r="F710" s="246"/>
    </row>
    <row r="711" spans="5:6" x14ac:dyDescent="0.15">
      <c r="E711" s="246"/>
      <c r="F711" s="246"/>
    </row>
    <row r="712" spans="5:6" x14ac:dyDescent="0.15">
      <c r="E712" s="246"/>
      <c r="F712" s="246"/>
    </row>
    <row r="713" spans="5:6" x14ac:dyDescent="0.15">
      <c r="E713" s="246"/>
      <c r="F713" s="246"/>
    </row>
    <row r="714" spans="5:6" x14ac:dyDescent="0.15">
      <c r="E714" s="246"/>
      <c r="F714" s="246"/>
    </row>
    <row r="715" spans="5:6" x14ac:dyDescent="0.15">
      <c r="E715" s="246"/>
      <c r="F715" s="246"/>
    </row>
    <row r="716" spans="5:6" x14ac:dyDescent="0.15">
      <c r="E716" s="246"/>
      <c r="F716" s="246"/>
    </row>
    <row r="717" spans="5:6" x14ac:dyDescent="0.15">
      <c r="E717" s="246"/>
      <c r="F717" s="246"/>
    </row>
    <row r="718" spans="5:6" x14ac:dyDescent="0.15">
      <c r="E718" s="246"/>
      <c r="F718" s="246"/>
    </row>
    <row r="719" spans="5:6" x14ac:dyDescent="0.15">
      <c r="E719" s="246"/>
      <c r="F719" s="246"/>
    </row>
    <row r="720" spans="5:6" x14ac:dyDescent="0.15">
      <c r="E720" s="246"/>
      <c r="F720" s="246"/>
    </row>
    <row r="721" spans="5:6" x14ac:dyDescent="0.15">
      <c r="E721" s="246"/>
      <c r="F721" s="246"/>
    </row>
    <row r="722" spans="5:6" x14ac:dyDescent="0.15">
      <c r="E722" s="246"/>
      <c r="F722" s="246"/>
    </row>
    <row r="723" spans="5:6" x14ac:dyDescent="0.15">
      <c r="E723" s="246"/>
      <c r="F723" s="246"/>
    </row>
    <row r="724" spans="5:6" x14ac:dyDescent="0.15">
      <c r="E724" s="246"/>
      <c r="F724" s="246"/>
    </row>
    <row r="725" spans="5:6" x14ac:dyDescent="0.15">
      <c r="E725" s="246"/>
      <c r="F725" s="246"/>
    </row>
    <row r="726" spans="5:6" x14ac:dyDescent="0.15">
      <c r="E726" s="246"/>
      <c r="F726" s="246"/>
    </row>
    <row r="727" spans="5:6" x14ac:dyDescent="0.15">
      <c r="E727" s="246"/>
      <c r="F727" s="246"/>
    </row>
    <row r="728" spans="5:6" x14ac:dyDescent="0.15">
      <c r="E728" s="246"/>
      <c r="F728" s="246"/>
    </row>
    <row r="729" spans="5:6" x14ac:dyDescent="0.15">
      <c r="E729" s="246"/>
      <c r="F729" s="246"/>
    </row>
    <row r="730" spans="5:6" x14ac:dyDescent="0.15">
      <c r="E730" s="246"/>
      <c r="F730" s="246"/>
    </row>
    <row r="731" spans="5:6" x14ac:dyDescent="0.15">
      <c r="E731" s="246"/>
      <c r="F731" s="246"/>
    </row>
    <row r="732" spans="5:6" x14ac:dyDescent="0.15">
      <c r="E732" s="246"/>
      <c r="F732" s="246"/>
    </row>
    <row r="733" spans="5:6" x14ac:dyDescent="0.15">
      <c r="E733" s="246"/>
      <c r="F733" s="246"/>
    </row>
    <row r="734" spans="5:6" x14ac:dyDescent="0.15">
      <c r="E734" s="246"/>
      <c r="F734" s="246"/>
    </row>
    <row r="735" spans="5:6" x14ac:dyDescent="0.15">
      <c r="E735" s="246"/>
      <c r="F735" s="246"/>
    </row>
    <row r="736" spans="5:6" x14ac:dyDescent="0.15">
      <c r="E736" s="246"/>
      <c r="F736" s="246"/>
    </row>
    <row r="737" spans="5:6" x14ac:dyDescent="0.15">
      <c r="E737" s="246"/>
      <c r="F737" s="246"/>
    </row>
    <row r="738" spans="5:6" x14ac:dyDescent="0.15">
      <c r="E738" s="246"/>
    </row>
  </sheetData>
  <autoFilter ref="A1:BA91"/>
  <phoneticPr fontId="3"/>
  <dataValidations count="15">
    <dataValidation type="decimal" allowBlank="1" showInputMessage="1" showErrorMessage="1" error="硬度を正しく入力して下さい。" sqref="O2:P506">
      <formula1>0</formula1>
      <formula2>7</formula2>
    </dataValidation>
    <dataValidation type="list" allowBlank="1" showInputMessage="1" showErrorMessage="1" sqref="Y983048:AA983125 ADM983048:ADO983125 BHA983048:BHC983125 CKO983048:CKQ983125 DOC983048:DOE983125 ERQ983048:ERS983125 FVE983048:FVG983125 GYS983048:GYU983125 ICG983048:ICI983125 JFU983048:JFW983125 KJI983048:KJK983125 LMW983048:LMY983125 MQK983048:MQM983125 NTY983048:NUA983125 OXM983048:OXO983125 QBA983048:QBC983125 REO983048:REQ983125 SIC983048:SIE983125 TLQ983048:TLS983125 UPE983048:UPG983125 VSS983048:VSU983125 WWG983048:WWI983125 JU2:JW85 ANI2:ANK85 BQW2:BQY85 CUK2:CUM85 DXY2:DYA85 FBM2:FBO85 GFA2:GFC85 HIO2:HIQ85 IMC2:IME85 JPQ2:JPS85 KTE2:KTG85 LWS2:LWU85 NAG2:NAI85 ODU2:ODW85 PHI2:PHK85 QKW2:QKY85 ROK2:ROM85 SRY2:SSA85 TVM2:TVO85 UZA2:UZC85 WCO2:WCQ85 TQ2:TS85 AXE2:AXG85 CAS2:CAU85 DEG2:DEI85 EHU2:EHW85 FLI2:FLK85 GOW2:GOY85 HSK2:HSM85 IVY2:IWA85 JZM2:JZO85 LDA2:LDC85 MGO2:MGQ85 NKC2:NKE85 ONQ2:ONS85 PRE2:PRG85 QUS2:QUU85 RYG2:RYI85 TBU2:TBW85 UFI2:UFK85 VIW2:VIY85 WMK2:WMM85 ADM2:ADO85 BHA2:BHC85 CKO2:CKQ85 DOC2:DOE85 ERQ2:ERS85 FVE2:FVG85 GYS2:GYU85 ICG2:ICI85 JFU2:JFW85 KJI2:KJK85 LMW2:LMY85 MQK2:MQM85 NTY2:NUA85 OXM2:OXO85 QBA2:QBC85 REO2:REQ85 SIC2:SIE85 TLQ2:TLS85 UPE2:UPG85 VSS2:VSU85 WWG2:WWI85 Y65544:AA65621 ADM65544:ADO65621 BHA65544:BHC65621 CKO65544:CKQ65621 DOC65544:DOE65621 ERQ65544:ERS65621 FVE65544:FVG65621 GYS65544:GYU65621 ICG65544:ICI65621 JFU65544:JFW65621 KJI65544:KJK65621 LMW65544:LMY65621 MQK65544:MQM65621 NTY65544:NUA65621 OXM65544:OXO65621 QBA65544:QBC65621 REO65544:REQ65621 SIC65544:SIE65621 TLQ65544:TLS65621 UPE65544:UPG65621 VSS65544:VSU65621 WWG65544:WWI65621 JU65544:JW65621 ANI65544:ANK65621 BQW65544:BQY65621 CUK65544:CUM65621 DXY65544:DYA65621 FBM65544:FBO65621 GFA65544:GFC65621 HIO65544:HIQ65621 IMC65544:IME65621 JPQ65544:JPS65621 KTE65544:KTG65621 LWS65544:LWU65621 NAG65544:NAI65621 ODU65544:ODW65621 PHI65544:PHK65621 QKW65544:QKY65621 ROK65544:ROM65621 SRY65544:SSA65621 TVM65544:TVO65621 UZA65544:UZC65621 WCO65544:WCQ65621 TQ65544:TS65621 AXE65544:AXG65621 CAS65544:CAU65621 DEG65544:DEI65621 EHU65544:EHW65621 FLI65544:FLK65621 GOW65544:GOY65621 HSK65544:HSM65621 IVY65544:IWA65621 JZM65544:JZO65621 LDA65544:LDC65621 MGO65544:MGQ65621 NKC65544:NKE65621 ONQ65544:ONS65621 PRE65544:PRG65621 QUS65544:QUU65621 RYG65544:RYI65621 TBU65544:TBW65621 UFI65544:UFK65621 VIW65544:VIY65621 WMK65544:WMM65621 Y131080:AA131157 ADM131080:ADO131157 BHA131080:BHC131157 CKO131080:CKQ131157 DOC131080:DOE131157 ERQ131080:ERS131157 FVE131080:FVG131157 GYS131080:GYU131157 ICG131080:ICI131157 JFU131080:JFW131157 KJI131080:KJK131157 LMW131080:LMY131157 MQK131080:MQM131157 NTY131080:NUA131157 OXM131080:OXO131157 QBA131080:QBC131157 REO131080:REQ131157 SIC131080:SIE131157 TLQ131080:TLS131157 UPE131080:UPG131157 VSS131080:VSU131157 WWG131080:WWI131157 JU131080:JW131157 ANI131080:ANK131157 BQW131080:BQY131157 CUK131080:CUM131157 DXY131080:DYA131157 FBM131080:FBO131157 GFA131080:GFC131157 HIO131080:HIQ131157 IMC131080:IME131157 JPQ131080:JPS131157 KTE131080:KTG131157 LWS131080:LWU131157 NAG131080:NAI131157 ODU131080:ODW131157 PHI131080:PHK131157 QKW131080:QKY131157 ROK131080:ROM131157 SRY131080:SSA131157 TVM131080:TVO131157 UZA131080:UZC131157 WCO131080:WCQ131157 TQ131080:TS131157 AXE131080:AXG131157 CAS131080:CAU131157 DEG131080:DEI131157 EHU131080:EHW131157 FLI131080:FLK131157 GOW131080:GOY131157 HSK131080:HSM131157 IVY131080:IWA131157 JZM131080:JZO131157 LDA131080:LDC131157 MGO131080:MGQ131157 NKC131080:NKE131157 ONQ131080:ONS131157 PRE131080:PRG131157 QUS131080:QUU131157 RYG131080:RYI131157 TBU131080:TBW131157 UFI131080:UFK131157 VIW131080:VIY131157 WMK131080:WMM131157 Y196616:AA196693 ADM196616:ADO196693 BHA196616:BHC196693 CKO196616:CKQ196693 DOC196616:DOE196693 ERQ196616:ERS196693 FVE196616:FVG196693 GYS196616:GYU196693 ICG196616:ICI196693 JFU196616:JFW196693 KJI196616:KJK196693 LMW196616:LMY196693 MQK196616:MQM196693 NTY196616:NUA196693 OXM196616:OXO196693 QBA196616:QBC196693 REO196616:REQ196693 SIC196616:SIE196693 TLQ196616:TLS196693 UPE196616:UPG196693 VSS196616:VSU196693 WWG196616:WWI196693 JU196616:JW196693 ANI196616:ANK196693 BQW196616:BQY196693 CUK196616:CUM196693 DXY196616:DYA196693 FBM196616:FBO196693 GFA196616:GFC196693 HIO196616:HIQ196693 IMC196616:IME196693 JPQ196616:JPS196693 KTE196616:KTG196693 LWS196616:LWU196693 NAG196616:NAI196693 ODU196616:ODW196693 PHI196616:PHK196693 QKW196616:QKY196693 ROK196616:ROM196693 SRY196616:SSA196693 TVM196616:TVO196693 UZA196616:UZC196693 WCO196616:WCQ196693 TQ196616:TS196693 AXE196616:AXG196693 CAS196616:CAU196693 DEG196616:DEI196693 EHU196616:EHW196693 FLI196616:FLK196693 GOW196616:GOY196693 HSK196616:HSM196693 IVY196616:IWA196693 JZM196616:JZO196693 LDA196616:LDC196693 MGO196616:MGQ196693 NKC196616:NKE196693 ONQ196616:ONS196693 PRE196616:PRG196693 QUS196616:QUU196693 RYG196616:RYI196693 TBU196616:TBW196693 UFI196616:UFK196693 VIW196616:VIY196693 WMK196616:WMM196693 Y262152:AA262229 ADM262152:ADO262229 BHA262152:BHC262229 CKO262152:CKQ262229 DOC262152:DOE262229 ERQ262152:ERS262229 FVE262152:FVG262229 GYS262152:GYU262229 ICG262152:ICI262229 JFU262152:JFW262229 KJI262152:KJK262229 LMW262152:LMY262229 MQK262152:MQM262229 NTY262152:NUA262229 OXM262152:OXO262229 QBA262152:QBC262229 REO262152:REQ262229 SIC262152:SIE262229 TLQ262152:TLS262229 UPE262152:UPG262229 VSS262152:VSU262229 WWG262152:WWI262229 JU262152:JW262229 ANI262152:ANK262229 BQW262152:BQY262229 CUK262152:CUM262229 DXY262152:DYA262229 FBM262152:FBO262229 GFA262152:GFC262229 HIO262152:HIQ262229 IMC262152:IME262229 JPQ262152:JPS262229 KTE262152:KTG262229 LWS262152:LWU262229 NAG262152:NAI262229 ODU262152:ODW262229 PHI262152:PHK262229 QKW262152:QKY262229 ROK262152:ROM262229 SRY262152:SSA262229 TVM262152:TVO262229 UZA262152:UZC262229 WCO262152:WCQ262229 TQ262152:TS262229 AXE262152:AXG262229 CAS262152:CAU262229 DEG262152:DEI262229 EHU262152:EHW262229 FLI262152:FLK262229 GOW262152:GOY262229 HSK262152:HSM262229 IVY262152:IWA262229 JZM262152:JZO262229 LDA262152:LDC262229 MGO262152:MGQ262229 NKC262152:NKE262229 ONQ262152:ONS262229 PRE262152:PRG262229 QUS262152:QUU262229 RYG262152:RYI262229 TBU262152:TBW262229 UFI262152:UFK262229 VIW262152:VIY262229 WMK262152:WMM262229 Y327688:AA327765 ADM327688:ADO327765 BHA327688:BHC327765 CKO327688:CKQ327765 DOC327688:DOE327765 ERQ327688:ERS327765 FVE327688:FVG327765 GYS327688:GYU327765 ICG327688:ICI327765 JFU327688:JFW327765 KJI327688:KJK327765 LMW327688:LMY327765 MQK327688:MQM327765 NTY327688:NUA327765 OXM327688:OXO327765 QBA327688:QBC327765 REO327688:REQ327765 SIC327688:SIE327765 TLQ327688:TLS327765 UPE327688:UPG327765 VSS327688:VSU327765 WWG327688:WWI327765 JU327688:JW327765 ANI327688:ANK327765 BQW327688:BQY327765 CUK327688:CUM327765 DXY327688:DYA327765 FBM327688:FBO327765 GFA327688:GFC327765 HIO327688:HIQ327765 IMC327688:IME327765 JPQ327688:JPS327765 KTE327688:KTG327765 LWS327688:LWU327765 NAG327688:NAI327765 ODU327688:ODW327765 PHI327688:PHK327765 QKW327688:QKY327765 ROK327688:ROM327765 SRY327688:SSA327765 TVM327688:TVO327765 UZA327688:UZC327765 WCO327688:WCQ327765 TQ327688:TS327765 AXE327688:AXG327765 CAS327688:CAU327765 DEG327688:DEI327765 EHU327688:EHW327765 FLI327688:FLK327765 GOW327688:GOY327765 HSK327688:HSM327765 IVY327688:IWA327765 JZM327688:JZO327765 LDA327688:LDC327765 MGO327688:MGQ327765 NKC327688:NKE327765 ONQ327688:ONS327765 PRE327688:PRG327765 QUS327688:QUU327765 RYG327688:RYI327765 TBU327688:TBW327765 UFI327688:UFK327765 VIW327688:VIY327765 WMK327688:WMM327765 Y393224:AA393301 ADM393224:ADO393301 BHA393224:BHC393301 CKO393224:CKQ393301 DOC393224:DOE393301 ERQ393224:ERS393301 FVE393224:FVG393301 GYS393224:GYU393301 ICG393224:ICI393301 JFU393224:JFW393301 KJI393224:KJK393301 LMW393224:LMY393301 MQK393224:MQM393301 NTY393224:NUA393301 OXM393224:OXO393301 QBA393224:QBC393301 REO393224:REQ393301 SIC393224:SIE393301 TLQ393224:TLS393301 UPE393224:UPG393301 VSS393224:VSU393301 WWG393224:WWI393301 JU393224:JW393301 ANI393224:ANK393301 BQW393224:BQY393301 CUK393224:CUM393301 DXY393224:DYA393301 FBM393224:FBO393301 GFA393224:GFC393301 HIO393224:HIQ393301 IMC393224:IME393301 JPQ393224:JPS393301 KTE393224:KTG393301 LWS393224:LWU393301 NAG393224:NAI393301 ODU393224:ODW393301 PHI393224:PHK393301 QKW393224:QKY393301 ROK393224:ROM393301 SRY393224:SSA393301 TVM393224:TVO393301 UZA393224:UZC393301 WCO393224:WCQ393301 TQ393224:TS393301 AXE393224:AXG393301 CAS393224:CAU393301 DEG393224:DEI393301 EHU393224:EHW393301 FLI393224:FLK393301 GOW393224:GOY393301 HSK393224:HSM393301 IVY393224:IWA393301 JZM393224:JZO393301 LDA393224:LDC393301 MGO393224:MGQ393301 NKC393224:NKE393301 ONQ393224:ONS393301 PRE393224:PRG393301 QUS393224:QUU393301 RYG393224:RYI393301 TBU393224:TBW393301 UFI393224:UFK393301 VIW393224:VIY393301 WMK393224:WMM393301 Y458760:AA458837 ADM458760:ADO458837 BHA458760:BHC458837 CKO458760:CKQ458837 DOC458760:DOE458837 ERQ458760:ERS458837 FVE458760:FVG458837 GYS458760:GYU458837 ICG458760:ICI458837 JFU458760:JFW458837 KJI458760:KJK458837 LMW458760:LMY458837 MQK458760:MQM458837 NTY458760:NUA458837 OXM458760:OXO458837 QBA458760:QBC458837 REO458760:REQ458837 SIC458760:SIE458837 TLQ458760:TLS458837 UPE458760:UPG458837 VSS458760:VSU458837 WWG458760:WWI458837 JU458760:JW458837 ANI458760:ANK458837 BQW458760:BQY458837 CUK458760:CUM458837 DXY458760:DYA458837 FBM458760:FBO458837 GFA458760:GFC458837 HIO458760:HIQ458837 IMC458760:IME458837 JPQ458760:JPS458837 KTE458760:KTG458837 LWS458760:LWU458837 NAG458760:NAI458837 ODU458760:ODW458837 PHI458760:PHK458837 QKW458760:QKY458837 ROK458760:ROM458837 SRY458760:SSA458837 TVM458760:TVO458837 UZA458760:UZC458837 WCO458760:WCQ458837 TQ458760:TS458837 AXE458760:AXG458837 CAS458760:CAU458837 DEG458760:DEI458837 EHU458760:EHW458837 FLI458760:FLK458837 GOW458760:GOY458837 HSK458760:HSM458837 IVY458760:IWA458837 JZM458760:JZO458837 LDA458760:LDC458837 MGO458760:MGQ458837 NKC458760:NKE458837 ONQ458760:ONS458837 PRE458760:PRG458837 QUS458760:QUU458837 RYG458760:RYI458837 TBU458760:TBW458837 UFI458760:UFK458837 VIW458760:VIY458837 WMK458760:WMM458837 Y524296:AA524373 ADM524296:ADO524373 BHA524296:BHC524373 CKO524296:CKQ524373 DOC524296:DOE524373 ERQ524296:ERS524373 FVE524296:FVG524373 GYS524296:GYU524373 ICG524296:ICI524373 JFU524296:JFW524373 KJI524296:KJK524373 LMW524296:LMY524373 MQK524296:MQM524373 NTY524296:NUA524373 OXM524296:OXO524373 QBA524296:QBC524373 REO524296:REQ524373 SIC524296:SIE524373 TLQ524296:TLS524373 UPE524296:UPG524373 VSS524296:VSU524373 WWG524296:WWI524373 JU524296:JW524373 ANI524296:ANK524373 BQW524296:BQY524373 CUK524296:CUM524373 DXY524296:DYA524373 FBM524296:FBO524373 GFA524296:GFC524373 HIO524296:HIQ524373 IMC524296:IME524373 JPQ524296:JPS524373 KTE524296:KTG524373 LWS524296:LWU524373 NAG524296:NAI524373 ODU524296:ODW524373 PHI524296:PHK524373 QKW524296:QKY524373 ROK524296:ROM524373 SRY524296:SSA524373 TVM524296:TVO524373 UZA524296:UZC524373 WCO524296:WCQ524373 TQ524296:TS524373 AXE524296:AXG524373 CAS524296:CAU524373 DEG524296:DEI524373 EHU524296:EHW524373 FLI524296:FLK524373 GOW524296:GOY524373 HSK524296:HSM524373 IVY524296:IWA524373 JZM524296:JZO524373 LDA524296:LDC524373 MGO524296:MGQ524373 NKC524296:NKE524373 ONQ524296:ONS524373 PRE524296:PRG524373 QUS524296:QUU524373 RYG524296:RYI524373 TBU524296:TBW524373 UFI524296:UFK524373 VIW524296:VIY524373 WMK524296:WMM524373 Y589832:AA589909 ADM589832:ADO589909 BHA589832:BHC589909 CKO589832:CKQ589909 DOC589832:DOE589909 ERQ589832:ERS589909 FVE589832:FVG589909 GYS589832:GYU589909 ICG589832:ICI589909 JFU589832:JFW589909 KJI589832:KJK589909 LMW589832:LMY589909 MQK589832:MQM589909 NTY589832:NUA589909 OXM589832:OXO589909 QBA589832:QBC589909 REO589832:REQ589909 SIC589832:SIE589909 TLQ589832:TLS589909 UPE589832:UPG589909 VSS589832:VSU589909 WWG589832:WWI589909 JU589832:JW589909 ANI589832:ANK589909 BQW589832:BQY589909 CUK589832:CUM589909 DXY589832:DYA589909 FBM589832:FBO589909 GFA589832:GFC589909 HIO589832:HIQ589909 IMC589832:IME589909 JPQ589832:JPS589909 KTE589832:KTG589909 LWS589832:LWU589909 NAG589832:NAI589909 ODU589832:ODW589909 PHI589832:PHK589909 QKW589832:QKY589909 ROK589832:ROM589909 SRY589832:SSA589909 TVM589832:TVO589909 UZA589832:UZC589909 WCO589832:WCQ589909 TQ589832:TS589909 AXE589832:AXG589909 CAS589832:CAU589909 DEG589832:DEI589909 EHU589832:EHW589909 FLI589832:FLK589909 GOW589832:GOY589909 HSK589832:HSM589909 IVY589832:IWA589909 JZM589832:JZO589909 LDA589832:LDC589909 MGO589832:MGQ589909 NKC589832:NKE589909 ONQ589832:ONS589909 PRE589832:PRG589909 QUS589832:QUU589909 RYG589832:RYI589909 TBU589832:TBW589909 UFI589832:UFK589909 VIW589832:VIY589909 WMK589832:WMM589909 Y655368:AA655445 ADM655368:ADO655445 BHA655368:BHC655445 CKO655368:CKQ655445 DOC655368:DOE655445 ERQ655368:ERS655445 FVE655368:FVG655445 GYS655368:GYU655445 ICG655368:ICI655445 JFU655368:JFW655445 KJI655368:KJK655445 LMW655368:LMY655445 MQK655368:MQM655445 NTY655368:NUA655445 OXM655368:OXO655445 QBA655368:QBC655445 REO655368:REQ655445 SIC655368:SIE655445 TLQ655368:TLS655445 UPE655368:UPG655445 VSS655368:VSU655445 WWG655368:WWI655445 JU655368:JW655445 ANI655368:ANK655445 BQW655368:BQY655445 CUK655368:CUM655445 DXY655368:DYA655445 FBM655368:FBO655445 GFA655368:GFC655445 HIO655368:HIQ655445 IMC655368:IME655445 JPQ655368:JPS655445 KTE655368:KTG655445 LWS655368:LWU655445 NAG655368:NAI655445 ODU655368:ODW655445 PHI655368:PHK655445 QKW655368:QKY655445 ROK655368:ROM655445 SRY655368:SSA655445 TVM655368:TVO655445 UZA655368:UZC655445 WCO655368:WCQ655445 TQ655368:TS655445 AXE655368:AXG655445 CAS655368:CAU655445 DEG655368:DEI655445 EHU655368:EHW655445 FLI655368:FLK655445 GOW655368:GOY655445 HSK655368:HSM655445 IVY655368:IWA655445 JZM655368:JZO655445 LDA655368:LDC655445 MGO655368:MGQ655445 NKC655368:NKE655445 ONQ655368:ONS655445 PRE655368:PRG655445 QUS655368:QUU655445 RYG655368:RYI655445 TBU655368:TBW655445 UFI655368:UFK655445 VIW655368:VIY655445 WMK655368:WMM655445 Y720904:AA720981 ADM720904:ADO720981 BHA720904:BHC720981 CKO720904:CKQ720981 DOC720904:DOE720981 ERQ720904:ERS720981 FVE720904:FVG720981 GYS720904:GYU720981 ICG720904:ICI720981 JFU720904:JFW720981 KJI720904:KJK720981 LMW720904:LMY720981 MQK720904:MQM720981 NTY720904:NUA720981 OXM720904:OXO720981 QBA720904:QBC720981 REO720904:REQ720981 SIC720904:SIE720981 TLQ720904:TLS720981 UPE720904:UPG720981 VSS720904:VSU720981 WWG720904:WWI720981 JU720904:JW720981 ANI720904:ANK720981 BQW720904:BQY720981 CUK720904:CUM720981 DXY720904:DYA720981 FBM720904:FBO720981 GFA720904:GFC720981 HIO720904:HIQ720981 IMC720904:IME720981 JPQ720904:JPS720981 KTE720904:KTG720981 LWS720904:LWU720981 NAG720904:NAI720981 ODU720904:ODW720981 PHI720904:PHK720981 QKW720904:QKY720981 ROK720904:ROM720981 SRY720904:SSA720981 TVM720904:TVO720981 UZA720904:UZC720981 WCO720904:WCQ720981 TQ720904:TS720981 AXE720904:AXG720981 CAS720904:CAU720981 DEG720904:DEI720981 EHU720904:EHW720981 FLI720904:FLK720981 GOW720904:GOY720981 HSK720904:HSM720981 IVY720904:IWA720981 JZM720904:JZO720981 LDA720904:LDC720981 MGO720904:MGQ720981 NKC720904:NKE720981 ONQ720904:ONS720981 PRE720904:PRG720981 QUS720904:QUU720981 RYG720904:RYI720981 TBU720904:TBW720981 UFI720904:UFK720981 VIW720904:VIY720981 WMK720904:WMM720981 Y786440:AA786517 ADM786440:ADO786517 BHA786440:BHC786517 CKO786440:CKQ786517 DOC786440:DOE786517 ERQ786440:ERS786517 FVE786440:FVG786517 GYS786440:GYU786517 ICG786440:ICI786517 JFU786440:JFW786517 KJI786440:KJK786517 LMW786440:LMY786517 MQK786440:MQM786517 NTY786440:NUA786517 OXM786440:OXO786517 QBA786440:QBC786517 REO786440:REQ786517 SIC786440:SIE786517 TLQ786440:TLS786517 UPE786440:UPG786517 VSS786440:VSU786517 WWG786440:WWI786517 JU786440:JW786517 ANI786440:ANK786517 BQW786440:BQY786517 CUK786440:CUM786517 DXY786440:DYA786517 FBM786440:FBO786517 GFA786440:GFC786517 HIO786440:HIQ786517 IMC786440:IME786517 JPQ786440:JPS786517 KTE786440:KTG786517 LWS786440:LWU786517 NAG786440:NAI786517 ODU786440:ODW786517 PHI786440:PHK786517 QKW786440:QKY786517 ROK786440:ROM786517 SRY786440:SSA786517 TVM786440:TVO786517 UZA786440:UZC786517 WCO786440:WCQ786517 TQ786440:TS786517 AXE786440:AXG786517 CAS786440:CAU786517 DEG786440:DEI786517 EHU786440:EHW786517 FLI786440:FLK786517 GOW786440:GOY786517 HSK786440:HSM786517 IVY786440:IWA786517 JZM786440:JZO786517 LDA786440:LDC786517 MGO786440:MGQ786517 NKC786440:NKE786517 ONQ786440:ONS786517 PRE786440:PRG786517 QUS786440:QUU786517 RYG786440:RYI786517 TBU786440:TBW786517 UFI786440:UFK786517 VIW786440:VIY786517 WMK786440:WMM786517 Y851976:AA852053 ADM851976:ADO852053 BHA851976:BHC852053 CKO851976:CKQ852053 DOC851976:DOE852053 ERQ851976:ERS852053 FVE851976:FVG852053 GYS851976:GYU852053 ICG851976:ICI852053 JFU851976:JFW852053 KJI851976:KJK852053 LMW851976:LMY852053 MQK851976:MQM852053 NTY851976:NUA852053 OXM851976:OXO852053 QBA851976:QBC852053 REO851976:REQ852053 SIC851976:SIE852053 TLQ851976:TLS852053 UPE851976:UPG852053 VSS851976:VSU852053 WWG851976:WWI852053 JU851976:JW852053 ANI851976:ANK852053 BQW851976:BQY852053 CUK851976:CUM852053 DXY851976:DYA852053 FBM851976:FBO852053 GFA851976:GFC852053 HIO851976:HIQ852053 IMC851976:IME852053 JPQ851976:JPS852053 KTE851976:KTG852053 LWS851976:LWU852053 NAG851976:NAI852053 ODU851976:ODW852053 PHI851976:PHK852053 QKW851976:QKY852053 ROK851976:ROM852053 SRY851976:SSA852053 TVM851976:TVO852053 UZA851976:UZC852053 WCO851976:WCQ852053 TQ851976:TS852053 AXE851976:AXG852053 CAS851976:CAU852053 DEG851976:DEI852053 EHU851976:EHW852053 FLI851976:FLK852053 GOW851976:GOY852053 HSK851976:HSM852053 IVY851976:IWA852053 JZM851976:JZO852053 LDA851976:LDC852053 MGO851976:MGQ852053 NKC851976:NKE852053 ONQ851976:ONS852053 PRE851976:PRG852053 QUS851976:QUU852053 RYG851976:RYI852053 TBU851976:TBW852053 UFI851976:UFK852053 VIW851976:VIY852053 WMK851976:WMM852053 Y917512:AA917589 ADM917512:ADO917589 BHA917512:BHC917589 CKO917512:CKQ917589 DOC917512:DOE917589 ERQ917512:ERS917589 FVE917512:FVG917589 GYS917512:GYU917589 ICG917512:ICI917589 JFU917512:JFW917589 KJI917512:KJK917589 LMW917512:LMY917589 MQK917512:MQM917589 NTY917512:NUA917589 OXM917512:OXO917589 QBA917512:QBC917589 REO917512:REQ917589 SIC917512:SIE917589 TLQ917512:TLS917589 UPE917512:UPG917589 VSS917512:VSU917589 WWG917512:WWI917589 JU917512:JW917589 ANI917512:ANK917589 BQW917512:BQY917589 CUK917512:CUM917589 DXY917512:DYA917589 FBM917512:FBO917589 GFA917512:GFC917589 HIO917512:HIQ917589 IMC917512:IME917589 JPQ917512:JPS917589 KTE917512:KTG917589 LWS917512:LWU917589 NAG917512:NAI917589 ODU917512:ODW917589 PHI917512:PHK917589 QKW917512:QKY917589 ROK917512:ROM917589 SRY917512:SSA917589 TVM917512:TVO917589 UZA917512:UZC917589 WCO917512:WCQ917589 TQ917512:TS917589 AXE917512:AXG917589 CAS917512:CAU917589 DEG917512:DEI917589 EHU917512:EHW917589 FLI917512:FLK917589 GOW917512:GOY917589 HSK917512:HSM917589 IVY917512:IWA917589 JZM917512:JZO917589 LDA917512:LDC917589 MGO917512:MGQ917589 NKC917512:NKE917589 ONQ917512:ONS917589 PRE917512:PRG917589 QUS917512:QUU917589 RYG917512:RYI917589 TBU917512:TBW917589 UFI917512:UFK917589 VIW917512:VIY917589 WMK917512:WMM917589 JU983048:JW983125 ANI983048:ANK983125 BQW983048:BQY983125 CUK983048:CUM983125 DXY983048:DYA983125 FBM983048:FBO983125 GFA983048:GFC983125 HIO983048:HIQ983125 IMC983048:IME983125 JPQ983048:JPS983125 KTE983048:KTG983125 LWS983048:LWU983125 NAG983048:NAI983125 ODU983048:ODW983125 PHI983048:PHK983125 QKW983048:QKY983125 ROK983048:ROM983125 SRY983048:SSA983125 TVM983048:TVO983125 UZA983048:UZC983125 WCO983048:WCQ983125 TQ983048:TS983125 AXE983048:AXG983125 CAS983048:CAU983125 DEG983048:DEI983125 EHU983048:EHW983125 FLI983048:FLK983125 GOW983048:GOY983125 HSK983048:HSM983125 IVY983048:IWA983125 JZM983048:JZO983125 LDA983048:LDC983125 MGO983048:MGQ983125 NKC983048:NKE983125 ONQ983048:ONS983125 PRE983048:PRG983125 QUS983048:QUU983125 RYG983048:RYI983125 TBU983048:TBW983125 UFI983048:UFK983125 VIW983048:VIY983125 WMK983048:WMM983125">
      <formula1>$AV$2:$AV$20</formula1>
    </dataValidation>
    <dataValidation type="list" allowBlank="1" showInputMessage="1" showErrorMessage="1" sqref="H65544:H65621 H131080:H131157 H196616:H196693 H262152:H262229 H327688:H327765 H393224:H393301 H458760:H458837 H524296:H524373 H589832:H589909 H655368:H655445 H720904:H720981 H786440:H786517 H851976:H852053 H917512:H917589 H983048:H983125 JD2:JD85 JD65544:JD65621 JD131080:JD131157 JD196616:JD196693 JD262152:JD262229 JD327688:JD327765 JD393224:JD393301 JD458760:JD458837 JD524296:JD524373 JD589832:JD589909 JD655368:JD655445 JD720904:JD720981 JD786440:JD786517 JD851976:JD852053 JD917512:JD917589 JD983048:JD983125 SZ2:SZ85 SZ65544:SZ65621 SZ131080:SZ131157 SZ196616:SZ196693 SZ262152:SZ262229 SZ327688:SZ327765 SZ393224:SZ393301 SZ458760:SZ458837 SZ524296:SZ524373 SZ589832:SZ589909 SZ655368:SZ655445 SZ720904:SZ720981 SZ786440:SZ786517 SZ851976:SZ852053 SZ917512:SZ917589 SZ983048:SZ983125 ACV2:ACV85 ACV65544:ACV65621 ACV131080:ACV131157 ACV196616:ACV196693 ACV262152:ACV262229 ACV327688:ACV327765 ACV393224:ACV393301 ACV458760:ACV458837 ACV524296:ACV524373 ACV589832:ACV589909 ACV655368:ACV655445 ACV720904:ACV720981 ACV786440:ACV786517 ACV851976:ACV852053 ACV917512:ACV917589 ACV983048:ACV983125 AMR2:AMR85 AMR65544:AMR65621 AMR131080:AMR131157 AMR196616:AMR196693 AMR262152:AMR262229 AMR327688:AMR327765 AMR393224:AMR393301 AMR458760:AMR458837 AMR524296:AMR524373 AMR589832:AMR589909 AMR655368:AMR655445 AMR720904:AMR720981 AMR786440:AMR786517 AMR851976:AMR852053 AMR917512:AMR917589 AMR983048:AMR983125 AWN2:AWN85 AWN65544:AWN65621 AWN131080:AWN131157 AWN196616:AWN196693 AWN262152:AWN262229 AWN327688:AWN327765 AWN393224:AWN393301 AWN458760:AWN458837 AWN524296:AWN524373 AWN589832:AWN589909 AWN655368:AWN655445 AWN720904:AWN720981 AWN786440:AWN786517 AWN851976:AWN852053 AWN917512:AWN917589 AWN983048:AWN983125 BGJ2:BGJ85 BGJ65544:BGJ65621 BGJ131080:BGJ131157 BGJ196616:BGJ196693 BGJ262152:BGJ262229 BGJ327688:BGJ327765 BGJ393224:BGJ393301 BGJ458760:BGJ458837 BGJ524296:BGJ524373 BGJ589832:BGJ589909 BGJ655368:BGJ655445 BGJ720904:BGJ720981 BGJ786440:BGJ786517 BGJ851976:BGJ852053 BGJ917512:BGJ917589 BGJ983048:BGJ983125 BQF2:BQF85 BQF65544:BQF65621 BQF131080:BQF131157 BQF196616:BQF196693 BQF262152:BQF262229 BQF327688:BQF327765 BQF393224:BQF393301 BQF458760:BQF458837 BQF524296:BQF524373 BQF589832:BQF589909 BQF655368:BQF655445 BQF720904:BQF720981 BQF786440:BQF786517 BQF851976:BQF852053 BQF917512:BQF917589 BQF983048:BQF983125 CAB2:CAB85 CAB65544:CAB65621 CAB131080:CAB131157 CAB196616:CAB196693 CAB262152:CAB262229 CAB327688:CAB327765 CAB393224:CAB393301 CAB458760:CAB458837 CAB524296:CAB524373 CAB589832:CAB589909 CAB655368:CAB655445 CAB720904:CAB720981 CAB786440:CAB786517 CAB851976:CAB852053 CAB917512:CAB917589 CAB983048:CAB983125 CJX2:CJX85 CJX65544:CJX65621 CJX131080:CJX131157 CJX196616:CJX196693 CJX262152:CJX262229 CJX327688:CJX327765 CJX393224:CJX393301 CJX458760:CJX458837 CJX524296:CJX524373 CJX589832:CJX589909 CJX655368:CJX655445 CJX720904:CJX720981 CJX786440:CJX786517 CJX851976:CJX852053 CJX917512:CJX917589 CJX983048:CJX983125 CTT2:CTT85 CTT65544:CTT65621 CTT131080:CTT131157 CTT196616:CTT196693 CTT262152:CTT262229 CTT327688:CTT327765 CTT393224:CTT393301 CTT458760:CTT458837 CTT524296:CTT524373 CTT589832:CTT589909 CTT655368:CTT655445 CTT720904:CTT720981 CTT786440:CTT786517 CTT851976:CTT852053 CTT917512:CTT917589 CTT983048:CTT983125 DDP2:DDP85 DDP65544:DDP65621 DDP131080:DDP131157 DDP196616:DDP196693 DDP262152:DDP262229 DDP327688:DDP327765 DDP393224:DDP393301 DDP458760:DDP458837 DDP524296:DDP524373 DDP589832:DDP589909 DDP655368:DDP655445 DDP720904:DDP720981 DDP786440:DDP786517 DDP851976:DDP852053 DDP917512:DDP917589 DDP983048:DDP983125 DNL2:DNL85 DNL65544:DNL65621 DNL131080:DNL131157 DNL196616:DNL196693 DNL262152:DNL262229 DNL327688:DNL327765 DNL393224:DNL393301 DNL458760:DNL458837 DNL524296:DNL524373 DNL589832:DNL589909 DNL655368:DNL655445 DNL720904:DNL720981 DNL786440:DNL786517 DNL851976:DNL852053 DNL917512:DNL917589 DNL983048:DNL983125 DXH2:DXH85 DXH65544:DXH65621 DXH131080:DXH131157 DXH196616:DXH196693 DXH262152:DXH262229 DXH327688:DXH327765 DXH393224:DXH393301 DXH458760:DXH458837 DXH524296:DXH524373 DXH589832:DXH589909 DXH655368:DXH655445 DXH720904:DXH720981 DXH786440:DXH786517 DXH851976:DXH852053 DXH917512:DXH917589 DXH983048:DXH983125 EHD2:EHD85 EHD65544:EHD65621 EHD131080:EHD131157 EHD196616:EHD196693 EHD262152:EHD262229 EHD327688:EHD327765 EHD393224:EHD393301 EHD458760:EHD458837 EHD524296:EHD524373 EHD589832:EHD589909 EHD655368:EHD655445 EHD720904:EHD720981 EHD786440:EHD786517 EHD851976:EHD852053 EHD917512:EHD917589 EHD983048:EHD983125 EQZ2:EQZ85 EQZ65544:EQZ65621 EQZ131080:EQZ131157 EQZ196616:EQZ196693 EQZ262152:EQZ262229 EQZ327688:EQZ327765 EQZ393224:EQZ393301 EQZ458760:EQZ458837 EQZ524296:EQZ524373 EQZ589832:EQZ589909 EQZ655368:EQZ655445 EQZ720904:EQZ720981 EQZ786440:EQZ786517 EQZ851976:EQZ852053 EQZ917512:EQZ917589 EQZ983048:EQZ983125 FAV2:FAV85 FAV65544:FAV65621 FAV131080:FAV131157 FAV196616:FAV196693 FAV262152:FAV262229 FAV327688:FAV327765 FAV393224:FAV393301 FAV458760:FAV458837 FAV524296:FAV524373 FAV589832:FAV589909 FAV655368:FAV655445 FAV720904:FAV720981 FAV786440:FAV786517 FAV851976:FAV852053 FAV917512:FAV917589 FAV983048:FAV983125 FKR2:FKR85 FKR65544:FKR65621 FKR131080:FKR131157 FKR196616:FKR196693 FKR262152:FKR262229 FKR327688:FKR327765 FKR393224:FKR393301 FKR458760:FKR458837 FKR524296:FKR524373 FKR589832:FKR589909 FKR655368:FKR655445 FKR720904:FKR720981 FKR786440:FKR786517 FKR851976:FKR852053 FKR917512:FKR917589 FKR983048:FKR983125 FUN2:FUN85 FUN65544:FUN65621 FUN131080:FUN131157 FUN196616:FUN196693 FUN262152:FUN262229 FUN327688:FUN327765 FUN393224:FUN393301 FUN458760:FUN458837 FUN524296:FUN524373 FUN589832:FUN589909 FUN655368:FUN655445 FUN720904:FUN720981 FUN786440:FUN786517 FUN851976:FUN852053 FUN917512:FUN917589 FUN983048:FUN983125 GEJ2:GEJ85 GEJ65544:GEJ65621 GEJ131080:GEJ131157 GEJ196616:GEJ196693 GEJ262152:GEJ262229 GEJ327688:GEJ327765 GEJ393224:GEJ393301 GEJ458760:GEJ458837 GEJ524296:GEJ524373 GEJ589832:GEJ589909 GEJ655368:GEJ655445 GEJ720904:GEJ720981 GEJ786440:GEJ786517 GEJ851976:GEJ852053 GEJ917512:GEJ917589 GEJ983048:GEJ983125 GOF2:GOF85 GOF65544:GOF65621 GOF131080:GOF131157 GOF196616:GOF196693 GOF262152:GOF262229 GOF327688:GOF327765 GOF393224:GOF393301 GOF458760:GOF458837 GOF524296:GOF524373 GOF589832:GOF589909 GOF655368:GOF655445 GOF720904:GOF720981 GOF786440:GOF786517 GOF851976:GOF852053 GOF917512:GOF917589 GOF983048:GOF983125 GYB2:GYB85 GYB65544:GYB65621 GYB131080:GYB131157 GYB196616:GYB196693 GYB262152:GYB262229 GYB327688:GYB327765 GYB393224:GYB393301 GYB458760:GYB458837 GYB524296:GYB524373 GYB589832:GYB589909 GYB655368:GYB655445 GYB720904:GYB720981 GYB786440:GYB786517 GYB851976:GYB852053 GYB917512:GYB917589 GYB983048:GYB983125 HHX2:HHX85 HHX65544:HHX65621 HHX131080:HHX131157 HHX196616:HHX196693 HHX262152:HHX262229 HHX327688:HHX327765 HHX393224:HHX393301 HHX458760:HHX458837 HHX524296:HHX524373 HHX589832:HHX589909 HHX655368:HHX655445 HHX720904:HHX720981 HHX786440:HHX786517 HHX851976:HHX852053 HHX917512:HHX917589 HHX983048:HHX983125 HRT2:HRT85 HRT65544:HRT65621 HRT131080:HRT131157 HRT196616:HRT196693 HRT262152:HRT262229 HRT327688:HRT327765 HRT393224:HRT393301 HRT458760:HRT458837 HRT524296:HRT524373 HRT589832:HRT589909 HRT655368:HRT655445 HRT720904:HRT720981 HRT786440:HRT786517 HRT851976:HRT852053 HRT917512:HRT917589 HRT983048:HRT983125 IBP2:IBP85 IBP65544:IBP65621 IBP131080:IBP131157 IBP196616:IBP196693 IBP262152:IBP262229 IBP327688:IBP327765 IBP393224:IBP393301 IBP458760:IBP458837 IBP524296:IBP524373 IBP589832:IBP589909 IBP655368:IBP655445 IBP720904:IBP720981 IBP786440:IBP786517 IBP851976:IBP852053 IBP917512:IBP917589 IBP983048:IBP983125 ILL2:ILL85 ILL65544:ILL65621 ILL131080:ILL131157 ILL196616:ILL196693 ILL262152:ILL262229 ILL327688:ILL327765 ILL393224:ILL393301 ILL458760:ILL458837 ILL524296:ILL524373 ILL589832:ILL589909 ILL655368:ILL655445 ILL720904:ILL720981 ILL786440:ILL786517 ILL851976:ILL852053 ILL917512:ILL917589 ILL983048:ILL983125 IVH2:IVH85 IVH65544:IVH65621 IVH131080:IVH131157 IVH196616:IVH196693 IVH262152:IVH262229 IVH327688:IVH327765 IVH393224:IVH393301 IVH458760:IVH458837 IVH524296:IVH524373 IVH589832:IVH589909 IVH655368:IVH655445 IVH720904:IVH720981 IVH786440:IVH786517 IVH851976:IVH852053 IVH917512:IVH917589 IVH983048:IVH983125 JFD2:JFD85 JFD65544:JFD65621 JFD131080:JFD131157 JFD196616:JFD196693 JFD262152:JFD262229 JFD327688:JFD327765 JFD393224:JFD393301 JFD458760:JFD458837 JFD524296:JFD524373 JFD589832:JFD589909 JFD655368:JFD655445 JFD720904:JFD720981 JFD786440:JFD786517 JFD851976:JFD852053 JFD917512:JFD917589 JFD983048:JFD983125 JOZ2:JOZ85 JOZ65544:JOZ65621 JOZ131080:JOZ131157 JOZ196616:JOZ196693 JOZ262152:JOZ262229 JOZ327688:JOZ327765 JOZ393224:JOZ393301 JOZ458760:JOZ458837 JOZ524296:JOZ524373 JOZ589832:JOZ589909 JOZ655368:JOZ655445 JOZ720904:JOZ720981 JOZ786440:JOZ786517 JOZ851976:JOZ852053 JOZ917512:JOZ917589 JOZ983048:JOZ983125 JYV2:JYV85 JYV65544:JYV65621 JYV131080:JYV131157 JYV196616:JYV196693 JYV262152:JYV262229 JYV327688:JYV327765 JYV393224:JYV393301 JYV458760:JYV458837 JYV524296:JYV524373 JYV589832:JYV589909 JYV655368:JYV655445 JYV720904:JYV720981 JYV786440:JYV786517 JYV851976:JYV852053 JYV917512:JYV917589 JYV983048:JYV983125 KIR2:KIR85 KIR65544:KIR65621 KIR131080:KIR131157 KIR196616:KIR196693 KIR262152:KIR262229 KIR327688:KIR327765 KIR393224:KIR393301 KIR458760:KIR458837 KIR524296:KIR524373 KIR589832:KIR589909 KIR655368:KIR655445 KIR720904:KIR720981 KIR786440:KIR786517 KIR851976:KIR852053 KIR917512:KIR917589 KIR983048:KIR983125 KSN2:KSN85 KSN65544:KSN65621 KSN131080:KSN131157 KSN196616:KSN196693 KSN262152:KSN262229 KSN327688:KSN327765 KSN393224:KSN393301 KSN458760:KSN458837 KSN524296:KSN524373 KSN589832:KSN589909 KSN655368:KSN655445 KSN720904:KSN720981 KSN786440:KSN786517 KSN851976:KSN852053 KSN917512:KSN917589 KSN983048:KSN983125 LCJ2:LCJ85 LCJ65544:LCJ65621 LCJ131080:LCJ131157 LCJ196616:LCJ196693 LCJ262152:LCJ262229 LCJ327688:LCJ327765 LCJ393224:LCJ393301 LCJ458760:LCJ458837 LCJ524296:LCJ524373 LCJ589832:LCJ589909 LCJ655368:LCJ655445 LCJ720904:LCJ720981 LCJ786440:LCJ786517 LCJ851976:LCJ852053 LCJ917512:LCJ917589 LCJ983048:LCJ983125 LMF2:LMF85 LMF65544:LMF65621 LMF131080:LMF131157 LMF196616:LMF196693 LMF262152:LMF262229 LMF327688:LMF327765 LMF393224:LMF393301 LMF458760:LMF458837 LMF524296:LMF524373 LMF589832:LMF589909 LMF655368:LMF655445 LMF720904:LMF720981 LMF786440:LMF786517 LMF851976:LMF852053 LMF917512:LMF917589 LMF983048:LMF983125 LWB2:LWB85 LWB65544:LWB65621 LWB131080:LWB131157 LWB196616:LWB196693 LWB262152:LWB262229 LWB327688:LWB327765 LWB393224:LWB393301 LWB458760:LWB458837 LWB524296:LWB524373 LWB589832:LWB589909 LWB655368:LWB655445 LWB720904:LWB720981 LWB786440:LWB786517 LWB851976:LWB852053 LWB917512:LWB917589 LWB983048:LWB983125 MFX2:MFX85 MFX65544:MFX65621 MFX131080:MFX131157 MFX196616:MFX196693 MFX262152:MFX262229 MFX327688:MFX327765 MFX393224:MFX393301 MFX458760:MFX458837 MFX524296:MFX524373 MFX589832:MFX589909 MFX655368:MFX655445 MFX720904:MFX720981 MFX786440:MFX786517 MFX851976:MFX852053 MFX917512:MFX917589 MFX983048:MFX983125 MPT2:MPT85 MPT65544:MPT65621 MPT131080:MPT131157 MPT196616:MPT196693 MPT262152:MPT262229 MPT327688:MPT327765 MPT393224:MPT393301 MPT458760:MPT458837 MPT524296:MPT524373 MPT589832:MPT589909 MPT655368:MPT655445 MPT720904:MPT720981 MPT786440:MPT786517 MPT851976:MPT852053 MPT917512:MPT917589 MPT983048:MPT983125 MZP2:MZP85 MZP65544:MZP65621 MZP131080:MZP131157 MZP196616:MZP196693 MZP262152:MZP262229 MZP327688:MZP327765 MZP393224:MZP393301 MZP458760:MZP458837 MZP524296:MZP524373 MZP589832:MZP589909 MZP655368:MZP655445 MZP720904:MZP720981 MZP786440:MZP786517 MZP851976:MZP852053 MZP917512:MZP917589 MZP983048:MZP983125 NJL2:NJL85 NJL65544:NJL65621 NJL131080:NJL131157 NJL196616:NJL196693 NJL262152:NJL262229 NJL327688:NJL327765 NJL393224:NJL393301 NJL458760:NJL458837 NJL524296:NJL524373 NJL589832:NJL589909 NJL655368:NJL655445 NJL720904:NJL720981 NJL786440:NJL786517 NJL851976:NJL852053 NJL917512:NJL917589 NJL983048:NJL983125 NTH2:NTH85 NTH65544:NTH65621 NTH131080:NTH131157 NTH196616:NTH196693 NTH262152:NTH262229 NTH327688:NTH327765 NTH393224:NTH393301 NTH458760:NTH458837 NTH524296:NTH524373 NTH589832:NTH589909 NTH655368:NTH655445 NTH720904:NTH720981 NTH786440:NTH786517 NTH851976:NTH852053 NTH917512:NTH917589 NTH983048:NTH983125 ODD2:ODD85 ODD65544:ODD65621 ODD131080:ODD131157 ODD196616:ODD196693 ODD262152:ODD262229 ODD327688:ODD327765 ODD393224:ODD393301 ODD458760:ODD458837 ODD524296:ODD524373 ODD589832:ODD589909 ODD655368:ODD655445 ODD720904:ODD720981 ODD786440:ODD786517 ODD851976:ODD852053 ODD917512:ODD917589 ODD983048:ODD983125 OMZ2:OMZ85 OMZ65544:OMZ65621 OMZ131080:OMZ131157 OMZ196616:OMZ196693 OMZ262152:OMZ262229 OMZ327688:OMZ327765 OMZ393224:OMZ393301 OMZ458760:OMZ458837 OMZ524296:OMZ524373 OMZ589832:OMZ589909 OMZ655368:OMZ655445 OMZ720904:OMZ720981 OMZ786440:OMZ786517 OMZ851976:OMZ852053 OMZ917512:OMZ917589 OMZ983048:OMZ983125 OWV2:OWV85 OWV65544:OWV65621 OWV131080:OWV131157 OWV196616:OWV196693 OWV262152:OWV262229 OWV327688:OWV327765 OWV393224:OWV393301 OWV458760:OWV458837 OWV524296:OWV524373 OWV589832:OWV589909 OWV655368:OWV655445 OWV720904:OWV720981 OWV786440:OWV786517 OWV851976:OWV852053 OWV917512:OWV917589 OWV983048:OWV983125 PGR2:PGR85 PGR65544:PGR65621 PGR131080:PGR131157 PGR196616:PGR196693 PGR262152:PGR262229 PGR327688:PGR327765 PGR393224:PGR393301 PGR458760:PGR458837 PGR524296:PGR524373 PGR589832:PGR589909 PGR655368:PGR655445 PGR720904:PGR720981 PGR786440:PGR786517 PGR851976:PGR852053 PGR917512:PGR917589 PGR983048:PGR983125 PQN2:PQN85 PQN65544:PQN65621 PQN131080:PQN131157 PQN196616:PQN196693 PQN262152:PQN262229 PQN327688:PQN327765 PQN393224:PQN393301 PQN458760:PQN458837 PQN524296:PQN524373 PQN589832:PQN589909 PQN655368:PQN655445 PQN720904:PQN720981 PQN786440:PQN786517 PQN851976:PQN852053 PQN917512:PQN917589 PQN983048:PQN983125 QAJ2:QAJ85 QAJ65544:QAJ65621 QAJ131080:QAJ131157 QAJ196616:QAJ196693 QAJ262152:QAJ262229 QAJ327688:QAJ327765 QAJ393224:QAJ393301 QAJ458760:QAJ458837 QAJ524296:QAJ524373 QAJ589832:QAJ589909 QAJ655368:QAJ655445 QAJ720904:QAJ720981 QAJ786440:QAJ786517 QAJ851976:QAJ852053 QAJ917512:QAJ917589 QAJ983048:QAJ983125 QKF2:QKF85 QKF65544:QKF65621 QKF131080:QKF131157 QKF196616:QKF196693 QKF262152:QKF262229 QKF327688:QKF327765 QKF393224:QKF393301 QKF458760:QKF458837 QKF524296:QKF524373 QKF589832:QKF589909 QKF655368:QKF655445 QKF720904:QKF720981 QKF786440:QKF786517 QKF851976:QKF852053 QKF917512:QKF917589 QKF983048:QKF983125 QUB2:QUB85 QUB65544:QUB65621 QUB131080:QUB131157 QUB196616:QUB196693 QUB262152:QUB262229 QUB327688:QUB327765 QUB393224:QUB393301 QUB458760:QUB458837 QUB524296:QUB524373 QUB589832:QUB589909 QUB655368:QUB655445 QUB720904:QUB720981 QUB786440:QUB786517 QUB851976:QUB852053 QUB917512:QUB917589 QUB983048:QUB983125 RDX2:RDX85 RDX65544:RDX65621 RDX131080:RDX131157 RDX196616:RDX196693 RDX262152:RDX262229 RDX327688:RDX327765 RDX393224:RDX393301 RDX458760:RDX458837 RDX524296:RDX524373 RDX589832:RDX589909 RDX655368:RDX655445 RDX720904:RDX720981 RDX786440:RDX786517 RDX851976:RDX852053 RDX917512:RDX917589 RDX983048:RDX983125 RNT2:RNT85 RNT65544:RNT65621 RNT131080:RNT131157 RNT196616:RNT196693 RNT262152:RNT262229 RNT327688:RNT327765 RNT393224:RNT393301 RNT458760:RNT458837 RNT524296:RNT524373 RNT589832:RNT589909 RNT655368:RNT655445 RNT720904:RNT720981 RNT786440:RNT786517 RNT851976:RNT852053 RNT917512:RNT917589 RNT983048:RNT983125 RXP2:RXP85 RXP65544:RXP65621 RXP131080:RXP131157 RXP196616:RXP196693 RXP262152:RXP262229 RXP327688:RXP327765 RXP393224:RXP393301 RXP458760:RXP458837 RXP524296:RXP524373 RXP589832:RXP589909 RXP655368:RXP655445 RXP720904:RXP720981 RXP786440:RXP786517 RXP851976:RXP852053 RXP917512:RXP917589 RXP983048:RXP983125 SHL2:SHL85 SHL65544:SHL65621 SHL131080:SHL131157 SHL196616:SHL196693 SHL262152:SHL262229 SHL327688:SHL327765 SHL393224:SHL393301 SHL458760:SHL458837 SHL524296:SHL524373 SHL589832:SHL589909 SHL655368:SHL655445 SHL720904:SHL720981 SHL786440:SHL786517 SHL851976:SHL852053 SHL917512:SHL917589 SHL983048:SHL983125 SRH2:SRH85 SRH65544:SRH65621 SRH131080:SRH131157 SRH196616:SRH196693 SRH262152:SRH262229 SRH327688:SRH327765 SRH393224:SRH393301 SRH458760:SRH458837 SRH524296:SRH524373 SRH589832:SRH589909 SRH655368:SRH655445 SRH720904:SRH720981 SRH786440:SRH786517 SRH851976:SRH852053 SRH917512:SRH917589 SRH983048:SRH983125 TBD2:TBD85 TBD65544:TBD65621 TBD131080:TBD131157 TBD196616:TBD196693 TBD262152:TBD262229 TBD327688:TBD327765 TBD393224:TBD393301 TBD458760:TBD458837 TBD524296:TBD524373 TBD589832:TBD589909 TBD655368:TBD655445 TBD720904:TBD720981 TBD786440:TBD786517 TBD851976:TBD852053 TBD917512:TBD917589 TBD983048:TBD983125 TKZ2:TKZ85 TKZ65544:TKZ65621 TKZ131080:TKZ131157 TKZ196616:TKZ196693 TKZ262152:TKZ262229 TKZ327688:TKZ327765 TKZ393224:TKZ393301 TKZ458760:TKZ458837 TKZ524296:TKZ524373 TKZ589832:TKZ589909 TKZ655368:TKZ655445 TKZ720904:TKZ720981 TKZ786440:TKZ786517 TKZ851976:TKZ852053 TKZ917512:TKZ917589 TKZ983048:TKZ983125 TUV2:TUV85 TUV65544:TUV65621 TUV131080:TUV131157 TUV196616:TUV196693 TUV262152:TUV262229 TUV327688:TUV327765 TUV393224:TUV393301 TUV458760:TUV458837 TUV524296:TUV524373 TUV589832:TUV589909 TUV655368:TUV655445 TUV720904:TUV720981 TUV786440:TUV786517 TUV851976:TUV852053 TUV917512:TUV917589 TUV983048:TUV983125 UER2:UER85 UER65544:UER65621 UER131080:UER131157 UER196616:UER196693 UER262152:UER262229 UER327688:UER327765 UER393224:UER393301 UER458760:UER458837 UER524296:UER524373 UER589832:UER589909 UER655368:UER655445 UER720904:UER720981 UER786440:UER786517 UER851976:UER852053 UER917512:UER917589 UER983048:UER983125 UON2:UON85 UON65544:UON65621 UON131080:UON131157 UON196616:UON196693 UON262152:UON262229 UON327688:UON327765 UON393224:UON393301 UON458760:UON458837 UON524296:UON524373 UON589832:UON589909 UON655368:UON655445 UON720904:UON720981 UON786440:UON786517 UON851976:UON852053 UON917512:UON917589 UON983048:UON983125 UYJ2:UYJ85 UYJ65544:UYJ65621 UYJ131080:UYJ131157 UYJ196616:UYJ196693 UYJ262152:UYJ262229 UYJ327688:UYJ327765 UYJ393224:UYJ393301 UYJ458760:UYJ458837 UYJ524296:UYJ524373 UYJ589832:UYJ589909 UYJ655368:UYJ655445 UYJ720904:UYJ720981 UYJ786440:UYJ786517 UYJ851976:UYJ852053 UYJ917512:UYJ917589 UYJ983048:UYJ983125 VIF2:VIF85 VIF65544:VIF65621 VIF131080:VIF131157 VIF196616:VIF196693 VIF262152:VIF262229 VIF327688:VIF327765 VIF393224:VIF393301 VIF458760:VIF458837 VIF524296:VIF524373 VIF589832:VIF589909 VIF655368:VIF655445 VIF720904:VIF720981 VIF786440:VIF786517 VIF851976:VIF852053 VIF917512:VIF917589 VIF983048:VIF983125 VSB2:VSB85 VSB65544:VSB65621 VSB131080:VSB131157 VSB196616:VSB196693 VSB262152:VSB262229 VSB327688:VSB327765 VSB393224:VSB393301 VSB458760:VSB458837 VSB524296:VSB524373 VSB589832:VSB589909 VSB655368:VSB655445 VSB720904:VSB720981 VSB786440:VSB786517 VSB851976:VSB852053 VSB917512:VSB917589 VSB983048:VSB983125 WBX2:WBX85 WBX65544:WBX65621 WBX131080:WBX131157 WBX196616:WBX196693 WBX262152:WBX262229 WBX327688:WBX327765 WBX393224:WBX393301 WBX458760:WBX458837 WBX524296:WBX524373 WBX589832:WBX589909 WBX655368:WBX655445 WBX720904:WBX720981 WBX786440:WBX786517 WBX851976:WBX852053 WBX917512:WBX917589 WBX983048:WBX983125 WLT2:WLT85 WLT65544:WLT65621 WLT131080:WLT131157 WLT196616:WLT196693 WLT262152:WLT262229 WLT327688:WLT327765 WLT393224:WLT393301 WLT458760:WLT458837 WLT524296:WLT524373 WLT589832:WLT589909 WLT655368:WLT655445 WLT720904:WLT720981 WLT786440:WLT786517 WLT851976:WLT852053 WLT917512:WLT917589 WLT983048:WLT983125 WVP2:WVP85 WVP65544:WVP65621 WVP131080:WVP131157 WVP196616:WVP196693 WVP262152:WVP262229 WVP327688:WVP327765 WVP393224:WVP393301 WVP458760:WVP458837 WVP524296:WVP524373 WVP589832:WVP589909 WVP655368:WVP655445 WVP720904:WVP720981 WVP786440:WVP786517 WVP851976:WVP852053 WVP917512:WVP917589 WVP983048:WVP983125">
      <formula1>$AL$4:$AL$12</formula1>
    </dataValidation>
    <dataValidation type="list" allowBlank="1" showInputMessage="1" showErrorMessage="1" sqref="X2:X506 X65544:X65621 X131080:X131157 X196616:X196693 X262152:X262229 X327688:X327765 X393224:X393301 X458760:X458837 X524296:X524373 X589832:X589909 X655368:X655445 X720904:X720981 X786440:X786517 X851976:X852053 X917512:X917589 X983048:X983125 JT2:JT85 JT65544:JT65621 JT131080:JT131157 JT196616:JT196693 JT262152:JT262229 JT327688:JT327765 JT393224:JT393301 JT458760:JT458837 JT524296:JT524373 JT589832:JT589909 JT655368:JT655445 JT720904:JT720981 JT786440:JT786517 JT851976:JT852053 JT917512:JT917589 JT983048:JT983125 TP2:TP85 TP65544:TP65621 TP131080:TP131157 TP196616:TP196693 TP262152:TP262229 TP327688:TP327765 TP393224:TP393301 TP458760:TP458837 TP524296:TP524373 TP589832:TP589909 TP655368:TP655445 TP720904:TP720981 TP786440:TP786517 TP851976:TP852053 TP917512:TP917589 TP983048:TP983125 ADL2:ADL85 ADL65544:ADL65621 ADL131080:ADL131157 ADL196616:ADL196693 ADL262152:ADL262229 ADL327688:ADL327765 ADL393224:ADL393301 ADL458760:ADL458837 ADL524296:ADL524373 ADL589832:ADL589909 ADL655368:ADL655445 ADL720904:ADL720981 ADL786440:ADL786517 ADL851976:ADL852053 ADL917512:ADL917589 ADL983048:ADL983125 ANH2:ANH85 ANH65544:ANH65621 ANH131080:ANH131157 ANH196616:ANH196693 ANH262152:ANH262229 ANH327688:ANH327765 ANH393224:ANH393301 ANH458760:ANH458837 ANH524296:ANH524373 ANH589832:ANH589909 ANH655368:ANH655445 ANH720904:ANH720981 ANH786440:ANH786517 ANH851976:ANH852053 ANH917512:ANH917589 ANH983048:ANH983125 AXD2:AXD85 AXD65544:AXD65621 AXD131080:AXD131157 AXD196616:AXD196693 AXD262152:AXD262229 AXD327688:AXD327765 AXD393224:AXD393301 AXD458760:AXD458837 AXD524296:AXD524373 AXD589832:AXD589909 AXD655368:AXD655445 AXD720904:AXD720981 AXD786440:AXD786517 AXD851976:AXD852053 AXD917512:AXD917589 AXD983048:AXD983125 BGZ2:BGZ85 BGZ65544:BGZ65621 BGZ131080:BGZ131157 BGZ196616:BGZ196693 BGZ262152:BGZ262229 BGZ327688:BGZ327765 BGZ393224:BGZ393301 BGZ458760:BGZ458837 BGZ524296:BGZ524373 BGZ589832:BGZ589909 BGZ655368:BGZ655445 BGZ720904:BGZ720981 BGZ786440:BGZ786517 BGZ851976:BGZ852053 BGZ917512:BGZ917589 BGZ983048:BGZ983125 BQV2:BQV85 BQV65544:BQV65621 BQV131080:BQV131157 BQV196616:BQV196693 BQV262152:BQV262229 BQV327688:BQV327765 BQV393224:BQV393301 BQV458760:BQV458837 BQV524296:BQV524373 BQV589832:BQV589909 BQV655368:BQV655445 BQV720904:BQV720981 BQV786440:BQV786517 BQV851976:BQV852053 BQV917512:BQV917589 BQV983048:BQV983125 CAR2:CAR85 CAR65544:CAR65621 CAR131080:CAR131157 CAR196616:CAR196693 CAR262152:CAR262229 CAR327688:CAR327765 CAR393224:CAR393301 CAR458760:CAR458837 CAR524296:CAR524373 CAR589832:CAR589909 CAR655368:CAR655445 CAR720904:CAR720981 CAR786440:CAR786517 CAR851976:CAR852053 CAR917512:CAR917589 CAR983048:CAR983125 CKN2:CKN85 CKN65544:CKN65621 CKN131080:CKN131157 CKN196616:CKN196693 CKN262152:CKN262229 CKN327688:CKN327765 CKN393224:CKN393301 CKN458760:CKN458837 CKN524296:CKN524373 CKN589832:CKN589909 CKN655368:CKN655445 CKN720904:CKN720981 CKN786440:CKN786517 CKN851976:CKN852053 CKN917512:CKN917589 CKN983048:CKN983125 CUJ2:CUJ85 CUJ65544:CUJ65621 CUJ131080:CUJ131157 CUJ196616:CUJ196693 CUJ262152:CUJ262229 CUJ327688:CUJ327765 CUJ393224:CUJ393301 CUJ458760:CUJ458837 CUJ524296:CUJ524373 CUJ589832:CUJ589909 CUJ655368:CUJ655445 CUJ720904:CUJ720981 CUJ786440:CUJ786517 CUJ851976:CUJ852053 CUJ917512:CUJ917589 CUJ983048:CUJ983125 DEF2:DEF85 DEF65544:DEF65621 DEF131080:DEF131157 DEF196616:DEF196693 DEF262152:DEF262229 DEF327688:DEF327765 DEF393224:DEF393301 DEF458760:DEF458837 DEF524296:DEF524373 DEF589832:DEF589909 DEF655368:DEF655445 DEF720904:DEF720981 DEF786440:DEF786517 DEF851976:DEF852053 DEF917512:DEF917589 DEF983048:DEF983125 DOB2:DOB85 DOB65544:DOB65621 DOB131080:DOB131157 DOB196616:DOB196693 DOB262152:DOB262229 DOB327688:DOB327765 DOB393224:DOB393301 DOB458760:DOB458837 DOB524296:DOB524373 DOB589832:DOB589909 DOB655368:DOB655445 DOB720904:DOB720981 DOB786440:DOB786517 DOB851976:DOB852053 DOB917512:DOB917589 DOB983048:DOB983125 DXX2:DXX85 DXX65544:DXX65621 DXX131080:DXX131157 DXX196616:DXX196693 DXX262152:DXX262229 DXX327688:DXX327765 DXX393224:DXX393301 DXX458760:DXX458837 DXX524296:DXX524373 DXX589832:DXX589909 DXX655368:DXX655445 DXX720904:DXX720981 DXX786440:DXX786517 DXX851976:DXX852053 DXX917512:DXX917589 DXX983048:DXX983125 EHT2:EHT85 EHT65544:EHT65621 EHT131080:EHT131157 EHT196616:EHT196693 EHT262152:EHT262229 EHT327688:EHT327765 EHT393224:EHT393301 EHT458760:EHT458837 EHT524296:EHT524373 EHT589832:EHT589909 EHT655368:EHT655445 EHT720904:EHT720981 EHT786440:EHT786517 EHT851976:EHT852053 EHT917512:EHT917589 EHT983048:EHT983125 ERP2:ERP85 ERP65544:ERP65621 ERP131080:ERP131157 ERP196616:ERP196693 ERP262152:ERP262229 ERP327688:ERP327765 ERP393224:ERP393301 ERP458760:ERP458837 ERP524296:ERP524373 ERP589832:ERP589909 ERP655368:ERP655445 ERP720904:ERP720981 ERP786440:ERP786517 ERP851976:ERP852053 ERP917512:ERP917589 ERP983048:ERP983125 FBL2:FBL85 FBL65544:FBL65621 FBL131080:FBL131157 FBL196616:FBL196693 FBL262152:FBL262229 FBL327688:FBL327765 FBL393224:FBL393301 FBL458760:FBL458837 FBL524296:FBL524373 FBL589832:FBL589909 FBL655368:FBL655445 FBL720904:FBL720981 FBL786440:FBL786517 FBL851976:FBL852053 FBL917512:FBL917589 FBL983048:FBL983125 FLH2:FLH85 FLH65544:FLH65621 FLH131080:FLH131157 FLH196616:FLH196693 FLH262152:FLH262229 FLH327688:FLH327765 FLH393224:FLH393301 FLH458760:FLH458837 FLH524296:FLH524373 FLH589832:FLH589909 FLH655368:FLH655445 FLH720904:FLH720981 FLH786440:FLH786517 FLH851976:FLH852053 FLH917512:FLH917589 FLH983048:FLH983125 FVD2:FVD85 FVD65544:FVD65621 FVD131080:FVD131157 FVD196616:FVD196693 FVD262152:FVD262229 FVD327688:FVD327765 FVD393224:FVD393301 FVD458760:FVD458837 FVD524296:FVD524373 FVD589832:FVD589909 FVD655368:FVD655445 FVD720904:FVD720981 FVD786440:FVD786517 FVD851976:FVD852053 FVD917512:FVD917589 FVD983048:FVD983125 GEZ2:GEZ85 GEZ65544:GEZ65621 GEZ131080:GEZ131157 GEZ196616:GEZ196693 GEZ262152:GEZ262229 GEZ327688:GEZ327765 GEZ393224:GEZ393301 GEZ458760:GEZ458837 GEZ524296:GEZ524373 GEZ589832:GEZ589909 GEZ655368:GEZ655445 GEZ720904:GEZ720981 GEZ786440:GEZ786517 GEZ851976:GEZ852053 GEZ917512:GEZ917589 GEZ983048:GEZ983125 GOV2:GOV85 GOV65544:GOV65621 GOV131080:GOV131157 GOV196616:GOV196693 GOV262152:GOV262229 GOV327688:GOV327765 GOV393224:GOV393301 GOV458760:GOV458837 GOV524296:GOV524373 GOV589832:GOV589909 GOV655368:GOV655445 GOV720904:GOV720981 GOV786440:GOV786517 GOV851976:GOV852053 GOV917512:GOV917589 GOV983048:GOV983125 GYR2:GYR85 GYR65544:GYR65621 GYR131080:GYR131157 GYR196616:GYR196693 GYR262152:GYR262229 GYR327688:GYR327765 GYR393224:GYR393301 GYR458760:GYR458837 GYR524296:GYR524373 GYR589832:GYR589909 GYR655368:GYR655445 GYR720904:GYR720981 GYR786440:GYR786517 GYR851976:GYR852053 GYR917512:GYR917589 GYR983048:GYR983125 HIN2:HIN85 HIN65544:HIN65621 HIN131080:HIN131157 HIN196616:HIN196693 HIN262152:HIN262229 HIN327688:HIN327765 HIN393224:HIN393301 HIN458760:HIN458837 HIN524296:HIN524373 HIN589832:HIN589909 HIN655368:HIN655445 HIN720904:HIN720981 HIN786440:HIN786517 HIN851976:HIN852053 HIN917512:HIN917589 HIN983048:HIN983125 HSJ2:HSJ85 HSJ65544:HSJ65621 HSJ131080:HSJ131157 HSJ196616:HSJ196693 HSJ262152:HSJ262229 HSJ327688:HSJ327765 HSJ393224:HSJ393301 HSJ458760:HSJ458837 HSJ524296:HSJ524373 HSJ589832:HSJ589909 HSJ655368:HSJ655445 HSJ720904:HSJ720981 HSJ786440:HSJ786517 HSJ851976:HSJ852053 HSJ917512:HSJ917589 HSJ983048:HSJ983125 ICF2:ICF85 ICF65544:ICF65621 ICF131080:ICF131157 ICF196616:ICF196693 ICF262152:ICF262229 ICF327688:ICF327765 ICF393224:ICF393301 ICF458760:ICF458837 ICF524296:ICF524373 ICF589832:ICF589909 ICF655368:ICF655445 ICF720904:ICF720981 ICF786440:ICF786517 ICF851976:ICF852053 ICF917512:ICF917589 ICF983048:ICF983125 IMB2:IMB85 IMB65544:IMB65621 IMB131080:IMB131157 IMB196616:IMB196693 IMB262152:IMB262229 IMB327688:IMB327765 IMB393224:IMB393301 IMB458760:IMB458837 IMB524296:IMB524373 IMB589832:IMB589909 IMB655368:IMB655445 IMB720904:IMB720981 IMB786440:IMB786517 IMB851976:IMB852053 IMB917512:IMB917589 IMB983048:IMB983125 IVX2:IVX85 IVX65544:IVX65621 IVX131080:IVX131157 IVX196616:IVX196693 IVX262152:IVX262229 IVX327688:IVX327765 IVX393224:IVX393301 IVX458760:IVX458837 IVX524296:IVX524373 IVX589832:IVX589909 IVX655368:IVX655445 IVX720904:IVX720981 IVX786440:IVX786517 IVX851976:IVX852053 IVX917512:IVX917589 IVX983048:IVX983125 JFT2:JFT85 JFT65544:JFT65621 JFT131080:JFT131157 JFT196616:JFT196693 JFT262152:JFT262229 JFT327688:JFT327765 JFT393224:JFT393301 JFT458760:JFT458837 JFT524296:JFT524373 JFT589832:JFT589909 JFT655368:JFT655445 JFT720904:JFT720981 JFT786440:JFT786517 JFT851976:JFT852053 JFT917512:JFT917589 JFT983048:JFT983125 JPP2:JPP85 JPP65544:JPP65621 JPP131080:JPP131157 JPP196616:JPP196693 JPP262152:JPP262229 JPP327688:JPP327765 JPP393224:JPP393301 JPP458760:JPP458837 JPP524296:JPP524373 JPP589832:JPP589909 JPP655368:JPP655445 JPP720904:JPP720981 JPP786440:JPP786517 JPP851976:JPP852053 JPP917512:JPP917589 JPP983048:JPP983125 JZL2:JZL85 JZL65544:JZL65621 JZL131080:JZL131157 JZL196616:JZL196693 JZL262152:JZL262229 JZL327688:JZL327765 JZL393224:JZL393301 JZL458760:JZL458837 JZL524296:JZL524373 JZL589832:JZL589909 JZL655368:JZL655445 JZL720904:JZL720981 JZL786440:JZL786517 JZL851976:JZL852053 JZL917512:JZL917589 JZL983048:JZL983125 KJH2:KJH85 KJH65544:KJH65621 KJH131080:KJH131157 KJH196616:KJH196693 KJH262152:KJH262229 KJH327688:KJH327765 KJH393224:KJH393301 KJH458760:KJH458837 KJH524296:KJH524373 KJH589832:KJH589909 KJH655368:KJH655445 KJH720904:KJH720981 KJH786440:KJH786517 KJH851976:KJH852053 KJH917512:KJH917589 KJH983048:KJH983125 KTD2:KTD85 KTD65544:KTD65621 KTD131080:KTD131157 KTD196616:KTD196693 KTD262152:KTD262229 KTD327688:KTD327765 KTD393224:KTD393301 KTD458760:KTD458837 KTD524296:KTD524373 KTD589832:KTD589909 KTD655368:KTD655445 KTD720904:KTD720981 KTD786440:KTD786517 KTD851976:KTD852053 KTD917512:KTD917589 KTD983048:KTD983125 LCZ2:LCZ85 LCZ65544:LCZ65621 LCZ131080:LCZ131157 LCZ196616:LCZ196693 LCZ262152:LCZ262229 LCZ327688:LCZ327765 LCZ393224:LCZ393301 LCZ458760:LCZ458837 LCZ524296:LCZ524373 LCZ589832:LCZ589909 LCZ655368:LCZ655445 LCZ720904:LCZ720981 LCZ786440:LCZ786517 LCZ851976:LCZ852053 LCZ917512:LCZ917589 LCZ983048:LCZ983125 LMV2:LMV85 LMV65544:LMV65621 LMV131080:LMV131157 LMV196616:LMV196693 LMV262152:LMV262229 LMV327688:LMV327765 LMV393224:LMV393301 LMV458760:LMV458837 LMV524296:LMV524373 LMV589832:LMV589909 LMV655368:LMV655445 LMV720904:LMV720981 LMV786440:LMV786517 LMV851976:LMV852053 LMV917512:LMV917589 LMV983048:LMV983125 LWR2:LWR85 LWR65544:LWR65621 LWR131080:LWR131157 LWR196616:LWR196693 LWR262152:LWR262229 LWR327688:LWR327765 LWR393224:LWR393301 LWR458760:LWR458837 LWR524296:LWR524373 LWR589832:LWR589909 LWR655368:LWR655445 LWR720904:LWR720981 LWR786440:LWR786517 LWR851976:LWR852053 LWR917512:LWR917589 LWR983048:LWR983125 MGN2:MGN85 MGN65544:MGN65621 MGN131080:MGN131157 MGN196616:MGN196693 MGN262152:MGN262229 MGN327688:MGN327765 MGN393224:MGN393301 MGN458760:MGN458837 MGN524296:MGN524373 MGN589832:MGN589909 MGN655368:MGN655445 MGN720904:MGN720981 MGN786440:MGN786517 MGN851976:MGN852053 MGN917512:MGN917589 MGN983048:MGN983125 MQJ2:MQJ85 MQJ65544:MQJ65621 MQJ131080:MQJ131157 MQJ196616:MQJ196693 MQJ262152:MQJ262229 MQJ327688:MQJ327765 MQJ393224:MQJ393301 MQJ458760:MQJ458837 MQJ524296:MQJ524373 MQJ589832:MQJ589909 MQJ655368:MQJ655445 MQJ720904:MQJ720981 MQJ786440:MQJ786517 MQJ851976:MQJ852053 MQJ917512:MQJ917589 MQJ983048:MQJ983125 NAF2:NAF85 NAF65544:NAF65621 NAF131080:NAF131157 NAF196616:NAF196693 NAF262152:NAF262229 NAF327688:NAF327765 NAF393224:NAF393301 NAF458760:NAF458837 NAF524296:NAF524373 NAF589832:NAF589909 NAF655368:NAF655445 NAF720904:NAF720981 NAF786440:NAF786517 NAF851976:NAF852053 NAF917512:NAF917589 NAF983048:NAF983125 NKB2:NKB85 NKB65544:NKB65621 NKB131080:NKB131157 NKB196616:NKB196693 NKB262152:NKB262229 NKB327688:NKB327765 NKB393224:NKB393301 NKB458760:NKB458837 NKB524296:NKB524373 NKB589832:NKB589909 NKB655368:NKB655445 NKB720904:NKB720981 NKB786440:NKB786517 NKB851976:NKB852053 NKB917512:NKB917589 NKB983048:NKB983125 NTX2:NTX85 NTX65544:NTX65621 NTX131080:NTX131157 NTX196616:NTX196693 NTX262152:NTX262229 NTX327688:NTX327765 NTX393224:NTX393301 NTX458760:NTX458837 NTX524296:NTX524373 NTX589832:NTX589909 NTX655368:NTX655445 NTX720904:NTX720981 NTX786440:NTX786517 NTX851976:NTX852053 NTX917512:NTX917589 NTX983048:NTX983125 ODT2:ODT85 ODT65544:ODT65621 ODT131080:ODT131157 ODT196616:ODT196693 ODT262152:ODT262229 ODT327688:ODT327765 ODT393224:ODT393301 ODT458760:ODT458837 ODT524296:ODT524373 ODT589832:ODT589909 ODT655368:ODT655445 ODT720904:ODT720981 ODT786440:ODT786517 ODT851976:ODT852053 ODT917512:ODT917589 ODT983048:ODT983125 ONP2:ONP85 ONP65544:ONP65621 ONP131080:ONP131157 ONP196616:ONP196693 ONP262152:ONP262229 ONP327688:ONP327765 ONP393224:ONP393301 ONP458760:ONP458837 ONP524296:ONP524373 ONP589832:ONP589909 ONP655368:ONP655445 ONP720904:ONP720981 ONP786440:ONP786517 ONP851976:ONP852053 ONP917512:ONP917589 ONP983048:ONP983125 OXL2:OXL85 OXL65544:OXL65621 OXL131080:OXL131157 OXL196616:OXL196693 OXL262152:OXL262229 OXL327688:OXL327765 OXL393224:OXL393301 OXL458760:OXL458837 OXL524296:OXL524373 OXL589832:OXL589909 OXL655368:OXL655445 OXL720904:OXL720981 OXL786440:OXL786517 OXL851976:OXL852053 OXL917512:OXL917589 OXL983048:OXL983125 PHH2:PHH85 PHH65544:PHH65621 PHH131080:PHH131157 PHH196616:PHH196693 PHH262152:PHH262229 PHH327688:PHH327765 PHH393224:PHH393301 PHH458760:PHH458837 PHH524296:PHH524373 PHH589832:PHH589909 PHH655368:PHH655445 PHH720904:PHH720981 PHH786440:PHH786517 PHH851976:PHH852053 PHH917512:PHH917589 PHH983048:PHH983125 PRD2:PRD85 PRD65544:PRD65621 PRD131080:PRD131157 PRD196616:PRD196693 PRD262152:PRD262229 PRD327688:PRD327765 PRD393224:PRD393301 PRD458760:PRD458837 PRD524296:PRD524373 PRD589832:PRD589909 PRD655368:PRD655445 PRD720904:PRD720981 PRD786440:PRD786517 PRD851976:PRD852053 PRD917512:PRD917589 PRD983048:PRD983125 QAZ2:QAZ85 QAZ65544:QAZ65621 QAZ131080:QAZ131157 QAZ196616:QAZ196693 QAZ262152:QAZ262229 QAZ327688:QAZ327765 QAZ393224:QAZ393301 QAZ458760:QAZ458837 QAZ524296:QAZ524373 QAZ589832:QAZ589909 QAZ655368:QAZ655445 QAZ720904:QAZ720981 QAZ786440:QAZ786517 QAZ851976:QAZ852053 QAZ917512:QAZ917589 QAZ983048:QAZ983125 QKV2:QKV85 QKV65544:QKV65621 QKV131080:QKV131157 QKV196616:QKV196693 QKV262152:QKV262229 QKV327688:QKV327765 QKV393224:QKV393301 QKV458760:QKV458837 QKV524296:QKV524373 QKV589832:QKV589909 QKV655368:QKV655445 QKV720904:QKV720981 QKV786440:QKV786517 QKV851976:QKV852053 QKV917512:QKV917589 QKV983048:QKV983125 QUR2:QUR85 QUR65544:QUR65621 QUR131080:QUR131157 QUR196616:QUR196693 QUR262152:QUR262229 QUR327688:QUR327765 QUR393224:QUR393301 QUR458760:QUR458837 QUR524296:QUR524373 QUR589832:QUR589909 QUR655368:QUR655445 QUR720904:QUR720981 QUR786440:QUR786517 QUR851976:QUR852053 QUR917512:QUR917589 QUR983048:QUR983125 REN2:REN85 REN65544:REN65621 REN131080:REN131157 REN196616:REN196693 REN262152:REN262229 REN327688:REN327765 REN393224:REN393301 REN458760:REN458837 REN524296:REN524373 REN589832:REN589909 REN655368:REN655445 REN720904:REN720981 REN786440:REN786517 REN851976:REN852053 REN917512:REN917589 REN983048:REN983125 ROJ2:ROJ85 ROJ65544:ROJ65621 ROJ131080:ROJ131157 ROJ196616:ROJ196693 ROJ262152:ROJ262229 ROJ327688:ROJ327765 ROJ393224:ROJ393301 ROJ458760:ROJ458837 ROJ524296:ROJ524373 ROJ589832:ROJ589909 ROJ655368:ROJ655445 ROJ720904:ROJ720981 ROJ786440:ROJ786517 ROJ851976:ROJ852053 ROJ917512:ROJ917589 ROJ983048:ROJ983125 RYF2:RYF85 RYF65544:RYF65621 RYF131080:RYF131157 RYF196616:RYF196693 RYF262152:RYF262229 RYF327688:RYF327765 RYF393224:RYF393301 RYF458760:RYF458837 RYF524296:RYF524373 RYF589832:RYF589909 RYF655368:RYF655445 RYF720904:RYF720981 RYF786440:RYF786517 RYF851976:RYF852053 RYF917512:RYF917589 RYF983048:RYF983125 SIB2:SIB85 SIB65544:SIB65621 SIB131080:SIB131157 SIB196616:SIB196693 SIB262152:SIB262229 SIB327688:SIB327765 SIB393224:SIB393301 SIB458760:SIB458837 SIB524296:SIB524373 SIB589832:SIB589909 SIB655368:SIB655445 SIB720904:SIB720981 SIB786440:SIB786517 SIB851976:SIB852053 SIB917512:SIB917589 SIB983048:SIB983125 SRX2:SRX85 SRX65544:SRX65621 SRX131080:SRX131157 SRX196616:SRX196693 SRX262152:SRX262229 SRX327688:SRX327765 SRX393224:SRX393301 SRX458760:SRX458837 SRX524296:SRX524373 SRX589832:SRX589909 SRX655368:SRX655445 SRX720904:SRX720981 SRX786440:SRX786517 SRX851976:SRX852053 SRX917512:SRX917589 SRX983048:SRX983125 TBT2:TBT85 TBT65544:TBT65621 TBT131080:TBT131157 TBT196616:TBT196693 TBT262152:TBT262229 TBT327688:TBT327765 TBT393224:TBT393301 TBT458760:TBT458837 TBT524296:TBT524373 TBT589832:TBT589909 TBT655368:TBT655445 TBT720904:TBT720981 TBT786440:TBT786517 TBT851976:TBT852053 TBT917512:TBT917589 TBT983048:TBT983125 TLP2:TLP85 TLP65544:TLP65621 TLP131080:TLP131157 TLP196616:TLP196693 TLP262152:TLP262229 TLP327688:TLP327765 TLP393224:TLP393301 TLP458760:TLP458837 TLP524296:TLP524373 TLP589832:TLP589909 TLP655368:TLP655445 TLP720904:TLP720981 TLP786440:TLP786517 TLP851976:TLP852053 TLP917512:TLP917589 TLP983048:TLP983125 TVL2:TVL85 TVL65544:TVL65621 TVL131080:TVL131157 TVL196616:TVL196693 TVL262152:TVL262229 TVL327688:TVL327765 TVL393224:TVL393301 TVL458760:TVL458837 TVL524296:TVL524373 TVL589832:TVL589909 TVL655368:TVL655445 TVL720904:TVL720981 TVL786440:TVL786517 TVL851976:TVL852053 TVL917512:TVL917589 TVL983048:TVL983125 UFH2:UFH85 UFH65544:UFH65621 UFH131080:UFH131157 UFH196616:UFH196693 UFH262152:UFH262229 UFH327688:UFH327765 UFH393224:UFH393301 UFH458760:UFH458837 UFH524296:UFH524373 UFH589832:UFH589909 UFH655368:UFH655445 UFH720904:UFH720981 UFH786440:UFH786517 UFH851976:UFH852053 UFH917512:UFH917589 UFH983048:UFH983125 UPD2:UPD85 UPD65544:UPD65621 UPD131080:UPD131157 UPD196616:UPD196693 UPD262152:UPD262229 UPD327688:UPD327765 UPD393224:UPD393301 UPD458760:UPD458837 UPD524296:UPD524373 UPD589832:UPD589909 UPD655368:UPD655445 UPD720904:UPD720981 UPD786440:UPD786517 UPD851976:UPD852053 UPD917512:UPD917589 UPD983048:UPD983125 UYZ2:UYZ85 UYZ65544:UYZ65621 UYZ131080:UYZ131157 UYZ196616:UYZ196693 UYZ262152:UYZ262229 UYZ327688:UYZ327765 UYZ393224:UYZ393301 UYZ458760:UYZ458837 UYZ524296:UYZ524373 UYZ589832:UYZ589909 UYZ655368:UYZ655445 UYZ720904:UYZ720981 UYZ786440:UYZ786517 UYZ851976:UYZ852053 UYZ917512:UYZ917589 UYZ983048:UYZ983125 VIV2:VIV85 VIV65544:VIV65621 VIV131080:VIV131157 VIV196616:VIV196693 VIV262152:VIV262229 VIV327688:VIV327765 VIV393224:VIV393301 VIV458760:VIV458837 VIV524296:VIV524373 VIV589832:VIV589909 VIV655368:VIV655445 VIV720904:VIV720981 VIV786440:VIV786517 VIV851976:VIV852053 VIV917512:VIV917589 VIV983048:VIV983125 VSR2:VSR85 VSR65544:VSR65621 VSR131080:VSR131157 VSR196616:VSR196693 VSR262152:VSR262229 VSR327688:VSR327765 VSR393224:VSR393301 VSR458760:VSR458837 VSR524296:VSR524373 VSR589832:VSR589909 VSR655368:VSR655445 VSR720904:VSR720981 VSR786440:VSR786517 VSR851976:VSR852053 VSR917512:VSR917589 VSR983048:VSR983125 WCN2:WCN85 WCN65544:WCN65621 WCN131080:WCN131157 WCN196616:WCN196693 WCN262152:WCN262229 WCN327688:WCN327765 WCN393224:WCN393301 WCN458760:WCN458837 WCN524296:WCN524373 WCN589832:WCN589909 WCN655368:WCN655445 WCN720904:WCN720981 WCN786440:WCN786517 WCN851976:WCN852053 WCN917512:WCN917589 WCN983048:WCN983125 WMJ2:WMJ85 WMJ65544:WMJ65621 WMJ131080:WMJ131157 WMJ196616:WMJ196693 WMJ262152:WMJ262229 WMJ327688:WMJ327765 WMJ393224:WMJ393301 WMJ458760:WMJ458837 WMJ524296:WMJ524373 WMJ589832:WMJ589909 WMJ655368:WMJ655445 WMJ720904:WMJ720981 WMJ786440:WMJ786517 WMJ851976:WMJ852053 WMJ917512:WMJ917589 WMJ983048:WMJ983125 WWF2:WWF85 WWF65544:WWF65621 WWF131080:WWF131157 WWF196616:WWF196693 WWF262152:WWF262229 WWF327688:WWF327765 WWF393224:WWF393301 WWF458760:WWF458837 WWF524296:WWF524373 WWF589832:WWF589909 WWF655368:WWF655445 WWF720904:WWF720981 WWF786440:WWF786517 WWF851976:WWF852053 WWF917512:WWF917589 WWF983048:WWF983125">
      <formula1>$AT$2:$AT$3</formula1>
    </dataValidation>
    <dataValidation type="list" allowBlank="1" showInputMessage="1" showErrorMessage="1" sqref="K2:K95">
      <formula1>$AR$2:$AR$26</formula1>
    </dataValidation>
    <dataValidation type="list" allowBlank="1" showInputMessage="1" showErrorMessage="1" sqref="K96:K506 K65544:K65621 K131080:K131157 K196616:K196693 K262152:K262229 K327688:K327765 K393224:K393301 K458760:K458837 K524296:K524373 K589832:K589909 K655368:K655445 K720904:K720981 K786440:K786517 K851976:K852053 K917512:K917589 K983048:K983125 JG2:JG85 JG65544:JG65621 JG131080:JG131157 JG196616:JG196693 JG262152:JG262229 JG327688:JG327765 JG393224:JG393301 JG458760:JG458837 JG524296:JG524373 JG589832:JG589909 JG655368:JG655445 JG720904:JG720981 JG786440:JG786517 JG851976:JG852053 JG917512:JG917589 JG983048:JG983125 TC2:TC85 TC65544:TC65621 TC131080:TC131157 TC196616:TC196693 TC262152:TC262229 TC327688:TC327765 TC393224:TC393301 TC458760:TC458837 TC524296:TC524373 TC589832:TC589909 TC655368:TC655445 TC720904:TC720981 TC786440:TC786517 TC851976:TC852053 TC917512:TC917589 TC983048:TC983125 ACY2:ACY85 ACY65544:ACY65621 ACY131080:ACY131157 ACY196616:ACY196693 ACY262152:ACY262229 ACY327688:ACY327765 ACY393224:ACY393301 ACY458760:ACY458837 ACY524296:ACY524373 ACY589832:ACY589909 ACY655368:ACY655445 ACY720904:ACY720981 ACY786440:ACY786517 ACY851976:ACY852053 ACY917512:ACY917589 ACY983048:ACY983125 AMU2:AMU85 AMU65544:AMU65621 AMU131080:AMU131157 AMU196616:AMU196693 AMU262152:AMU262229 AMU327688:AMU327765 AMU393224:AMU393301 AMU458760:AMU458837 AMU524296:AMU524373 AMU589832:AMU589909 AMU655368:AMU655445 AMU720904:AMU720981 AMU786440:AMU786517 AMU851976:AMU852053 AMU917512:AMU917589 AMU983048:AMU983125 AWQ2:AWQ85 AWQ65544:AWQ65621 AWQ131080:AWQ131157 AWQ196616:AWQ196693 AWQ262152:AWQ262229 AWQ327688:AWQ327765 AWQ393224:AWQ393301 AWQ458760:AWQ458837 AWQ524296:AWQ524373 AWQ589832:AWQ589909 AWQ655368:AWQ655445 AWQ720904:AWQ720981 AWQ786440:AWQ786517 AWQ851976:AWQ852053 AWQ917512:AWQ917589 AWQ983048:AWQ983125 BGM2:BGM85 BGM65544:BGM65621 BGM131080:BGM131157 BGM196616:BGM196693 BGM262152:BGM262229 BGM327688:BGM327765 BGM393224:BGM393301 BGM458760:BGM458837 BGM524296:BGM524373 BGM589832:BGM589909 BGM655368:BGM655445 BGM720904:BGM720981 BGM786440:BGM786517 BGM851976:BGM852053 BGM917512:BGM917589 BGM983048:BGM983125 BQI2:BQI85 BQI65544:BQI65621 BQI131080:BQI131157 BQI196616:BQI196693 BQI262152:BQI262229 BQI327688:BQI327765 BQI393224:BQI393301 BQI458760:BQI458837 BQI524296:BQI524373 BQI589832:BQI589909 BQI655368:BQI655445 BQI720904:BQI720981 BQI786440:BQI786517 BQI851976:BQI852053 BQI917512:BQI917589 BQI983048:BQI983125 CAE2:CAE85 CAE65544:CAE65621 CAE131080:CAE131157 CAE196616:CAE196693 CAE262152:CAE262229 CAE327688:CAE327765 CAE393224:CAE393301 CAE458760:CAE458837 CAE524296:CAE524373 CAE589832:CAE589909 CAE655368:CAE655445 CAE720904:CAE720981 CAE786440:CAE786517 CAE851976:CAE852053 CAE917512:CAE917589 CAE983048:CAE983125 CKA2:CKA85 CKA65544:CKA65621 CKA131080:CKA131157 CKA196616:CKA196693 CKA262152:CKA262229 CKA327688:CKA327765 CKA393224:CKA393301 CKA458760:CKA458837 CKA524296:CKA524373 CKA589832:CKA589909 CKA655368:CKA655445 CKA720904:CKA720981 CKA786440:CKA786517 CKA851976:CKA852053 CKA917512:CKA917589 CKA983048:CKA983125 CTW2:CTW85 CTW65544:CTW65621 CTW131080:CTW131157 CTW196616:CTW196693 CTW262152:CTW262229 CTW327688:CTW327765 CTW393224:CTW393301 CTW458760:CTW458837 CTW524296:CTW524373 CTW589832:CTW589909 CTW655368:CTW655445 CTW720904:CTW720981 CTW786440:CTW786517 CTW851976:CTW852053 CTW917512:CTW917589 CTW983048:CTW983125 DDS2:DDS85 DDS65544:DDS65621 DDS131080:DDS131157 DDS196616:DDS196693 DDS262152:DDS262229 DDS327688:DDS327765 DDS393224:DDS393301 DDS458760:DDS458837 DDS524296:DDS524373 DDS589832:DDS589909 DDS655368:DDS655445 DDS720904:DDS720981 DDS786440:DDS786517 DDS851976:DDS852053 DDS917512:DDS917589 DDS983048:DDS983125 DNO2:DNO85 DNO65544:DNO65621 DNO131080:DNO131157 DNO196616:DNO196693 DNO262152:DNO262229 DNO327688:DNO327765 DNO393224:DNO393301 DNO458760:DNO458837 DNO524296:DNO524373 DNO589832:DNO589909 DNO655368:DNO655445 DNO720904:DNO720981 DNO786440:DNO786517 DNO851976:DNO852053 DNO917512:DNO917589 DNO983048:DNO983125 DXK2:DXK85 DXK65544:DXK65621 DXK131080:DXK131157 DXK196616:DXK196693 DXK262152:DXK262229 DXK327688:DXK327765 DXK393224:DXK393301 DXK458760:DXK458837 DXK524296:DXK524373 DXK589832:DXK589909 DXK655368:DXK655445 DXK720904:DXK720981 DXK786440:DXK786517 DXK851976:DXK852053 DXK917512:DXK917589 DXK983048:DXK983125 EHG2:EHG85 EHG65544:EHG65621 EHG131080:EHG131157 EHG196616:EHG196693 EHG262152:EHG262229 EHG327688:EHG327765 EHG393224:EHG393301 EHG458760:EHG458837 EHG524296:EHG524373 EHG589832:EHG589909 EHG655368:EHG655445 EHG720904:EHG720981 EHG786440:EHG786517 EHG851976:EHG852053 EHG917512:EHG917589 EHG983048:EHG983125 ERC2:ERC85 ERC65544:ERC65621 ERC131080:ERC131157 ERC196616:ERC196693 ERC262152:ERC262229 ERC327688:ERC327765 ERC393224:ERC393301 ERC458760:ERC458837 ERC524296:ERC524373 ERC589832:ERC589909 ERC655368:ERC655445 ERC720904:ERC720981 ERC786440:ERC786517 ERC851976:ERC852053 ERC917512:ERC917589 ERC983048:ERC983125 FAY2:FAY85 FAY65544:FAY65621 FAY131080:FAY131157 FAY196616:FAY196693 FAY262152:FAY262229 FAY327688:FAY327765 FAY393224:FAY393301 FAY458760:FAY458837 FAY524296:FAY524373 FAY589832:FAY589909 FAY655368:FAY655445 FAY720904:FAY720981 FAY786440:FAY786517 FAY851976:FAY852053 FAY917512:FAY917589 FAY983048:FAY983125 FKU2:FKU85 FKU65544:FKU65621 FKU131080:FKU131157 FKU196616:FKU196693 FKU262152:FKU262229 FKU327688:FKU327765 FKU393224:FKU393301 FKU458760:FKU458837 FKU524296:FKU524373 FKU589832:FKU589909 FKU655368:FKU655445 FKU720904:FKU720981 FKU786440:FKU786517 FKU851976:FKU852053 FKU917512:FKU917589 FKU983048:FKU983125 FUQ2:FUQ85 FUQ65544:FUQ65621 FUQ131080:FUQ131157 FUQ196616:FUQ196693 FUQ262152:FUQ262229 FUQ327688:FUQ327765 FUQ393224:FUQ393301 FUQ458760:FUQ458837 FUQ524296:FUQ524373 FUQ589832:FUQ589909 FUQ655368:FUQ655445 FUQ720904:FUQ720981 FUQ786440:FUQ786517 FUQ851976:FUQ852053 FUQ917512:FUQ917589 FUQ983048:FUQ983125 GEM2:GEM85 GEM65544:GEM65621 GEM131080:GEM131157 GEM196616:GEM196693 GEM262152:GEM262229 GEM327688:GEM327765 GEM393224:GEM393301 GEM458760:GEM458837 GEM524296:GEM524373 GEM589832:GEM589909 GEM655368:GEM655445 GEM720904:GEM720981 GEM786440:GEM786517 GEM851976:GEM852053 GEM917512:GEM917589 GEM983048:GEM983125 GOI2:GOI85 GOI65544:GOI65621 GOI131080:GOI131157 GOI196616:GOI196693 GOI262152:GOI262229 GOI327688:GOI327765 GOI393224:GOI393301 GOI458760:GOI458837 GOI524296:GOI524373 GOI589832:GOI589909 GOI655368:GOI655445 GOI720904:GOI720981 GOI786440:GOI786517 GOI851976:GOI852053 GOI917512:GOI917589 GOI983048:GOI983125 GYE2:GYE85 GYE65544:GYE65621 GYE131080:GYE131157 GYE196616:GYE196693 GYE262152:GYE262229 GYE327688:GYE327765 GYE393224:GYE393301 GYE458760:GYE458837 GYE524296:GYE524373 GYE589832:GYE589909 GYE655368:GYE655445 GYE720904:GYE720981 GYE786440:GYE786517 GYE851976:GYE852053 GYE917512:GYE917589 GYE983048:GYE983125 HIA2:HIA85 HIA65544:HIA65621 HIA131080:HIA131157 HIA196616:HIA196693 HIA262152:HIA262229 HIA327688:HIA327765 HIA393224:HIA393301 HIA458760:HIA458837 HIA524296:HIA524373 HIA589832:HIA589909 HIA655368:HIA655445 HIA720904:HIA720981 HIA786440:HIA786517 HIA851976:HIA852053 HIA917512:HIA917589 HIA983048:HIA983125 HRW2:HRW85 HRW65544:HRW65621 HRW131080:HRW131157 HRW196616:HRW196693 HRW262152:HRW262229 HRW327688:HRW327765 HRW393224:HRW393301 HRW458760:HRW458837 HRW524296:HRW524373 HRW589832:HRW589909 HRW655368:HRW655445 HRW720904:HRW720981 HRW786440:HRW786517 HRW851976:HRW852053 HRW917512:HRW917589 HRW983048:HRW983125 IBS2:IBS85 IBS65544:IBS65621 IBS131080:IBS131157 IBS196616:IBS196693 IBS262152:IBS262229 IBS327688:IBS327765 IBS393224:IBS393301 IBS458760:IBS458837 IBS524296:IBS524373 IBS589832:IBS589909 IBS655368:IBS655445 IBS720904:IBS720981 IBS786440:IBS786517 IBS851976:IBS852053 IBS917512:IBS917589 IBS983048:IBS983125 ILO2:ILO85 ILO65544:ILO65621 ILO131080:ILO131157 ILO196616:ILO196693 ILO262152:ILO262229 ILO327688:ILO327765 ILO393224:ILO393301 ILO458760:ILO458837 ILO524296:ILO524373 ILO589832:ILO589909 ILO655368:ILO655445 ILO720904:ILO720981 ILO786440:ILO786517 ILO851976:ILO852053 ILO917512:ILO917589 ILO983048:ILO983125 IVK2:IVK85 IVK65544:IVK65621 IVK131080:IVK131157 IVK196616:IVK196693 IVK262152:IVK262229 IVK327688:IVK327765 IVK393224:IVK393301 IVK458760:IVK458837 IVK524296:IVK524373 IVK589832:IVK589909 IVK655368:IVK655445 IVK720904:IVK720981 IVK786440:IVK786517 IVK851976:IVK852053 IVK917512:IVK917589 IVK983048:IVK983125 JFG2:JFG85 JFG65544:JFG65621 JFG131080:JFG131157 JFG196616:JFG196693 JFG262152:JFG262229 JFG327688:JFG327765 JFG393224:JFG393301 JFG458760:JFG458837 JFG524296:JFG524373 JFG589832:JFG589909 JFG655368:JFG655445 JFG720904:JFG720981 JFG786440:JFG786517 JFG851976:JFG852053 JFG917512:JFG917589 JFG983048:JFG983125 JPC2:JPC85 JPC65544:JPC65621 JPC131080:JPC131157 JPC196616:JPC196693 JPC262152:JPC262229 JPC327688:JPC327765 JPC393224:JPC393301 JPC458760:JPC458837 JPC524296:JPC524373 JPC589832:JPC589909 JPC655368:JPC655445 JPC720904:JPC720981 JPC786440:JPC786517 JPC851976:JPC852053 JPC917512:JPC917589 JPC983048:JPC983125 JYY2:JYY85 JYY65544:JYY65621 JYY131080:JYY131157 JYY196616:JYY196693 JYY262152:JYY262229 JYY327688:JYY327765 JYY393224:JYY393301 JYY458760:JYY458837 JYY524296:JYY524373 JYY589832:JYY589909 JYY655368:JYY655445 JYY720904:JYY720981 JYY786440:JYY786517 JYY851976:JYY852053 JYY917512:JYY917589 JYY983048:JYY983125 KIU2:KIU85 KIU65544:KIU65621 KIU131080:KIU131157 KIU196616:KIU196693 KIU262152:KIU262229 KIU327688:KIU327765 KIU393224:KIU393301 KIU458760:KIU458837 KIU524296:KIU524373 KIU589832:KIU589909 KIU655368:KIU655445 KIU720904:KIU720981 KIU786440:KIU786517 KIU851976:KIU852053 KIU917512:KIU917589 KIU983048:KIU983125 KSQ2:KSQ85 KSQ65544:KSQ65621 KSQ131080:KSQ131157 KSQ196616:KSQ196693 KSQ262152:KSQ262229 KSQ327688:KSQ327765 KSQ393224:KSQ393301 KSQ458760:KSQ458837 KSQ524296:KSQ524373 KSQ589832:KSQ589909 KSQ655368:KSQ655445 KSQ720904:KSQ720981 KSQ786440:KSQ786517 KSQ851976:KSQ852053 KSQ917512:KSQ917589 KSQ983048:KSQ983125 LCM2:LCM85 LCM65544:LCM65621 LCM131080:LCM131157 LCM196616:LCM196693 LCM262152:LCM262229 LCM327688:LCM327765 LCM393224:LCM393301 LCM458760:LCM458837 LCM524296:LCM524373 LCM589832:LCM589909 LCM655368:LCM655445 LCM720904:LCM720981 LCM786440:LCM786517 LCM851976:LCM852053 LCM917512:LCM917589 LCM983048:LCM983125 LMI2:LMI85 LMI65544:LMI65621 LMI131080:LMI131157 LMI196616:LMI196693 LMI262152:LMI262229 LMI327688:LMI327765 LMI393224:LMI393301 LMI458760:LMI458837 LMI524296:LMI524373 LMI589832:LMI589909 LMI655368:LMI655445 LMI720904:LMI720981 LMI786440:LMI786517 LMI851976:LMI852053 LMI917512:LMI917589 LMI983048:LMI983125 LWE2:LWE85 LWE65544:LWE65621 LWE131080:LWE131157 LWE196616:LWE196693 LWE262152:LWE262229 LWE327688:LWE327765 LWE393224:LWE393301 LWE458760:LWE458837 LWE524296:LWE524373 LWE589832:LWE589909 LWE655368:LWE655445 LWE720904:LWE720981 LWE786440:LWE786517 LWE851976:LWE852053 LWE917512:LWE917589 LWE983048:LWE983125 MGA2:MGA85 MGA65544:MGA65621 MGA131080:MGA131157 MGA196616:MGA196693 MGA262152:MGA262229 MGA327688:MGA327765 MGA393224:MGA393301 MGA458760:MGA458837 MGA524296:MGA524373 MGA589832:MGA589909 MGA655368:MGA655445 MGA720904:MGA720981 MGA786440:MGA786517 MGA851976:MGA852053 MGA917512:MGA917589 MGA983048:MGA983125 MPW2:MPW85 MPW65544:MPW65621 MPW131080:MPW131157 MPW196616:MPW196693 MPW262152:MPW262229 MPW327688:MPW327765 MPW393224:MPW393301 MPW458760:MPW458837 MPW524296:MPW524373 MPW589832:MPW589909 MPW655368:MPW655445 MPW720904:MPW720981 MPW786440:MPW786517 MPW851976:MPW852053 MPW917512:MPW917589 MPW983048:MPW983125 MZS2:MZS85 MZS65544:MZS65621 MZS131080:MZS131157 MZS196616:MZS196693 MZS262152:MZS262229 MZS327688:MZS327765 MZS393224:MZS393301 MZS458760:MZS458837 MZS524296:MZS524373 MZS589832:MZS589909 MZS655368:MZS655445 MZS720904:MZS720981 MZS786440:MZS786517 MZS851976:MZS852053 MZS917512:MZS917589 MZS983048:MZS983125 NJO2:NJO85 NJO65544:NJO65621 NJO131080:NJO131157 NJO196616:NJO196693 NJO262152:NJO262229 NJO327688:NJO327765 NJO393224:NJO393301 NJO458760:NJO458837 NJO524296:NJO524373 NJO589832:NJO589909 NJO655368:NJO655445 NJO720904:NJO720981 NJO786440:NJO786517 NJO851976:NJO852053 NJO917512:NJO917589 NJO983048:NJO983125 NTK2:NTK85 NTK65544:NTK65621 NTK131080:NTK131157 NTK196616:NTK196693 NTK262152:NTK262229 NTK327688:NTK327765 NTK393224:NTK393301 NTK458760:NTK458837 NTK524296:NTK524373 NTK589832:NTK589909 NTK655368:NTK655445 NTK720904:NTK720981 NTK786440:NTK786517 NTK851976:NTK852053 NTK917512:NTK917589 NTK983048:NTK983125 ODG2:ODG85 ODG65544:ODG65621 ODG131080:ODG131157 ODG196616:ODG196693 ODG262152:ODG262229 ODG327688:ODG327765 ODG393224:ODG393301 ODG458760:ODG458837 ODG524296:ODG524373 ODG589832:ODG589909 ODG655368:ODG655445 ODG720904:ODG720981 ODG786440:ODG786517 ODG851976:ODG852053 ODG917512:ODG917589 ODG983048:ODG983125 ONC2:ONC85 ONC65544:ONC65621 ONC131080:ONC131157 ONC196616:ONC196693 ONC262152:ONC262229 ONC327688:ONC327765 ONC393224:ONC393301 ONC458760:ONC458837 ONC524296:ONC524373 ONC589832:ONC589909 ONC655368:ONC655445 ONC720904:ONC720981 ONC786440:ONC786517 ONC851976:ONC852053 ONC917512:ONC917589 ONC983048:ONC983125 OWY2:OWY85 OWY65544:OWY65621 OWY131080:OWY131157 OWY196616:OWY196693 OWY262152:OWY262229 OWY327688:OWY327765 OWY393224:OWY393301 OWY458760:OWY458837 OWY524296:OWY524373 OWY589832:OWY589909 OWY655368:OWY655445 OWY720904:OWY720981 OWY786440:OWY786517 OWY851976:OWY852053 OWY917512:OWY917589 OWY983048:OWY983125 PGU2:PGU85 PGU65544:PGU65621 PGU131080:PGU131157 PGU196616:PGU196693 PGU262152:PGU262229 PGU327688:PGU327765 PGU393224:PGU393301 PGU458760:PGU458837 PGU524296:PGU524373 PGU589832:PGU589909 PGU655368:PGU655445 PGU720904:PGU720981 PGU786440:PGU786517 PGU851976:PGU852053 PGU917512:PGU917589 PGU983048:PGU983125 PQQ2:PQQ85 PQQ65544:PQQ65621 PQQ131080:PQQ131157 PQQ196616:PQQ196693 PQQ262152:PQQ262229 PQQ327688:PQQ327765 PQQ393224:PQQ393301 PQQ458760:PQQ458837 PQQ524296:PQQ524373 PQQ589832:PQQ589909 PQQ655368:PQQ655445 PQQ720904:PQQ720981 PQQ786440:PQQ786517 PQQ851976:PQQ852053 PQQ917512:PQQ917589 PQQ983048:PQQ983125 QAM2:QAM85 QAM65544:QAM65621 QAM131080:QAM131157 QAM196616:QAM196693 QAM262152:QAM262229 QAM327688:QAM327765 QAM393224:QAM393301 QAM458760:QAM458837 QAM524296:QAM524373 QAM589832:QAM589909 QAM655368:QAM655445 QAM720904:QAM720981 QAM786440:QAM786517 QAM851976:QAM852053 QAM917512:QAM917589 QAM983048:QAM983125 QKI2:QKI85 QKI65544:QKI65621 QKI131080:QKI131157 QKI196616:QKI196693 QKI262152:QKI262229 QKI327688:QKI327765 QKI393224:QKI393301 QKI458760:QKI458837 QKI524296:QKI524373 QKI589832:QKI589909 QKI655368:QKI655445 QKI720904:QKI720981 QKI786440:QKI786517 QKI851976:QKI852053 QKI917512:QKI917589 QKI983048:QKI983125 QUE2:QUE85 QUE65544:QUE65621 QUE131080:QUE131157 QUE196616:QUE196693 QUE262152:QUE262229 QUE327688:QUE327765 QUE393224:QUE393301 QUE458760:QUE458837 QUE524296:QUE524373 QUE589832:QUE589909 QUE655368:QUE655445 QUE720904:QUE720981 QUE786440:QUE786517 QUE851976:QUE852053 QUE917512:QUE917589 QUE983048:QUE983125 REA2:REA85 REA65544:REA65621 REA131080:REA131157 REA196616:REA196693 REA262152:REA262229 REA327688:REA327765 REA393224:REA393301 REA458760:REA458837 REA524296:REA524373 REA589832:REA589909 REA655368:REA655445 REA720904:REA720981 REA786440:REA786517 REA851976:REA852053 REA917512:REA917589 REA983048:REA983125 RNW2:RNW85 RNW65544:RNW65621 RNW131080:RNW131157 RNW196616:RNW196693 RNW262152:RNW262229 RNW327688:RNW327765 RNW393224:RNW393301 RNW458760:RNW458837 RNW524296:RNW524373 RNW589832:RNW589909 RNW655368:RNW655445 RNW720904:RNW720981 RNW786440:RNW786517 RNW851976:RNW852053 RNW917512:RNW917589 RNW983048:RNW983125 RXS2:RXS85 RXS65544:RXS65621 RXS131080:RXS131157 RXS196616:RXS196693 RXS262152:RXS262229 RXS327688:RXS327765 RXS393224:RXS393301 RXS458760:RXS458837 RXS524296:RXS524373 RXS589832:RXS589909 RXS655368:RXS655445 RXS720904:RXS720981 RXS786440:RXS786517 RXS851976:RXS852053 RXS917512:RXS917589 RXS983048:RXS983125 SHO2:SHO85 SHO65544:SHO65621 SHO131080:SHO131157 SHO196616:SHO196693 SHO262152:SHO262229 SHO327688:SHO327765 SHO393224:SHO393301 SHO458760:SHO458837 SHO524296:SHO524373 SHO589832:SHO589909 SHO655368:SHO655445 SHO720904:SHO720981 SHO786440:SHO786517 SHO851976:SHO852053 SHO917512:SHO917589 SHO983048:SHO983125 SRK2:SRK85 SRK65544:SRK65621 SRK131080:SRK131157 SRK196616:SRK196693 SRK262152:SRK262229 SRK327688:SRK327765 SRK393224:SRK393301 SRK458760:SRK458837 SRK524296:SRK524373 SRK589832:SRK589909 SRK655368:SRK655445 SRK720904:SRK720981 SRK786440:SRK786517 SRK851976:SRK852053 SRK917512:SRK917589 SRK983048:SRK983125 TBG2:TBG85 TBG65544:TBG65621 TBG131080:TBG131157 TBG196616:TBG196693 TBG262152:TBG262229 TBG327688:TBG327765 TBG393224:TBG393301 TBG458760:TBG458837 TBG524296:TBG524373 TBG589832:TBG589909 TBG655368:TBG655445 TBG720904:TBG720981 TBG786440:TBG786517 TBG851976:TBG852053 TBG917512:TBG917589 TBG983048:TBG983125 TLC2:TLC85 TLC65544:TLC65621 TLC131080:TLC131157 TLC196616:TLC196693 TLC262152:TLC262229 TLC327688:TLC327765 TLC393224:TLC393301 TLC458760:TLC458837 TLC524296:TLC524373 TLC589832:TLC589909 TLC655368:TLC655445 TLC720904:TLC720981 TLC786440:TLC786517 TLC851976:TLC852053 TLC917512:TLC917589 TLC983048:TLC983125 TUY2:TUY85 TUY65544:TUY65621 TUY131080:TUY131157 TUY196616:TUY196693 TUY262152:TUY262229 TUY327688:TUY327765 TUY393224:TUY393301 TUY458760:TUY458837 TUY524296:TUY524373 TUY589832:TUY589909 TUY655368:TUY655445 TUY720904:TUY720981 TUY786440:TUY786517 TUY851976:TUY852053 TUY917512:TUY917589 TUY983048:TUY983125 UEU2:UEU85 UEU65544:UEU65621 UEU131080:UEU131157 UEU196616:UEU196693 UEU262152:UEU262229 UEU327688:UEU327765 UEU393224:UEU393301 UEU458760:UEU458837 UEU524296:UEU524373 UEU589832:UEU589909 UEU655368:UEU655445 UEU720904:UEU720981 UEU786440:UEU786517 UEU851976:UEU852053 UEU917512:UEU917589 UEU983048:UEU983125 UOQ2:UOQ85 UOQ65544:UOQ65621 UOQ131080:UOQ131157 UOQ196616:UOQ196693 UOQ262152:UOQ262229 UOQ327688:UOQ327765 UOQ393224:UOQ393301 UOQ458760:UOQ458837 UOQ524296:UOQ524373 UOQ589832:UOQ589909 UOQ655368:UOQ655445 UOQ720904:UOQ720981 UOQ786440:UOQ786517 UOQ851976:UOQ852053 UOQ917512:UOQ917589 UOQ983048:UOQ983125 UYM2:UYM85 UYM65544:UYM65621 UYM131080:UYM131157 UYM196616:UYM196693 UYM262152:UYM262229 UYM327688:UYM327765 UYM393224:UYM393301 UYM458760:UYM458837 UYM524296:UYM524373 UYM589832:UYM589909 UYM655368:UYM655445 UYM720904:UYM720981 UYM786440:UYM786517 UYM851976:UYM852053 UYM917512:UYM917589 UYM983048:UYM983125 VII2:VII85 VII65544:VII65621 VII131080:VII131157 VII196616:VII196693 VII262152:VII262229 VII327688:VII327765 VII393224:VII393301 VII458760:VII458837 VII524296:VII524373 VII589832:VII589909 VII655368:VII655445 VII720904:VII720981 VII786440:VII786517 VII851976:VII852053 VII917512:VII917589 VII983048:VII983125 VSE2:VSE85 VSE65544:VSE65621 VSE131080:VSE131157 VSE196616:VSE196693 VSE262152:VSE262229 VSE327688:VSE327765 VSE393224:VSE393301 VSE458760:VSE458837 VSE524296:VSE524373 VSE589832:VSE589909 VSE655368:VSE655445 VSE720904:VSE720981 VSE786440:VSE786517 VSE851976:VSE852053 VSE917512:VSE917589 VSE983048:VSE983125 WCA2:WCA85 WCA65544:WCA65621 WCA131080:WCA131157 WCA196616:WCA196693 WCA262152:WCA262229 WCA327688:WCA327765 WCA393224:WCA393301 WCA458760:WCA458837 WCA524296:WCA524373 WCA589832:WCA589909 WCA655368:WCA655445 WCA720904:WCA720981 WCA786440:WCA786517 WCA851976:WCA852053 WCA917512:WCA917589 WCA983048:WCA983125 WLW2:WLW85 WLW65544:WLW65621 WLW131080:WLW131157 WLW196616:WLW196693 WLW262152:WLW262229 WLW327688:WLW327765 WLW393224:WLW393301 WLW458760:WLW458837 WLW524296:WLW524373 WLW589832:WLW589909 WLW655368:WLW655445 WLW720904:WLW720981 WLW786440:WLW786517 WLW851976:WLW852053 WLW917512:WLW917589 WLW983048:WLW983125 WVS2:WVS85 WVS65544:WVS65621 WVS131080:WVS131157 WVS196616:WVS196693 WVS262152:WVS262229 WVS327688:WVS327765 WVS393224:WVS393301 WVS458760:WVS458837 WVS524296:WVS524373 WVS589832:WVS589909 WVS655368:WVS655445 WVS720904:WVS720981 WVS786440:WVS786517 WVS851976:WVS852053 WVS917512:WVS917589 WVS983048:WVS983125">
      <formula1>$AR$2:$AR$25</formula1>
    </dataValidation>
    <dataValidation type="list" allowBlank="1" showInputMessage="1" showErrorMessage="1" sqref="F2:F737 F65544:F65621 F131080:F131157 F196616:F196693 F262152:F262229 F327688:F327765 F393224:F393301 F458760:F458837 F524296:F524373 F589832:F589909 F655368:F655445 F720904:F720981 F786440:F786517 F851976:F852053 F917512:F917589 F983048:F983125 JB2:JB85 JB65544:JB65621 JB131080:JB131157 JB196616:JB196693 JB262152:JB262229 JB327688:JB327765 JB393224:JB393301 JB458760:JB458837 JB524296:JB524373 JB589832:JB589909 JB655368:JB655445 JB720904:JB720981 JB786440:JB786517 JB851976:JB852053 JB917512:JB917589 JB983048:JB983125 SX2:SX85 SX65544:SX65621 SX131080:SX131157 SX196616:SX196693 SX262152:SX262229 SX327688:SX327765 SX393224:SX393301 SX458760:SX458837 SX524296:SX524373 SX589832:SX589909 SX655368:SX655445 SX720904:SX720981 SX786440:SX786517 SX851976:SX852053 SX917512:SX917589 SX983048:SX983125 ACT2:ACT85 ACT65544:ACT65621 ACT131080:ACT131157 ACT196616:ACT196693 ACT262152:ACT262229 ACT327688:ACT327765 ACT393224:ACT393301 ACT458760:ACT458837 ACT524296:ACT524373 ACT589832:ACT589909 ACT655368:ACT655445 ACT720904:ACT720981 ACT786440:ACT786517 ACT851976:ACT852053 ACT917512:ACT917589 ACT983048:ACT983125 AMP2:AMP85 AMP65544:AMP65621 AMP131080:AMP131157 AMP196616:AMP196693 AMP262152:AMP262229 AMP327688:AMP327765 AMP393224:AMP393301 AMP458760:AMP458837 AMP524296:AMP524373 AMP589832:AMP589909 AMP655368:AMP655445 AMP720904:AMP720981 AMP786440:AMP786517 AMP851976:AMP852053 AMP917512:AMP917589 AMP983048:AMP983125 AWL2:AWL85 AWL65544:AWL65621 AWL131080:AWL131157 AWL196616:AWL196693 AWL262152:AWL262229 AWL327688:AWL327765 AWL393224:AWL393301 AWL458760:AWL458837 AWL524296:AWL524373 AWL589832:AWL589909 AWL655368:AWL655445 AWL720904:AWL720981 AWL786440:AWL786517 AWL851976:AWL852053 AWL917512:AWL917589 AWL983048:AWL983125 BGH2:BGH85 BGH65544:BGH65621 BGH131080:BGH131157 BGH196616:BGH196693 BGH262152:BGH262229 BGH327688:BGH327765 BGH393224:BGH393301 BGH458760:BGH458837 BGH524296:BGH524373 BGH589832:BGH589909 BGH655368:BGH655445 BGH720904:BGH720981 BGH786440:BGH786517 BGH851976:BGH852053 BGH917512:BGH917589 BGH983048:BGH983125 BQD2:BQD85 BQD65544:BQD65621 BQD131080:BQD131157 BQD196616:BQD196693 BQD262152:BQD262229 BQD327688:BQD327765 BQD393224:BQD393301 BQD458760:BQD458837 BQD524296:BQD524373 BQD589832:BQD589909 BQD655368:BQD655445 BQD720904:BQD720981 BQD786440:BQD786517 BQD851976:BQD852053 BQD917512:BQD917589 BQD983048:BQD983125 BZZ2:BZZ85 BZZ65544:BZZ65621 BZZ131080:BZZ131157 BZZ196616:BZZ196693 BZZ262152:BZZ262229 BZZ327688:BZZ327765 BZZ393224:BZZ393301 BZZ458760:BZZ458837 BZZ524296:BZZ524373 BZZ589832:BZZ589909 BZZ655368:BZZ655445 BZZ720904:BZZ720981 BZZ786440:BZZ786517 BZZ851976:BZZ852053 BZZ917512:BZZ917589 BZZ983048:BZZ983125 CJV2:CJV85 CJV65544:CJV65621 CJV131080:CJV131157 CJV196616:CJV196693 CJV262152:CJV262229 CJV327688:CJV327765 CJV393224:CJV393301 CJV458760:CJV458837 CJV524296:CJV524373 CJV589832:CJV589909 CJV655368:CJV655445 CJV720904:CJV720981 CJV786440:CJV786517 CJV851976:CJV852053 CJV917512:CJV917589 CJV983048:CJV983125 CTR2:CTR85 CTR65544:CTR65621 CTR131080:CTR131157 CTR196616:CTR196693 CTR262152:CTR262229 CTR327688:CTR327765 CTR393224:CTR393301 CTR458760:CTR458837 CTR524296:CTR524373 CTR589832:CTR589909 CTR655368:CTR655445 CTR720904:CTR720981 CTR786440:CTR786517 CTR851976:CTR852053 CTR917512:CTR917589 CTR983048:CTR983125 DDN2:DDN85 DDN65544:DDN65621 DDN131080:DDN131157 DDN196616:DDN196693 DDN262152:DDN262229 DDN327688:DDN327765 DDN393224:DDN393301 DDN458760:DDN458837 DDN524296:DDN524373 DDN589832:DDN589909 DDN655368:DDN655445 DDN720904:DDN720981 DDN786440:DDN786517 DDN851976:DDN852053 DDN917512:DDN917589 DDN983048:DDN983125 DNJ2:DNJ85 DNJ65544:DNJ65621 DNJ131080:DNJ131157 DNJ196616:DNJ196693 DNJ262152:DNJ262229 DNJ327688:DNJ327765 DNJ393224:DNJ393301 DNJ458760:DNJ458837 DNJ524296:DNJ524373 DNJ589832:DNJ589909 DNJ655368:DNJ655445 DNJ720904:DNJ720981 DNJ786440:DNJ786517 DNJ851976:DNJ852053 DNJ917512:DNJ917589 DNJ983048:DNJ983125 DXF2:DXF85 DXF65544:DXF65621 DXF131080:DXF131157 DXF196616:DXF196693 DXF262152:DXF262229 DXF327688:DXF327765 DXF393224:DXF393301 DXF458760:DXF458837 DXF524296:DXF524373 DXF589832:DXF589909 DXF655368:DXF655445 DXF720904:DXF720981 DXF786440:DXF786517 DXF851976:DXF852053 DXF917512:DXF917589 DXF983048:DXF983125 EHB2:EHB85 EHB65544:EHB65621 EHB131080:EHB131157 EHB196616:EHB196693 EHB262152:EHB262229 EHB327688:EHB327765 EHB393224:EHB393301 EHB458760:EHB458837 EHB524296:EHB524373 EHB589832:EHB589909 EHB655368:EHB655445 EHB720904:EHB720981 EHB786440:EHB786517 EHB851976:EHB852053 EHB917512:EHB917589 EHB983048:EHB983125 EQX2:EQX85 EQX65544:EQX65621 EQX131080:EQX131157 EQX196616:EQX196693 EQX262152:EQX262229 EQX327688:EQX327765 EQX393224:EQX393301 EQX458760:EQX458837 EQX524296:EQX524373 EQX589832:EQX589909 EQX655368:EQX655445 EQX720904:EQX720981 EQX786440:EQX786517 EQX851976:EQX852053 EQX917512:EQX917589 EQX983048:EQX983125 FAT2:FAT85 FAT65544:FAT65621 FAT131080:FAT131157 FAT196616:FAT196693 FAT262152:FAT262229 FAT327688:FAT327765 FAT393224:FAT393301 FAT458760:FAT458837 FAT524296:FAT524373 FAT589832:FAT589909 FAT655368:FAT655445 FAT720904:FAT720981 FAT786440:FAT786517 FAT851976:FAT852053 FAT917512:FAT917589 FAT983048:FAT983125 FKP2:FKP85 FKP65544:FKP65621 FKP131080:FKP131157 FKP196616:FKP196693 FKP262152:FKP262229 FKP327688:FKP327765 FKP393224:FKP393301 FKP458760:FKP458837 FKP524296:FKP524373 FKP589832:FKP589909 FKP655368:FKP655445 FKP720904:FKP720981 FKP786440:FKP786517 FKP851976:FKP852053 FKP917512:FKP917589 FKP983048:FKP983125 FUL2:FUL85 FUL65544:FUL65621 FUL131080:FUL131157 FUL196616:FUL196693 FUL262152:FUL262229 FUL327688:FUL327765 FUL393224:FUL393301 FUL458760:FUL458837 FUL524296:FUL524373 FUL589832:FUL589909 FUL655368:FUL655445 FUL720904:FUL720981 FUL786440:FUL786517 FUL851976:FUL852053 FUL917512:FUL917589 FUL983048:FUL983125 GEH2:GEH85 GEH65544:GEH65621 GEH131080:GEH131157 GEH196616:GEH196693 GEH262152:GEH262229 GEH327688:GEH327765 GEH393224:GEH393301 GEH458760:GEH458837 GEH524296:GEH524373 GEH589832:GEH589909 GEH655368:GEH655445 GEH720904:GEH720981 GEH786440:GEH786517 GEH851976:GEH852053 GEH917512:GEH917589 GEH983048:GEH983125 GOD2:GOD85 GOD65544:GOD65621 GOD131080:GOD131157 GOD196616:GOD196693 GOD262152:GOD262229 GOD327688:GOD327765 GOD393224:GOD393301 GOD458760:GOD458837 GOD524296:GOD524373 GOD589832:GOD589909 GOD655368:GOD655445 GOD720904:GOD720981 GOD786440:GOD786517 GOD851976:GOD852053 GOD917512:GOD917589 GOD983048:GOD983125 GXZ2:GXZ85 GXZ65544:GXZ65621 GXZ131080:GXZ131157 GXZ196616:GXZ196693 GXZ262152:GXZ262229 GXZ327688:GXZ327765 GXZ393224:GXZ393301 GXZ458760:GXZ458837 GXZ524296:GXZ524373 GXZ589832:GXZ589909 GXZ655368:GXZ655445 GXZ720904:GXZ720981 GXZ786440:GXZ786517 GXZ851976:GXZ852053 GXZ917512:GXZ917589 GXZ983048:GXZ983125 HHV2:HHV85 HHV65544:HHV65621 HHV131080:HHV131157 HHV196616:HHV196693 HHV262152:HHV262229 HHV327688:HHV327765 HHV393224:HHV393301 HHV458760:HHV458837 HHV524296:HHV524373 HHV589832:HHV589909 HHV655368:HHV655445 HHV720904:HHV720981 HHV786440:HHV786517 HHV851976:HHV852053 HHV917512:HHV917589 HHV983048:HHV983125 HRR2:HRR85 HRR65544:HRR65621 HRR131080:HRR131157 HRR196616:HRR196693 HRR262152:HRR262229 HRR327688:HRR327765 HRR393224:HRR393301 HRR458760:HRR458837 HRR524296:HRR524373 HRR589832:HRR589909 HRR655368:HRR655445 HRR720904:HRR720981 HRR786440:HRR786517 HRR851976:HRR852053 HRR917512:HRR917589 HRR983048:HRR983125 IBN2:IBN85 IBN65544:IBN65621 IBN131080:IBN131157 IBN196616:IBN196693 IBN262152:IBN262229 IBN327688:IBN327765 IBN393224:IBN393301 IBN458760:IBN458837 IBN524296:IBN524373 IBN589832:IBN589909 IBN655368:IBN655445 IBN720904:IBN720981 IBN786440:IBN786517 IBN851976:IBN852053 IBN917512:IBN917589 IBN983048:IBN983125 ILJ2:ILJ85 ILJ65544:ILJ65621 ILJ131080:ILJ131157 ILJ196616:ILJ196693 ILJ262152:ILJ262229 ILJ327688:ILJ327765 ILJ393224:ILJ393301 ILJ458760:ILJ458837 ILJ524296:ILJ524373 ILJ589832:ILJ589909 ILJ655368:ILJ655445 ILJ720904:ILJ720981 ILJ786440:ILJ786517 ILJ851976:ILJ852053 ILJ917512:ILJ917589 ILJ983048:ILJ983125 IVF2:IVF85 IVF65544:IVF65621 IVF131080:IVF131157 IVF196616:IVF196693 IVF262152:IVF262229 IVF327688:IVF327765 IVF393224:IVF393301 IVF458760:IVF458837 IVF524296:IVF524373 IVF589832:IVF589909 IVF655368:IVF655445 IVF720904:IVF720981 IVF786440:IVF786517 IVF851976:IVF852053 IVF917512:IVF917589 IVF983048:IVF983125 JFB2:JFB85 JFB65544:JFB65621 JFB131080:JFB131157 JFB196616:JFB196693 JFB262152:JFB262229 JFB327688:JFB327765 JFB393224:JFB393301 JFB458760:JFB458837 JFB524296:JFB524373 JFB589832:JFB589909 JFB655368:JFB655445 JFB720904:JFB720981 JFB786440:JFB786517 JFB851976:JFB852053 JFB917512:JFB917589 JFB983048:JFB983125 JOX2:JOX85 JOX65544:JOX65621 JOX131080:JOX131157 JOX196616:JOX196693 JOX262152:JOX262229 JOX327688:JOX327765 JOX393224:JOX393301 JOX458760:JOX458837 JOX524296:JOX524373 JOX589832:JOX589909 JOX655368:JOX655445 JOX720904:JOX720981 JOX786440:JOX786517 JOX851976:JOX852053 JOX917512:JOX917589 JOX983048:JOX983125 JYT2:JYT85 JYT65544:JYT65621 JYT131080:JYT131157 JYT196616:JYT196693 JYT262152:JYT262229 JYT327688:JYT327765 JYT393224:JYT393301 JYT458760:JYT458837 JYT524296:JYT524373 JYT589832:JYT589909 JYT655368:JYT655445 JYT720904:JYT720981 JYT786440:JYT786517 JYT851976:JYT852053 JYT917512:JYT917589 JYT983048:JYT983125 KIP2:KIP85 KIP65544:KIP65621 KIP131080:KIP131157 KIP196616:KIP196693 KIP262152:KIP262229 KIP327688:KIP327765 KIP393224:KIP393301 KIP458760:KIP458837 KIP524296:KIP524373 KIP589832:KIP589909 KIP655368:KIP655445 KIP720904:KIP720981 KIP786440:KIP786517 KIP851976:KIP852053 KIP917512:KIP917589 KIP983048:KIP983125 KSL2:KSL85 KSL65544:KSL65621 KSL131080:KSL131157 KSL196616:KSL196693 KSL262152:KSL262229 KSL327688:KSL327765 KSL393224:KSL393301 KSL458760:KSL458837 KSL524296:KSL524373 KSL589832:KSL589909 KSL655368:KSL655445 KSL720904:KSL720981 KSL786440:KSL786517 KSL851976:KSL852053 KSL917512:KSL917589 KSL983048:KSL983125 LCH2:LCH85 LCH65544:LCH65621 LCH131080:LCH131157 LCH196616:LCH196693 LCH262152:LCH262229 LCH327688:LCH327765 LCH393224:LCH393301 LCH458760:LCH458837 LCH524296:LCH524373 LCH589832:LCH589909 LCH655368:LCH655445 LCH720904:LCH720981 LCH786440:LCH786517 LCH851976:LCH852053 LCH917512:LCH917589 LCH983048:LCH983125 LMD2:LMD85 LMD65544:LMD65621 LMD131080:LMD131157 LMD196616:LMD196693 LMD262152:LMD262229 LMD327688:LMD327765 LMD393224:LMD393301 LMD458760:LMD458837 LMD524296:LMD524373 LMD589832:LMD589909 LMD655368:LMD655445 LMD720904:LMD720981 LMD786440:LMD786517 LMD851976:LMD852053 LMD917512:LMD917589 LMD983048:LMD983125 LVZ2:LVZ85 LVZ65544:LVZ65621 LVZ131080:LVZ131157 LVZ196616:LVZ196693 LVZ262152:LVZ262229 LVZ327688:LVZ327765 LVZ393224:LVZ393301 LVZ458760:LVZ458837 LVZ524296:LVZ524373 LVZ589832:LVZ589909 LVZ655368:LVZ655445 LVZ720904:LVZ720981 LVZ786440:LVZ786517 LVZ851976:LVZ852053 LVZ917512:LVZ917589 LVZ983048:LVZ983125 MFV2:MFV85 MFV65544:MFV65621 MFV131080:MFV131157 MFV196616:MFV196693 MFV262152:MFV262229 MFV327688:MFV327765 MFV393224:MFV393301 MFV458760:MFV458837 MFV524296:MFV524373 MFV589832:MFV589909 MFV655368:MFV655445 MFV720904:MFV720981 MFV786440:MFV786517 MFV851976:MFV852053 MFV917512:MFV917589 MFV983048:MFV983125 MPR2:MPR85 MPR65544:MPR65621 MPR131080:MPR131157 MPR196616:MPR196693 MPR262152:MPR262229 MPR327688:MPR327765 MPR393224:MPR393301 MPR458760:MPR458837 MPR524296:MPR524373 MPR589832:MPR589909 MPR655368:MPR655445 MPR720904:MPR720981 MPR786440:MPR786517 MPR851976:MPR852053 MPR917512:MPR917589 MPR983048:MPR983125 MZN2:MZN85 MZN65544:MZN65621 MZN131080:MZN131157 MZN196616:MZN196693 MZN262152:MZN262229 MZN327688:MZN327765 MZN393224:MZN393301 MZN458760:MZN458837 MZN524296:MZN524373 MZN589832:MZN589909 MZN655368:MZN655445 MZN720904:MZN720981 MZN786440:MZN786517 MZN851976:MZN852053 MZN917512:MZN917589 MZN983048:MZN983125 NJJ2:NJJ85 NJJ65544:NJJ65621 NJJ131080:NJJ131157 NJJ196616:NJJ196693 NJJ262152:NJJ262229 NJJ327688:NJJ327765 NJJ393224:NJJ393301 NJJ458760:NJJ458837 NJJ524296:NJJ524373 NJJ589832:NJJ589909 NJJ655368:NJJ655445 NJJ720904:NJJ720981 NJJ786440:NJJ786517 NJJ851976:NJJ852053 NJJ917512:NJJ917589 NJJ983048:NJJ983125 NTF2:NTF85 NTF65544:NTF65621 NTF131080:NTF131157 NTF196616:NTF196693 NTF262152:NTF262229 NTF327688:NTF327765 NTF393224:NTF393301 NTF458760:NTF458837 NTF524296:NTF524373 NTF589832:NTF589909 NTF655368:NTF655445 NTF720904:NTF720981 NTF786440:NTF786517 NTF851976:NTF852053 NTF917512:NTF917589 NTF983048:NTF983125 ODB2:ODB85 ODB65544:ODB65621 ODB131080:ODB131157 ODB196616:ODB196693 ODB262152:ODB262229 ODB327688:ODB327765 ODB393224:ODB393301 ODB458760:ODB458837 ODB524296:ODB524373 ODB589832:ODB589909 ODB655368:ODB655445 ODB720904:ODB720981 ODB786440:ODB786517 ODB851976:ODB852053 ODB917512:ODB917589 ODB983048:ODB983125 OMX2:OMX85 OMX65544:OMX65621 OMX131080:OMX131157 OMX196616:OMX196693 OMX262152:OMX262229 OMX327688:OMX327765 OMX393224:OMX393301 OMX458760:OMX458837 OMX524296:OMX524373 OMX589832:OMX589909 OMX655368:OMX655445 OMX720904:OMX720981 OMX786440:OMX786517 OMX851976:OMX852053 OMX917512:OMX917589 OMX983048:OMX983125 OWT2:OWT85 OWT65544:OWT65621 OWT131080:OWT131157 OWT196616:OWT196693 OWT262152:OWT262229 OWT327688:OWT327765 OWT393224:OWT393301 OWT458760:OWT458837 OWT524296:OWT524373 OWT589832:OWT589909 OWT655368:OWT655445 OWT720904:OWT720981 OWT786440:OWT786517 OWT851976:OWT852053 OWT917512:OWT917589 OWT983048:OWT983125 PGP2:PGP85 PGP65544:PGP65621 PGP131080:PGP131157 PGP196616:PGP196693 PGP262152:PGP262229 PGP327688:PGP327765 PGP393224:PGP393301 PGP458760:PGP458837 PGP524296:PGP524373 PGP589832:PGP589909 PGP655368:PGP655445 PGP720904:PGP720981 PGP786440:PGP786517 PGP851976:PGP852053 PGP917512:PGP917589 PGP983048:PGP983125 PQL2:PQL85 PQL65544:PQL65621 PQL131080:PQL131157 PQL196616:PQL196693 PQL262152:PQL262229 PQL327688:PQL327765 PQL393224:PQL393301 PQL458760:PQL458837 PQL524296:PQL524373 PQL589832:PQL589909 PQL655368:PQL655445 PQL720904:PQL720981 PQL786440:PQL786517 PQL851976:PQL852053 PQL917512:PQL917589 PQL983048:PQL983125 QAH2:QAH85 QAH65544:QAH65621 QAH131080:QAH131157 QAH196616:QAH196693 QAH262152:QAH262229 QAH327688:QAH327765 QAH393224:QAH393301 QAH458760:QAH458837 QAH524296:QAH524373 QAH589832:QAH589909 QAH655368:QAH655445 QAH720904:QAH720981 QAH786440:QAH786517 QAH851976:QAH852053 QAH917512:QAH917589 QAH983048:QAH983125 QKD2:QKD85 QKD65544:QKD65621 QKD131080:QKD131157 QKD196616:QKD196693 QKD262152:QKD262229 QKD327688:QKD327765 QKD393224:QKD393301 QKD458760:QKD458837 QKD524296:QKD524373 QKD589832:QKD589909 QKD655368:QKD655445 QKD720904:QKD720981 QKD786440:QKD786517 QKD851976:QKD852053 QKD917512:QKD917589 QKD983048:QKD983125 QTZ2:QTZ85 QTZ65544:QTZ65621 QTZ131080:QTZ131157 QTZ196616:QTZ196693 QTZ262152:QTZ262229 QTZ327688:QTZ327765 QTZ393224:QTZ393301 QTZ458760:QTZ458837 QTZ524296:QTZ524373 QTZ589832:QTZ589909 QTZ655368:QTZ655445 QTZ720904:QTZ720981 QTZ786440:QTZ786517 QTZ851976:QTZ852053 QTZ917512:QTZ917589 QTZ983048:QTZ983125 RDV2:RDV85 RDV65544:RDV65621 RDV131080:RDV131157 RDV196616:RDV196693 RDV262152:RDV262229 RDV327688:RDV327765 RDV393224:RDV393301 RDV458760:RDV458837 RDV524296:RDV524373 RDV589832:RDV589909 RDV655368:RDV655445 RDV720904:RDV720981 RDV786440:RDV786517 RDV851976:RDV852053 RDV917512:RDV917589 RDV983048:RDV983125 RNR2:RNR85 RNR65544:RNR65621 RNR131080:RNR131157 RNR196616:RNR196693 RNR262152:RNR262229 RNR327688:RNR327765 RNR393224:RNR393301 RNR458760:RNR458837 RNR524296:RNR524373 RNR589832:RNR589909 RNR655368:RNR655445 RNR720904:RNR720981 RNR786440:RNR786517 RNR851976:RNR852053 RNR917512:RNR917589 RNR983048:RNR983125 RXN2:RXN85 RXN65544:RXN65621 RXN131080:RXN131157 RXN196616:RXN196693 RXN262152:RXN262229 RXN327688:RXN327765 RXN393224:RXN393301 RXN458760:RXN458837 RXN524296:RXN524373 RXN589832:RXN589909 RXN655368:RXN655445 RXN720904:RXN720981 RXN786440:RXN786517 RXN851976:RXN852053 RXN917512:RXN917589 RXN983048:RXN983125 SHJ2:SHJ85 SHJ65544:SHJ65621 SHJ131080:SHJ131157 SHJ196616:SHJ196693 SHJ262152:SHJ262229 SHJ327688:SHJ327765 SHJ393224:SHJ393301 SHJ458760:SHJ458837 SHJ524296:SHJ524373 SHJ589832:SHJ589909 SHJ655368:SHJ655445 SHJ720904:SHJ720981 SHJ786440:SHJ786517 SHJ851976:SHJ852053 SHJ917512:SHJ917589 SHJ983048:SHJ983125 SRF2:SRF85 SRF65544:SRF65621 SRF131080:SRF131157 SRF196616:SRF196693 SRF262152:SRF262229 SRF327688:SRF327765 SRF393224:SRF393301 SRF458760:SRF458837 SRF524296:SRF524373 SRF589832:SRF589909 SRF655368:SRF655445 SRF720904:SRF720981 SRF786440:SRF786517 SRF851976:SRF852053 SRF917512:SRF917589 SRF983048:SRF983125 TBB2:TBB85 TBB65544:TBB65621 TBB131080:TBB131157 TBB196616:TBB196693 TBB262152:TBB262229 TBB327688:TBB327765 TBB393224:TBB393301 TBB458760:TBB458837 TBB524296:TBB524373 TBB589832:TBB589909 TBB655368:TBB655445 TBB720904:TBB720981 TBB786440:TBB786517 TBB851976:TBB852053 TBB917512:TBB917589 TBB983048:TBB983125 TKX2:TKX85 TKX65544:TKX65621 TKX131080:TKX131157 TKX196616:TKX196693 TKX262152:TKX262229 TKX327688:TKX327765 TKX393224:TKX393301 TKX458760:TKX458837 TKX524296:TKX524373 TKX589832:TKX589909 TKX655368:TKX655445 TKX720904:TKX720981 TKX786440:TKX786517 TKX851976:TKX852053 TKX917512:TKX917589 TKX983048:TKX983125 TUT2:TUT85 TUT65544:TUT65621 TUT131080:TUT131157 TUT196616:TUT196693 TUT262152:TUT262229 TUT327688:TUT327765 TUT393224:TUT393301 TUT458760:TUT458837 TUT524296:TUT524373 TUT589832:TUT589909 TUT655368:TUT655445 TUT720904:TUT720981 TUT786440:TUT786517 TUT851976:TUT852053 TUT917512:TUT917589 TUT983048:TUT983125 UEP2:UEP85 UEP65544:UEP65621 UEP131080:UEP131157 UEP196616:UEP196693 UEP262152:UEP262229 UEP327688:UEP327765 UEP393224:UEP393301 UEP458760:UEP458837 UEP524296:UEP524373 UEP589832:UEP589909 UEP655368:UEP655445 UEP720904:UEP720981 UEP786440:UEP786517 UEP851976:UEP852053 UEP917512:UEP917589 UEP983048:UEP983125 UOL2:UOL85 UOL65544:UOL65621 UOL131080:UOL131157 UOL196616:UOL196693 UOL262152:UOL262229 UOL327688:UOL327765 UOL393224:UOL393301 UOL458760:UOL458837 UOL524296:UOL524373 UOL589832:UOL589909 UOL655368:UOL655445 UOL720904:UOL720981 UOL786440:UOL786517 UOL851976:UOL852053 UOL917512:UOL917589 UOL983048:UOL983125 UYH2:UYH85 UYH65544:UYH65621 UYH131080:UYH131157 UYH196616:UYH196693 UYH262152:UYH262229 UYH327688:UYH327765 UYH393224:UYH393301 UYH458760:UYH458837 UYH524296:UYH524373 UYH589832:UYH589909 UYH655368:UYH655445 UYH720904:UYH720981 UYH786440:UYH786517 UYH851976:UYH852053 UYH917512:UYH917589 UYH983048:UYH983125 VID2:VID85 VID65544:VID65621 VID131080:VID131157 VID196616:VID196693 VID262152:VID262229 VID327688:VID327765 VID393224:VID393301 VID458760:VID458837 VID524296:VID524373 VID589832:VID589909 VID655368:VID655445 VID720904:VID720981 VID786440:VID786517 VID851976:VID852053 VID917512:VID917589 VID983048:VID983125 VRZ2:VRZ85 VRZ65544:VRZ65621 VRZ131080:VRZ131157 VRZ196616:VRZ196693 VRZ262152:VRZ262229 VRZ327688:VRZ327765 VRZ393224:VRZ393301 VRZ458760:VRZ458837 VRZ524296:VRZ524373 VRZ589832:VRZ589909 VRZ655368:VRZ655445 VRZ720904:VRZ720981 VRZ786440:VRZ786517 VRZ851976:VRZ852053 VRZ917512:VRZ917589 VRZ983048:VRZ983125 WBV2:WBV85 WBV65544:WBV65621 WBV131080:WBV131157 WBV196616:WBV196693 WBV262152:WBV262229 WBV327688:WBV327765 WBV393224:WBV393301 WBV458760:WBV458837 WBV524296:WBV524373 WBV589832:WBV589909 WBV655368:WBV655445 WBV720904:WBV720981 WBV786440:WBV786517 WBV851976:WBV852053 WBV917512:WBV917589 WBV983048:WBV983125 WLR2:WLR85 WLR65544:WLR65621 WLR131080:WLR131157 WLR196616:WLR196693 WLR262152:WLR262229 WLR327688:WLR327765 WLR393224:WLR393301 WLR458760:WLR458837 WLR524296:WLR524373 WLR589832:WLR589909 WLR655368:WLR655445 WLR720904:WLR720981 WLR786440:WLR786517 WLR851976:WLR852053 WLR917512:WLR917589 WLR983048:WLR983125 WVN2:WVN85 WVN65544:WVN65621 WVN131080:WVN131157 WVN196616:WVN196693 WVN262152:WVN262229 WVN327688:WVN327765 WVN393224:WVN393301 WVN458760:WVN458837 WVN524296:WVN524373 WVN589832:WVN589909 WVN655368:WVN655445 WVN720904:WVN720981 WVN786440:WVN786517 WVN851976:WVN852053 WVN917512:WVN917589 WVN983048:WVN983125">
      <formula1>$AH$2:$AH$11</formula1>
    </dataValidation>
    <dataValidation type="list" allowBlank="1" showInputMessage="1" showErrorMessage="1" sqref="H2:H506">
      <formula1>$AL$2:$AL$8</formula1>
    </dataValidation>
    <dataValidation type="list" allowBlank="1" showInputMessage="1" showErrorMessage="1" sqref="J2:J506 J65544:J65621 J131080:J131157 J196616:J196693 J262152:J262229 J327688:J327765 J393224:J393301 J458760:J458837 J524296:J524373 J589832:J589909 J655368:J655445 J720904:J720981 J786440:J786517 J851976:J852053 J917512:J917589 J983048:J983125 JF2:JF85 JF65544:JF65621 JF131080:JF131157 JF196616:JF196693 JF262152:JF262229 JF327688:JF327765 JF393224:JF393301 JF458760:JF458837 JF524296:JF524373 JF589832:JF589909 JF655368:JF655445 JF720904:JF720981 JF786440:JF786517 JF851976:JF852053 JF917512:JF917589 JF983048:JF983125 TB2:TB85 TB65544:TB65621 TB131080:TB131157 TB196616:TB196693 TB262152:TB262229 TB327688:TB327765 TB393224:TB393301 TB458760:TB458837 TB524296:TB524373 TB589832:TB589909 TB655368:TB655445 TB720904:TB720981 TB786440:TB786517 TB851976:TB852053 TB917512:TB917589 TB983048:TB983125 ACX2:ACX85 ACX65544:ACX65621 ACX131080:ACX131157 ACX196616:ACX196693 ACX262152:ACX262229 ACX327688:ACX327765 ACX393224:ACX393301 ACX458760:ACX458837 ACX524296:ACX524373 ACX589832:ACX589909 ACX655368:ACX655445 ACX720904:ACX720981 ACX786440:ACX786517 ACX851976:ACX852053 ACX917512:ACX917589 ACX983048:ACX983125 AMT2:AMT85 AMT65544:AMT65621 AMT131080:AMT131157 AMT196616:AMT196693 AMT262152:AMT262229 AMT327688:AMT327765 AMT393224:AMT393301 AMT458760:AMT458837 AMT524296:AMT524373 AMT589832:AMT589909 AMT655368:AMT655445 AMT720904:AMT720981 AMT786440:AMT786517 AMT851976:AMT852053 AMT917512:AMT917589 AMT983048:AMT983125 AWP2:AWP85 AWP65544:AWP65621 AWP131080:AWP131157 AWP196616:AWP196693 AWP262152:AWP262229 AWP327688:AWP327765 AWP393224:AWP393301 AWP458760:AWP458837 AWP524296:AWP524373 AWP589832:AWP589909 AWP655368:AWP655445 AWP720904:AWP720981 AWP786440:AWP786517 AWP851976:AWP852053 AWP917512:AWP917589 AWP983048:AWP983125 BGL2:BGL85 BGL65544:BGL65621 BGL131080:BGL131157 BGL196616:BGL196693 BGL262152:BGL262229 BGL327688:BGL327765 BGL393224:BGL393301 BGL458760:BGL458837 BGL524296:BGL524373 BGL589832:BGL589909 BGL655368:BGL655445 BGL720904:BGL720981 BGL786440:BGL786517 BGL851976:BGL852053 BGL917512:BGL917589 BGL983048:BGL983125 BQH2:BQH85 BQH65544:BQH65621 BQH131080:BQH131157 BQH196616:BQH196693 BQH262152:BQH262229 BQH327688:BQH327765 BQH393224:BQH393301 BQH458760:BQH458837 BQH524296:BQH524373 BQH589832:BQH589909 BQH655368:BQH655445 BQH720904:BQH720981 BQH786440:BQH786517 BQH851976:BQH852053 BQH917512:BQH917589 BQH983048:BQH983125 CAD2:CAD85 CAD65544:CAD65621 CAD131080:CAD131157 CAD196616:CAD196693 CAD262152:CAD262229 CAD327688:CAD327765 CAD393224:CAD393301 CAD458760:CAD458837 CAD524296:CAD524373 CAD589832:CAD589909 CAD655368:CAD655445 CAD720904:CAD720981 CAD786440:CAD786517 CAD851976:CAD852053 CAD917512:CAD917589 CAD983048:CAD983125 CJZ2:CJZ85 CJZ65544:CJZ65621 CJZ131080:CJZ131157 CJZ196616:CJZ196693 CJZ262152:CJZ262229 CJZ327688:CJZ327765 CJZ393224:CJZ393301 CJZ458760:CJZ458837 CJZ524296:CJZ524373 CJZ589832:CJZ589909 CJZ655368:CJZ655445 CJZ720904:CJZ720981 CJZ786440:CJZ786517 CJZ851976:CJZ852053 CJZ917512:CJZ917589 CJZ983048:CJZ983125 CTV2:CTV85 CTV65544:CTV65621 CTV131080:CTV131157 CTV196616:CTV196693 CTV262152:CTV262229 CTV327688:CTV327765 CTV393224:CTV393301 CTV458760:CTV458837 CTV524296:CTV524373 CTV589832:CTV589909 CTV655368:CTV655445 CTV720904:CTV720981 CTV786440:CTV786517 CTV851976:CTV852053 CTV917512:CTV917589 CTV983048:CTV983125 DDR2:DDR85 DDR65544:DDR65621 DDR131080:DDR131157 DDR196616:DDR196693 DDR262152:DDR262229 DDR327688:DDR327765 DDR393224:DDR393301 DDR458760:DDR458837 DDR524296:DDR524373 DDR589832:DDR589909 DDR655368:DDR655445 DDR720904:DDR720981 DDR786440:DDR786517 DDR851976:DDR852053 DDR917512:DDR917589 DDR983048:DDR983125 DNN2:DNN85 DNN65544:DNN65621 DNN131080:DNN131157 DNN196616:DNN196693 DNN262152:DNN262229 DNN327688:DNN327765 DNN393224:DNN393301 DNN458760:DNN458837 DNN524296:DNN524373 DNN589832:DNN589909 DNN655368:DNN655445 DNN720904:DNN720981 DNN786440:DNN786517 DNN851976:DNN852053 DNN917512:DNN917589 DNN983048:DNN983125 DXJ2:DXJ85 DXJ65544:DXJ65621 DXJ131080:DXJ131157 DXJ196616:DXJ196693 DXJ262152:DXJ262229 DXJ327688:DXJ327765 DXJ393224:DXJ393301 DXJ458760:DXJ458837 DXJ524296:DXJ524373 DXJ589832:DXJ589909 DXJ655368:DXJ655445 DXJ720904:DXJ720981 DXJ786440:DXJ786517 DXJ851976:DXJ852053 DXJ917512:DXJ917589 DXJ983048:DXJ983125 EHF2:EHF85 EHF65544:EHF65621 EHF131080:EHF131157 EHF196616:EHF196693 EHF262152:EHF262229 EHF327688:EHF327765 EHF393224:EHF393301 EHF458760:EHF458837 EHF524296:EHF524373 EHF589832:EHF589909 EHF655368:EHF655445 EHF720904:EHF720981 EHF786440:EHF786517 EHF851976:EHF852053 EHF917512:EHF917589 EHF983048:EHF983125 ERB2:ERB85 ERB65544:ERB65621 ERB131080:ERB131157 ERB196616:ERB196693 ERB262152:ERB262229 ERB327688:ERB327765 ERB393224:ERB393301 ERB458760:ERB458837 ERB524296:ERB524373 ERB589832:ERB589909 ERB655368:ERB655445 ERB720904:ERB720981 ERB786440:ERB786517 ERB851976:ERB852053 ERB917512:ERB917589 ERB983048:ERB983125 FAX2:FAX85 FAX65544:FAX65621 FAX131080:FAX131157 FAX196616:FAX196693 FAX262152:FAX262229 FAX327688:FAX327765 FAX393224:FAX393301 FAX458760:FAX458837 FAX524296:FAX524373 FAX589832:FAX589909 FAX655368:FAX655445 FAX720904:FAX720981 FAX786440:FAX786517 FAX851976:FAX852053 FAX917512:FAX917589 FAX983048:FAX983125 FKT2:FKT85 FKT65544:FKT65621 FKT131080:FKT131157 FKT196616:FKT196693 FKT262152:FKT262229 FKT327688:FKT327765 FKT393224:FKT393301 FKT458760:FKT458837 FKT524296:FKT524373 FKT589832:FKT589909 FKT655368:FKT655445 FKT720904:FKT720981 FKT786440:FKT786517 FKT851976:FKT852053 FKT917512:FKT917589 FKT983048:FKT983125 FUP2:FUP85 FUP65544:FUP65621 FUP131080:FUP131157 FUP196616:FUP196693 FUP262152:FUP262229 FUP327688:FUP327765 FUP393224:FUP393301 FUP458760:FUP458837 FUP524296:FUP524373 FUP589832:FUP589909 FUP655368:FUP655445 FUP720904:FUP720981 FUP786440:FUP786517 FUP851976:FUP852053 FUP917512:FUP917589 FUP983048:FUP983125 GEL2:GEL85 GEL65544:GEL65621 GEL131080:GEL131157 GEL196616:GEL196693 GEL262152:GEL262229 GEL327688:GEL327765 GEL393224:GEL393301 GEL458760:GEL458837 GEL524296:GEL524373 GEL589832:GEL589909 GEL655368:GEL655445 GEL720904:GEL720981 GEL786440:GEL786517 GEL851976:GEL852053 GEL917512:GEL917589 GEL983048:GEL983125 GOH2:GOH85 GOH65544:GOH65621 GOH131080:GOH131157 GOH196616:GOH196693 GOH262152:GOH262229 GOH327688:GOH327765 GOH393224:GOH393301 GOH458760:GOH458837 GOH524296:GOH524373 GOH589832:GOH589909 GOH655368:GOH655445 GOH720904:GOH720981 GOH786440:GOH786517 GOH851976:GOH852053 GOH917512:GOH917589 GOH983048:GOH983125 GYD2:GYD85 GYD65544:GYD65621 GYD131080:GYD131157 GYD196616:GYD196693 GYD262152:GYD262229 GYD327688:GYD327765 GYD393224:GYD393301 GYD458760:GYD458837 GYD524296:GYD524373 GYD589832:GYD589909 GYD655368:GYD655445 GYD720904:GYD720981 GYD786440:GYD786517 GYD851976:GYD852053 GYD917512:GYD917589 GYD983048:GYD983125 HHZ2:HHZ85 HHZ65544:HHZ65621 HHZ131080:HHZ131157 HHZ196616:HHZ196693 HHZ262152:HHZ262229 HHZ327688:HHZ327765 HHZ393224:HHZ393301 HHZ458760:HHZ458837 HHZ524296:HHZ524373 HHZ589832:HHZ589909 HHZ655368:HHZ655445 HHZ720904:HHZ720981 HHZ786440:HHZ786517 HHZ851976:HHZ852053 HHZ917512:HHZ917589 HHZ983048:HHZ983125 HRV2:HRV85 HRV65544:HRV65621 HRV131080:HRV131157 HRV196616:HRV196693 HRV262152:HRV262229 HRV327688:HRV327765 HRV393224:HRV393301 HRV458760:HRV458837 HRV524296:HRV524373 HRV589832:HRV589909 HRV655368:HRV655445 HRV720904:HRV720981 HRV786440:HRV786517 HRV851976:HRV852053 HRV917512:HRV917589 HRV983048:HRV983125 IBR2:IBR85 IBR65544:IBR65621 IBR131080:IBR131157 IBR196616:IBR196693 IBR262152:IBR262229 IBR327688:IBR327765 IBR393224:IBR393301 IBR458760:IBR458837 IBR524296:IBR524373 IBR589832:IBR589909 IBR655368:IBR655445 IBR720904:IBR720981 IBR786440:IBR786517 IBR851976:IBR852053 IBR917512:IBR917589 IBR983048:IBR983125 ILN2:ILN85 ILN65544:ILN65621 ILN131080:ILN131157 ILN196616:ILN196693 ILN262152:ILN262229 ILN327688:ILN327765 ILN393224:ILN393301 ILN458760:ILN458837 ILN524296:ILN524373 ILN589832:ILN589909 ILN655368:ILN655445 ILN720904:ILN720981 ILN786440:ILN786517 ILN851976:ILN852053 ILN917512:ILN917589 ILN983048:ILN983125 IVJ2:IVJ85 IVJ65544:IVJ65621 IVJ131080:IVJ131157 IVJ196616:IVJ196693 IVJ262152:IVJ262229 IVJ327688:IVJ327765 IVJ393224:IVJ393301 IVJ458760:IVJ458837 IVJ524296:IVJ524373 IVJ589832:IVJ589909 IVJ655368:IVJ655445 IVJ720904:IVJ720981 IVJ786440:IVJ786517 IVJ851976:IVJ852053 IVJ917512:IVJ917589 IVJ983048:IVJ983125 JFF2:JFF85 JFF65544:JFF65621 JFF131080:JFF131157 JFF196616:JFF196693 JFF262152:JFF262229 JFF327688:JFF327765 JFF393224:JFF393301 JFF458760:JFF458837 JFF524296:JFF524373 JFF589832:JFF589909 JFF655368:JFF655445 JFF720904:JFF720981 JFF786440:JFF786517 JFF851976:JFF852053 JFF917512:JFF917589 JFF983048:JFF983125 JPB2:JPB85 JPB65544:JPB65621 JPB131080:JPB131157 JPB196616:JPB196693 JPB262152:JPB262229 JPB327688:JPB327765 JPB393224:JPB393301 JPB458760:JPB458837 JPB524296:JPB524373 JPB589832:JPB589909 JPB655368:JPB655445 JPB720904:JPB720981 JPB786440:JPB786517 JPB851976:JPB852053 JPB917512:JPB917589 JPB983048:JPB983125 JYX2:JYX85 JYX65544:JYX65621 JYX131080:JYX131157 JYX196616:JYX196693 JYX262152:JYX262229 JYX327688:JYX327765 JYX393224:JYX393301 JYX458760:JYX458837 JYX524296:JYX524373 JYX589832:JYX589909 JYX655368:JYX655445 JYX720904:JYX720981 JYX786440:JYX786517 JYX851976:JYX852053 JYX917512:JYX917589 JYX983048:JYX983125 KIT2:KIT85 KIT65544:KIT65621 KIT131080:KIT131157 KIT196616:KIT196693 KIT262152:KIT262229 KIT327688:KIT327765 KIT393224:KIT393301 KIT458760:KIT458837 KIT524296:KIT524373 KIT589832:KIT589909 KIT655368:KIT655445 KIT720904:KIT720981 KIT786440:KIT786517 KIT851976:KIT852053 KIT917512:KIT917589 KIT983048:KIT983125 KSP2:KSP85 KSP65544:KSP65621 KSP131080:KSP131157 KSP196616:KSP196693 KSP262152:KSP262229 KSP327688:KSP327765 KSP393224:KSP393301 KSP458760:KSP458837 KSP524296:KSP524373 KSP589832:KSP589909 KSP655368:KSP655445 KSP720904:KSP720981 KSP786440:KSP786517 KSP851976:KSP852053 KSP917512:KSP917589 KSP983048:KSP983125 LCL2:LCL85 LCL65544:LCL65621 LCL131080:LCL131157 LCL196616:LCL196693 LCL262152:LCL262229 LCL327688:LCL327765 LCL393224:LCL393301 LCL458760:LCL458837 LCL524296:LCL524373 LCL589832:LCL589909 LCL655368:LCL655445 LCL720904:LCL720981 LCL786440:LCL786517 LCL851976:LCL852053 LCL917512:LCL917589 LCL983048:LCL983125 LMH2:LMH85 LMH65544:LMH65621 LMH131080:LMH131157 LMH196616:LMH196693 LMH262152:LMH262229 LMH327688:LMH327765 LMH393224:LMH393301 LMH458760:LMH458837 LMH524296:LMH524373 LMH589832:LMH589909 LMH655368:LMH655445 LMH720904:LMH720981 LMH786440:LMH786517 LMH851976:LMH852053 LMH917512:LMH917589 LMH983048:LMH983125 LWD2:LWD85 LWD65544:LWD65621 LWD131080:LWD131157 LWD196616:LWD196693 LWD262152:LWD262229 LWD327688:LWD327765 LWD393224:LWD393301 LWD458760:LWD458837 LWD524296:LWD524373 LWD589832:LWD589909 LWD655368:LWD655445 LWD720904:LWD720981 LWD786440:LWD786517 LWD851976:LWD852053 LWD917512:LWD917589 LWD983048:LWD983125 MFZ2:MFZ85 MFZ65544:MFZ65621 MFZ131080:MFZ131157 MFZ196616:MFZ196693 MFZ262152:MFZ262229 MFZ327688:MFZ327765 MFZ393224:MFZ393301 MFZ458760:MFZ458837 MFZ524296:MFZ524373 MFZ589832:MFZ589909 MFZ655368:MFZ655445 MFZ720904:MFZ720981 MFZ786440:MFZ786517 MFZ851976:MFZ852053 MFZ917512:MFZ917589 MFZ983048:MFZ983125 MPV2:MPV85 MPV65544:MPV65621 MPV131080:MPV131157 MPV196616:MPV196693 MPV262152:MPV262229 MPV327688:MPV327765 MPV393224:MPV393301 MPV458760:MPV458837 MPV524296:MPV524373 MPV589832:MPV589909 MPV655368:MPV655445 MPV720904:MPV720981 MPV786440:MPV786517 MPV851976:MPV852053 MPV917512:MPV917589 MPV983048:MPV983125 MZR2:MZR85 MZR65544:MZR65621 MZR131080:MZR131157 MZR196616:MZR196693 MZR262152:MZR262229 MZR327688:MZR327765 MZR393224:MZR393301 MZR458760:MZR458837 MZR524296:MZR524373 MZR589832:MZR589909 MZR655368:MZR655445 MZR720904:MZR720981 MZR786440:MZR786517 MZR851976:MZR852053 MZR917512:MZR917589 MZR983048:MZR983125 NJN2:NJN85 NJN65544:NJN65621 NJN131080:NJN131157 NJN196616:NJN196693 NJN262152:NJN262229 NJN327688:NJN327765 NJN393224:NJN393301 NJN458760:NJN458837 NJN524296:NJN524373 NJN589832:NJN589909 NJN655368:NJN655445 NJN720904:NJN720981 NJN786440:NJN786517 NJN851976:NJN852053 NJN917512:NJN917589 NJN983048:NJN983125 NTJ2:NTJ85 NTJ65544:NTJ65621 NTJ131080:NTJ131157 NTJ196616:NTJ196693 NTJ262152:NTJ262229 NTJ327688:NTJ327765 NTJ393224:NTJ393301 NTJ458760:NTJ458837 NTJ524296:NTJ524373 NTJ589832:NTJ589909 NTJ655368:NTJ655445 NTJ720904:NTJ720981 NTJ786440:NTJ786517 NTJ851976:NTJ852053 NTJ917512:NTJ917589 NTJ983048:NTJ983125 ODF2:ODF85 ODF65544:ODF65621 ODF131080:ODF131157 ODF196616:ODF196693 ODF262152:ODF262229 ODF327688:ODF327765 ODF393224:ODF393301 ODF458760:ODF458837 ODF524296:ODF524373 ODF589832:ODF589909 ODF655368:ODF655445 ODF720904:ODF720981 ODF786440:ODF786517 ODF851976:ODF852053 ODF917512:ODF917589 ODF983048:ODF983125 ONB2:ONB85 ONB65544:ONB65621 ONB131080:ONB131157 ONB196616:ONB196693 ONB262152:ONB262229 ONB327688:ONB327765 ONB393224:ONB393301 ONB458760:ONB458837 ONB524296:ONB524373 ONB589832:ONB589909 ONB655368:ONB655445 ONB720904:ONB720981 ONB786440:ONB786517 ONB851976:ONB852053 ONB917512:ONB917589 ONB983048:ONB983125 OWX2:OWX85 OWX65544:OWX65621 OWX131080:OWX131157 OWX196616:OWX196693 OWX262152:OWX262229 OWX327688:OWX327765 OWX393224:OWX393301 OWX458760:OWX458837 OWX524296:OWX524373 OWX589832:OWX589909 OWX655368:OWX655445 OWX720904:OWX720981 OWX786440:OWX786517 OWX851976:OWX852053 OWX917512:OWX917589 OWX983048:OWX983125 PGT2:PGT85 PGT65544:PGT65621 PGT131080:PGT131157 PGT196616:PGT196693 PGT262152:PGT262229 PGT327688:PGT327765 PGT393224:PGT393301 PGT458760:PGT458837 PGT524296:PGT524373 PGT589832:PGT589909 PGT655368:PGT655445 PGT720904:PGT720981 PGT786440:PGT786517 PGT851976:PGT852053 PGT917512:PGT917589 PGT983048:PGT983125 PQP2:PQP85 PQP65544:PQP65621 PQP131080:PQP131157 PQP196616:PQP196693 PQP262152:PQP262229 PQP327688:PQP327765 PQP393224:PQP393301 PQP458760:PQP458837 PQP524296:PQP524373 PQP589832:PQP589909 PQP655368:PQP655445 PQP720904:PQP720981 PQP786440:PQP786517 PQP851976:PQP852053 PQP917512:PQP917589 PQP983048:PQP983125 QAL2:QAL85 QAL65544:QAL65621 QAL131080:QAL131157 QAL196616:QAL196693 QAL262152:QAL262229 QAL327688:QAL327765 QAL393224:QAL393301 QAL458760:QAL458837 QAL524296:QAL524373 QAL589832:QAL589909 QAL655368:QAL655445 QAL720904:QAL720981 QAL786440:QAL786517 QAL851976:QAL852053 QAL917512:QAL917589 QAL983048:QAL983125 QKH2:QKH85 QKH65544:QKH65621 QKH131080:QKH131157 QKH196616:QKH196693 QKH262152:QKH262229 QKH327688:QKH327765 QKH393224:QKH393301 QKH458760:QKH458837 QKH524296:QKH524373 QKH589832:QKH589909 QKH655368:QKH655445 QKH720904:QKH720981 QKH786440:QKH786517 QKH851976:QKH852053 QKH917512:QKH917589 QKH983048:QKH983125 QUD2:QUD85 QUD65544:QUD65621 QUD131080:QUD131157 QUD196616:QUD196693 QUD262152:QUD262229 QUD327688:QUD327765 QUD393224:QUD393301 QUD458760:QUD458837 QUD524296:QUD524373 QUD589832:QUD589909 QUD655368:QUD655445 QUD720904:QUD720981 QUD786440:QUD786517 QUD851976:QUD852053 QUD917512:QUD917589 QUD983048:QUD983125 RDZ2:RDZ85 RDZ65544:RDZ65621 RDZ131080:RDZ131157 RDZ196616:RDZ196693 RDZ262152:RDZ262229 RDZ327688:RDZ327765 RDZ393224:RDZ393301 RDZ458760:RDZ458837 RDZ524296:RDZ524373 RDZ589832:RDZ589909 RDZ655368:RDZ655445 RDZ720904:RDZ720981 RDZ786440:RDZ786517 RDZ851976:RDZ852053 RDZ917512:RDZ917589 RDZ983048:RDZ983125 RNV2:RNV85 RNV65544:RNV65621 RNV131080:RNV131157 RNV196616:RNV196693 RNV262152:RNV262229 RNV327688:RNV327765 RNV393224:RNV393301 RNV458760:RNV458837 RNV524296:RNV524373 RNV589832:RNV589909 RNV655368:RNV655445 RNV720904:RNV720981 RNV786440:RNV786517 RNV851976:RNV852053 RNV917512:RNV917589 RNV983048:RNV983125 RXR2:RXR85 RXR65544:RXR65621 RXR131080:RXR131157 RXR196616:RXR196693 RXR262152:RXR262229 RXR327688:RXR327765 RXR393224:RXR393301 RXR458760:RXR458837 RXR524296:RXR524373 RXR589832:RXR589909 RXR655368:RXR655445 RXR720904:RXR720981 RXR786440:RXR786517 RXR851976:RXR852053 RXR917512:RXR917589 RXR983048:RXR983125 SHN2:SHN85 SHN65544:SHN65621 SHN131080:SHN131157 SHN196616:SHN196693 SHN262152:SHN262229 SHN327688:SHN327765 SHN393224:SHN393301 SHN458760:SHN458837 SHN524296:SHN524373 SHN589832:SHN589909 SHN655368:SHN655445 SHN720904:SHN720981 SHN786440:SHN786517 SHN851976:SHN852053 SHN917512:SHN917589 SHN983048:SHN983125 SRJ2:SRJ85 SRJ65544:SRJ65621 SRJ131080:SRJ131157 SRJ196616:SRJ196693 SRJ262152:SRJ262229 SRJ327688:SRJ327765 SRJ393224:SRJ393301 SRJ458760:SRJ458837 SRJ524296:SRJ524373 SRJ589832:SRJ589909 SRJ655368:SRJ655445 SRJ720904:SRJ720981 SRJ786440:SRJ786517 SRJ851976:SRJ852053 SRJ917512:SRJ917589 SRJ983048:SRJ983125 TBF2:TBF85 TBF65544:TBF65621 TBF131080:TBF131157 TBF196616:TBF196693 TBF262152:TBF262229 TBF327688:TBF327765 TBF393224:TBF393301 TBF458760:TBF458837 TBF524296:TBF524373 TBF589832:TBF589909 TBF655368:TBF655445 TBF720904:TBF720981 TBF786440:TBF786517 TBF851976:TBF852053 TBF917512:TBF917589 TBF983048:TBF983125 TLB2:TLB85 TLB65544:TLB65621 TLB131080:TLB131157 TLB196616:TLB196693 TLB262152:TLB262229 TLB327688:TLB327765 TLB393224:TLB393301 TLB458760:TLB458837 TLB524296:TLB524373 TLB589832:TLB589909 TLB655368:TLB655445 TLB720904:TLB720981 TLB786440:TLB786517 TLB851976:TLB852053 TLB917512:TLB917589 TLB983048:TLB983125 TUX2:TUX85 TUX65544:TUX65621 TUX131080:TUX131157 TUX196616:TUX196693 TUX262152:TUX262229 TUX327688:TUX327765 TUX393224:TUX393301 TUX458760:TUX458837 TUX524296:TUX524373 TUX589832:TUX589909 TUX655368:TUX655445 TUX720904:TUX720981 TUX786440:TUX786517 TUX851976:TUX852053 TUX917512:TUX917589 TUX983048:TUX983125 UET2:UET85 UET65544:UET65621 UET131080:UET131157 UET196616:UET196693 UET262152:UET262229 UET327688:UET327765 UET393224:UET393301 UET458760:UET458837 UET524296:UET524373 UET589832:UET589909 UET655368:UET655445 UET720904:UET720981 UET786440:UET786517 UET851976:UET852053 UET917512:UET917589 UET983048:UET983125 UOP2:UOP85 UOP65544:UOP65621 UOP131080:UOP131157 UOP196616:UOP196693 UOP262152:UOP262229 UOP327688:UOP327765 UOP393224:UOP393301 UOP458760:UOP458837 UOP524296:UOP524373 UOP589832:UOP589909 UOP655368:UOP655445 UOP720904:UOP720981 UOP786440:UOP786517 UOP851976:UOP852053 UOP917512:UOP917589 UOP983048:UOP983125 UYL2:UYL85 UYL65544:UYL65621 UYL131080:UYL131157 UYL196616:UYL196693 UYL262152:UYL262229 UYL327688:UYL327765 UYL393224:UYL393301 UYL458760:UYL458837 UYL524296:UYL524373 UYL589832:UYL589909 UYL655368:UYL655445 UYL720904:UYL720981 UYL786440:UYL786517 UYL851976:UYL852053 UYL917512:UYL917589 UYL983048:UYL983125 VIH2:VIH85 VIH65544:VIH65621 VIH131080:VIH131157 VIH196616:VIH196693 VIH262152:VIH262229 VIH327688:VIH327765 VIH393224:VIH393301 VIH458760:VIH458837 VIH524296:VIH524373 VIH589832:VIH589909 VIH655368:VIH655445 VIH720904:VIH720981 VIH786440:VIH786517 VIH851976:VIH852053 VIH917512:VIH917589 VIH983048:VIH983125 VSD2:VSD85 VSD65544:VSD65621 VSD131080:VSD131157 VSD196616:VSD196693 VSD262152:VSD262229 VSD327688:VSD327765 VSD393224:VSD393301 VSD458760:VSD458837 VSD524296:VSD524373 VSD589832:VSD589909 VSD655368:VSD655445 VSD720904:VSD720981 VSD786440:VSD786517 VSD851976:VSD852053 VSD917512:VSD917589 VSD983048:VSD983125 WBZ2:WBZ85 WBZ65544:WBZ65621 WBZ131080:WBZ131157 WBZ196616:WBZ196693 WBZ262152:WBZ262229 WBZ327688:WBZ327765 WBZ393224:WBZ393301 WBZ458760:WBZ458837 WBZ524296:WBZ524373 WBZ589832:WBZ589909 WBZ655368:WBZ655445 WBZ720904:WBZ720981 WBZ786440:WBZ786517 WBZ851976:WBZ852053 WBZ917512:WBZ917589 WBZ983048:WBZ983125 WLV2:WLV85 WLV65544:WLV65621 WLV131080:WLV131157 WLV196616:WLV196693 WLV262152:WLV262229 WLV327688:WLV327765 WLV393224:WLV393301 WLV458760:WLV458837 WLV524296:WLV524373 WLV589832:WLV589909 WLV655368:WLV655445 WLV720904:WLV720981 WLV786440:WLV786517 WLV851976:WLV852053 WLV917512:WLV917589 WLV983048:WLV983125 WVR2:WVR85 WVR65544:WVR65621 WVR131080:WVR131157 WVR196616:WVR196693 WVR262152:WVR262229 WVR327688:WVR327765 WVR393224:WVR393301 WVR458760:WVR458837 WVR524296:WVR524373 WVR589832:WVR589909 WVR655368:WVR655445 WVR720904:WVR720981 WVR786440:WVR786517 WVR851976:WVR852053 WVR917512:WVR917589 WVR983048:WVR983125">
      <formula1>$AP$2:$AP$27</formula1>
    </dataValidation>
    <dataValidation type="list" allowBlank="1" showInputMessage="1" showErrorMessage="1" sqref="Y2:AA506">
      <formula1>$AV$2:$AV$21</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44 IX65544 ST65544 ACP65544 AML65544 AWH65544 BGD65544 BPZ65544 BZV65544 CJR65544 CTN65544 DDJ65544 DNF65544 DXB65544 EGX65544 EQT65544 FAP65544 FKL65544 FUH65544 GED65544 GNZ65544 GXV65544 HHR65544 HRN65544 IBJ65544 ILF65544 IVB65544 JEX65544 JOT65544 JYP65544 KIL65544 KSH65544 LCD65544 LLZ65544 LVV65544 MFR65544 MPN65544 MZJ65544 NJF65544 NTB65544 OCX65544 OMT65544 OWP65544 PGL65544 PQH65544 QAD65544 QJZ65544 QTV65544 RDR65544 RNN65544 RXJ65544 SHF65544 SRB65544 TAX65544 TKT65544 TUP65544 UEL65544 UOH65544 UYD65544 VHZ65544 VRV65544 WBR65544 WLN65544 WVJ65544 B131080 IX131080 ST131080 ACP131080 AML131080 AWH131080 BGD131080 BPZ131080 BZV131080 CJR131080 CTN131080 DDJ131080 DNF131080 DXB131080 EGX131080 EQT131080 FAP131080 FKL131080 FUH131080 GED131080 GNZ131080 GXV131080 HHR131080 HRN131080 IBJ131080 ILF131080 IVB131080 JEX131080 JOT131080 JYP131080 KIL131080 KSH131080 LCD131080 LLZ131080 LVV131080 MFR131080 MPN131080 MZJ131080 NJF131080 NTB131080 OCX131080 OMT131080 OWP131080 PGL131080 PQH131080 QAD131080 QJZ131080 QTV131080 RDR131080 RNN131080 RXJ131080 SHF131080 SRB131080 TAX131080 TKT131080 TUP131080 UEL131080 UOH131080 UYD131080 VHZ131080 VRV131080 WBR131080 WLN131080 WVJ131080 B196616 IX196616 ST196616 ACP196616 AML196616 AWH196616 BGD196616 BPZ196616 BZV196616 CJR196616 CTN196616 DDJ196616 DNF196616 DXB196616 EGX196616 EQT196616 FAP196616 FKL196616 FUH196616 GED196616 GNZ196616 GXV196616 HHR196616 HRN196616 IBJ196616 ILF196616 IVB196616 JEX196616 JOT196616 JYP196616 KIL196616 KSH196616 LCD196616 LLZ196616 LVV196616 MFR196616 MPN196616 MZJ196616 NJF196616 NTB196616 OCX196616 OMT196616 OWP196616 PGL196616 PQH196616 QAD196616 QJZ196616 QTV196616 RDR196616 RNN196616 RXJ196616 SHF196616 SRB196616 TAX196616 TKT196616 TUP196616 UEL196616 UOH196616 UYD196616 VHZ196616 VRV196616 WBR196616 WLN196616 WVJ196616 B262152 IX262152 ST262152 ACP262152 AML262152 AWH262152 BGD262152 BPZ262152 BZV262152 CJR262152 CTN262152 DDJ262152 DNF262152 DXB262152 EGX262152 EQT262152 FAP262152 FKL262152 FUH262152 GED262152 GNZ262152 GXV262152 HHR262152 HRN262152 IBJ262152 ILF262152 IVB262152 JEX262152 JOT262152 JYP262152 KIL262152 KSH262152 LCD262152 LLZ262152 LVV262152 MFR262152 MPN262152 MZJ262152 NJF262152 NTB262152 OCX262152 OMT262152 OWP262152 PGL262152 PQH262152 QAD262152 QJZ262152 QTV262152 RDR262152 RNN262152 RXJ262152 SHF262152 SRB262152 TAX262152 TKT262152 TUP262152 UEL262152 UOH262152 UYD262152 VHZ262152 VRV262152 WBR262152 WLN262152 WVJ262152 B327688 IX327688 ST327688 ACP327688 AML327688 AWH327688 BGD327688 BPZ327688 BZV327688 CJR327688 CTN327688 DDJ327688 DNF327688 DXB327688 EGX327688 EQT327688 FAP327688 FKL327688 FUH327688 GED327688 GNZ327688 GXV327688 HHR327688 HRN327688 IBJ327688 ILF327688 IVB327688 JEX327688 JOT327688 JYP327688 KIL327688 KSH327688 LCD327688 LLZ327688 LVV327688 MFR327688 MPN327688 MZJ327688 NJF327688 NTB327688 OCX327688 OMT327688 OWP327688 PGL327688 PQH327688 QAD327688 QJZ327688 QTV327688 RDR327688 RNN327688 RXJ327688 SHF327688 SRB327688 TAX327688 TKT327688 TUP327688 UEL327688 UOH327688 UYD327688 VHZ327688 VRV327688 WBR327688 WLN327688 WVJ327688 B393224 IX393224 ST393224 ACP393224 AML393224 AWH393224 BGD393224 BPZ393224 BZV393224 CJR393224 CTN393224 DDJ393224 DNF393224 DXB393224 EGX393224 EQT393224 FAP393224 FKL393224 FUH393224 GED393224 GNZ393224 GXV393224 HHR393224 HRN393224 IBJ393224 ILF393224 IVB393224 JEX393224 JOT393224 JYP393224 KIL393224 KSH393224 LCD393224 LLZ393224 LVV393224 MFR393224 MPN393224 MZJ393224 NJF393224 NTB393224 OCX393224 OMT393224 OWP393224 PGL393224 PQH393224 QAD393224 QJZ393224 QTV393224 RDR393224 RNN393224 RXJ393224 SHF393224 SRB393224 TAX393224 TKT393224 TUP393224 UEL393224 UOH393224 UYD393224 VHZ393224 VRV393224 WBR393224 WLN393224 WVJ393224 B458760 IX458760 ST458760 ACP458760 AML458760 AWH458760 BGD458760 BPZ458760 BZV458760 CJR458760 CTN458760 DDJ458760 DNF458760 DXB458760 EGX458760 EQT458760 FAP458760 FKL458760 FUH458760 GED458760 GNZ458760 GXV458760 HHR458760 HRN458760 IBJ458760 ILF458760 IVB458760 JEX458760 JOT458760 JYP458760 KIL458760 KSH458760 LCD458760 LLZ458760 LVV458760 MFR458760 MPN458760 MZJ458760 NJF458760 NTB458760 OCX458760 OMT458760 OWP458760 PGL458760 PQH458760 QAD458760 QJZ458760 QTV458760 RDR458760 RNN458760 RXJ458760 SHF458760 SRB458760 TAX458760 TKT458760 TUP458760 UEL458760 UOH458760 UYD458760 VHZ458760 VRV458760 WBR458760 WLN458760 WVJ458760 B524296 IX524296 ST524296 ACP524296 AML524296 AWH524296 BGD524296 BPZ524296 BZV524296 CJR524296 CTN524296 DDJ524296 DNF524296 DXB524296 EGX524296 EQT524296 FAP524296 FKL524296 FUH524296 GED524296 GNZ524296 GXV524296 HHR524296 HRN524296 IBJ524296 ILF524296 IVB524296 JEX524296 JOT524296 JYP524296 KIL524296 KSH524296 LCD524296 LLZ524296 LVV524296 MFR524296 MPN524296 MZJ524296 NJF524296 NTB524296 OCX524296 OMT524296 OWP524296 PGL524296 PQH524296 QAD524296 QJZ524296 QTV524296 RDR524296 RNN524296 RXJ524296 SHF524296 SRB524296 TAX524296 TKT524296 TUP524296 UEL524296 UOH524296 UYD524296 VHZ524296 VRV524296 WBR524296 WLN524296 WVJ524296 B589832 IX589832 ST589832 ACP589832 AML589832 AWH589832 BGD589832 BPZ589832 BZV589832 CJR589832 CTN589832 DDJ589832 DNF589832 DXB589832 EGX589832 EQT589832 FAP589832 FKL589832 FUH589832 GED589832 GNZ589832 GXV589832 HHR589832 HRN589832 IBJ589832 ILF589832 IVB589832 JEX589832 JOT589832 JYP589832 KIL589832 KSH589832 LCD589832 LLZ589832 LVV589832 MFR589832 MPN589832 MZJ589832 NJF589832 NTB589832 OCX589832 OMT589832 OWP589832 PGL589832 PQH589832 QAD589832 QJZ589832 QTV589832 RDR589832 RNN589832 RXJ589832 SHF589832 SRB589832 TAX589832 TKT589832 TUP589832 UEL589832 UOH589832 UYD589832 VHZ589832 VRV589832 WBR589832 WLN589832 WVJ589832 B655368 IX655368 ST655368 ACP655368 AML655368 AWH655368 BGD655368 BPZ655368 BZV655368 CJR655368 CTN655368 DDJ655368 DNF655368 DXB655368 EGX655368 EQT655368 FAP655368 FKL655368 FUH655368 GED655368 GNZ655368 GXV655368 HHR655368 HRN655368 IBJ655368 ILF655368 IVB655368 JEX655368 JOT655368 JYP655368 KIL655368 KSH655368 LCD655368 LLZ655368 LVV655368 MFR655368 MPN655368 MZJ655368 NJF655368 NTB655368 OCX655368 OMT655368 OWP655368 PGL655368 PQH655368 QAD655368 QJZ655368 QTV655368 RDR655368 RNN655368 RXJ655368 SHF655368 SRB655368 TAX655368 TKT655368 TUP655368 UEL655368 UOH655368 UYD655368 VHZ655368 VRV655368 WBR655368 WLN655368 WVJ655368 B720904 IX720904 ST720904 ACP720904 AML720904 AWH720904 BGD720904 BPZ720904 BZV720904 CJR720904 CTN720904 DDJ720904 DNF720904 DXB720904 EGX720904 EQT720904 FAP720904 FKL720904 FUH720904 GED720904 GNZ720904 GXV720904 HHR720904 HRN720904 IBJ720904 ILF720904 IVB720904 JEX720904 JOT720904 JYP720904 KIL720904 KSH720904 LCD720904 LLZ720904 LVV720904 MFR720904 MPN720904 MZJ720904 NJF720904 NTB720904 OCX720904 OMT720904 OWP720904 PGL720904 PQH720904 QAD720904 QJZ720904 QTV720904 RDR720904 RNN720904 RXJ720904 SHF720904 SRB720904 TAX720904 TKT720904 TUP720904 UEL720904 UOH720904 UYD720904 VHZ720904 VRV720904 WBR720904 WLN720904 WVJ720904 B786440 IX786440 ST786440 ACP786440 AML786440 AWH786440 BGD786440 BPZ786440 BZV786440 CJR786440 CTN786440 DDJ786440 DNF786440 DXB786440 EGX786440 EQT786440 FAP786440 FKL786440 FUH786440 GED786440 GNZ786440 GXV786440 HHR786440 HRN786440 IBJ786440 ILF786440 IVB786440 JEX786440 JOT786440 JYP786440 KIL786440 KSH786440 LCD786440 LLZ786440 LVV786440 MFR786440 MPN786440 MZJ786440 NJF786440 NTB786440 OCX786440 OMT786440 OWP786440 PGL786440 PQH786440 QAD786440 QJZ786440 QTV786440 RDR786440 RNN786440 RXJ786440 SHF786440 SRB786440 TAX786440 TKT786440 TUP786440 UEL786440 UOH786440 UYD786440 VHZ786440 VRV786440 WBR786440 WLN786440 WVJ786440 B851976 IX851976 ST851976 ACP851976 AML851976 AWH851976 BGD851976 BPZ851976 BZV851976 CJR851976 CTN851976 DDJ851976 DNF851976 DXB851976 EGX851976 EQT851976 FAP851976 FKL851976 FUH851976 GED851976 GNZ851976 GXV851976 HHR851976 HRN851976 IBJ851976 ILF851976 IVB851976 JEX851976 JOT851976 JYP851976 KIL851976 KSH851976 LCD851976 LLZ851976 LVV851976 MFR851976 MPN851976 MZJ851976 NJF851976 NTB851976 OCX851976 OMT851976 OWP851976 PGL851976 PQH851976 QAD851976 QJZ851976 QTV851976 RDR851976 RNN851976 RXJ851976 SHF851976 SRB851976 TAX851976 TKT851976 TUP851976 UEL851976 UOH851976 UYD851976 VHZ851976 VRV851976 WBR851976 WLN851976 WVJ851976 B917512 IX917512 ST917512 ACP917512 AML917512 AWH917512 BGD917512 BPZ917512 BZV917512 CJR917512 CTN917512 DDJ917512 DNF917512 DXB917512 EGX917512 EQT917512 FAP917512 FKL917512 FUH917512 GED917512 GNZ917512 GXV917512 HHR917512 HRN917512 IBJ917512 ILF917512 IVB917512 JEX917512 JOT917512 JYP917512 KIL917512 KSH917512 LCD917512 LLZ917512 LVV917512 MFR917512 MPN917512 MZJ917512 NJF917512 NTB917512 OCX917512 OMT917512 OWP917512 PGL917512 PQH917512 QAD917512 QJZ917512 QTV917512 RDR917512 RNN917512 RXJ917512 SHF917512 SRB917512 TAX917512 TKT917512 TUP917512 UEL917512 UOH917512 UYD917512 VHZ917512 VRV917512 WBR917512 WLN917512 WVJ917512 B983048 IX983048 ST983048 ACP983048 AML983048 AWH983048 BGD983048 BPZ983048 BZV983048 CJR983048 CTN983048 DDJ983048 DNF983048 DXB983048 EGX983048 EQT983048 FAP983048 FKL983048 FUH983048 GED983048 GNZ983048 GXV983048 HHR983048 HRN983048 IBJ983048 ILF983048 IVB983048 JEX983048 JOT983048 JYP983048 KIL983048 KSH983048 LCD983048 LLZ983048 LVV983048 MFR983048 MPN983048 MZJ983048 NJF983048 NTB983048 OCX983048 OMT983048 OWP983048 PGL983048 PQH983048 QAD983048 QJZ983048 QTV983048 RDR983048 RNN983048 RXJ983048 SHF983048 SRB983048 TAX983048 TKT983048 TUP983048 UEL983048 UOH983048 UYD983048 VHZ983048 VRV983048 WBR983048 WLN983048 WVJ983048"/>
    <dataValidation type="list" allowBlank="1" showInputMessage="1" showErrorMessage="1" sqref="E2:E738 E65544:E65621 E131080:E131157 E196616:E196693 E262152:E262229 E327688:E327765 E393224:E393301 E458760:E458837 E524296:E524373 E589832:E589909 E655368:E655445 E720904:E720981 E786440:E786517 E851976:E852053 E917512:E917589 E983048:E983125 JA2:JA85 JA65544:JA65621 JA131080:JA131157 JA196616:JA196693 JA262152:JA262229 JA327688:JA327765 JA393224:JA393301 JA458760:JA458837 JA524296:JA524373 JA589832:JA589909 JA655368:JA655445 JA720904:JA720981 JA786440:JA786517 JA851976:JA852053 JA917512:JA917589 JA983048:JA983125 SW2:SW85 SW65544:SW65621 SW131080:SW131157 SW196616:SW196693 SW262152:SW262229 SW327688:SW327765 SW393224:SW393301 SW458760:SW458837 SW524296:SW524373 SW589832:SW589909 SW655368:SW655445 SW720904:SW720981 SW786440:SW786517 SW851976:SW852053 SW917512:SW917589 SW983048:SW983125 ACS2:ACS85 ACS65544:ACS65621 ACS131080:ACS131157 ACS196616:ACS196693 ACS262152:ACS262229 ACS327688:ACS327765 ACS393224:ACS393301 ACS458760:ACS458837 ACS524296:ACS524373 ACS589832:ACS589909 ACS655368:ACS655445 ACS720904:ACS720981 ACS786440:ACS786517 ACS851976:ACS852053 ACS917512:ACS917589 ACS983048:ACS983125 AMO2:AMO85 AMO65544:AMO65621 AMO131080:AMO131157 AMO196616:AMO196693 AMO262152:AMO262229 AMO327688:AMO327765 AMO393224:AMO393301 AMO458760:AMO458837 AMO524296:AMO524373 AMO589832:AMO589909 AMO655368:AMO655445 AMO720904:AMO720981 AMO786440:AMO786517 AMO851976:AMO852053 AMO917512:AMO917589 AMO983048:AMO983125 AWK2:AWK85 AWK65544:AWK65621 AWK131080:AWK131157 AWK196616:AWK196693 AWK262152:AWK262229 AWK327688:AWK327765 AWK393224:AWK393301 AWK458760:AWK458837 AWK524296:AWK524373 AWK589832:AWK589909 AWK655368:AWK655445 AWK720904:AWK720981 AWK786440:AWK786517 AWK851976:AWK852053 AWK917512:AWK917589 AWK983048:AWK983125 BGG2:BGG85 BGG65544:BGG65621 BGG131080:BGG131157 BGG196616:BGG196693 BGG262152:BGG262229 BGG327688:BGG327765 BGG393224:BGG393301 BGG458760:BGG458837 BGG524296:BGG524373 BGG589832:BGG589909 BGG655368:BGG655445 BGG720904:BGG720981 BGG786440:BGG786517 BGG851976:BGG852053 BGG917512:BGG917589 BGG983048:BGG983125 BQC2:BQC85 BQC65544:BQC65621 BQC131080:BQC131157 BQC196616:BQC196693 BQC262152:BQC262229 BQC327688:BQC327765 BQC393224:BQC393301 BQC458760:BQC458837 BQC524296:BQC524373 BQC589832:BQC589909 BQC655368:BQC655445 BQC720904:BQC720981 BQC786440:BQC786517 BQC851976:BQC852053 BQC917512:BQC917589 BQC983048:BQC983125 BZY2:BZY85 BZY65544:BZY65621 BZY131080:BZY131157 BZY196616:BZY196693 BZY262152:BZY262229 BZY327688:BZY327765 BZY393224:BZY393301 BZY458760:BZY458837 BZY524296:BZY524373 BZY589832:BZY589909 BZY655368:BZY655445 BZY720904:BZY720981 BZY786440:BZY786517 BZY851976:BZY852053 BZY917512:BZY917589 BZY983048:BZY983125 CJU2:CJU85 CJU65544:CJU65621 CJU131080:CJU131157 CJU196616:CJU196693 CJU262152:CJU262229 CJU327688:CJU327765 CJU393224:CJU393301 CJU458760:CJU458837 CJU524296:CJU524373 CJU589832:CJU589909 CJU655368:CJU655445 CJU720904:CJU720981 CJU786440:CJU786517 CJU851976:CJU852053 CJU917512:CJU917589 CJU983048:CJU983125 CTQ2:CTQ85 CTQ65544:CTQ65621 CTQ131080:CTQ131157 CTQ196616:CTQ196693 CTQ262152:CTQ262229 CTQ327688:CTQ327765 CTQ393224:CTQ393301 CTQ458760:CTQ458837 CTQ524296:CTQ524373 CTQ589832:CTQ589909 CTQ655368:CTQ655445 CTQ720904:CTQ720981 CTQ786440:CTQ786517 CTQ851976:CTQ852053 CTQ917512:CTQ917589 CTQ983048:CTQ983125 DDM2:DDM85 DDM65544:DDM65621 DDM131080:DDM131157 DDM196616:DDM196693 DDM262152:DDM262229 DDM327688:DDM327765 DDM393224:DDM393301 DDM458760:DDM458837 DDM524296:DDM524373 DDM589832:DDM589909 DDM655368:DDM655445 DDM720904:DDM720981 DDM786440:DDM786517 DDM851976:DDM852053 DDM917512:DDM917589 DDM983048:DDM983125 DNI2:DNI85 DNI65544:DNI65621 DNI131080:DNI131157 DNI196616:DNI196693 DNI262152:DNI262229 DNI327688:DNI327765 DNI393224:DNI393301 DNI458760:DNI458837 DNI524296:DNI524373 DNI589832:DNI589909 DNI655368:DNI655445 DNI720904:DNI720981 DNI786440:DNI786517 DNI851976:DNI852053 DNI917512:DNI917589 DNI983048:DNI983125 DXE2:DXE85 DXE65544:DXE65621 DXE131080:DXE131157 DXE196616:DXE196693 DXE262152:DXE262229 DXE327688:DXE327765 DXE393224:DXE393301 DXE458760:DXE458837 DXE524296:DXE524373 DXE589832:DXE589909 DXE655368:DXE655445 DXE720904:DXE720981 DXE786440:DXE786517 DXE851976:DXE852053 DXE917512:DXE917589 DXE983048:DXE983125 EHA2:EHA85 EHA65544:EHA65621 EHA131080:EHA131157 EHA196616:EHA196693 EHA262152:EHA262229 EHA327688:EHA327765 EHA393224:EHA393301 EHA458760:EHA458837 EHA524296:EHA524373 EHA589832:EHA589909 EHA655368:EHA655445 EHA720904:EHA720981 EHA786440:EHA786517 EHA851976:EHA852053 EHA917512:EHA917589 EHA983048:EHA983125 EQW2:EQW85 EQW65544:EQW65621 EQW131080:EQW131157 EQW196616:EQW196693 EQW262152:EQW262229 EQW327688:EQW327765 EQW393224:EQW393301 EQW458760:EQW458837 EQW524296:EQW524373 EQW589832:EQW589909 EQW655368:EQW655445 EQW720904:EQW720981 EQW786440:EQW786517 EQW851976:EQW852053 EQW917512:EQW917589 EQW983048:EQW983125 FAS2:FAS85 FAS65544:FAS65621 FAS131080:FAS131157 FAS196616:FAS196693 FAS262152:FAS262229 FAS327688:FAS327765 FAS393224:FAS393301 FAS458760:FAS458837 FAS524296:FAS524373 FAS589832:FAS589909 FAS655368:FAS655445 FAS720904:FAS720981 FAS786440:FAS786517 FAS851976:FAS852053 FAS917512:FAS917589 FAS983048:FAS983125 FKO2:FKO85 FKO65544:FKO65621 FKO131080:FKO131157 FKO196616:FKO196693 FKO262152:FKO262229 FKO327688:FKO327765 FKO393224:FKO393301 FKO458760:FKO458837 FKO524296:FKO524373 FKO589832:FKO589909 FKO655368:FKO655445 FKO720904:FKO720981 FKO786440:FKO786517 FKO851976:FKO852053 FKO917512:FKO917589 FKO983048:FKO983125 FUK2:FUK85 FUK65544:FUK65621 FUK131080:FUK131157 FUK196616:FUK196693 FUK262152:FUK262229 FUK327688:FUK327765 FUK393224:FUK393301 FUK458760:FUK458837 FUK524296:FUK524373 FUK589832:FUK589909 FUK655368:FUK655445 FUK720904:FUK720981 FUK786440:FUK786517 FUK851976:FUK852053 FUK917512:FUK917589 FUK983048:FUK983125 GEG2:GEG85 GEG65544:GEG65621 GEG131080:GEG131157 GEG196616:GEG196693 GEG262152:GEG262229 GEG327688:GEG327765 GEG393224:GEG393301 GEG458760:GEG458837 GEG524296:GEG524373 GEG589832:GEG589909 GEG655368:GEG655445 GEG720904:GEG720981 GEG786440:GEG786517 GEG851976:GEG852053 GEG917512:GEG917589 GEG983048:GEG983125 GOC2:GOC85 GOC65544:GOC65621 GOC131080:GOC131157 GOC196616:GOC196693 GOC262152:GOC262229 GOC327688:GOC327765 GOC393224:GOC393301 GOC458760:GOC458837 GOC524296:GOC524373 GOC589832:GOC589909 GOC655368:GOC655445 GOC720904:GOC720981 GOC786440:GOC786517 GOC851976:GOC852053 GOC917512:GOC917589 GOC983048:GOC983125 GXY2:GXY85 GXY65544:GXY65621 GXY131080:GXY131157 GXY196616:GXY196693 GXY262152:GXY262229 GXY327688:GXY327765 GXY393224:GXY393301 GXY458760:GXY458837 GXY524296:GXY524373 GXY589832:GXY589909 GXY655368:GXY655445 GXY720904:GXY720981 GXY786440:GXY786517 GXY851976:GXY852053 GXY917512:GXY917589 GXY983048:GXY983125 HHU2:HHU85 HHU65544:HHU65621 HHU131080:HHU131157 HHU196616:HHU196693 HHU262152:HHU262229 HHU327688:HHU327765 HHU393224:HHU393301 HHU458760:HHU458837 HHU524296:HHU524373 HHU589832:HHU589909 HHU655368:HHU655445 HHU720904:HHU720981 HHU786440:HHU786517 HHU851976:HHU852053 HHU917512:HHU917589 HHU983048:HHU983125 HRQ2:HRQ85 HRQ65544:HRQ65621 HRQ131080:HRQ131157 HRQ196616:HRQ196693 HRQ262152:HRQ262229 HRQ327688:HRQ327765 HRQ393224:HRQ393301 HRQ458760:HRQ458837 HRQ524296:HRQ524373 HRQ589832:HRQ589909 HRQ655368:HRQ655445 HRQ720904:HRQ720981 HRQ786440:HRQ786517 HRQ851976:HRQ852053 HRQ917512:HRQ917589 HRQ983048:HRQ983125 IBM2:IBM85 IBM65544:IBM65621 IBM131080:IBM131157 IBM196616:IBM196693 IBM262152:IBM262229 IBM327688:IBM327765 IBM393224:IBM393301 IBM458760:IBM458837 IBM524296:IBM524373 IBM589832:IBM589909 IBM655368:IBM655445 IBM720904:IBM720981 IBM786440:IBM786517 IBM851976:IBM852053 IBM917512:IBM917589 IBM983048:IBM983125 ILI2:ILI85 ILI65544:ILI65621 ILI131080:ILI131157 ILI196616:ILI196693 ILI262152:ILI262229 ILI327688:ILI327765 ILI393224:ILI393301 ILI458760:ILI458837 ILI524296:ILI524373 ILI589832:ILI589909 ILI655368:ILI655445 ILI720904:ILI720981 ILI786440:ILI786517 ILI851976:ILI852053 ILI917512:ILI917589 ILI983048:ILI983125 IVE2:IVE85 IVE65544:IVE65621 IVE131080:IVE131157 IVE196616:IVE196693 IVE262152:IVE262229 IVE327688:IVE327765 IVE393224:IVE393301 IVE458760:IVE458837 IVE524296:IVE524373 IVE589832:IVE589909 IVE655368:IVE655445 IVE720904:IVE720981 IVE786440:IVE786517 IVE851976:IVE852053 IVE917512:IVE917589 IVE983048:IVE983125 JFA2:JFA85 JFA65544:JFA65621 JFA131080:JFA131157 JFA196616:JFA196693 JFA262152:JFA262229 JFA327688:JFA327765 JFA393224:JFA393301 JFA458760:JFA458837 JFA524296:JFA524373 JFA589832:JFA589909 JFA655368:JFA655445 JFA720904:JFA720981 JFA786440:JFA786517 JFA851976:JFA852053 JFA917512:JFA917589 JFA983048:JFA983125 JOW2:JOW85 JOW65544:JOW65621 JOW131080:JOW131157 JOW196616:JOW196693 JOW262152:JOW262229 JOW327688:JOW327765 JOW393224:JOW393301 JOW458760:JOW458837 JOW524296:JOW524373 JOW589832:JOW589909 JOW655368:JOW655445 JOW720904:JOW720981 JOW786440:JOW786517 JOW851976:JOW852053 JOW917512:JOW917589 JOW983048:JOW983125 JYS2:JYS85 JYS65544:JYS65621 JYS131080:JYS131157 JYS196616:JYS196693 JYS262152:JYS262229 JYS327688:JYS327765 JYS393224:JYS393301 JYS458760:JYS458837 JYS524296:JYS524373 JYS589832:JYS589909 JYS655368:JYS655445 JYS720904:JYS720981 JYS786440:JYS786517 JYS851976:JYS852053 JYS917512:JYS917589 JYS983048:JYS983125 KIO2:KIO85 KIO65544:KIO65621 KIO131080:KIO131157 KIO196616:KIO196693 KIO262152:KIO262229 KIO327688:KIO327765 KIO393224:KIO393301 KIO458760:KIO458837 KIO524296:KIO524373 KIO589832:KIO589909 KIO655368:KIO655445 KIO720904:KIO720981 KIO786440:KIO786517 KIO851976:KIO852053 KIO917512:KIO917589 KIO983048:KIO983125 KSK2:KSK85 KSK65544:KSK65621 KSK131080:KSK131157 KSK196616:KSK196693 KSK262152:KSK262229 KSK327688:KSK327765 KSK393224:KSK393301 KSK458760:KSK458837 KSK524296:KSK524373 KSK589832:KSK589909 KSK655368:KSK655445 KSK720904:KSK720981 KSK786440:KSK786517 KSK851976:KSK852053 KSK917512:KSK917589 KSK983048:KSK983125 LCG2:LCG85 LCG65544:LCG65621 LCG131080:LCG131157 LCG196616:LCG196693 LCG262152:LCG262229 LCG327688:LCG327765 LCG393224:LCG393301 LCG458760:LCG458837 LCG524296:LCG524373 LCG589832:LCG589909 LCG655368:LCG655445 LCG720904:LCG720981 LCG786440:LCG786517 LCG851976:LCG852053 LCG917512:LCG917589 LCG983048:LCG983125 LMC2:LMC85 LMC65544:LMC65621 LMC131080:LMC131157 LMC196616:LMC196693 LMC262152:LMC262229 LMC327688:LMC327765 LMC393224:LMC393301 LMC458760:LMC458837 LMC524296:LMC524373 LMC589832:LMC589909 LMC655368:LMC655445 LMC720904:LMC720981 LMC786440:LMC786517 LMC851976:LMC852053 LMC917512:LMC917589 LMC983048:LMC983125 LVY2:LVY85 LVY65544:LVY65621 LVY131080:LVY131157 LVY196616:LVY196693 LVY262152:LVY262229 LVY327688:LVY327765 LVY393224:LVY393301 LVY458760:LVY458837 LVY524296:LVY524373 LVY589832:LVY589909 LVY655368:LVY655445 LVY720904:LVY720981 LVY786440:LVY786517 LVY851976:LVY852053 LVY917512:LVY917589 LVY983048:LVY983125 MFU2:MFU85 MFU65544:MFU65621 MFU131080:MFU131157 MFU196616:MFU196693 MFU262152:MFU262229 MFU327688:MFU327765 MFU393224:MFU393301 MFU458760:MFU458837 MFU524296:MFU524373 MFU589832:MFU589909 MFU655368:MFU655445 MFU720904:MFU720981 MFU786440:MFU786517 MFU851976:MFU852053 MFU917512:MFU917589 MFU983048:MFU983125 MPQ2:MPQ85 MPQ65544:MPQ65621 MPQ131080:MPQ131157 MPQ196616:MPQ196693 MPQ262152:MPQ262229 MPQ327688:MPQ327765 MPQ393224:MPQ393301 MPQ458760:MPQ458837 MPQ524296:MPQ524373 MPQ589832:MPQ589909 MPQ655368:MPQ655445 MPQ720904:MPQ720981 MPQ786440:MPQ786517 MPQ851976:MPQ852053 MPQ917512:MPQ917589 MPQ983048:MPQ983125 MZM2:MZM85 MZM65544:MZM65621 MZM131080:MZM131157 MZM196616:MZM196693 MZM262152:MZM262229 MZM327688:MZM327765 MZM393224:MZM393301 MZM458760:MZM458837 MZM524296:MZM524373 MZM589832:MZM589909 MZM655368:MZM655445 MZM720904:MZM720981 MZM786440:MZM786517 MZM851976:MZM852053 MZM917512:MZM917589 MZM983048:MZM983125 NJI2:NJI85 NJI65544:NJI65621 NJI131080:NJI131157 NJI196616:NJI196693 NJI262152:NJI262229 NJI327688:NJI327765 NJI393224:NJI393301 NJI458760:NJI458837 NJI524296:NJI524373 NJI589832:NJI589909 NJI655368:NJI655445 NJI720904:NJI720981 NJI786440:NJI786517 NJI851976:NJI852053 NJI917512:NJI917589 NJI983048:NJI983125 NTE2:NTE85 NTE65544:NTE65621 NTE131080:NTE131157 NTE196616:NTE196693 NTE262152:NTE262229 NTE327688:NTE327765 NTE393224:NTE393301 NTE458760:NTE458837 NTE524296:NTE524373 NTE589832:NTE589909 NTE655368:NTE655445 NTE720904:NTE720981 NTE786440:NTE786517 NTE851976:NTE852053 NTE917512:NTE917589 NTE983048:NTE983125 ODA2:ODA85 ODA65544:ODA65621 ODA131080:ODA131157 ODA196616:ODA196693 ODA262152:ODA262229 ODA327688:ODA327765 ODA393224:ODA393301 ODA458760:ODA458837 ODA524296:ODA524373 ODA589832:ODA589909 ODA655368:ODA655445 ODA720904:ODA720981 ODA786440:ODA786517 ODA851976:ODA852053 ODA917512:ODA917589 ODA983048:ODA983125 OMW2:OMW85 OMW65544:OMW65621 OMW131080:OMW131157 OMW196616:OMW196693 OMW262152:OMW262229 OMW327688:OMW327765 OMW393224:OMW393301 OMW458760:OMW458837 OMW524296:OMW524373 OMW589832:OMW589909 OMW655368:OMW655445 OMW720904:OMW720981 OMW786440:OMW786517 OMW851976:OMW852053 OMW917512:OMW917589 OMW983048:OMW983125 OWS2:OWS85 OWS65544:OWS65621 OWS131080:OWS131157 OWS196616:OWS196693 OWS262152:OWS262229 OWS327688:OWS327765 OWS393224:OWS393301 OWS458760:OWS458837 OWS524296:OWS524373 OWS589832:OWS589909 OWS655368:OWS655445 OWS720904:OWS720981 OWS786440:OWS786517 OWS851976:OWS852053 OWS917512:OWS917589 OWS983048:OWS983125 PGO2:PGO85 PGO65544:PGO65621 PGO131080:PGO131157 PGO196616:PGO196693 PGO262152:PGO262229 PGO327688:PGO327765 PGO393224:PGO393301 PGO458760:PGO458837 PGO524296:PGO524373 PGO589832:PGO589909 PGO655368:PGO655445 PGO720904:PGO720981 PGO786440:PGO786517 PGO851976:PGO852053 PGO917512:PGO917589 PGO983048:PGO983125 PQK2:PQK85 PQK65544:PQK65621 PQK131080:PQK131157 PQK196616:PQK196693 PQK262152:PQK262229 PQK327688:PQK327765 PQK393224:PQK393301 PQK458760:PQK458837 PQK524296:PQK524373 PQK589832:PQK589909 PQK655368:PQK655445 PQK720904:PQK720981 PQK786440:PQK786517 PQK851976:PQK852053 PQK917512:PQK917589 PQK983048:PQK983125 QAG2:QAG85 QAG65544:QAG65621 QAG131080:QAG131157 QAG196616:QAG196693 QAG262152:QAG262229 QAG327688:QAG327765 QAG393224:QAG393301 QAG458760:QAG458837 QAG524296:QAG524373 QAG589832:QAG589909 QAG655368:QAG655445 QAG720904:QAG720981 QAG786440:QAG786517 QAG851976:QAG852053 QAG917512:QAG917589 QAG983048:QAG983125 QKC2:QKC85 QKC65544:QKC65621 QKC131080:QKC131157 QKC196616:QKC196693 QKC262152:QKC262229 QKC327688:QKC327765 QKC393224:QKC393301 QKC458760:QKC458837 QKC524296:QKC524373 QKC589832:QKC589909 QKC655368:QKC655445 QKC720904:QKC720981 QKC786440:QKC786517 QKC851976:QKC852053 QKC917512:QKC917589 QKC983048:QKC983125 QTY2:QTY85 QTY65544:QTY65621 QTY131080:QTY131157 QTY196616:QTY196693 QTY262152:QTY262229 QTY327688:QTY327765 QTY393224:QTY393301 QTY458760:QTY458837 QTY524296:QTY524373 QTY589832:QTY589909 QTY655368:QTY655445 QTY720904:QTY720981 QTY786440:QTY786517 QTY851976:QTY852053 QTY917512:QTY917589 QTY983048:QTY983125 RDU2:RDU85 RDU65544:RDU65621 RDU131080:RDU131157 RDU196616:RDU196693 RDU262152:RDU262229 RDU327688:RDU327765 RDU393224:RDU393301 RDU458760:RDU458837 RDU524296:RDU524373 RDU589832:RDU589909 RDU655368:RDU655445 RDU720904:RDU720981 RDU786440:RDU786517 RDU851976:RDU852053 RDU917512:RDU917589 RDU983048:RDU983125 RNQ2:RNQ85 RNQ65544:RNQ65621 RNQ131080:RNQ131157 RNQ196616:RNQ196693 RNQ262152:RNQ262229 RNQ327688:RNQ327765 RNQ393224:RNQ393301 RNQ458760:RNQ458837 RNQ524296:RNQ524373 RNQ589832:RNQ589909 RNQ655368:RNQ655445 RNQ720904:RNQ720981 RNQ786440:RNQ786517 RNQ851976:RNQ852053 RNQ917512:RNQ917589 RNQ983048:RNQ983125 RXM2:RXM85 RXM65544:RXM65621 RXM131080:RXM131157 RXM196616:RXM196693 RXM262152:RXM262229 RXM327688:RXM327765 RXM393224:RXM393301 RXM458760:RXM458837 RXM524296:RXM524373 RXM589832:RXM589909 RXM655368:RXM655445 RXM720904:RXM720981 RXM786440:RXM786517 RXM851976:RXM852053 RXM917512:RXM917589 RXM983048:RXM983125 SHI2:SHI85 SHI65544:SHI65621 SHI131080:SHI131157 SHI196616:SHI196693 SHI262152:SHI262229 SHI327688:SHI327765 SHI393224:SHI393301 SHI458760:SHI458837 SHI524296:SHI524373 SHI589832:SHI589909 SHI655368:SHI655445 SHI720904:SHI720981 SHI786440:SHI786517 SHI851976:SHI852053 SHI917512:SHI917589 SHI983048:SHI983125 SRE2:SRE85 SRE65544:SRE65621 SRE131080:SRE131157 SRE196616:SRE196693 SRE262152:SRE262229 SRE327688:SRE327765 SRE393224:SRE393301 SRE458760:SRE458837 SRE524296:SRE524373 SRE589832:SRE589909 SRE655368:SRE655445 SRE720904:SRE720981 SRE786440:SRE786517 SRE851976:SRE852053 SRE917512:SRE917589 SRE983048:SRE983125 TBA2:TBA85 TBA65544:TBA65621 TBA131080:TBA131157 TBA196616:TBA196693 TBA262152:TBA262229 TBA327688:TBA327765 TBA393224:TBA393301 TBA458760:TBA458837 TBA524296:TBA524373 TBA589832:TBA589909 TBA655368:TBA655445 TBA720904:TBA720981 TBA786440:TBA786517 TBA851976:TBA852053 TBA917512:TBA917589 TBA983048:TBA983125 TKW2:TKW85 TKW65544:TKW65621 TKW131080:TKW131157 TKW196616:TKW196693 TKW262152:TKW262229 TKW327688:TKW327765 TKW393224:TKW393301 TKW458760:TKW458837 TKW524296:TKW524373 TKW589832:TKW589909 TKW655368:TKW655445 TKW720904:TKW720981 TKW786440:TKW786517 TKW851976:TKW852053 TKW917512:TKW917589 TKW983048:TKW983125 TUS2:TUS85 TUS65544:TUS65621 TUS131080:TUS131157 TUS196616:TUS196693 TUS262152:TUS262229 TUS327688:TUS327765 TUS393224:TUS393301 TUS458760:TUS458837 TUS524296:TUS524373 TUS589832:TUS589909 TUS655368:TUS655445 TUS720904:TUS720981 TUS786440:TUS786517 TUS851976:TUS852053 TUS917512:TUS917589 TUS983048:TUS983125 UEO2:UEO85 UEO65544:UEO65621 UEO131080:UEO131157 UEO196616:UEO196693 UEO262152:UEO262229 UEO327688:UEO327765 UEO393224:UEO393301 UEO458760:UEO458837 UEO524296:UEO524373 UEO589832:UEO589909 UEO655368:UEO655445 UEO720904:UEO720981 UEO786440:UEO786517 UEO851976:UEO852053 UEO917512:UEO917589 UEO983048:UEO983125 UOK2:UOK85 UOK65544:UOK65621 UOK131080:UOK131157 UOK196616:UOK196693 UOK262152:UOK262229 UOK327688:UOK327765 UOK393224:UOK393301 UOK458760:UOK458837 UOK524296:UOK524373 UOK589832:UOK589909 UOK655368:UOK655445 UOK720904:UOK720981 UOK786440:UOK786517 UOK851976:UOK852053 UOK917512:UOK917589 UOK983048:UOK983125 UYG2:UYG85 UYG65544:UYG65621 UYG131080:UYG131157 UYG196616:UYG196693 UYG262152:UYG262229 UYG327688:UYG327765 UYG393224:UYG393301 UYG458760:UYG458837 UYG524296:UYG524373 UYG589832:UYG589909 UYG655368:UYG655445 UYG720904:UYG720981 UYG786440:UYG786517 UYG851976:UYG852053 UYG917512:UYG917589 UYG983048:UYG983125 VIC2:VIC85 VIC65544:VIC65621 VIC131080:VIC131157 VIC196616:VIC196693 VIC262152:VIC262229 VIC327688:VIC327765 VIC393224:VIC393301 VIC458760:VIC458837 VIC524296:VIC524373 VIC589832:VIC589909 VIC655368:VIC655445 VIC720904:VIC720981 VIC786440:VIC786517 VIC851976:VIC852053 VIC917512:VIC917589 VIC983048:VIC983125 VRY2:VRY85 VRY65544:VRY65621 VRY131080:VRY131157 VRY196616:VRY196693 VRY262152:VRY262229 VRY327688:VRY327765 VRY393224:VRY393301 VRY458760:VRY458837 VRY524296:VRY524373 VRY589832:VRY589909 VRY655368:VRY655445 VRY720904:VRY720981 VRY786440:VRY786517 VRY851976:VRY852053 VRY917512:VRY917589 VRY983048:VRY983125 WBU2:WBU85 WBU65544:WBU65621 WBU131080:WBU131157 WBU196616:WBU196693 WBU262152:WBU262229 WBU327688:WBU327765 WBU393224:WBU393301 WBU458760:WBU458837 WBU524296:WBU524373 WBU589832:WBU589909 WBU655368:WBU655445 WBU720904:WBU720981 WBU786440:WBU786517 WBU851976:WBU852053 WBU917512:WBU917589 WBU983048:WBU983125 WLQ2:WLQ85 WLQ65544:WLQ65621 WLQ131080:WLQ131157 WLQ196616:WLQ196693 WLQ262152:WLQ262229 WLQ327688:WLQ327765 WLQ393224:WLQ393301 WLQ458760:WLQ458837 WLQ524296:WLQ524373 WLQ589832:WLQ589909 WLQ655368:WLQ655445 WLQ720904:WLQ720981 WLQ786440:WLQ786517 WLQ851976:WLQ852053 WLQ917512:WLQ917589 WLQ983048:WLQ983125 WVM2:WVM85 WVM65544:WVM65621 WVM131080:WVM131157 WVM196616:WVM196693 WVM262152:WVM262229 WVM327688:WVM327765 WVM393224:WVM393301 WVM458760:WVM458837 WVM524296:WVM524373 WVM589832:WVM589909 WVM655368:WVM655445 WVM720904:WVM720981 WVM786440:WVM786517 WVM851976:WVM852053 WVM917512:WVM917589 WVM983048:WVM983125">
      <formula1>$AG$2:$AG$11</formula1>
    </dataValidation>
    <dataValidation type="list" allowBlank="1" showInputMessage="1" showErrorMessage="1" sqref="A2:A506 A65544:A65621 A131080:A131157 A196616:A196693 A262152:A262229 A327688:A327765 A393224:A393301 A458760:A458837 A524296:A524373 A589832:A589909 A655368:A655445 A720904:A720981 A786440:A786517 A851976:A852053 A917512:A917589 A983048:A983125 IW2:IW85 IW65544:IW65621 IW131080:IW131157 IW196616:IW196693 IW262152:IW262229 IW327688:IW327765 IW393224:IW393301 IW458760:IW458837 IW524296:IW524373 IW589832:IW589909 IW655368:IW655445 IW720904:IW720981 IW786440:IW786517 IW851976:IW852053 IW917512:IW917589 IW983048:IW983125 SS2:SS85 SS65544:SS65621 SS131080:SS131157 SS196616:SS196693 SS262152:SS262229 SS327688:SS327765 SS393224:SS393301 SS458760:SS458837 SS524296:SS524373 SS589832:SS589909 SS655368:SS655445 SS720904:SS720981 SS786440:SS786517 SS851976:SS852053 SS917512:SS917589 SS983048:SS983125 ACO2:ACO85 ACO65544:ACO65621 ACO131080:ACO131157 ACO196616:ACO196693 ACO262152:ACO262229 ACO327688:ACO327765 ACO393224:ACO393301 ACO458760:ACO458837 ACO524296:ACO524373 ACO589832:ACO589909 ACO655368:ACO655445 ACO720904:ACO720981 ACO786440:ACO786517 ACO851976:ACO852053 ACO917512:ACO917589 ACO983048:ACO983125 AMK2:AMK85 AMK65544:AMK65621 AMK131080:AMK131157 AMK196616:AMK196693 AMK262152:AMK262229 AMK327688:AMK327765 AMK393224:AMK393301 AMK458760:AMK458837 AMK524296:AMK524373 AMK589832:AMK589909 AMK655368:AMK655445 AMK720904:AMK720981 AMK786440:AMK786517 AMK851976:AMK852053 AMK917512:AMK917589 AMK983048:AMK983125 AWG2:AWG85 AWG65544:AWG65621 AWG131080:AWG131157 AWG196616:AWG196693 AWG262152:AWG262229 AWG327688:AWG327765 AWG393224:AWG393301 AWG458760:AWG458837 AWG524296:AWG524373 AWG589832:AWG589909 AWG655368:AWG655445 AWG720904:AWG720981 AWG786440:AWG786517 AWG851976:AWG852053 AWG917512:AWG917589 AWG983048:AWG983125 BGC2:BGC85 BGC65544:BGC65621 BGC131080:BGC131157 BGC196616:BGC196693 BGC262152:BGC262229 BGC327688:BGC327765 BGC393224:BGC393301 BGC458760:BGC458837 BGC524296:BGC524373 BGC589832:BGC589909 BGC655368:BGC655445 BGC720904:BGC720981 BGC786440:BGC786517 BGC851976:BGC852053 BGC917512:BGC917589 BGC983048:BGC983125 BPY2:BPY85 BPY65544:BPY65621 BPY131080:BPY131157 BPY196616:BPY196693 BPY262152:BPY262229 BPY327688:BPY327765 BPY393224:BPY393301 BPY458760:BPY458837 BPY524296:BPY524373 BPY589832:BPY589909 BPY655368:BPY655445 BPY720904:BPY720981 BPY786440:BPY786517 BPY851976:BPY852053 BPY917512:BPY917589 BPY983048:BPY983125 BZU2:BZU85 BZU65544:BZU65621 BZU131080:BZU131157 BZU196616:BZU196693 BZU262152:BZU262229 BZU327688:BZU327765 BZU393224:BZU393301 BZU458760:BZU458837 BZU524296:BZU524373 BZU589832:BZU589909 BZU655368:BZU655445 BZU720904:BZU720981 BZU786440:BZU786517 BZU851976:BZU852053 BZU917512:BZU917589 BZU983048:BZU983125 CJQ2:CJQ85 CJQ65544:CJQ65621 CJQ131080:CJQ131157 CJQ196616:CJQ196693 CJQ262152:CJQ262229 CJQ327688:CJQ327765 CJQ393224:CJQ393301 CJQ458760:CJQ458837 CJQ524296:CJQ524373 CJQ589832:CJQ589909 CJQ655368:CJQ655445 CJQ720904:CJQ720981 CJQ786440:CJQ786517 CJQ851976:CJQ852053 CJQ917512:CJQ917589 CJQ983048:CJQ983125 CTM2:CTM85 CTM65544:CTM65621 CTM131080:CTM131157 CTM196616:CTM196693 CTM262152:CTM262229 CTM327688:CTM327765 CTM393224:CTM393301 CTM458760:CTM458837 CTM524296:CTM524373 CTM589832:CTM589909 CTM655368:CTM655445 CTM720904:CTM720981 CTM786440:CTM786517 CTM851976:CTM852053 CTM917512:CTM917589 CTM983048:CTM983125 DDI2:DDI85 DDI65544:DDI65621 DDI131080:DDI131157 DDI196616:DDI196693 DDI262152:DDI262229 DDI327688:DDI327765 DDI393224:DDI393301 DDI458760:DDI458837 DDI524296:DDI524373 DDI589832:DDI589909 DDI655368:DDI655445 DDI720904:DDI720981 DDI786440:DDI786517 DDI851976:DDI852053 DDI917512:DDI917589 DDI983048:DDI983125 DNE2:DNE85 DNE65544:DNE65621 DNE131080:DNE131157 DNE196616:DNE196693 DNE262152:DNE262229 DNE327688:DNE327765 DNE393224:DNE393301 DNE458760:DNE458837 DNE524296:DNE524373 DNE589832:DNE589909 DNE655368:DNE655445 DNE720904:DNE720981 DNE786440:DNE786517 DNE851976:DNE852053 DNE917512:DNE917589 DNE983048:DNE983125 DXA2:DXA85 DXA65544:DXA65621 DXA131080:DXA131157 DXA196616:DXA196693 DXA262152:DXA262229 DXA327688:DXA327765 DXA393224:DXA393301 DXA458760:DXA458837 DXA524296:DXA524373 DXA589832:DXA589909 DXA655368:DXA655445 DXA720904:DXA720981 DXA786440:DXA786517 DXA851976:DXA852053 DXA917512:DXA917589 DXA983048:DXA983125 EGW2:EGW85 EGW65544:EGW65621 EGW131080:EGW131157 EGW196616:EGW196693 EGW262152:EGW262229 EGW327688:EGW327765 EGW393224:EGW393301 EGW458760:EGW458837 EGW524296:EGW524373 EGW589832:EGW589909 EGW655368:EGW655445 EGW720904:EGW720981 EGW786440:EGW786517 EGW851976:EGW852053 EGW917512:EGW917589 EGW983048:EGW983125 EQS2:EQS85 EQS65544:EQS65621 EQS131080:EQS131157 EQS196616:EQS196693 EQS262152:EQS262229 EQS327688:EQS327765 EQS393224:EQS393301 EQS458760:EQS458837 EQS524296:EQS524373 EQS589832:EQS589909 EQS655368:EQS655445 EQS720904:EQS720981 EQS786440:EQS786517 EQS851976:EQS852053 EQS917512:EQS917589 EQS983048:EQS983125 FAO2:FAO85 FAO65544:FAO65621 FAO131080:FAO131157 FAO196616:FAO196693 FAO262152:FAO262229 FAO327688:FAO327765 FAO393224:FAO393301 FAO458760:FAO458837 FAO524296:FAO524373 FAO589832:FAO589909 FAO655368:FAO655445 FAO720904:FAO720981 FAO786440:FAO786517 FAO851976:FAO852053 FAO917512:FAO917589 FAO983048:FAO983125 FKK2:FKK85 FKK65544:FKK65621 FKK131080:FKK131157 FKK196616:FKK196693 FKK262152:FKK262229 FKK327688:FKK327765 FKK393224:FKK393301 FKK458760:FKK458837 FKK524296:FKK524373 FKK589832:FKK589909 FKK655368:FKK655445 FKK720904:FKK720981 FKK786440:FKK786517 FKK851976:FKK852053 FKK917512:FKK917589 FKK983048:FKK983125 FUG2:FUG85 FUG65544:FUG65621 FUG131080:FUG131157 FUG196616:FUG196693 FUG262152:FUG262229 FUG327688:FUG327765 FUG393224:FUG393301 FUG458760:FUG458837 FUG524296:FUG524373 FUG589832:FUG589909 FUG655368:FUG655445 FUG720904:FUG720981 FUG786440:FUG786517 FUG851976:FUG852053 FUG917512:FUG917589 FUG983048:FUG983125 GEC2:GEC85 GEC65544:GEC65621 GEC131080:GEC131157 GEC196616:GEC196693 GEC262152:GEC262229 GEC327688:GEC327765 GEC393224:GEC393301 GEC458760:GEC458837 GEC524296:GEC524373 GEC589832:GEC589909 GEC655368:GEC655445 GEC720904:GEC720981 GEC786440:GEC786517 GEC851976:GEC852053 GEC917512:GEC917589 GEC983048:GEC983125 GNY2:GNY85 GNY65544:GNY65621 GNY131080:GNY131157 GNY196616:GNY196693 GNY262152:GNY262229 GNY327688:GNY327765 GNY393224:GNY393301 GNY458760:GNY458837 GNY524296:GNY524373 GNY589832:GNY589909 GNY655368:GNY655445 GNY720904:GNY720981 GNY786440:GNY786517 GNY851976:GNY852053 GNY917512:GNY917589 GNY983048:GNY983125 GXU2:GXU85 GXU65544:GXU65621 GXU131080:GXU131157 GXU196616:GXU196693 GXU262152:GXU262229 GXU327688:GXU327765 GXU393224:GXU393301 GXU458760:GXU458837 GXU524296:GXU524373 GXU589832:GXU589909 GXU655368:GXU655445 GXU720904:GXU720981 GXU786440:GXU786517 GXU851976:GXU852053 GXU917512:GXU917589 GXU983048:GXU983125 HHQ2:HHQ85 HHQ65544:HHQ65621 HHQ131080:HHQ131157 HHQ196616:HHQ196693 HHQ262152:HHQ262229 HHQ327688:HHQ327765 HHQ393224:HHQ393301 HHQ458760:HHQ458837 HHQ524296:HHQ524373 HHQ589832:HHQ589909 HHQ655368:HHQ655445 HHQ720904:HHQ720981 HHQ786440:HHQ786517 HHQ851976:HHQ852053 HHQ917512:HHQ917589 HHQ983048:HHQ983125 HRM2:HRM85 HRM65544:HRM65621 HRM131080:HRM131157 HRM196616:HRM196693 HRM262152:HRM262229 HRM327688:HRM327765 HRM393224:HRM393301 HRM458760:HRM458837 HRM524296:HRM524373 HRM589832:HRM589909 HRM655368:HRM655445 HRM720904:HRM720981 HRM786440:HRM786517 HRM851976:HRM852053 HRM917512:HRM917589 HRM983048:HRM983125 IBI2:IBI85 IBI65544:IBI65621 IBI131080:IBI131157 IBI196616:IBI196693 IBI262152:IBI262229 IBI327688:IBI327765 IBI393224:IBI393301 IBI458760:IBI458837 IBI524296:IBI524373 IBI589832:IBI589909 IBI655368:IBI655445 IBI720904:IBI720981 IBI786440:IBI786517 IBI851976:IBI852053 IBI917512:IBI917589 IBI983048:IBI983125 ILE2:ILE85 ILE65544:ILE65621 ILE131080:ILE131157 ILE196616:ILE196693 ILE262152:ILE262229 ILE327688:ILE327765 ILE393224:ILE393301 ILE458760:ILE458837 ILE524296:ILE524373 ILE589832:ILE589909 ILE655368:ILE655445 ILE720904:ILE720981 ILE786440:ILE786517 ILE851976:ILE852053 ILE917512:ILE917589 ILE983048:ILE983125 IVA2:IVA85 IVA65544:IVA65621 IVA131080:IVA131157 IVA196616:IVA196693 IVA262152:IVA262229 IVA327688:IVA327765 IVA393224:IVA393301 IVA458760:IVA458837 IVA524296:IVA524373 IVA589832:IVA589909 IVA655368:IVA655445 IVA720904:IVA720981 IVA786440:IVA786517 IVA851976:IVA852053 IVA917512:IVA917589 IVA983048:IVA983125 JEW2:JEW85 JEW65544:JEW65621 JEW131080:JEW131157 JEW196616:JEW196693 JEW262152:JEW262229 JEW327688:JEW327765 JEW393224:JEW393301 JEW458760:JEW458837 JEW524296:JEW524373 JEW589832:JEW589909 JEW655368:JEW655445 JEW720904:JEW720981 JEW786440:JEW786517 JEW851976:JEW852053 JEW917512:JEW917589 JEW983048:JEW983125 JOS2:JOS85 JOS65544:JOS65621 JOS131080:JOS131157 JOS196616:JOS196693 JOS262152:JOS262229 JOS327688:JOS327765 JOS393224:JOS393301 JOS458760:JOS458837 JOS524296:JOS524373 JOS589832:JOS589909 JOS655368:JOS655445 JOS720904:JOS720981 JOS786440:JOS786517 JOS851976:JOS852053 JOS917512:JOS917589 JOS983048:JOS983125 JYO2:JYO85 JYO65544:JYO65621 JYO131080:JYO131157 JYO196616:JYO196693 JYO262152:JYO262229 JYO327688:JYO327765 JYO393224:JYO393301 JYO458760:JYO458837 JYO524296:JYO524373 JYO589832:JYO589909 JYO655368:JYO655445 JYO720904:JYO720981 JYO786440:JYO786517 JYO851976:JYO852053 JYO917512:JYO917589 JYO983048:JYO983125 KIK2:KIK85 KIK65544:KIK65621 KIK131080:KIK131157 KIK196616:KIK196693 KIK262152:KIK262229 KIK327688:KIK327765 KIK393224:KIK393301 KIK458760:KIK458837 KIK524296:KIK524373 KIK589832:KIK589909 KIK655368:KIK655445 KIK720904:KIK720981 KIK786440:KIK786517 KIK851976:KIK852053 KIK917512:KIK917589 KIK983048:KIK983125 KSG2:KSG85 KSG65544:KSG65621 KSG131080:KSG131157 KSG196616:KSG196693 KSG262152:KSG262229 KSG327688:KSG327765 KSG393224:KSG393301 KSG458760:KSG458837 KSG524296:KSG524373 KSG589832:KSG589909 KSG655368:KSG655445 KSG720904:KSG720981 KSG786440:KSG786517 KSG851976:KSG852053 KSG917512:KSG917589 KSG983048:KSG983125 LCC2:LCC85 LCC65544:LCC65621 LCC131080:LCC131157 LCC196616:LCC196693 LCC262152:LCC262229 LCC327688:LCC327765 LCC393224:LCC393301 LCC458760:LCC458837 LCC524296:LCC524373 LCC589832:LCC589909 LCC655368:LCC655445 LCC720904:LCC720981 LCC786440:LCC786517 LCC851976:LCC852053 LCC917512:LCC917589 LCC983048:LCC983125 LLY2:LLY85 LLY65544:LLY65621 LLY131080:LLY131157 LLY196616:LLY196693 LLY262152:LLY262229 LLY327688:LLY327765 LLY393224:LLY393301 LLY458760:LLY458837 LLY524296:LLY524373 LLY589832:LLY589909 LLY655368:LLY655445 LLY720904:LLY720981 LLY786440:LLY786517 LLY851976:LLY852053 LLY917512:LLY917589 LLY983048:LLY983125 LVU2:LVU85 LVU65544:LVU65621 LVU131080:LVU131157 LVU196616:LVU196693 LVU262152:LVU262229 LVU327688:LVU327765 LVU393224:LVU393301 LVU458760:LVU458837 LVU524296:LVU524373 LVU589832:LVU589909 LVU655368:LVU655445 LVU720904:LVU720981 LVU786440:LVU786517 LVU851976:LVU852053 LVU917512:LVU917589 LVU983048:LVU983125 MFQ2:MFQ85 MFQ65544:MFQ65621 MFQ131080:MFQ131157 MFQ196616:MFQ196693 MFQ262152:MFQ262229 MFQ327688:MFQ327765 MFQ393224:MFQ393301 MFQ458760:MFQ458837 MFQ524296:MFQ524373 MFQ589832:MFQ589909 MFQ655368:MFQ655445 MFQ720904:MFQ720981 MFQ786440:MFQ786517 MFQ851976:MFQ852053 MFQ917512:MFQ917589 MFQ983048:MFQ983125 MPM2:MPM85 MPM65544:MPM65621 MPM131080:MPM131157 MPM196616:MPM196693 MPM262152:MPM262229 MPM327688:MPM327765 MPM393224:MPM393301 MPM458760:MPM458837 MPM524296:MPM524373 MPM589832:MPM589909 MPM655368:MPM655445 MPM720904:MPM720981 MPM786440:MPM786517 MPM851976:MPM852053 MPM917512:MPM917589 MPM983048:MPM983125 MZI2:MZI85 MZI65544:MZI65621 MZI131080:MZI131157 MZI196616:MZI196693 MZI262152:MZI262229 MZI327688:MZI327765 MZI393224:MZI393301 MZI458760:MZI458837 MZI524296:MZI524373 MZI589832:MZI589909 MZI655368:MZI655445 MZI720904:MZI720981 MZI786440:MZI786517 MZI851976:MZI852053 MZI917512:MZI917589 MZI983048:MZI983125 NJE2:NJE85 NJE65544:NJE65621 NJE131080:NJE131157 NJE196616:NJE196693 NJE262152:NJE262229 NJE327688:NJE327765 NJE393224:NJE393301 NJE458760:NJE458837 NJE524296:NJE524373 NJE589832:NJE589909 NJE655368:NJE655445 NJE720904:NJE720981 NJE786440:NJE786517 NJE851976:NJE852053 NJE917512:NJE917589 NJE983048:NJE983125 NTA2:NTA85 NTA65544:NTA65621 NTA131080:NTA131157 NTA196616:NTA196693 NTA262152:NTA262229 NTA327688:NTA327765 NTA393224:NTA393301 NTA458760:NTA458837 NTA524296:NTA524373 NTA589832:NTA589909 NTA655368:NTA655445 NTA720904:NTA720981 NTA786440:NTA786517 NTA851976:NTA852053 NTA917512:NTA917589 NTA983048:NTA983125 OCW2:OCW85 OCW65544:OCW65621 OCW131080:OCW131157 OCW196616:OCW196693 OCW262152:OCW262229 OCW327688:OCW327765 OCW393224:OCW393301 OCW458760:OCW458837 OCW524296:OCW524373 OCW589832:OCW589909 OCW655368:OCW655445 OCW720904:OCW720981 OCW786440:OCW786517 OCW851976:OCW852053 OCW917512:OCW917589 OCW983048:OCW983125 OMS2:OMS85 OMS65544:OMS65621 OMS131080:OMS131157 OMS196616:OMS196693 OMS262152:OMS262229 OMS327688:OMS327765 OMS393224:OMS393301 OMS458760:OMS458837 OMS524296:OMS524373 OMS589832:OMS589909 OMS655368:OMS655445 OMS720904:OMS720981 OMS786440:OMS786517 OMS851976:OMS852053 OMS917512:OMS917589 OMS983048:OMS983125 OWO2:OWO85 OWO65544:OWO65621 OWO131080:OWO131157 OWO196616:OWO196693 OWO262152:OWO262229 OWO327688:OWO327765 OWO393224:OWO393301 OWO458760:OWO458837 OWO524296:OWO524373 OWO589832:OWO589909 OWO655368:OWO655445 OWO720904:OWO720981 OWO786440:OWO786517 OWO851976:OWO852053 OWO917512:OWO917589 OWO983048:OWO983125 PGK2:PGK85 PGK65544:PGK65621 PGK131080:PGK131157 PGK196616:PGK196693 PGK262152:PGK262229 PGK327688:PGK327765 PGK393224:PGK393301 PGK458760:PGK458837 PGK524296:PGK524373 PGK589832:PGK589909 PGK655368:PGK655445 PGK720904:PGK720981 PGK786440:PGK786517 PGK851976:PGK852053 PGK917512:PGK917589 PGK983048:PGK983125 PQG2:PQG85 PQG65544:PQG65621 PQG131080:PQG131157 PQG196616:PQG196693 PQG262152:PQG262229 PQG327688:PQG327765 PQG393224:PQG393301 PQG458760:PQG458837 PQG524296:PQG524373 PQG589832:PQG589909 PQG655368:PQG655445 PQG720904:PQG720981 PQG786440:PQG786517 PQG851976:PQG852053 PQG917512:PQG917589 PQG983048:PQG983125 QAC2:QAC85 QAC65544:QAC65621 QAC131080:QAC131157 QAC196616:QAC196693 QAC262152:QAC262229 QAC327688:QAC327765 QAC393224:QAC393301 QAC458760:QAC458837 QAC524296:QAC524373 QAC589832:QAC589909 QAC655368:QAC655445 QAC720904:QAC720981 QAC786440:QAC786517 QAC851976:QAC852053 QAC917512:QAC917589 QAC983048:QAC983125 QJY2:QJY85 QJY65544:QJY65621 QJY131080:QJY131157 QJY196616:QJY196693 QJY262152:QJY262229 QJY327688:QJY327765 QJY393224:QJY393301 QJY458760:QJY458837 QJY524296:QJY524373 QJY589832:QJY589909 QJY655368:QJY655445 QJY720904:QJY720981 QJY786440:QJY786517 QJY851976:QJY852053 QJY917512:QJY917589 QJY983048:QJY983125 QTU2:QTU85 QTU65544:QTU65621 QTU131080:QTU131157 QTU196616:QTU196693 QTU262152:QTU262229 QTU327688:QTU327765 QTU393224:QTU393301 QTU458760:QTU458837 QTU524296:QTU524373 QTU589832:QTU589909 QTU655368:QTU655445 QTU720904:QTU720981 QTU786440:QTU786517 QTU851976:QTU852053 QTU917512:QTU917589 QTU983048:QTU983125 RDQ2:RDQ85 RDQ65544:RDQ65621 RDQ131080:RDQ131157 RDQ196616:RDQ196693 RDQ262152:RDQ262229 RDQ327688:RDQ327765 RDQ393224:RDQ393301 RDQ458760:RDQ458837 RDQ524296:RDQ524373 RDQ589832:RDQ589909 RDQ655368:RDQ655445 RDQ720904:RDQ720981 RDQ786440:RDQ786517 RDQ851976:RDQ852053 RDQ917512:RDQ917589 RDQ983048:RDQ983125 RNM2:RNM85 RNM65544:RNM65621 RNM131080:RNM131157 RNM196616:RNM196693 RNM262152:RNM262229 RNM327688:RNM327765 RNM393224:RNM393301 RNM458760:RNM458837 RNM524296:RNM524373 RNM589832:RNM589909 RNM655368:RNM655445 RNM720904:RNM720981 RNM786440:RNM786517 RNM851976:RNM852053 RNM917512:RNM917589 RNM983048:RNM983125 RXI2:RXI85 RXI65544:RXI65621 RXI131080:RXI131157 RXI196616:RXI196693 RXI262152:RXI262229 RXI327688:RXI327765 RXI393224:RXI393301 RXI458760:RXI458837 RXI524296:RXI524373 RXI589832:RXI589909 RXI655368:RXI655445 RXI720904:RXI720981 RXI786440:RXI786517 RXI851976:RXI852053 RXI917512:RXI917589 RXI983048:RXI983125 SHE2:SHE85 SHE65544:SHE65621 SHE131080:SHE131157 SHE196616:SHE196693 SHE262152:SHE262229 SHE327688:SHE327765 SHE393224:SHE393301 SHE458760:SHE458837 SHE524296:SHE524373 SHE589832:SHE589909 SHE655368:SHE655445 SHE720904:SHE720981 SHE786440:SHE786517 SHE851976:SHE852053 SHE917512:SHE917589 SHE983048:SHE983125 SRA2:SRA85 SRA65544:SRA65621 SRA131080:SRA131157 SRA196616:SRA196693 SRA262152:SRA262229 SRA327688:SRA327765 SRA393224:SRA393301 SRA458760:SRA458837 SRA524296:SRA524373 SRA589832:SRA589909 SRA655368:SRA655445 SRA720904:SRA720981 SRA786440:SRA786517 SRA851976:SRA852053 SRA917512:SRA917589 SRA983048:SRA983125 TAW2:TAW85 TAW65544:TAW65621 TAW131080:TAW131157 TAW196616:TAW196693 TAW262152:TAW262229 TAW327688:TAW327765 TAW393224:TAW393301 TAW458760:TAW458837 TAW524296:TAW524373 TAW589832:TAW589909 TAW655368:TAW655445 TAW720904:TAW720981 TAW786440:TAW786517 TAW851976:TAW852053 TAW917512:TAW917589 TAW983048:TAW983125 TKS2:TKS85 TKS65544:TKS65621 TKS131080:TKS131157 TKS196616:TKS196693 TKS262152:TKS262229 TKS327688:TKS327765 TKS393224:TKS393301 TKS458760:TKS458837 TKS524296:TKS524373 TKS589832:TKS589909 TKS655368:TKS655445 TKS720904:TKS720981 TKS786440:TKS786517 TKS851976:TKS852053 TKS917512:TKS917589 TKS983048:TKS983125 TUO2:TUO85 TUO65544:TUO65621 TUO131080:TUO131157 TUO196616:TUO196693 TUO262152:TUO262229 TUO327688:TUO327765 TUO393224:TUO393301 TUO458760:TUO458837 TUO524296:TUO524373 TUO589832:TUO589909 TUO655368:TUO655445 TUO720904:TUO720981 TUO786440:TUO786517 TUO851976:TUO852053 TUO917512:TUO917589 TUO983048:TUO983125 UEK2:UEK85 UEK65544:UEK65621 UEK131080:UEK131157 UEK196616:UEK196693 UEK262152:UEK262229 UEK327688:UEK327765 UEK393224:UEK393301 UEK458760:UEK458837 UEK524296:UEK524373 UEK589832:UEK589909 UEK655368:UEK655445 UEK720904:UEK720981 UEK786440:UEK786517 UEK851976:UEK852053 UEK917512:UEK917589 UEK983048:UEK983125 UOG2:UOG85 UOG65544:UOG65621 UOG131080:UOG131157 UOG196616:UOG196693 UOG262152:UOG262229 UOG327688:UOG327765 UOG393224:UOG393301 UOG458760:UOG458837 UOG524296:UOG524373 UOG589832:UOG589909 UOG655368:UOG655445 UOG720904:UOG720981 UOG786440:UOG786517 UOG851976:UOG852053 UOG917512:UOG917589 UOG983048:UOG983125 UYC2:UYC85 UYC65544:UYC65621 UYC131080:UYC131157 UYC196616:UYC196693 UYC262152:UYC262229 UYC327688:UYC327765 UYC393224:UYC393301 UYC458760:UYC458837 UYC524296:UYC524373 UYC589832:UYC589909 UYC655368:UYC655445 UYC720904:UYC720981 UYC786440:UYC786517 UYC851976:UYC852053 UYC917512:UYC917589 UYC983048:UYC983125 VHY2:VHY85 VHY65544:VHY65621 VHY131080:VHY131157 VHY196616:VHY196693 VHY262152:VHY262229 VHY327688:VHY327765 VHY393224:VHY393301 VHY458760:VHY458837 VHY524296:VHY524373 VHY589832:VHY589909 VHY655368:VHY655445 VHY720904:VHY720981 VHY786440:VHY786517 VHY851976:VHY852053 VHY917512:VHY917589 VHY983048:VHY983125 VRU2:VRU85 VRU65544:VRU65621 VRU131080:VRU131157 VRU196616:VRU196693 VRU262152:VRU262229 VRU327688:VRU327765 VRU393224:VRU393301 VRU458760:VRU458837 VRU524296:VRU524373 VRU589832:VRU589909 VRU655368:VRU655445 VRU720904:VRU720981 VRU786440:VRU786517 VRU851976:VRU852053 VRU917512:VRU917589 VRU983048:VRU983125 WBQ2:WBQ85 WBQ65544:WBQ65621 WBQ131080:WBQ131157 WBQ196616:WBQ196693 WBQ262152:WBQ262229 WBQ327688:WBQ327765 WBQ393224:WBQ393301 WBQ458760:WBQ458837 WBQ524296:WBQ524373 WBQ589832:WBQ589909 WBQ655368:WBQ655445 WBQ720904:WBQ720981 WBQ786440:WBQ786517 WBQ851976:WBQ852053 WBQ917512:WBQ917589 WBQ983048:WBQ983125 WLM2:WLM85 WLM65544:WLM65621 WLM131080:WLM131157 WLM196616:WLM196693 WLM262152:WLM262229 WLM327688:WLM327765 WLM393224:WLM393301 WLM458760:WLM458837 WLM524296:WLM524373 WLM589832:WLM589909 WLM655368:WLM655445 WLM720904:WLM720981 WLM786440:WLM786517 WLM851976:WLM852053 WLM917512:WLM917589 WLM983048:WLM983125 WVI2:WVI85 WVI65544:WVI65621 WVI131080:WVI131157 WVI196616:WVI196693 WVI262152:WVI262229 WVI327688:WVI327765 WVI393224:WVI393301 WVI458760:WVI458837 WVI524296:WVI524373 WVI589832:WVI589909 WVI655368:WVI655445 WVI720904:WVI720981 WVI786440:WVI786517 WVI851976:WVI852053 WVI917512:WVI917589 WVI983048:WVI983125">
      <formula1>$AE$2:$AE$19</formula1>
    </dataValidation>
    <dataValidation type="list" allowBlank="1" showInputMessage="1" showErrorMessage="1" sqref="I2:I506 I65544:I65621 I131080:I131157 I196616:I196693 I262152:I262229 I327688:I327765 I393224:I393301 I458760:I458837 I524296:I524373 I589832:I589909 I655368:I655445 I720904:I720981 I786440:I786517 I851976:I852053 I917512:I917589 I983048:I983125 JE2:JE85 JE65544:JE65621 JE131080:JE131157 JE196616:JE196693 JE262152:JE262229 JE327688:JE327765 JE393224:JE393301 JE458760:JE458837 JE524296:JE524373 JE589832:JE589909 JE655368:JE655445 JE720904:JE720981 JE786440:JE786517 JE851976:JE852053 JE917512:JE917589 JE983048:JE983125 TA2:TA85 TA65544:TA65621 TA131080:TA131157 TA196616:TA196693 TA262152:TA262229 TA327688:TA327765 TA393224:TA393301 TA458760:TA458837 TA524296:TA524373 TA589832:TA589909 TA655368:TA655445 TA720904:TA720981 TA786440:TA786517 TA851976:TA852053 TA917512:TA917589 TA983048:TA983125 ACW2:ACW85 ACW65544:ACW65621 ACW131080:ACW131157 ACW196616:ACW196693 ACW262152:ACW262229 ACW327688:ACW327765 ACW393224:ACW393301 ACW458760:ACW458837 ACW524296:ACW524373 ACW589832:ACW589909 ACW655368:ACW655445 ACW720904:ACW720981 ACW786440:ACW786517 ACW851976:ACW852053 ACW917512:ACW917589 ACW983048:ACW983125 AMS2:AMS85 AMS65544:AMS65621 AMS131080:AMS131157 AMS196616:AMS196693 AMS262152:AMS262229 AMS327688:AMS327765 AMS393224:AMS393301 AMS458760:AMS458837 AMS524296:AMS524373 AMS589832:AMS589909 AMS655368:AMS655445 AMS720904:AMS720981 AMS786440:AMS786517 AMS851976:AMS852053 AMS917512:AMS917589 AMS983048:AMS983125 AWO2:AWO85 AWO65544:AWO65621 AWO131080:AWO131157 AWO196616:AWO196693 AWO262152:AWO262229 AWO327688:AWO327765 AWO393224:AWO393301 AWO458760:AWO458837 AWO524296:AWO524373 AWO589832:AWO589909 AWO655368:AWO655445 AWO720904:AWO720981 AWO786440:AWO786517 AWO851976:AWO852053 AWO917512:AWO917589 AWO983048:AWO983125 BGK2:BGK85 BGK65544:BGK65621 BGK131080:BGK131157 BGK196616:BGK196693 BGK262152:BGK262229 BGK327688:BGK327765 BGK393224:BGK393301 BGK458760:BGK458837 BGK524296:BGK524373 BGK589832:BGK589909 BGK655368:BGK655445 BGK720904:BGK720981 BGK786440:BGK786517 BGK851976:BGK852053 BGK917512:BGK917589 BGK983048:BGK983125 BQG2:BQG85 BQG65544:BQG65621 BQG131080:BQG131157 BQG196616:BQG196693 BQG262152:BQG262229 BQG327688:BQG327765 BQG393224:BQG393301 BQG458760:BQG458837 BQG524296:BQG524373 BQG589832:BQG589909 BQG655368:BQG655445 BQG720904:BQG720981 BQG786440:BQG786517 BQG851976:BQG852053 BQG917512:BQG917589 BQG983048:BQG983125 CAC2:CAC85 CAC65544:CAC65621 CAC131080:CAC131157 CAC196616:CAC196693 CAC262152:CAC262229 CAC327688:CAC327765 CAC393224:CAC393301 CAC458760:CAC458837 CAC524296:CAC524373 CAC589832:CAC589909 CAC655368:CAC655445 CAC720904:CAC720981 CAC786440:CAC786517 CAC851976:CAC852053 CAC917512:CAC917589 CAC983048:CAC983125 CJY2:CJY85 CJY65544:CJY65621 CJY131080:CJY131157 CJY196616:CJY196693 CJY262152:CJY262229 CJY327688:CJY327765 CJY393224:CJY393301 CJY458760:CJY458837 CJY524296:CJY524373 CJY589832:CJY589909 CJY655368:CJY655445 CJY720904:CJY720981 CJY786440:CJY786517 CJY851976:CJY852053 CJY917512:CJY917589 CJY983048:CJY983125 CTU2:CTU85 CTU65544:CTU65621 CTU131080:CTU131157 CTU196616:CTU196693 CTU262152:CTU262229 CTU327688:CTU327765 CTU393224:CTU393301 CTU458760:CTU458837 CTU524296:CTU524373 CTU589832:CTU589909 CTU655368:CTU655445 CTU720904:CTU720981 CTU786440:CTU786517 CTU851976:CTU852053 CTU917512:CTU917589 CTU983048:CTU983125 DDQ2:DDQ85 DDQ65544:DDQ65621 DDQ131080:DDQ131157 DDQ196616:DDQ196693 DDQ262152:DDQ262229 DDQ327688:DDQ327765 DDQ393224:DDQ393301 DDQ458760:DDQ458837 DDQ524296:DDQ524373 DDQ589832:DDQ589909 DDQ655368:DDQ655445 DDQ720904:DDQ720981 DDQ786440:DDQ786517 DDQ851976:DDQ852053 DDQ917512:DDQ917589 DDQ983048:DDQ983125 DNM2:DNM85 DNM65544:DNM65621 DNM131080:DNM131157 DNM196616:DNM196693 DNM262152:DNM262229 DNM327688:DNM327765 DNM393224:DNM393301 DNM458760:DNM458837 DNM524296:DNM524373 DNM589832:DNM589909 DNM655368:DNM655445 DNM720904:DNM720981 DNM786440:DNM786517 DNM851976:DNM852053 DNM917512:DNM917589 DNM983048:DNM983125 DXI2:DXI85 DXI65544:DXI65621 DXI131080:DXI131157 DXI196616:DXI196693 DXI262152:DXI262229 DXI327688:DXI327765 DXI393224:DXI393301 DXI458760:DXI458837 DXI524296:DXI524373 DXI589832:DXI589909 DXI655368:DXI655445 DXI720904:DXI720981 DXI786440:DXI786517 DXI851976:DXI852053 DXI917512:DXI917589 DXI983048:DXI983125 EHE2:EHE85 EHE65544:EHE65621 EHE131080:EHE131157 EHE196616:EHE196693 EHE262152:EHE262229 EHE327688:EHE327765 EHE393224:EHE393301 EHE458760:EHE458837 EHE524296:EHE524373 EHE589832:EHE589909 EHE655368:EHE655445 EHE720904:EHE720981 EHE786440:EHE786517 EHE851976:EHE852053 EHE917512:EHE917589 EHE983048:EHE983125 ERA2:ERA85 ERA65544:ERA65621 ERA131080:ERA131157 ERA196616:ERA196693 ERA262152:ERA262229 ERA327688:ERA327765 ERA393224:ERA393301 ERA458760:ERA458837 ERA524296:ERA524373 ERA589832:ERA589909 ERA655368:ERA655445 ERA720904:ERA720981 ERA786440:ERA786517 ERA851976:ERA852053 ERA917512:ERA917589 ERA983048:ERA983125 FAW2:FAW85 FAW65544:FAW65621 FAW131080:FAW131157 FAW196616:FAW196693 FAW262152:FAW262229 FAW327688:FAW327765 FAW393224:FAW393301 FAW458760:FAW458837 FAW524296:FAW524373 FAW589832:FAW589909 FAW655368:FAW655445 FAW720904:FAW720981 FAW786440:FAW786517 FAW851976:FAW852053 FAW917512:FAW917589 FAW983048:FAW983125 FKS2:FKS85 FKS65544:FKS65621 FKS131080:FKS131157 FKS196616:FKS196693 FKS262152:FKS262229 FKS327688:FKS327765 FKS393224:FKS393301 FKS458760:FKS458837 FKS524296:FKS524373 FKS589832:FKS589909 FKS655368:FKS655445 FKS720904:FKS720981 FKS786440:FKS786517 FKS851976:FKS852053 FKS917512:FKS917589 FKS983048:FKS983125 FUO2:FUO85 FUO65544:FUO65621 FUO131080:FUO131157 FUO196616:FUO196693 FUO262152:FUO262229 FUO327688:FUO327765 FUO393224:FUO393301 FUO458760:FUO458837 FUO524296:FUO524373 FUO589832:FUO589909 FUO655368:FUO655445 FUO720904:FUO720981 FUO786440:FUO786517 FUO851976:FUO852053 FUO917512:FUO917589 FUO983048:FUO983125 GEK2:GEK85 GEK65544:GEK65621 GEK131080:GEK131157 GEK196616:GEK196693 GEK262152:GEK262229 GEK327688:GEK327765 GEK393224:GEK393301 GEK458760:GEK458837 GEK524296:GEK524373 GEK589832:GEK589909 GEK655368:GEK655445 GEK720904:GEK720981 GEK786440:GEK786517 GEK851976:GEK852053 GEK917512:GEK917589 GEK983048:GEK983125 GOG2:GOG85 GOG65544:GOG65621 GOG131080:GOG131157 GOG196616:GOG196693 GOG262152:GOG262229 GOG327688:GOG327765 GOG393224:GOG393301 GOG458760:GOG458837 GOG524296:GOG524373 GOG589832:GOG589909 GOG655368:GOG655445 GOG720904:GOG720981 GOG786440:GOG786517 GOG851976:GOG852053 GOG917512:GOG917589 GOG983048:GOG983125 GYC2:GYC85 GYC65544:GYC65621 GYC131080:GYC131157 GYC196616:GYC196693 GYC262152:GYC262229 GYC327688:GYC327765 GYC393224:GYC393301 GYC458760:GYC458837 GYC524296:GYC524373 GYC589832:GYC589909 GYC655368:GYC655445 GYC720904:GYC720981 GYC786440:GYC786517 GYC851976:GYC852053 GYC917512:GYC917589 GYC983048:GYC983125 HHY2:HHY85 HHY65544:HHY65621 HHY131080:HHY131157 HHY196616:HHY196693 HHY262152:HHY262229 HHY327688:HHY327765 HHY393224:HHY393301 HHY458760:HHY458837 HHY524296:HHY524373 HHY589832:HHY589909 HHY655368:HHY655445 HHY720904:HHY720981 HHY786440:HHY786517 HHY851976:HHY852053 HHY917512:HHY917589 HHY983048:HHY983125 HRU2:HRU85 HRU65544:HRU65621 HRU131080:HRU131157 HRU196616:HRU196693 HRU262152:HRU262229 HRU327688:HRU327765 HRU393224:HRU393301 HRU458760:HRU458837 HRU524296:HRU524373 HRU589832:HRU589909 HRU655368:HRU655445 HRU720904:HRU720981 HRU786440:HRU786517 HRU851976:HRU852053 HRU917512:HRU917589 HRU983048:HRU983125 IBQ2:IBQ85 IBQ65544:IBQ65621 IBQ131080:IBQ131157 IBQ196616:IBQ196693 IBQ262152:IBQ262229 IBQ327688:IBQ327765 IBQ393224:IBQ393301 IBQ458760:IBQ458837 IBQ524296:IBQ524373 IBQ589832:IBQ589909 IBQ655368:IBQ655445 IBQ720904:IBQ720981 IBQ786440:IBQ786517 IBQ851976:IBQ852053 IBQ917512:IBQ917589 IBQ983048:IBQ983125 ILM2:ILM85 ILM65544:ILM65621 ILM131080:ILM131157 ILM196616:ILM196693 ILM262152:ILM262229 ILM327688:ILM327765 ILM393224:ILM393301 ILM458760:ILM458837 ILM524296:ILM524373 ILM589832:ILM589909 ILM655368:ILM655445 ILM720904:ILM720981 ILM786440:ILM786517 ILM851976:ILM852053 ILM917512:ILM917589 ILM983048:ILM983125 IVI2:IVI85 IVI65544:IVI65621 IVI131080:IVI131157 IVI196616:IVI196693 IVI262152:IVI262229 IVI327688:IVI327765 IVI393224:IVI393301 IVI458760:IVI458837 IVI524296:IVI524373 IVI589832:IVI589909 IVI655368:IVI655445 IVI720904:IVI720981 IVI786440:IVI786517 IVI851976:IVI852053 IVI917512:IVI917589 IVI983048:IVI983125 JFE2:JFE85 JFE65544:JFE65621 JFE131080:JFE131157 JFE196616:JFE196693 JFE262152:JFE262229 JFE327688:JFE327765 JFE393224:JFE393301 JFE458760:JFE458837 JFE524296:JFE524373 JFE589832:JFE589909 JFE655368:JFE655445 JFE720904:JFE720981 JFE786440:JFE786517 JFE851976:JFE852053 JFE917512:JFE917589 JFE983048:JFE983125 JPA2:JPA85 JPA65544:JPA65621 JPA131080:JPA131157 JPA196616:JPA196693 JPA262152:JPA262229 JPA327688:JPA327765 JPA393224:JPA393301 JPA458760:JPA458837 JPA524296:JPA524373 JPA589832:JPA589909 JPA655368:JPA655445 JPA720904:JPA720981 JPA786440:JPA786517 JPA851976:JPA852053 JPA917512:JPA917589 JPA983048:JPA983125 JYW2:JYW85 JYW65544:JYW65621 JYW131080:JYW131157 JYW196616:JYW196693 JYW262152:JYW262229 JYW327688:JYW327765 JYW393224:JYW393301 JYW458760:JYW458837 JYW524296:JYW524373 JYW589832:JYW589909 JYW655368:JYW655445 JYW720904:JYW720981 JYW786440:JYW786517 JYW851976:JYW852053 JYW917512:JYW917589 JYW983048:JYW983125 KIS2:KIS85 KIS65544:KIS65621 KIS131080:KIS131157 KIS196616:KIS196693 KIS262152:KIS262229 KIS327688:KIS327765 KIS393224:KIS393301 KIS458760:KIS458837 KIS524296:KIS524373 KIS589832:KIS589909 KIS655368:KIS655445 KIS720904:KIS720981 KIS786440:KIS786517 KIS851976:KIS852053 KIS917512:KIS917589 KIS983048:KIS983125 KSO2:KSO85 KSO65544:KSO65621 KSO131080:KSO131157 KSO196616:KSO196693 KSO262152:KSO262229 KSO327688:KSO327765 KSO393224:KSO393301 KSO458760:KSO458837 KSO524296:KSO524373 KSO589832:KSO589909 KSO655368:KSO655445 KSO720904:KSO720981 KSO786440:KSO786517 KSO851976:KSO852053 KSO917512:KSO917589 KSO983048:KSO983125 LCK2:LCK85 LCK65544:LCK65621 LCK131080:LCK131157 LCK196616:LCK196693 LCK262152:LCK262229 LCK327688:LCK327765 LCK393224:LCK393301 LCK458760:LCK458837 LCK524296:LCK524373 LCK589832:LCK589909 LCK655368:LCK655445 LCK720904:LCK720981 LCK786440:LCK786517 LCK851976:LCK852053 LCK917512:LCK917589 LCK983048:LCK983125 LMG2:LMG85 LMG65544:LMG65621 LMG131080:LMG131157 LMG196616:LMG196693 LMG262152:LMG262229 LMG327688:LMG327765 LMG393224:LMG393301 LMG458760:LMG458837 LMG524296:LMG524373 LMG589832:LMG589909 LMG655368:LMG655445 LMG720904:LMG720981 LMG786440:LMG786517 LMG851976:LMG852053 LMG917512:LMG917589 LMG983048:LMG983125 LWC2:LWC85 LWC65544:LWC65621 LWC131080:LWC131157 LWC196616:LWC196693 LWC262152:LWC262229 LWC327688:LWC327765 LWC393224:LWC393301 LWC458760:LWC458837 LWC524296:LWC524373 LWC589832:LWC589909 LWC655368:LWC655445 LWC720904:LWC720981 LWC786440:LWC786517 LWC851976:LWC852053 LWC917512:LWC917589 LWC983048:LWC983125 MFY2:MFY85 MFY65544:MFY65621 MFY131080:MFY131157 MFY196616:MFY196693 MFY262152:MFY262229 MFY327688:MFY327765 MFY393224:MFY393301 MFY458760:MFY458837 MFY524296:MFY524373 MFY589832:MFY589909 MFY655368:MFY655445 MFY720904:MFY720981 MFY786440:MFY786517 MFY851976:MFY852053 MFY917512:MFY917589 MFY983048:MFY983125 MPU2:MPU85 MPU65544:MPU65621 MPU131080:MPU131157 MPU196616:MPU196693 MPU262152:MPU262229 MPU327688:MPU327765 MPU393224:MPU393301 MPU458760:MPU458837 MPU524296:MPU524373 MPU589832:MPU589909 MPU655368:MPU655445 MPU720904:MPU720981 MPU786440:MPU786517 MPU851976:MPU852053 MPU917512:MPU917589 MPU983048:MPU983125 MZQ2:MZQ85 MZQ65544:MZQ65621 MZQ131080:MZQ131157 MZQ196616:MZQ196693 MZQ262152:MZQ262229 MZQ327688:MZQ327765 MZQ393224:MZQ393301 MZQ458760:MZQ458837 MZQ524296:MZQ524373 MZQ589832:MZQ589909 MZQ655368:MZQ655445 MZQ720904:MZQ720981 MZQ786440:MZQ786517 MZQ851976:MZQ852053 MZQ917512:MZQ917589 MZQ983048:MZQ983125 NJM2:NJM85 NJM65544:NJM65621 NJM131080:NJM131157 NJM196616:NJM196693 NJM262152:NJM262229 NJM327688:NJM327765 NJM393224:NJM393301 NJM458760:NJM458837 NJM524296:NJM524373 NJM589832:NJM589909 NJM655368:NJM655445 NJM720904:NJM720981 NJM786440:NJM786517 NJM851976:NJM852053 NJM917512:NJM917589 NJM983048:NJM983125 NTI2:NTI85 NTI65544:NTI65621 NTI131080:NTI131157 NTI196616:NTI196693 NTI262152:NTI262229 NTI327688:NTI327765 NTI393224:NTI393301 NTI458760:NTI458837 NTI524296:NTI524373 NTI589832:NTI589909 NTI655368:NTI655445 NTI720904:NTI720981 NTI786440:NTI786517 NTI851976:NTI852053 NTI917512:NTI917589 NTI983048:NTI983125 ODE2:ODE85 ODE65544:ODE65621 ODE131080:ODE131157 ODE196616:ODE196693 ODE262152:ODE262229 ODE327688:ODE327765 ODE393224:ODE393301 ODE458760:ODE458837 ODE524296:ODE524373 ODE589832:ODE589909 ODE655368:ODE655445 ODE720904:ODE720981 ODE786440:ODE786517 ODE851976:ODE852053 ODE917512:ODE917589 ODE983048:ODE983125 ONA2:ONA85 ONA65544:ONA65621 ONA131080:ONA131157 ONA196616:ONA196693 ONA262152:ONA262229 ONA327688:ONA327765 ONA393224:ONA393301 ONA458760:ONA458837 ONA524296:ONA524373 ONA589832:ONA589909 ONA655368:ONA655445 ONA720904:ONA720981 ONA786440:ONA786517 ONA851976:ONA852053 ONA917512:ONA917589 ONA983048:ONA983125 OWW2:OWW85 OWW65544:OWW65621 OWW131080:OWW131157 OWW196616:OWW196693 OWW262152:OWW262229 OWW327688:OWW327765 OWW393224:OWW393301 OWW458760:OWW458837 OWW524296:OWW524373 OWW589832:OWW589909 OWW655368:OWW655445 OWW720904:OWW720981 OWW786440:OWW786517 OWW851976:OWW852053 OWW917512:OWW917589 OWW983048:OWW983125 PGS2:PGS85 PGS65544:PGS65621 PGS131080:PGS131157 PGS196616:PGS196693 PGS262152:PGS262229 PGS327688:PGS327765 PGS393224:PGS393301 PGS458760:PGS458837 PGS524296:PGS524373 PGS589832:PGS589909 PGS655368:PGS655445 PGS720904:PGS720981 PGS786440:PGS786517 PGS851976:PGS852053 PGS917512:PGS917589 PGS983048:PGS983125 PQO2:PQO85 PQO65544:PQO65621 PQO131080:PQO131157 PQO196616:PQO196693 PQO262152:PQO262229 PQO327688:PQO327765 PQO393224:PQO393301 PQO458760:PQO458837 PQO524296:PQO524373 PQO589832:PQO589909 PQO655368:PQO655445 PQO720904:PQO720981 PQO786440:PQO786517 PQO851976:PQO852053 PQO917512:PQO917589 PQO983048:PQO983125 QAK2:QAK85 QAK65544:QAK65621 QAK131080:QAK131157 QAK196616:QAK196693 QAK262152:QAK262229 QAK327688:QAK327765 QAK393224:QAK393301 QAK458760:QAK458837 QAK524296:QAK524373 QAK589832:QAK589909 QAK655368:QAK655445 QAK720904:QAK720981 QAK786440:QAK786517 QAK851976:QAK852053 QAK917512:QAK917589 QAK983048:QAK983125 QKG2:QKG85 QKG65544:QKG65621 QKG131080:QKG131157 QKG196616:QKG196693 QKG262152:QKG262229 QKG327688:QKG327765 QKG393224:QKG393301 QKG458760:QKG458837 QKG524296:QKG524373 QKG589832:QKG589909 QKG655368:QKG655445 QKG720904:QKG720981 QKG786440:QKG786517 QKG851976:QKG852053 QKG917512:QKG917589 QKG983048:QKG983125 QUC2:QUC85 QUC65544:QUC65621 QUC131080:QUC131157 QUC196616:QUC196693 QUC262152:QUC262229 QUC327688:QUC327765 QUC393224:QUC393301 QUC458760:QUC458837 QUC524296:QUC524373 QUC589832:QUC589909 QUC655368:QUC655445 QUC720904:QUC720981 QUC786440:QUC786517 QUC851976:QUC852053 QUC917512:QUC917589 QUC983048:QUC983125 RDY2:RDY85 RDY65544:RDY65621 RDY131080:RDY131157 RDY196616:RDY196693 RDY262152:RDY262229 RDY327688:RDY327765 RDY393224:RDY393301 RDY458760:RDY458837 RDY524296:RDY524373 RDY589832:RDY589909 RDY655368:RDY655445 RDY720904:RDY720981 RDY786440:RDY786517 RDY851976:RDY852053 RDY917512:RDY917589 RDY983048:RDY983125 RNU2:RNU85 RNU65544:RNU65621 RNU131080:RNU131157 RNU196616:RNU196693 RNU262152:RNU262229 RNU327688:RNU327765 RNU393224:RNU393301 RNU458760:RNU458837 RNU524296:RNU524373 RNU589832:RNU589909 RNU655368:RNU655445 RNU720904:RNU720981 RNU786440:RNU786517 RNU851976:RNU852053 RNU917512:RNU917589 RNU983048:RNU983125 RXQ2:RXQ85 RXQ65544:RXQ65621 RXQ131080:RXQ131157 RXQ196616:RXQ196693 RXQ262152:RXQ262229 RXQ327688:RXQ327765 RXQ393224:RXQ393301 RXQ458760:RXQ458837 RXQ524296:RXQ524373 RXQ589832:RXQ589909 RXQ655368:RXQ655445 RXQ720904:RXQ720981 RXQ786440:RXQ786517 RXQ851976:RXQ852053 RXQ917512:RXQ917589 RXQ983048:RXQ983125 SHM2:SHM85 SHM65544:SHM65621 SHM131080:SHM131157 SHM196616:SHM196693 SHM262152:SHM262229 SHM327688:SHM327765 SHM393224:SHM393301 SHM458760:SHM458837 SHM524296:SHM524373 SHM589832:SHM589909 SHM655368:SHM655445 SHM720904:SHM720981 SHM786440:SHM786517 SHM851976:SHM852053 SHM917512:SHM917589 SHM983048:SHM983125 SRI2:SRI85 SRI65544:SRI65621 SRI131080:SRI131157 SRI196616:SRI196693 SRI262152:SRI262229 SRI327688:SRI327765 SRI393224:SRI393301 SRI458760:SRI458837 SRI524296:SRI524373 SRI589832:SRI589909 SRI655368:SRI655445 SRI720904:SRI720981 SRI786440:SRI786517 SRI851976:SRI852053 SRI917512:SRI917589 SRI983048:SRI983125 TBE2:TBE85 TBE65544:TBE65621 TBE131080:TBE131157 TBE196616:TBE196693 TBE262152:TBE262229 TBE327688:TBE327765 TBE393224:TBE393301 TBE458760:TBE458837 TBE524296:TBE524373 TBE589832:TBE589909 TBE655368:TBE655445 TBE720904:TBE720981 TBE786440:TBE786517 TBE851976:TBE852053 TBE917512:TBE917589 TBE983048:TBE983125 TLA2:TLA85 TLA65544:TLA65621 TLA131080:TLA131157 TLA196616:TLA196693 TLA262152:TLA262229 TLA327688:TLA327765 TLA393224:TLA393301 TLA458760:TLA458837 TLA524296:TLA524373 TLA589832:TLA589909 TLA655368:TLA655445 TLA720904:TLA720981 TLA786440:TLA786517 TLA851976:TLA852053 TLA917512:TLA917589 TLA983048:TLA983125 TUW2:TUW85 TUW65544:TUW65621 TUW131080:TUW131157 TUW196616:TUW196693 TUW262152:TUW262229 TUW327688:TUW327765 TUW393224:TUW393301 TUW458760:TUW458837 TUW524296:TUW524373 TUW589832:TUW589909 TUW655368:TUW655445 TUW720904:TUW720981 TUW786440:TUW786517 TUW851976:TUW852053 TUW917512:TUW917589 TUW983048:TUW983125 UES2:UES85 UES65544:UES65621 UES131080:UES131157 UES196616:UES196693 UES262152:UES262229 UES327688:UES327765 UES393224:UES393301 UES458760:UES458837 UES524296:UES524373 UES589832:UES589909 UES655368:UES655445 UES720904:UES720981 UES786440:UES786517 UES851976:UES852053 UES917512:UES917589 UES983048:UES983125 UOO2:UOO85 UOO65544:UOO65621 UOO131080:UOO131157 UOO196616:UOO196693 UOO262152:UOO262229 UOO327688:UOO327765 UOO393224:UOO393301 UOO458760:UOO458837 UOO524296:UOO524373 UOO589832:UOO589909 UOO655368:UOO655445 UOO720904:UOO720981 UOO786440:UOO786517 UOO851976:UOO852053 UOO917512:UOO917589 UOO983048:UOO983125 UYK2:UYK85 UYK65544:UYK65621 UYK131080:UYK131157 UYK196616:UYK196693 UYK262152:UYK262229 UYK327688:UYK327765 UYK393224:UYK393301 UYK458760:UYK458837 UYK524296:UYK524373 UYK589832:UYK589909 UYK655368:UYK655445 UYK720904:UYK720981 UYK786440:UYK786517 UYK851976:UYK852053 UYK917512:UYK917589 UYK983048:UYK983125 VIG2:VIG85 VIG65544:VIG65621 VIG131080:VIG131157 VIG196616:VIG196693 VIG262152:VIG262229 VIG327688:VIG327765 VIG393224:VIG393301 VIG458760:VIG458837 VIG524296:VIG524373 VIG589832:VIG589909 VIG655368:VIG655445 VIG720904:VIG720981 VIG786440:VIG786517 VIG851976:VIG852053 VIG917512:VIG917589 VIG983048:VIG983125 VSC2:VSC85 VSC65544:VSC65621 VSC131080:VSC131157 VSC196616:VSC196693 VSC262152:VSC262229 VSC327688:VSC327765 VSC393224:VSC393301 VSC458760:VSC458837 VSC524296:VSC524373 VSC589832:VSC589909 VSC655368:VSC655445 VSC720904:VSC720981 VSC786440:VSC786517 VSC851976:VSC852053 VSC917512:VSC917589 VSC983048:VSC983125 WBY2:WBY85 WBY65544:WBY65621 WBY131080:WBY131157 WBY196616:WBY196693 WBY262152:WBY262229 WBY327688:WBY327765 WBY393224:WBY393301 WBY458760:WBY458837 WBY524296:WBY524373 WBY589832:WBY589909 WBY655368:WBY655445 WBY720904:WBY720981 WBY786440:WBY786517 WBY851976:WBY852053 WBY917512:WBY917589 WBY983048:WBY983125 WLU2:WLU85 WLU65544:WLU65621 WLU131080:WLU131157 WLU196616:WLU196693 WLU262152:WLU262229 WLU327688:WLU327765 WLU393224:WLU393301 WLU458760:WLU458837 WLU524296:WLU524373 WLU589832:WLU589909 WLU655368:WLU655445 WLU720904:WLU720981 WLU786440:WLU786517 WLU851976:WLU852053 WLU917512:WLU917589 WLU983048:WLU983125 WVQ2:WVQ85 WVQ65544:WVQ65621 WVQ131080:WVQ131157 WVQ196616:WVQ196693 WVQ262152:WVQ262229 WVQ327688:WVQ327765 WVQ393224:WVQ393301 WVQ458760:WVQ458837 WVQ524296:WVQ524373 WVQ589832:WVQ589909 WVQ655368:WVQ655445 WVQ720904:WVQ720981 WVQ786440:WVQ786517 WVQ851976:WVQ852053 WVQ917512:WVQ917589 WVQ983048:WVQ983125">
      <formula1>$AN$5:$AN$6</formula1>
    </dataValidation>
    <dataValidation type="list" allowBlank="1" showInputMessage="1" showErrorMessage="1" sqref="G2:G506 G65544:G65621 G131080:G131157 G196616:G196693 G262152:G262229 G327688:G327765 G393224:G393301 G458760:G458837 G524296:G524373 G589832:G589909 G655368:G655445 G720904:G720981 G786440:G786517 G851976:G852053 G917512:G917589 G983048:G983125 JC2:JC85 JC65544:JC65621 JC131080:JC131157 JC196616:JC196693 JC262152:JC262229 JC327688:JC327765 JC393224:JC393301 JC458760:JC458837 JC524296:JC524373 JC589832:JC589909 JC655368:JC655445 JC720904:JC720981 JC786440:JC786517 JC851976:JC852053 JC917512:JC917589 JC983048:JC983125 SY2:SY85 SY65544:SY65621 SY131080:SY131157 SY196616:SY196693 SY262152:SY262229 SY327688:SY327765 SY393224:SY393301 SY458760:SY458837 SY524296:SY524373 SY589832:SY589909 SY655368:SY655445 SY720904:SY720981 SY786440:SY786517 SY851976:SY852053 SY917512:SY917589 SY983048:SY983125 ACU2:ACU85 ACU65544:ACU65621 ACU131080:ACU131157 ACU196616:ACU196693 ACU262152:ACU262229 ACU327688:ACU327765 ACU393224:ACU393301 ACU458760:ACU458837 ACU524296:ACU524373 ACU589832:ACU589909 ACU655368:ACU655445 ACU720904:ACU720981 ACU786440:ACU786517 ACU851976:ACU852053 ACU917512:ACU917589 ACU983048:ACU983125 AMQ2:AMQ85 AMQ65544:AMQ65621 AMQ131080:AMQ131157 AMQ196616:AMQ196693 AMQ262152:AMQ262229 AMQ327688:AMQ327765 AMQ393224:AMQ393301 AMQ458760:AMQ458837 AMQ524296:AMQ524373 AMQ589832:AMQ589909 AMQ655368:AMQ655445 AMQ720904:AMQ720981 AMQ786440:AMQ786517 AMQ851976:AMQ852053 AMQ917512:AMQ917589 AMQ983048:AMQ983125 AWM2:AWM85 AWM65544:AWM65621 AWM131080:AWM131157 AWM196616:AWM196693 AWM262152:AWM262229 AWM327688:AWM327765 AWM393224:AWM393301 AWM458760:AWM458837 AWM524296:AWM524373 AWM589832:AWM589909 AWM655368:AWM655445 AWM720904:AWM720981 AWM786440:AWM786517 AWM851976:AWM852053 AWM917512:AWM917589 AWM983048:AWM983125 BGI2:BGI85 BGI65544:BGI65621 BGI131080:BGI131157 BGI196616:BGI196693 BGI262152:BGI262229 BGI327688:BGI327765 BGI393224:BGI393301 BGI458760:BGI458837 BGI524296:BGI524373 BGI589832:BGI589909 BGI655368:BGI655445 BGI720904:BGI720981 BGI786440:BGI786517 BGI851976:BGI852053 BGI917512:BGI917589 BGI983048:BGI983125 BQE2:BQE85 BQE65544:BQE65621 BQE131080:BQE131157 BQE196616:BQE196693 BQE262152:BQE262229 BQE327688:BQE327765 BQE393224:BQE393301 BQE458760:BQE458837 BQE524296:BQE524373 BQE589832:BQE589909 BQE655368:BQE655445 BQE720904:BQE720981 BQE786440:BQE786517 BQE851976:BQE852053 BQE917512:BQE917589 BQE983048:BQE983125 CAA2:CAA85 CAA65544:CAA65621 CAA131080:CAA131157 CAA196616:CAA196693 CAA262152:CAA262229 CAA327688:CAA327765 CAA393224:CAA393301 CAA458760:CAA458837 CAA524296:CAA524373 CAA589832:CAA589909 CAA655368:CAA655445 CAA720904:CAA720981 CAA786440:CAA786517 CAA851976:CAA852053 CAA917512:CAA917589 CAA983048:CAA983125 CJW2:CJW85 CJW65544:CJW65621 CJW131080:CJW131157 CJW196616:CJW196693 CJW262152:CJW262229 CJW327688:CJW327765 CJW393224:CJW393301 CJW458760:CJW458837 CJW524296:CJW524373 CJW589832:CJW589909 CJW655368:CJW655445 CJW720904:CJW720981 CJW786440:CJW786517 CJW851976:CJW852053 CJW917512:CJW917589 CJW983048:CJW983125 CTS2:CTS85 CTS65544:CTS65621 CTS131080:CTS131157 CTS196616:CTS196693 CTS262152:CTS262229 CTS327688:CTS327765 CTS393224:CTS393301 CTS458760:CTS458837 CTS524296:CTS524373 CTS589832:CTS589909 CTS655368:CTS655445 CTS720904:CTS720981 CTS786440:CTS786517 CTS851976:CTS852053 CTS917512:CTS917589 CTS983048:CTS983125 DDO2:DDO85 DDO65544:DDO65621 DDO131080:DDO131157 DDO196616:DDO196693 DDO262152:DDO262229 DDO327688:DDO327765 DDO393224:DDO393301 DDO458760:DDO458837 DDO524296:DDO524373 DDO589832:DDO589909 DDO655368:DDO655445 DDO720904:DDO720981 DDO786440:DDO786517 DDO851976:DDO852053 DDO917512:DDO917589 DDO983048:DDO983125 DNK2:DNK85 DNK65544:DNK65621 DNK131080:DNK131157 DNK196616:DNK196693 DNK262152:DNK262229 DNK327688:DNK327765 DNK393224:DNK393301 DNK458760:DNK458837 DNK524296:DNK524373 DNK589832:DNK589909 DNK655368:DNK655445 DNK720904:DNK720981 DNK786440:DNK786517 DNK851976:DNK852053 DNK917512:DNK917589 DNK983048:DNK983125 DXG2:DXG85 DXG65544:DXG65621 DXG131080:DXG131157 DXG196616:DXG196693 DXG262152:DXG262229 DXG327688:DXG327765 DXG393224:DXG393301 DXG458760:DXG458837 DXG524296:DXG524373 DXG589832:DXG589909 DXG655368:DXG655445 DXG720904:DXG720981 DXG786440:DXG786517 DXG851976:DXG852053 DXG917512:DXG917589 DXG983048:DXG983125 EHC2:EHC85 EHC65544:EHC65621 EHC131080:EHC131157 EHC196616:EHC196693 EHC262152:EHC262229 EHC327688:EHC327765 EHC393224:EHC393301 EHC458760:EHC458837 EHC524296:EHC524373 EHC589832:EHC589909 EHC655368:EHC655445 EHC720904:EHC720981 EHC786440:EHC786517 EHC851976:EHC852053 EHC917512:EHC917589 EHC983048:EHC983125 EQY2:EQY85 EQY65544:EQY65621 EQY131080:EQY131157 EQY196616:EQY196693 EQY262152:EQY262229 EQY327688:EQY327765 EQY393224:EQY393301 EQY458760:EQY458837 EQY524296:EQY524373 EQY589832:EQY589909 EQY655368:EQY655445 EQY720904:EQY720981 EQY786440:EQY786517 EQY851976:EQY852053 EQY917512:EQY917589 EQY983048:EQY983125 FAU2:FAU85 FAU65544:FAU65621 FAU131080:FAU131157 FAU196616:FAU196693 FAU262152:FAU262229 FAU327688:FAU327765 FAU393224:FAU393301 FAU458760:FAU458837 FAU524296:FAU524373 FAU589832:FAU589909 FAU655368:FAU655445 FAU720904:FAU720981 FAU786440:FAU786517 FAU851976:FAU852053 FAU917512:FAU917589 FAU983048:FAU983125 FKQ2:FKQ85 FKQ65544:FKQ65621 FKQ131080:FKQ131157 FKQ196616:FKQ196693 FKQ262152:FKQ262229 FKQ327688:FKQ327765 FKQ393224:FKQ393301 FKQ458760:FKQ458837 FKQ524296:FKQ524373 FKQ589832:FKQ589909 FKQ655368:FKQ655445 FKQ720904:FKQ720981 FKQ786440:FKQ786517 FKQ851976:FKQ852053 FKQ917512:FKQ917589 FKQ983048:FKQ983125 FUM2:FUM85 FUM65544:FUM65621 FUM131080:FUM131157 FUM196616:FUM196693 FUM262152:FUM262229 FUM327688:FUM327765 FUM393224:FUM393301 FUM458760:FUM458837 FUM524296:FUM524373 FUM589832:FUM589909 FUM655368:FUM655445 FUM720904:FUM720981 FUM786440:FUM786517 FUM851976:FUM852053 FUM917512:FUM917589 FUM983048:FUM983125 GEI2:GEI85 GEI65544:GEI65621 GEI131080:GEI131157 GEI196616:GEI196693 GEI262152:GEI262229 GEI327688:GEI327765 GEI393224:GEI393301 GEI458760:GEI458837 GEI524296:GEI524373 GEI589832:GEI589909 GEI655368:GEI655445 GEI720904:GEI720981 GEI786440:GEI786517 GEI851976:GEI852053 GEI917512:GEI917589 GEI983048:GEI983125 GOE2:GOE85 GOE65544:GOE65621 GOE131080:GOE131157 GOE196616:GOE196693 GOE262152:GOE262229 GOE327688:GOE327765 GOE393224:GOE393301 GOE458760:GOE458837 GOE524296:GOE524373 GOE589832:GOE589909 GOE655368:GOE655445 GOE720904:GOE720981 GOE786440:GOE786517 GOE851976:GOE852053 GOE917512:GOE917589 GOE983048:GOE983125 GYA2:GYA85 GYA65544:GYA65621 GYA131080:GYA131157 GYA196616:GYA196693 GYA262152:GYA262229 GYA327688:GYA327765 GYA393224:GYA393301 GYA458760:GYA458837 GYA524296:GYA524373 GYA589832:GYA589909 GYA655368:GYA655445 GYA720904:GYA720981 GYA786440:GYA786517 GYA851976:GYA852053 GYA917512:GYA917589 GYA983048:GYA983125 HHW2:HHW85 HHW65544:HHW65621 HHW131080:HHW131157 HHW196616:HHW196693 HHW262152:HHW262229 HHW327688:HHW327765 HHW393224:HHW393301 HHW458760:HHW458837 HHW524296:HHW524373 HHW589832:HHW589909 HHW655368:HHW655445 HHW720904:HHW720981 HHW786440:HHW786517 HHW851976:HHW852053 HHW917512:HHW917589 HHW983048:HHW983125 HRS2:HRS85 HRS65544:HRS65621 HRS131080:HRS131157 HRS196616:HRS196693 HRS262152:HRS262229 HRS327688:HRS327765 HRS393224:HRS393301 HRS458760:HRS458837 HRS524296:HRS524373 HRS589832:HRS589909 HRS655368:HRS655445 HRS720904:HRS720981 HRS786440:HRS786517 HRS851976:HRS852053 HRS917512:HRS917589 HRS983048:HRS983125 IBO2:IBO85 IBO65544:IBO65621 IBO131080:IBO131157 IBO196616:IBO196693 IBO262152:IBO262229 IBO327688:IBO327765 IBO393224:IBO393301 IBO458760:IBO458837 IBO524296:IBO524373 IBO589832:IBO589909 IBO655368:IBO655445 IBO720904:IBO720981 IBO786440:IBO786517 IBO851976:IBO852053 IBO917512:IBO917589 IBO983048:IBO983125 ILK2:ILK85 ILK65544:ILK65621 ILK131080:ILK131157 ILK196616:ILK196693 ILK262152:ILK262229 ILK327688:ILK327765 ILK393224:ILK393301 ILK458760:ILK458837 ILK524296:ILK524373 ILK589832:ILK589909 ILK655368:ILK655445 ILK720904:ILK720981 ILK786440:ILK786517 ILK851976:ILK852053 ILK917512:ILK917589 ILK983048:ILK983125 IVG2:IVG85 IVG65544:IVG65621 IVG131080:IVG131157 IVG196616:IVG196693 IVG262152:IVG262229 IVG327688:IVG327765 IVG393224:IVG393301 IVG458760:IVG458837 IVG524296:IVG524373 IVG589832:IVG589909 IVG655368:IVG655445 IVG720904:IVG720981 IVG786440:IVG786517 IVG851976:IVG852053 IVG917512:IVG917589 IVG983048:IVG983125 JFC2:JFC85 JFC65544:JFC65621 JFC131080:JFC131157 JFC196616:JFC196693 JFC262152:JFC262229 JFC327688:JFC327765 JFC393224:JFC393301 JFC458760:JFC458837 JFC524296:JFC524373 JFC589832:JFC589909 JFC655368:JFC655445 JFC720904:JFC720981 JFC786440:JFC786517 JFC851976:JFC852053 JFC917512:JFC917589 JFC983048:JFC983125 JOY2:JOY85 JOY65544:JOY65621 JOY131080:JOY131157 JOY196616:JOY196693 JOY262152:JOY262229 JOY327688:JOY327765 JOY393224:JOY393301 JOY458760:JOY458837 JOY524296:JOY524373 JOY589832:JOY589909 JOY655368:JOY655445 JOY720904:JOY720981 JOY786440:JOY786517 JOY851976:JOY852053 JOY917512:JOY917589 JOY983048:JOY983125 JYU2:JYU85 JYU65544:JYU65621 JYU131080:JYU131157 JYU196616:JYU196693 JYU262152:JYU262229 JYU327688:JYU327765 JYU393224:JYU393301 JYU458760:JYU458837 JYU524296:JYU524373 JYU589832:JYU589909 JYU655368:JYU655445 JYU720904:JYU720981 JYU786440:JYU786517 JYU851976:JYU852053 JYU917512:JYU917589 JYU983048:JYU983125 KIQ2:KIQ85 KIQ65544:KIQ65621 KIQ131080:KIQ131157 KIQ196616:KIQ196693 KIQ262152:KIQ262229 KIQ327688:KIQ327765 KIQ393224:KIQ393301 KIQ458760:KIQ458837 KIQ524296:KIQ524373 KIQ589832:KIQ589909 KIQ655368:KIQ655445 KIQ720904:KIQ720981 KIQ786440:KIQ786517 KIQ851976:KIQ852053 KIQ917512:KIQ917589 KIQ983048:KIQ983125 KSM2:KSM85 KSM65544:KSM65621 KSM131080:KSM131157 KSM196616:KSM196693 KSM262152:KSM262229 KSM327688:KSM327765 KSM393224:KSM393301 KSM458760:KSM458837 KSM524296:KSM524373 KSM589832:KSM589909 KSM655368:KSM655445 KSM720904:KSM720981 KSM786440:KSM786517 KSM851976:KSM852053 KSM917512:KSM917589 KSM983048:KSM983125 LCI2:LCI85 LCI65544:LCI65621 LCI131080:LCI131157 LCI196616:LCI196693 LCI262152:LCI262229 LCI327688:LCI327765 LCI393224:LCI393301 LCI458760:LCI458837 LCI524296:LCI524373 LCI589832:LCI589909 LCI655368:LCI655445 LCI720904:LCI720981 LCI786440:LCI786517 LCI851976:LCI852053 LCI917512:LCI917589 LCI983048:LCI983125 LME2:LME85 LME65544:LME65621 LME131080:LME131157 LME196616:LME196693 LME262152:LME262229 LME327688:LME327765 LME393224:LME393301 LME458760:LME458837 LME524296:LME524373 LME589832:LME589909 LME655368:LME655445 LME720904:LME720981 LME786440:LME786517 LME851976:LME852053 LME917512:LME917589 LME983048:LME983125 LWA2:LWA85 LWA65544:LWA65621 LWA131080:LWA131157 LWA196616:LWA196693 LWA262152:LWA262229 LWA327688:LWA327765 LWA393224:LWA393301 LWA458760:LWA458837 LWA524296:LWA524373 LWA589832:LWA589909 LWA655368:LWA655445 LWA720904:LWA720981 LWA786440:LWA786517 LWA851976:LWA852053 LWA917512:LWA917589 LWA983048:LWA983125 MFW2:MFW85 MFW65544:MFW65621 MFW131080:MFW131157 MFW196616:MFW196693 MFW262152:MFW262229 MFW327688:MFW327765 MFW393224:MFW393301 MFW458760:MFW458837 MFW524296:MFW524373 MFW589832:MFW589909 MFW655368:MFW655445 MFW720904:MFW720981 MFW786440:MFW786517 MFW851976:MFW852053 MFW917512:MFW917589 MFW983048:MFW983125 MPS2:MPS85 MPS65544:MPS65621 MPS131080:MPS131157 MPS196616:MPS196693 MPS262152:MPS262229 MPS327688:MPS327765 MPS393224:MPS393301 MPS458760:MPS458837 MPS524296:MPS524373 MPS589832:MPS589909 MPS655368:MPS655445 MPS720904:MPS720981 MPS786440:MPS786517 MPS851976:MPS852053 MPS917512:MPS917589 MPS983048:MPS983125 MZO2:MZO85 MZO65544:MZO65621 MZO131080:MZO131157 MZO196616:MZO196693 MZO262152:MZO262229 MZO327688:MZO327765 MZO393224:MZO393301 MZO458760:MZO458837 MZO524296:MZO524373 MZO589832:MZO589909 MZO655368:MZO655445 MZO720904:MZO720981 MZO786440:MZO786517 MZO851976:MZO852053 MZO917512:MZO917589 MZO983048:MZO983125 NJK2:NJK85 NJK65544:NJK65621 NJK131080:NJK131157 NJK196616:NJK196693 NJK262152:NJK262229 NJK327688:NJK327765 NJK393224:NJK393301 NJK458760:NJK458837 NJK524296:NJK524373 NJK589832:NJK589909 NJK655368:NJK655445 NJK720904:NJK720981 NJK786440:NJK786517 NJK851976:NJK852053 NJK917512:NJK917589 NJK983048:NJK983125 NTG2:NTG85 NTG65544:NTG65621 NTG131080:NTG131157 NTG196616:NTG196693 NTG262152:NTG262229 NTG327688:NTG327765 NTG393224:NTG393301 NTG458760:NTG458837 NTG524296:NTG524373 NTG589832:NTG589909 NTG655368:NTG655445 NTG720904:NTG720981 NTG786440:NTG786517 NTG851976:NTG852053 NTG917512:NTG917589 NTG983048:NTG983125 ODC2:ODC85 ODC65544:ODC65621 ODC131080:ODC131157 ODC196616:ODC196693 ODC262152:ODC262229 ODC327688:ODC327765 ODC393224:ODC393301 ODC458760:ODC458837 ODC524296:ODC524373 ODC589832:ODC589909 ODC655368:ODC655445 ODC720904:ODC720981 ODC786440:ODC786517 ODC851976:ODC852053 ODC917512:ODC917589 ODC983048:ODC983125 OMY2:OMY85 OMY65544:OMY65621 OMY131080:OMY131157 OMY196616:OMY196693 OMY262152:OMY262229 OMY327688:OMY327765 OMY393224:OMY393301 OMY458760:OMY458837 OMY524296:OMY524373 OMY589832:OMY589909 OMY655368:OMY655445 OMY720904:OMY720981 OMY786440:OMY786517 OMY851976:OMY852053 OMY917512:OMY917589 OMY983048:OMY983125 OWU2:OWU85 OWU65544:OWU65621 OWU131080:OWU131157 OWU196616:OWU196693 OWU262152:OWU262229 OWU327688:OWU327765 OWU393224:OWU393301 OWU458760:OWU458837 OWU524296:OWU524373 OWU589832:OWU589909 OWU655368:OWU655445 OWU720904:OWU720981 OWU786440:OWU786517 OWU851976:OWU852053 OWU917512:OWU917589 OWU983048:OWU983125 PGQ2:PGQ85 PGQ65544:PGQ65621 PGQ131080:PGQ131157 PGQ196616:PGQ196693 PGQ262152:PGQ262229 PGQ327688:PGQ327765 PGQ393224:PGQ393301 PGQ458760:PGQ458837 PGQ524296:PGQ524373 PGQ589832:PGQ589909 PGQ655368:PGQ655445 PGQ720904:PGQ720981 PGQ786440:PGQ786517 PGQ851976:PGQ852053 PGQ917512:PGQ917589 PGQ983048:PGQ983125 PQM2:PQM85 PQM65544:PQM65621 PQM131080:PQM131157 PQM196616:PQM196693 PQM262152:PQM262229 PQM327688:PQM327765 PQM393224:PQM393301 PQM458760:PQM458837 PQM524296:PQM524373 PQM589832:PQM589909 PQM655368:PQM655445 PQM720904:PQM720981 PQM786440:PQM786517 PQM851976:PQM852053 PQM917512:PQM917589 PQM983048:PQM983125 QAI2:QAI85 QAI65544:QAI65621 QAI131080:QAI131157 QAI196616:QAI196693 QAI262152:QAI262229 QAI327688:QAI327765 QAI393224:QAI393301 QAI458760:QAI458837 QAI524296:QAI524373 QAI589832:QAI589909 QAI655368:QAI655445 QAI720904:QAI720981 QAI786440:QAI786517 QAI851976:QAI852053 QAI917512:QAI917589 QAI983048:QAI983125 QKE2:QKE85 QKE65544:QKE65621 QKE131080:QKE131157 QKE196616:QKE196693 QKE262152:QKE262229 QKE327688:QKE327765 QKE393224:QKE393301 QKE458760:QKE458837 QKE524296:QKE524373 QKE589832:QKE589909 QKE655368:QKE655445 QKE720904:QKE720981 QKE786440:QKE786517 QKE851976:QKE852053 QKE917512:QKE917589 QKE983048:QKE983125 QUA2:QUA85 QUA65544:QUA65621 QUA131080:QUA131157 QUA196616:QUA196693 QUA262152:QUA262229 QUA327688:QUA327765 QUA393224:QUA393301 QUA458760:QUA458837 QUA524296:QUA524373 QUA589832:QUA589909 QUA655368:QUA655445 QUA720904:QUA720981 QUA786440:QUA786517 QUA851976:QUA852053 QUA917512:QUA917589 QUA983048:QUA983125 RDW2:RDW85 RDW65544:RDW65621 RDW131080:RDW131157 RDW196616:RDW196693 RDW262152:RDW262229 RDW327688:RDW327765 RDW393224:RDW393301 RDW458760:RDW458837 RDW524296:RDW524373 RDW589832:RDW589909 RDW655368:RDW655445 RDW720904:RDW720981 RDW786440:RDW786517 RDW851976:RDW852053 RDW917512:RDW917589 RDW983048:RDW983125 RNS2:RNS85 RNS65544:RNS65621 RNS131080:RNS131157 RNS196616:RNS196693 RNS262152:RNS262229 RNS327688:RNS327765 RNS393224:RNS393301 RNS458760:RNS458837 RNS524296:RNS524373 RNS589832:RNS589909 RNS655368:RNS655445 RNS720904:RNS720981 RNS786440:RNS786517 RNS851976:RNS852053 RNS917512:RNS917589 RNS983048:RNS983125 RXO2:RXO85 RXO65544:RXO65621 RXO131080:RXO131157 RXO196616:RXO196693 RXO262152:RXO262229 RXO327688:RXO327765 RXO393224:RXO393301 RXO458760:RXO458837 RXO524296:RXO524373 RXO589832:RXO589909 RXO655368:RXO655445 RXO720904:RXO720981 RXO786440:RXO786517 RXO851976:RXO852053 RXO917512:RXO917589 RXO983048:RXO983125 SHK2:SHK85 SHK65544:SHK65621 SHK131080:SHK131157 SHK196616:SHK196693 SHK262152:SHK262229 SHK327688:SHK327765 SHK393224:SHK393301 SHK458760:SHK458837 SHK524296:SHK524373 SHK589832:SHK589909 SHK655368:SHK655445 SHK720904:SHK720981 SHK786440:SHK786517 SHK851976:SHK852053 SHK917512:SHK917589 SHK983048:SHK983125 SRG2:SRG85 SRG65544:SRG65621 SRG131080:SRG131157 SRG196616:SRG196693 SRG262152:SRG262229 SRG327688:SRG327765 SRG393224:SRG393301 SRG458760:SRG458837 SRG524296:SRG524373 SRG589832:SRG589909 SRG655368:SRG655445 SRG720904:SRG720981 SRG786440:SRG786517 SRG851976:SRG852053 SRG917512:SRG917589 SRG983048:SRG983125 TBC2:TBC85 TBC65544:TBC65621 TBC131080:TBC131157 TBC196616:TBC196693 TBC262152:TBC262229 TBC327688:TBC327765 TBC393224:TBC393301 TBC458760:TBC458837 TBC524296:TBC524373 TBC589832:TBC589909 TBC655368:TBC655445 TBC720904:TBC720981 TBC786440:TBC786517 TBC851976:TBC852053 TBC917512:TBC917589 TBC983048:TBC983125 TKY2:TKY85 TKY65544:TKY65621 TKY131080:TKY131157 TKY196616:TKY196693 TKY262152:TKY262229 TKY327688:TKY327765 TKY393224:TKY393301 TKY458760:TKY458837 TKY524296:TKY524373 TKY589832:TKY589909 TKY655368:TKY655445 TKY720904:TKY720981 TKY786440:TKY786517 TKY851976:TKY852053 TKY917512:TKY917589 TKY983048:TKY983125 TUU2:TUU85 TUU65544:TUU65621 TUU131080:TUU131157 TUU196616:TUU196693 TUU262152:TUU262229 TUU327688:TUU327765 TUU393224:TUU393301 TUU458760:TUU458837 TUU524296:TUU524373 TUU589832:TUU589909 TUU655368:TUU655445 TUU720904:TUU720981 TUU786440:TUU786517 TUU851976:TUU852053 TUU917512:TUU917589 TUU983048:TUU983125 UEQ2:UEQ85 UEQ65544:UEQ65621 UEQ131080:UEQ131157 UEQ196616:UEQ196693 UEQ262152:UEQ262229 UEQ327688:UEQ327765 UEQ393224:UEQ393301 UEQ458760:UEQ458837 UEQ524296:UEQ524373 UEQ589832:UEQ589909 UEQ655368:UEQ655445 UEQ720904:UEQ720981 UEQ786440:UEQ786517 UEQ851976:UEQ852053 UEQ917512:UEQ917589 UEQ983048:UEQ983125 UOM2:UOM85 UOM65544:UOM65621 UOM131080:UOM131157 UOM196616:UOM196693 UOM262152:UOM262229 UOM327688:UOM327765 UOM393224:UOM393301 UOM458760:UOM458837 UOM524296:UOM524373 UOM589832:UOM589909 UOM655368:UOM655445 UOM720904:UOM720981 UOM786440:UOM786517 UOM851976:UOM852053 UOM917512:UOM917589 UOM983048:UOM983125 UYI2:UYI85 UYI65544:UYI65621 UYI131080:UYI131157 UYI196616:UYI196693 UYI262152:UYI262229 UYI327688:UYI327765 UYI393224:UYI393301 UYI458760:UYI458837 UYI524296:UYI524373 UYI589832:UYI589909 UYI655368:UYI655445 UYI720904:UYI720981 UYI786440:UYI786517 UYI851976:UYI852053 UYI917512:UYI917589 UYI983048:UYI983125 VIE2:VIE85 VIE65544:VIE65621 VIE131080:VIE131157 VIE196616:VIE196693 VIE262152:VIE262229 VIE327688:VIE327765 VIE393224:VIE393301 VIE458760:VIE458837 VIE524296:VIE524373 VIE589832:VIE589909 VIE655368:VIE655445 VIE720904:VIE720981 VIE786440:VIE786517 VIE851976:VIE852053 VIE917512:VIE917589 VIE983048:VIE983125 VSA2:VSA85 VSA65544:VSA65621 VSA131080:VSA131157 VSA196616:VSA196693 VSA262152:VSA262229 VSA327688:VSA327765 VSA393224:VSA393301 VSA458760:VSA458837 VSA524296:VSA524373 VSA589832:VSA589909 VSA655368:VSA655445 VSA720904:VSA720981 VSA786440:VSA786517 VSA851976:VSA852053 VSA917512:VSA917589 VSA983048:VSA983125 WBW2:WBW85 WBW65544:WBW65621 WBW131080:WBW131157 WBW196616:WBW196693 WBW262152:WBW262229 WBW327688:WBW327765 WBW393224:WBW393301 WBW458760:WBW458837 WBW524296:WBW524373 WBW589832:WBW589909 WBW655368:WBW655445 WBW720904:WBW720981 WBW786440:WBW786517 WBW851976:WBW852053 WBW917512:WBW917589 WBW983048:WBW983125 WLS2:WLS85 WLS65544:WLS65621 WLS131080:WLS131157 WLS196616:WLS196693 WLS262152:WLS262229 WLS327688:WLS327765 WLS393224:WLS393301 WLS458760:WLS458837 WLS524296:WLS524373 WLS589832:WLS589909 WLS655368:WLS655445 WLS720904:WLS720981 WLS786440:WLS786517 WLS851976:WLS852053 WLS917512:WLS917589 WLS983048:WLS983125 WVO2:WVO85 WVO65544:WVO65621 WVO131080:WVO131157 WVO196616:WVO196693 WVO262152:WVO262229 WVO327688:WVO327765 WVO393224:WVO393301 WVO458760:WVO458837 WVO524296:WVO524373 WVO589832:WVO589909 WVO655368:WVO655445 WVO720904:WVO720981 WVO786440:WVO786517 WVO851976:WVO852053 WVO917512:WVO917589 WVO983048:WVO983125">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20"/>
  <sheetViews>
    <sheetView zoomScale="80" zoomScaleNormal="80" workbookViewId="0">
      <selection activeCell="Y78" sqref="Y78"/>
    </sheetView>
  </sheetViews>
  <sheetFormatPr defaultRowHeight="13.5" x14ac:dyDescent="0.15"/>
  <cols>
    <col min="1" max="3" width="9" style="208" customWidth="1"/>
    <col min="4" max="4" width="10.5" style="208" customWidth="1"/>
    <col min="5" max="5" width="11.25" style="208" bestFit="1" customWidth="1"/>
    <col min="6" max="7" width="9" style="208"/>
    <col min="8" max="10" width="9" style="208" customWidth="1"/>
    <col min="11" max="11" width="11.375" style="208" customWidth="1"/>
    <col min="12" max="16" width="9" style="208" customWidth="1"/>
    <col min="17" max="17" width="9" style="217" customWidth="1"/>
    <col min="18" max="18" width="9" style="208"/>
    <col min="19" max="19" width="9.5" style="208" bestFit="1" customWidth="1"/>
    <col min="20" max="20" width="9" style="217" customWidth="1"/>
    <col min="21" max="21" width="9" style="208"/>
    <col min="22" max="22" width="9" style="217" customWidth="1"/>
    <col min="23" max="28" width="9" style="208"/>
    <col min="29" max="29" width="26.5" style="208" customWidth="1"/>
    <col min="30" max="32" width="9" style="208"/>
    <col min="33" max="33" width="15.75" style="208" bestFit="1" customWidth="1"/>
    <col min="34" max="34" width="15" style="208" bestFit="1" customWidth="1"/>
    <col min="35" max="256" width="9" style="208"/>
    <col min="257" max="259" width="9" style="208" customWidth="1"/>
    <col min="260" max="260" width="10.5" style="208" customWidth="1"/>
    <col min="261" max="261" width="11.25" style="208" bestFit="1" customWidth="1"/>
    <col min="262" max="263" width="9" style="208"/>
    <col min="264" max="273" width="9" style="208" customWidth="1"/>
    <col min="274" max="274" width="9" style="208"/>
    <col min="275" max="275" width="9.5" style="208" bestFit="1" customWidth="1"/>
    <col min="276" max="276" width="9" style="208" customWidth="1"/>
    <col min="277" max="277" width="9" style="208"/>
    <col min="278" max="278" width="9" style="208" customWidth="1"/>
    <col min="279" max="284" width="9" style="208"/>
    <col min="285" max="285" width="26.5" style="208" customWidth="1"/>
    <col min="286" max="288" width="9" style="208"/>
    <col min="289" max="289" width="14.75" style="208" bestFit="1" customWidth="1"/>
    <col min="290" max="512" width="9" style="208"/>
    <col min="513" max="515" width="9" style="208" customWidth="1"/>
    <col min="516" max="516" width="10.5" style="208" customWidth="1"/>
    <col min="517" max="517" width="11.25" style="208" bestFit="1" customWidth="1"/>
    <col min="518" max="519" width="9" style="208"/>
    <col min="520" max="529" width="9" style="208" customWidth="1"/>
    <col min="530" max="530" width="9" style="208"/>
    <col min="531" max="531" width="9.5" style="208" bestFit="1" customWidth="1"/>
    <col min="532" max="532" width="9" style="208" customWidth="1"/>
    <col min="533" max="533" width="9" style="208"/>
    <col min="534" max="534" width="9" style="208" customWidth="1"/>
    <col min="535" max="540" width="9" style="208"/>
    <col min="541" max="541" width="26.5" style="208" customWidth="1"/>
    <col min="542" max="544" width="9" style="208"/>
    <col min="545" max="545" width="14.75" style="208" bestFit="1" customWidth="1"/>
    <col min="546" max="768" width="9" style="208"/>
    <col min="769" max="771" width="9" style="208" customWidth="1"/>
    <col min="772" max="772" width="10.5" style="208" customWidth="1"/>
    <col min="773" max="773" width="11.25" style="208" bestFit="1" customWidth="1"/>
    <col min="774" max="775" width="9" style="208"/>
    <col min="776" max="785" width="9" style="208" customWidth="1"/>
    <col min="786" max="786" width="9" style="208"/>
    <col min="787" max="787" width="9.5" style="208" bestFit="1" customWidth="1"/>
    <col min="788" max="788" width="9" style="208" customWidth="1"/>
    <col min="789" max="789" width="9" style="208"/>
    <col min="790" max="790" width="9" style="208" customWidth="1"/>
    <col min="791" max="796" width="9" style="208"/>
    <col min="797" max="797" width="26.5" style="208" customWidth="1"/>
    <col min="798" max="800" width="9" style="208"/>
    <col min="801" max="801" width="14.75" style="208" bestFit="1" customWidth="1"/>
    <col min="802" max="1024" width="9" style="208"/>
    <col min="1025" max="1027" width="9" style="208" customWidth="1"/>
    <col min="1028" max="1028" width="10.5" style="208" customWidth="1"/>
    <col min="1029" max="1029" width="11.25" style="208" bestFit="1" customWidth="1"/>
    <col min="1030" max="1031" width="9" style="208"/>
    <col min="1032" max="1041" width="9" style="208" customWidth="1"/>
    <col min="1042" max="1042" width="9" style="208"/>
    <col min="1043" max="1043" width="9.5" style="208" bestFit="1" customWidth="1"/>
    <col min="1044" max="1044" width="9" style="208" customWidth="1"/>
    <col min="1045" max="1045" width="9" style="208"/>
    <col min="1046" max="1046" width="9" style="208" customWidth="1"/>
    <col min="1047" max="1052" width="9" style="208"/>
    <col min="1053" max="1053" width="26.5" style="208" customWidth="1"/>
    <col min="1054" max="1056" width="9" style="208"/>
    <col min="1057" max="1057" width="14.75" style="208" bestFit="1" customWidth="1"/>
    <col min="1058" max="1280" width="9" style="208"/>
    <col min="1281" max="1283" width="9" style="208" customWidth="1"/>
    <col min="1284" max="1284" width="10.5" style="208" customWidth="1"/>
    <col min="1285" max="1285" width="11.25" style="208" bestFit="1" customWidth="1"/>
    <col min="1286" max="1287" width="9" style="208"/>
    <col min="1288" max="1297" width="9" style="208" customWidth="1"/>
    <col min="1298" max="1298" width="9" style="208"/>
    <col min="1299" max="1299" width="9.5" style="208" bestFit="1" customWidth="1"/>
    <col min="1300" max="1300" width="9" style="208" customWidth="1"/>
    <col min="1301" max="1301" width="9" style="208"/>
    <col min="1302" max="1302" width="9" style="208" customWidth="1"/>
    <col min="1303" max="1308" width="9" style="208"/>
    <col min="1309" max="1309" width="26.5" style="208" customWidth="1"/>
    <col min="1310" max="1312" width="9" style="208"/>
    <col min="1313" max="1313" width="14.75" style="208" bestFit="1" customWidth="1"/>
    <col min="1314" max="1536" width="9" style="208"/>
    <col min="1537" max="1539" width="9" style="208" customWidth="1"/>
    <col min="1540" max="1540" width="10.5" style="208" customWidth="1"/>
    <col min="1541" max="1541" width="11.25" style="208" bestFit="1" customWidth="1"/>
    <col min="1542" max="1543" width="9" style="208"/>
    <col min="1544" max="1553" width="9" style="208" customWidth="1"/>
    <col min="1554" max="1554" width="9" style="208"/>
    <col min="1555" max="1555" width="9.5" style="208" bestFit="1" customWidth="1"/>
    <col min="1556" max="1556" width="9" style="208" customWidth="1"/>
    <col min="1557" max="1557" width="9" style="208"/>
    <col min="1558" max="1558" width="9" style="208" customWidth="1"/>
    <col min="1559" max="1564" width="9" style="208"/>
    <col min="1565" max="1565" width="26.5" style="208" customWidth="1"/>
    <col min="1566" max="1568" width="9" style="208"/>
    <col min="1569" max="1569" width="14.75" style="208" bestFit="1" customWidth="1"/>
    <col min="1570" max="1792" width="9" style="208"/>
    <col min="1793" max="1795" width="9" style="208" customWidth="1"/>
    <col min="1796" max="1796" width="10.5" style="208" customWidth="1"/>
    <col min="1797" max="1797" width="11.25" style="208" bestFit="1" customWidth="1"/>
    <col min="1798" max="1799" width="9" style="208"/>
    <col min="1800" max="1809" width="9" style="208" customWidth="1"/>
    <col min="1810" max="1810" width="9" style="208"/>
    <col min="1811" max="1811" width="9.5" style="208" bestFit="1" customWidth="1"/>
    <col min="1812" max="1812" width="9" style="208" customWidth="1"/>
    <col min="1813" max="1813" width="9" style="208"/>
    <col min="1814" max="1814" width="9" style="208" customWidth="1"/>
    <col min="1815" max="1820" width="9" style="208"/>
    <col min="1821" max="1821" width="26.5" style="208" customWidth="1"/>
    <col min="1822" max="1824" width="9" style="208"/>
    <col min="1825" max="1825" width="14.75" style="208" bestFit="1" customWidth="1"/>
    <col min="1826" max="2048" width="9" style="208"/>
    <col min="2049" max="2051" width="9" style="208" customWidth="1"/>
    <col min="2052" max="2052" width="10.5" style="208" customWidth="1"/>
    <col min="2053" max="2053" width="11.25" style="208" bestFit="1" customWidth="1"/>
    <col min="2054" max="2055" width="9" style="208"/>
    <col min="2056" max="2065" width="9" style="208" customWidth="1"/>
    <col min="2066" max="2066" width="9" style="208"/>
    <col min="2067" max="2067" width="9.5" style="208" bestFit="1" customWidth="1"/>
    <col min="2068" max="2068" width="9" style="208" customWidth="1"/>
    <col min="2069" max="2069" width="9" style="208"/>
    <col min="2070" max="2070" width="9" style="208" customWidth="1"/>
    <col min="2071" max="2076" width="9" style="208"/>
    <col min="2077" max="2077" width="26.5" style="208" customWidth="1"/>
    <col min="2078" max="2080" width="9" style="208"/>
    <col min="2081" max="2081" width="14.75" style="208" bestFit="1" customWidth="1"/>
    <col min="2082" max="2304" width="9" style="208"/>
    <col min="2305" max="2307" width="9" style="208" customWidth="1"/>
    <col min="2308" max="2308" width="10.5" style="208" customWidth="1"/>
    <col min="2309" max="2309" width="11.25" style="208" bestFit="1" customWidth="1"/>
    <col min="2310" max="2311" width="9" style="208"/>
    <col min="2312" max="2321" width="9" style="208" customWidth="1"/>
    <col min="2322" max="2322" width="9" style="208"/>
    <col min="2323" max="2323" width="9.5" style="208" bestFit="1" customWidth="1"/>
    <col min="2324" max="2324" width="9" style="208" customWidth="1"/>
    <col min="2325" max="2325" width="9" style="208"/>
    <col min="2326" max="2326" width="9" style="208" customWidth="1"/>
    <col min="2327" max="2332" width="9" style="208"/>
    <col min="2333" max="2333" width="26.5" style="208" customWidth="1"/>
    <col min="2334" max="2336" width="9" style="208"/>
    <col min="2337" max="2337" width="14.75" style="208" bestFit="1" customWidth="1"/>
    <col min="2338" max="2560" width="9" style="208"/>
    <col min="2561" max="2563" width="9" style="208" customWidth="1"/>
    <col min="2564" max="2564" width="10.5" style="208" customWidth="1"/>
    <col min="2565" max="2565" width="11.25" style="208" bestFit="1" customWidth="1"/>
    <col min="2566" max="2567" width="9" style="208"/>
    <col min="2568" max="2577" width="9" style="208" customWidth="1"/>
    <col min="2578" max="2578" width="9" style="208"/>
    <col min="2579" max="2579" width="9.5" style="208" bestFit="1" customWidth="1"/>
    <col min="2580" max="2580" width="9" style="208" customWidth="1"/>
    <col min="2581" max="2581" width="9" style="208"/>
    <col min="2582" max="2582" width="9" style="208" customWidth="1"/>
    <col min="2583" max="2588" width="9" style="208"/>
    <col min="2589" max="2589" width="26.5" style="208" customWidth="1"/>
    <col min="2590" max="2592" width="9" style="208"/>
    <col min="2593" max="2593" width="14.75" style="208" bestFit="1" customWidth="1"/>
    <col min="2594" max="2816" width="9" style="208"/>
    <col min="2817" max="2819" width="9" style="208" customWidth="1"/>
    <col min="2820" max="2820" width="10.5" style="208" customWidth="1"/>
    <col min="2821" max="2821" width="11.25" style="208" bestFit="1" customWidth="1"/>
    <col min="2822" max="2823" width="9" style="208"/>
    <col min="2824" max="2833" width="9" style="208" customWidth="1"/>
    <col min="2834" max="2834" width="9" style="208"/>
    <col min="2835" max="2835" width="9.5" style="208" bestFit="1" customWidth="1"/>
    <col min="2836" max="2836" width="9" style="208" customWidth="1"/>
    <col min="2837" max="2837" width="9" style="208"/>
    <col min="2838" max="2838" width="9" style="208" customWidth="1"/>
    <col min="2839" max="2844" width="9" style="208"/>
    <col min="2845" max="2845" width="26.5" style="208" customWidth="1"/>
    <col min="2846" max="2848" width="9" style="208"/>
    <col min="2849" max="2849" width="14.75" style="208" bestFit="1" customWidth="1"/>
    <col min="2850" max="3072" width="9" style="208"/>
    <col min="3073" max="3075" width="9" style="208" customWidth="1"/>
    <col min="3076" max="3076" width="10.5" style="208" customWidth="1"/>
    <col min="3077" max="3077" width="11.25" style="208" bestFit="1" customWidth="1"/>
    <col min="3078" max="3079" width="9" style="208"/>
    <col min="3080" max="3089" width="9" style="208" customWidth="1"/>
    <col min="3090" max="3090" width="9" style="208"/>
    <col min="3091" max="3091" width="9.5" style="208" bestFit="1" customWidth="1"/>
    <col min="3092" max="3092" width="9" style="208" customWidth="1"/>
    <col min="3093" max="3093" width="9" style="208"/>
    <col min="3094" max="3094" width="9" style="208" customWidth="1"/>
    <col min="3095" max="3100" width="9" style="208"/>
    <col min="3101" max="3101" width="26.5" style="208" customWidth="1"/>
    <col min="3102" max="3104" width="9" style="208"/>
    <col min="3105" max="3105" width="14.75" style="208" bestFit="1" customWidth="1"/>
    <col min="3106" max="3328" width="9" style="208"/>
    <col min="3329" max="3331" width="9" style="208" customWidth="1"/>
    <col min="3332" max="3332" width="10.5" style="208" customWidth="1"/>
    <col min="3333" max="3333" width="11.25" style="208" bestFit="1" customWidth="1"/>
    <col min="3334" max="3335" width="9" style="208"/>
    <col min="3336" max="3345" width="9" style="208" customWidth="1"/>
    <col min="3346" max="3346" width="9" style="208"/>
    <col min="3347" max="3347" width="9.5" style="208" bestFit="1" customWidth="1"/>
    <col min="3348" max="3348" width="9" style="208" customWidth="1"/>
    <col min="3349" max="3349" width="9" style="208"/>
    <col min="3350" max="3350" width="9" style="208" customWidth="1"/>
    <col min="3351" max="3356" width="9" style="208"/>
    <col min="3357" max="3357" width="26.5" style="208" customWidth="1"/>
    <col min="3358" max="3360" width="9" style="208"/>
    <col min="3361" max="3361" width="14.75" style="208" bestFit="1" customWidth="1"/>
    <col min="3362" max="3584" width="9" style="208"/>
    <col min="3585" max="3587" width="9" style="208" customWidth="1"/>
    <col min="3588" max="3588" width="10.5" style="208" customWidth="1"/>
    <col min="3589" max="3589" width="11.25" style="208" bestFit="1" customWidth="1"/>
    <col min="3590" max="3591" width="9" style="208"/>
    <col min="3592" max="3601" width="9" style="208" customWidth="1"/>
    <col min="3602" max="3602" width="9" style="208"/>
    <col min="3603" max="3603" width="9.5" style="208" bestFit="1" customWidth="1"/>
    <col min="3604" max="3604" width="9" style="208" customWidth="1"/>
    <col min="3605" max="3605" width="9" style="208"/>
    <col min="3606" max="3606" width="9" style="208" customWidth="1"/>
    <col min="3607" max="3612" width="9" style="208"/>
    <col min="3613" max="3613" width="26.5" style="208" customWidth="1"/>
    <col min="3614" max="3616" width="9" style="208"/>
    <col min="3617" max="3617" width="14.75" style="208" bestFit="1" customWidth="1"/>
    <col min="3618" max="3840" width="9" style="208"/>
    <col min="3841" max="3843" width="9" style="208" customWidth="1"/>
    <col min="3844" max="3844" width="10.5" style="208" customWidth="1"/>
    <col min="3845" max="3845" width="11.25" style="208" bestFit="1" customWidth="1"/>
    <col min="3846" max="3847" width="9" style="208"/>
    <col min="3848" max="3857" width="9" style="208" customWidth="1"/>
    <col min="3858" max="3858" width="9" style="208"/>
    <col min="3859" max="3859" width="9.5" style="208" bestFit="1" customWidth="1"/>
    <col min="3860" max="3860" width="9" style="208" customWidth="1"/>
    <col min="3861" max="3861" width="9" style="208"/>
    <col min="3862" max="3862" width="9" style="208" customWidth="1"/>
    <col min="3863" max="3868" width="9" style="208"/>
    <col min="3869" max="3869" width="26.5" style="208" customWidth="1"/>
    <col min="3870" max="3872" width="9" style="208"/>
    <col min="3873" max="3873" width="14.75" style="208" bestFit="1" customWidth="1"/>
    <col min="3874" max="4096" width="9" style="208"/>
    <col min="4097" max="4099" width="9" style="208" customWidth="1"/>
    <col min="4100" max="4100" width="10.5" style="208" customWidth="1"/>
    <col min="4101" max="4101" width="11.25" style="208" bestFit="1" customWidth="1"/>
    <col min="4102" max="4103" width="9" style="208"/>
    <col min="4104" max="4113" width="9" style="208" customWidth="1"/>
    <col min="4114" max="4114" width="9" style="208"/>
    <col min="4115" max="4115" width="9.5" style="208" bestFit="1" customWidth="1"/>
    <col min="4116" max="4116" width="9" style="208" customWidth="1"/>
    <col min="4117" max="4117" width="9" style="208"/>
    <col min="4118" max="4118" width="9" style="208" customWidth="1"/>
    <col min="4119" max="4124" width="9" style="208"/>
    <col min="4125" max="4125" width="26.5" style="208" customWidth="1"/>
    <col min="4126" max="4128" width="9" style="208"/>
    <col min="4129" max="4129" width="14.75" style="208" bestFit="1" customWidth="1"/>
    <col min="4130" max="4352" width="9" style="208"/>
    <col min="4353" max="4355" width="9" style="208" customWidth="1"/>
    <col min="4356" max="4356" width="10.5" style="208" customWidth="1"/>
    <col min="4357" max="4357" width="11.25" style="208" bestFit="1" customWidth="1"/>
    <col min="4358" max="4359" width="9" style="208"/>
    <col min="4360" max="4369" width="9" style="208" customWidth="1"/>
    <col min="4370" max="4370" width="9" style="208"/>
    <col min="4371" max="4371" width="9.5" style="208" bestFit="1" customWidth="1"/>
    <col min="4372" max="4372" width="9" style="208" customWidth="1"/>
    <col min="4373" max="4373" width="9" style="208"/>
    <col min="4374" max="4374" width="9" style="208" customWidth="1"/>
    <col min="4375" max="4380" width="9" style="208"/>
    <col min="4381" max="4381" width="26.5" style="208" customWidth="1"/>
    <col min="4382" max="4384" width="9" style="208"/>
    <col min="4385" max="4385" width="14.75" style="208" bestFit="1" customWidth="1"/>
    <col min="4386" max="4608" width="9" style="208"/>
    <col min="4609" max="4611" width="9" style="208" customWidth="1"/>
    <col min="4612" max="4612" width="10.5" style="208" customWidth="1"/>
    <col min="4613" max="4613" width="11.25" style="208" bestFit="1" customWidth="1"/>
    <col min="4614" max="4615" width="9" style="208"/>
    <col min="4616" max="4625" width="9" style="208" customWidth="1"/>
    <col min="4626" max="4626" width="9" style="208"/>
    <col min="4627" max="4627" width="9.5" style="208" bestFit="1" customWidth="1"/>
    <col min="4628" max="4628" width="9" style="208" customWidth="1"/>
    <col min="4629" max="4629" width="9" style="208"/>
    <col min="4630" max="4630" width="9" style="208" customWidth="1"/>
    <col min="4631" max="4636" width="9" style="208"/>
    <col min="4637" max="4637" width="26.5" style="208" customWidth="1"/>
    <col min="4638" max="4640" width="9" style="208"/>
    <col min="4641" max="4641" width="14.75" style="208" bestFit="1" customWidth="1"/>
    <col min="4642" max="4864" width="9" style="208"/>
    <col min="4865" max="4867" width="9" style="208" customWidth="1"/>
    <col min="4868" max="4868" width="10.5" style="208" customWidth="1"/>
    <col min="4869" max="4869" width="11.25" style="208" bestFit="1" customWidth="1"/>
    <col min="4870" max="4871" width="9" style="208"/>
    <col min="4872" max="4881" width="9" style="208" customWidth="1"/>
    <col min="4882" max="4882" width="9" style="208"/>
    <col min="4883" max="4883" width="9.5" style="208" bestFit="1" customWidth="1"/>
    <col min="4884" max="4884" width="9" style="208" customWidth="1"/>
    <col min="4885" max="4885" width="9" style="208"/>
    <col min="4886" max="4886" width="9" style="208" customWidth="1"/>
    <col min="4887" max="4892" width="9" style="208"/>
    <col min="4893" max="4893" width="26.5" style="208" customWidth="1"/>
    <col min="4894" max="4896" width="9" style="208"/>
    <col min="4897" max="4897" width="14.75" style="208" bestFit="1" customWidth="1"/>
    <col min="4898" max="5120" width="9" style="208"/>
    <col min="5121" max="5123" width="9" style="208" customWidth="1"/>
    <col min="5124" max="5124" width="10.5" style="208" customWidth="1"/>
    <col min="5125" max="5125" width="11.25" style="208" bestFit="1" customWidth="1"/>
    <col min="5126" max="5127" width="9" style="208"/>
    <col min="5128" max="5137" width="9" style="208" customWidth="1"/>
    <col min="5138" max="5138" width="9" style="208"/>
    <col min="5139" max="5139" width="9.5" style="208" bestFit="1" customWidth="1"/>
    <col min="5140" max="5140" width="9" style="208" customWidth="1"/>
    <col min="5141" max="5141" width="9" style="208"/>
    <col min="5142" max="5142" width="9" style="208" customWidth="1"/>
    <col min="5143" max="5148" width="9" style="208"/>
    <col min="5149" max="5149" width="26.5" style="208" customWidth="1"/>
    <col min="5150" max="5152" width="9" style="208"/>
    <col min="5153" max="5153" width="14.75" style="208" bestFit="1" customWidth="1"/>
    <col min="5154" max="5376" width="9" style="208"/>
    <col min="5377" max="5379" width="9" style="208" customWidth="1"/>
    <col min="5380" max="5380" width="10.5" style="208" customWidth="1"/>
    <col min="5381" max="5381" width="11.25" style="208" bestFit="1" customWidth="1"/>
    <col min="5382" max="5383" width="9" style="208"/>
    <col min="5384" max="5393" width="9" style="208" customWidth="1"/>
    <col min="5394" max="5394" width="9" style="208"/>
    <col min="5395" max="5395" width="9.5" style="208" bestFit="1" customWidth="1"/>
    <col min="5396" max="5396" width="9" style="208" customWidth="1"/>
    <col min="5397" max="5397" width="9" style="208"/>
    <col min="5398" max="5398" width="9" style="208" customWidth="1"/>
    <col min="5399" max="5404" width="9" style="208"/>
    <col min="5405" max="5405" width="26.5" style="208" customWidth="1"/>
    <col min="5406" max="5408" width="9" style="208"/>
    <col min="5409" max="5409" width="14.75" style="208" bestFit="1" customWidth="1"/>
    <col min="5410" max="5632" width="9" style="208"/>
    <col min="5633" max="5635" width="9" style="208" customWidth="1"/>
    <col min="5636" max="5636" width="10.5" style="208" customWidth="1"/>
    <col min="5637" max="5637" width="11.25" style="208" bestFit="1" customWidth="1"/>
    <col min="5638" max="5639" width="9" style="208"/>
    <col min="5640" max="5649" width="9" style="208" customWidth="1"/>
    <col min="5650" max="5650" width="9" style="208"/>
    <col min="5651" max="5651" width="9.5" style="208" bestFit="1" customWidth="1"/>
    <col min="5652" max="5652" width="9" style="208" customWidth="1"/>
    <col min="5653" max="5653" width="9" style="208"/>
    <col min="5654" max="5654" width="9" style="208" customWidth="1"/>
    <col min="5655" max="5660" width="9" style="208"/>
    <col min="5661" max="5661" width="26.5" style="208" customWidth="1"/>
    <col min="5662" max="5664" width="9" style="208"/>
    <col min="5665" max="5665" width="14.75" style="208" bestFit="1" customWidth="1"/>
    <col min="5666" max="5888" width="9" style="208"/>
    <col min="5889" max="5891" width="9" style="208" customWidth="1"/>
    <col min="5892" max="5892" width="10.5" style="208" customWidth="1"/>
    <col min="5893" max="5893" width="11.25" style="208" bestFit="1" customWidth="1"/>
    <col min="5894" max="5895" width="9" style="208"/>
    <col min="5896" max="5905" width="9" style="208" customWidth="1"/>
    <col min="5906" max="5906" width="9" style="208"/>
    <col min="5907" max="5907" width="9.5" style="208" bestFit="1" customWidth="1"/>
    <col min="5908" max="5908" width="9" style="208" customWidth="1"/>
    <col min="5909" max="5909" width="9" style="208"/>
    <col min="5910" max="5910" width="9" style="208" customWidth="1"/>
    <col min="5911" max="5916" width="9" style="208"/>
    <col min="5917" max="5917" width="26.5" style="208" customWidth="1"/>
    <col min="5918" max="5920" width="9" style="208"/>
    <col min="5921" max="5921" width="14.75" style="208" bestFit="1" customWidth="1"/>
    <col min="5922" max="6144" width="9" style="208"/>
    <col min="6145" max="6147" width="9" style="208" customWidth="1"/>
    <col min="6148" max="6148" width="10.5" style="208" customWidth="1"/>
    <col min="6149" max="6149" width="11.25" style="208" bestFit="1" customWidth="1"/>
    <col min="6150" max="6151" width="9" style="208"/>
    <col min="6152" max="6161" width="9" style="208" customWidth="1"/>
    <col min="6162" max="6162" width="9" style="208"/>
    <col min="6163" max="6163" width="9.5" style="208" bestFit="1" customWidth="1"/>
    <col min="6164" max="6164" width="9" style="208" customWidth="1"/>
    <col min="6165" max="6165" width="9" style="208"/>
    <col min="6166" max="6166" width="9" style="208" customWidth="1"/>
    <col min="6167" max="6172" width="9" style="208"/>
    <col min="6173" max="6173" width="26.5" style="208" customWidth="1"/>
    <col min="6174" max="6176" width="9" style="208"/>
    <col min="6177" max="6177" width="14.75" style="208" bestFit="1" customWidth="1"/>
    <col min="6178" max="6400" width="9" style="208"/>
    <col min="6401" max="6403" width="9" style="208" customWidth="1"/>
    <col min="6404" max="6404" width="10.5" style="208" customWidth="1"/>
    <col min="6405" max="6405" width="11.25" style="208" bestFit="1" customWidth="1"/>
    <col min="6406" max="6407" width="9" style="208"/>
    <col min="6408" max="6417" width="9" style="208" customWidth="1"/>
    <col min="6418" max="6418" width="9" style="208"/>
    <col min="6419" max="6419" width="9.5" style="208" bestFit="1" customWidth="1"/>
    <col min="6420" max="6420" width="9" style="208" customWidth="1"/>
    <col min="6421" max="6421" width="9" style="208"/>
    <col min="6422" max="6422" width="9" style="208" customWidth="1"/>
    <col min="6423" max="6428" width="9" style="208"/>
    <col min="6429" max="6429" width="26.5" style="208" customWidth="1"/>
    <col min="6430" max="6432" width="9" style="208"/>
    <col min="6433" max="6433" width="14.75" style="208" bestFit="1" customWidth="1"/>
    <col min="6434" max="6656" width="9" style="208"/>
    <col min="6657" max="6659" width="9" style="208" customWidth="1"/>
    <col min="6660" max="6660" width="10.5" style="208" customWidth="1"/>
    <col min="6661" max="6661" width="11.25" style="208" bestFit="1" customWidth="1"/>
    <col min="6662" max="6663" width="9" style="208"/>
    <col min="6664" max="6673" width="9" style="208" customWidth="1"/>
    <col min="6674" max="6674" width="9" style="208"/>
    <col min="6675" max="6675" width="9.5" style="208" bestFit="1" customWidth="1"/>
    <col min="6676" max="6676" width="9" style="208" customWidth="1"/>
    <col min="6677" max="6677" width="9" style="208"/>
    <col min="6678" max="6678" width="9" style="208" customWidth="1"/>
    <col min="6679" max="6684" width="9" style="208"/>
    <col min="6685" max="6685" width="26.5" style="208" customWidth="1"/>
    <col min="6686" max="6688" width="9" style="208"/>
    <col min="6689" max="6689" width="14.75" style="208" bestFit="1" customWidth="1"/>
    <col min="6690" max="6912" width="9" style="208"/>
    <col min="6913" max="6915" width="9" style="208" customWidth="1"/>
    <col min="6916" max="6916" width="10.5" style="208" customWidth="1"/>
    <col min="6917" max="6917" width="11.25" style="208" bestFit="1" customWidth="1"/>
    <col min="6918" max="6919" width="9" style="208"/>
    <col min="6920" max="6929" width="9" style="208" customWidth="1"/>
    <col min="6930" max="6930" width="9" style="208"/>
    <col min="6931" max="6931" width="9.5" style="208" bestFit="1" customWidth="1"/>
    <col min="6932" max="6932" width="9" style="208" customWidth="1"/>
    <col min="6933" max="6933" width="9" style="208"/>
    <col min="6934" max="6934" width="9" style="208" customWidth="1"/>
    <col min="6935" max="6940" width="9" style="208"/>
    <col min="6941" max="6941" width="26.5" style="208" customWidth="1"/>
    <col min="6942" max="6944" width="9" style="208"/>
    <col min="6945" max="6945" width="14.75" style="208" bestFit="1" customWidth="1"/>
    <col min="6946" max="7168" width="9" style="208"/>
    <col min="7169" max="7171" width="9" style="208" customWidth="1"/>
    <col min="7172" max="7172" width="10.5" style="208" customWidth="1"/>
    <col min="7173" max="7173" width="11.25" style="208" bestFit="1" customWidth="1"/>
    <col min="7174" max="7175" width="9" style="208"/>
    <col min="7176" max="7185" width="9" style="208" customWidth="1"/>
    <col min="7186" max="7186" width="9" style="208"/>
    <col min="7187" max="7187" width="9.5" style="208" bestFit="1" customWidth="1"/>
    <col min="7188" max="7188" width="9" style="208" customWidth="1"/>
    <col min="7189" max="7189" width="9" style="208"/>
    <col min="7190" max="7190" width="9" style="208" customWidth="1"/>
    <col min="7191" max="7196" width="9" style="208"/>
    <col min="7197" max="7197" width="26.5" style="208" customWidth="1"/>
    <col min="7198" max="7200" width="9" style="208"/>
    <col min="7201" max="7201" width="14.75" style="208" bestFit="1" customWidth="1"/>
    <col min="7202" max="7424" width="9" style="208"/>
    <col min="7425" max="7427" width="9" style="208" customWidth="1"/>
    <col min="7428" max="7428" width="10.5" style="208" customWidth="1"/>
    <col min="7429" max="7429" width="11.25" style="208" bestFit="1" customWidth="1"/>
    <col min="7430" max="7431" width="9" style="208"/>
    <col min="7432" max="7441" width="9" style="208" customWidth="1"/>
    <col min="7442" max="7442" width="9" style="208"/>
    <col min="7443" max="7443" width="9.5" style="208" bestFit="1" customWidth="1"/>
    <col min="7444" max="7444" width="9" style="208" customWidth="1"/>
    <col min="7445" max="7445" width="9" style="208"/>
    <col min="7446" max="7446" width="9" style="208" customWidth="1"/>
    <col min="7447" max="7452" width="9" style="208"/>
    <col min="7453" max="7453" width="26.5" style="208" customWidth="1"/>
    <col min="7454" max="7456" width="9" style="208"/>
    <col min="7457" max="7457" width="14.75" style="208" bestFit="1" customWidth="1"/>
    <col min="7458" max="7680" width="9" style="208"/>
    <col min="7681" max="7683" width="9" style="208" customWidth="1"/>
    <col min="7684" max="7684" width="10.5" style="208" customWidth="1"/>
    <col min="7685" max="7685" width="11.25" style="208" bestFit="1" customWidth="1"/>
    <col min="7686" max="7687" width="9" style="208"/>
    <col min="7688" max="7697" width="9" style="208" customWidth="1"/>
    <col min="7698" max="7698" width="9" style="208"/>
    <col min="7699" max="7699" width="9.5" style="208" bestFit="1" customWidth="1"/>
    <col min="7700" max="7700" width="9" style="208" customWidth="1"/>
    <col min="7701" max="7701" width="9" style="208"/>
    <col min="7702" max="7702" width="9" style="208" customWidth="1"/>
    <col min="7703" max="7708" width="9" style="208"/>
    <col min="7709" max="7709" width="26.5" style="208" customWidth="1"/>
    <col min="7710" max="7712" width="9" style="208"/>
    <col min="7713" max="7713" width="14.75" style="208" bestFit="1" customWidth="1"/>
    <col min="7714" max="7936" width="9" style="208"/>
    <col min="7937" max="7939" width="9" style="208" customWidth="1"/>
    <col min="7940" max="7940" width="10.5" style="208" customWidth="1"/>
    <col min="7941" max="7941" width="11.25" style="208" bestFit="1" customWidth="1"/>
    <col min="7942" max="7943" width="9" style="208"/>
    <col min="7944" max="7953" width="9" style="208" customWidth="1"/>
    <col min="7954" max="7954" width="9" style="208"/>
    <col min="7955" max="7955" width="9.5" style="208" bestFit="1" customWidth="1"/>
    <col min="7956" max="7956" width="9" style="208" customWidth="1"/>
    <col min="7957" max="7957" width="9" style="208"/>
    <col min="7958" max="7958" width="9" style="208" customWidth="1"/>
    <col min="7959" max="7964" width="9" style="208"/>
    <col min="7965" max="7965" width="26.5" style="208" customWidth="1"/>
    <col min="7966" max="7968" width="9" style="208"/>
    <col min="7969" max="7969" width="14.75" style="208" bestFit="1" customWidth="1"/>
    <col min="7970" max="8192" width="9" style="208"/>
    <col min="8193" max="8195" width="9" style="208" customWidth="1"/>
    <col min="8196" max="8196" width="10.5" style="208" customWidth="1"/>
    <col min="8197" max="8197" width="11.25" style="208" bestFit="1" customWidth="1"/>
    <col min="8198" max="8199" width="9" style="208"/>
    <col min="8200" max="8209" width="9" style="208" customWidth="1"/>
    <col min="8210" max="8210" width="9" style="208"/>
    <col min="8211" max="8211" width="9.5" style="208" bestFit="1" customWidth="1"/>
    <col min="8212" max="8212" width="9" style="208" customWidth="1"/>
    <col min="8213" max="8213" width="9" style="208"/>
    <col min="8214" max="8214" width="9" style="208" customWidth="1"/>
    <col min="8215" max="8220" width="9" style="208"/>
    <col min="8221" max="8221" width="26.5" style="208" customWidth="1"/>
    <col min="8222" max="8224" width="9" style="208"/>
    <col min="8225" max="8225" width="14.75" style="208" bestFit="1" customWidth="1"/>
    <col min="8226" max="8448" width="9" style="208"/>
    <col min="8449" max="8451" width="9" style="208" customWidth="1"/>
    <col min="8452" max="8452" width="10.5" style="208" customWidth="1"/>
    <col min="8453" max="8453" width="11.25" style="208" bestFit="1" customWidth="1"/>
    <col min="8454" max="8455" width="9" style="208"/>
    <col min="8456" max="8465" width="9" style="208" customWidth="1"/>
    <col min="8466" max="8466" width="9" style="208"/>
    <col min="8467" max="8467" width="9.5" style="208" bestFit="1" customWidth="1"/>
    <col min="8468" max="8468" width="9" style="208" customWidth="1"/>
    <col min="8469" max="8469" width="9" style="208"/>
    <col min="8470" max="8470" width="9" style="208" customWidth="1"/>
    <col min="8471" max="8476" width="9" style="208"/>
    <col min="8477" max="8477" width="26.5" style="208" customWidth="1"/>
    <col min="8478" max="8480" width="9" style="208"/>
    <col min="8481" max="8481" width="14.75" style="208" bestFit="1" customWidth="1"/>
    <col min="8482" max="8704" width="9" style="208"/>
    <col min="8705" max="8707" width="9" style="208" customWidth="1"/>
    <col min="8708" max="8708" width="10.5" style="208" customWidth="1"/>
    <col min="8709" max="8709" width="11.25" style="208" bestFit="1" customWidth="1"/>
    <col min="8710" max="8711" width="9" style="208"/>
    <col min="8712" max="8721" width="9" style="208" customWidth="1"/>
    <col min="8722" max="8722" width="9" style="208"/>
    <col min="8723" max="8723" width="9.5" style="208" bestFit="1" customWidth="1"/>
    <col min="8724" max="8724" width="9" style="208" customWidth="1"/>
    <col min="8725" max="8725" width="9" style="208"/>
    <col min="8726" max="8726" width="9" style="208" customWidth="1"/>
    <col min="8727" max="8732" width="9" style="208"/>
    <col min="8733" max="8733" width="26.5" style="208" customWidth="1"/>
    <col min="8734" max="8736" width="9" style="208"/>
    <col min="8737" max="8737" width="14.75" style="208" bestFit="1" customWidth="1"/>
    <col min="8738" max="8960" width="9" style="208"/>
    <col min="8961" max="8963" width="9" style="208" customWidth="1"/>
    <col min="8964" max="8964" width="10.5" style="208" customWidth="1"/>
    <col min="8965" max="8965" width="11.25" style="208" bestFit="1" customWidth="1"/>
    <col min="8966" max="8967" width="9" style="208"/>
    <col min="8968" max="8977" width="9" style="208" customWidth="1"/>
    <col min="8978" max="8978" width="9" style="208"/>
    <col min="8979" max="8979" width="9.5" style="208" bestFit="1" customWidth="1"/>
    <col min="8980" max="8980" width="9" style="208" customWidth="1"/>
    <col min="8981" max="8981" width="9" style="208"/>
    <col min="8982" max="8982" width="9" style="208" customWidth="1"/>
    <col min="8983" max="8988" width="9" style="208"/>
    <col min="8989" max="8989" width="26.5" style="208" customWidth="1"/>
    <col min="8990" max="8992" width="9" style="208"/>
    <col min="8993" max="8993" width="14.75" style="208" bestFit="1" customWidth="1"/>
    <col min="8994" max="9216" width="9" style="208"/>
    <col min="9217" max="9219" width="9" style="208" customWidth="1"/>
    <col min="9220" max="9220" width="10.5" style="208" customWidth="1"/>
    <col min="9221" max="9221" width="11.25" style="208" bestFit="1" customWidth="1"/>
    <col min="9222" max="9223" width="9" style="208"/>
    <col min="9224" max="9233" width="9" style="208" customWidth="1"/>
    <col min="9234" max="9234" width="9" style="208"/>
    <col min="9235" max="9235" width="9.5" style="208" bestFit="1" customWidth="1"/>
    <col min="9236" max="9236" width="9" style="208" customWidth="1"/>
    <col min="9237" max="9237" width="9" style="208"/>
    <col min="9238" max="9238" width="9" style="208" customWidth="1"/>
    <col min="9239" max="9244" width="9" style="208"/>
    <col min="9245" max="9245" width="26.5" style="208" customWidth="1"/>
    <col min="9246" max="9248" width="9" style="208"/>
    <col min="9249" max="9249" width="14.75" style="208" bestFit="1" customWidth="1"/>
    <col min="9250" max="9472" width="9" style="208"/>
    <col min="9473" max="9475" width="9" style="208" customWidth="1"/>
    <col min="9476" max="9476" width="10.5" style="208" customWidth="1"/>
    <col min="9477" max="9477" width="11.25" style="208" bestFit="1" customWidth="1"/>
    <col min="9478" max="9479" width="9" style="208"/>
    <col min="9480" max="9489" width="9" style="208" customWidth="1"/>
    <col min="9490" max="9490" width="9" style="208"/>
    <col min="9491" max="9491" width="9.5" style="208" bestFit="1" customWidth="1"/>
    <col min="9492" max="9492" width="9" style="208" customWidth="1"/>
    <col min="9493" max="9493" width="9" style="208"/>
    <col min="9494" max="9494" width="9" style="208" customWidth="1"/>
    <col min="9495" max="9500" width="9" style="208"/>
    <col min="9501" max="9501" width="26.5" style="208" customWidth="1"/>
    <col min="9502" max="9504" width="9" style="208"/>
    <col min="9505" max="9505" width="14.75" style="208" bestFit="1" customWidth="1"/>
    <col min="9506" max="9728" width="9" style="208"/>
    <col min="9729" max="9731" width="9" style="208" customWidth="1"/>
    <col min="9732" max="9732" width="10.5" style="208" customWidth="1"/>
    <col min="9733" max="9733" width="11.25" style="208" bestFit="1" customWidth="1"/>
    <col min="9734" max="9735" width="9" style="208"/>
    <col min="9736" max="9745" width="9" style="208" customWidth="1"/>
    <col min="9746" max="9746" width="9" style="208"/>
    <col min="9747" max="9747" width="9.5" style="208" bestFit="1" customWidth="1"/>
    <col min="9748" max="9748" width="9" style="208" customWidth="1"/>
    <col min="9749" max="9749" width="9" style="208"/>
    <col min="9750" max="9750" width="9" style="208" customWidth="1"/>
    <col min="9751" max="9756" width="9" style="208"/>
    <col min="9757" max="9757" width="26.5" style="208" customWidth="1"/>
    <col min="9758" max="9760" width="9" style="208"/>
    <col min="9761" max="9761" width="14.75" style="208" bestFit="1" customWidth="1"/>
    <col min="9762" max="9984" width="9" style="208"/>
    <col min="9985" max="9987" width="9" style="208" customWidth="1"/>
    <col min="9988" max="9988" width="10.5" style="208" customWidth="1"/>
    <col min="9989" max="9989" width="11.25" style="208" bestFit="1" customWidth="1"/>
    <col min="9990" max="9991" width="9" style="208"/>
    <col min="9992" max="10001" width="9" style="208" customWidth="1"/>
    <col min="10002" max="10002" width="9" style="208"/>
    <col min="10003" max="10003" width="9.5" style="208" bestFit="1" customWidth="1"/>
    <col min="10004" max="10004" width="9" style="208" customWidth="1"/>
    <col min="10005" max="10005" width="9" style="208"/>
    <col min="10006" max="10006" width="9" style="208" customWidth="1"/>
    <col min="10007" max="10012" width="9" style="208"/>
    <col min="10013" max="10013" width="26.5" style="208" customWidth="1"/>
    <col min="10014" max="10016" width="9" style="208"/>
    <col min="10017" max="10017" width="14.75" style="208" bestFit="1" customWidth="1"/>
    <col min="10018" max="10240" width="9" style="208"/>
    <col min="10241" max="10243" width="9" style="208" customWidth="1"/>
    <col min="10244" max="10244" width="10.5" style="208" customWidth="1"/>
    <col min="10245" max="10245" width="11.25" style="208" bestFit="1" customWidth="1"/>
    <col min="10246" max="10247" width="9" style="208"/>
    <col min="10248" max="10257" width="9" style="208" customWidth="1"/>
    <col min="10258" max="10258" width="9" style="208"/>
    <col min="10259" max="10259" width="9.5" style="208" bestFit="1" customWidth="1"/>
    <col min="10260" max="10260" width="9" style="208" customWidth="1"/>
    <col min="10261" max="10261" width="9" style="208"/>
    <col min="10262" max="10262" width="9" style="208" customWidth="1"/>
    <col min="10263" max="10268" width="9" style="208"/>
    <col min="10269" max="10269" width="26.5" style="208" customWidth="1"/>
    <col min="10270" max="10272" width="9" style="208"/>
    <col min="10273" max="10273" width="14.75" style="208" bestFit="1" customWidth="1"/>
    <col min="10274" max="10496" width="9" style="208"/>
    <col min="10497" max="10499" width="9" style="208" customWidth="1"/>
    <col min="10500" max="10500" width="10.5" style="208" customWidth="1"/>
    <col min="10501" max="10501" width="11.25" style="208" bestFit="1" customWidth="1"/>
    <col min="10502" max="10503" width="9" style="208"/>
    <col min="10504" max="10513" width="9" style="208" customWidth="1"/>
    <col min="10514" max="10514" width="9" style="208"/>
    <col min="10515" max="10515" width="9.5" style="208" bestFit="1" customWidth="1"/>
    <col min="10516" max="10516" width="9" style="208" customWidth="1"/>
    <col min="10517" max="10517" width="9" style="208"/>
    <col min="10518" max="10518" width="9" style="208" customWidth="1"/>
    <col min="10519" max="10524" width="9" style="208"/>
    <col min="10525" max="10525" width="26.5" style="208" customWidth="1"/>
    <col min="10526" max="10528" width="9" style="208"/>
    <col min="10529" max="10529" width="14.75" style="208" bestFit="1" customWidth="1"/>
    <col min="10530" max="10752" width="9" style="208"/>
    <col min="10753" max="10755" width="9" style="208" customWidth="1"/>
    <col min="10756" max="10756" width="10.5" style="208" customWidth="1"/>
    <col min="10757" max="10757" width="11.25" style="208" bestFit="1" customWidth="1"/>
    <col min="10758" max="10759" width="9" style="208"/>
    <col min="10760" max="10769" width="9" style="208" customWidth="1"/>
    <col min="10770" max="10770" width="9" style="208"/>
    <col min="10771" max="10771" width="9.5" style="208" bestFit="1" customWidth="1"/>
    <col min="10772" max="10772" width="9" style="208" customWidth="1"/>
    <col min="10773" max="10773" width="9" style="208"/>
    <col min="10774" max="10774" width="9" style="208" customWidth="1"/>
    <col min="10775" max="10780" width="9" style="208"/>
    <col min="10781" max="10781" width="26.5" style="208" customWidth="1"/>
    <col min="10782" max="10784" width="9" style="208"/>
    <col min="10785" max="10785" width="14.75" style="208" bestFit="1" customWidth="1"/>
    <col min="10786" max="11008" width="9" style="208"/>
    <col min="11009" max="11011" width="9" style="208" customWidth="1"/>
    <col min="11012" max="11012" width="10.5" style="208" customWidth="1"/>
    <col min="11013" max="11013" width="11.25" style="208" bestFit="1" customWidth="1"/>
    <col min="11014" max="11015" width="9" style="208"/>
    <col min="11016" max="11025" width="9" style="208" customWidth="1"/>
    <col min="11026" max="11026" width="9" style="208"/>
    <col min="11027" max="11027" width="9.5" style="208" bestFit="1" customWidth="1"/>
    <col min="11028" max="11028" width="9" style="208" customWidth="1"/>
    <col min="11029" max="11029" width="9" style="208"/>
    <col min="11030" max="11030" width="9" style="208" customWidth="1"/>
    <col min="11031" max="11036" width="9" style="208"/>
    <col min="11037" max="11037" width="26.5" style="208" customWidth="1"/>
    <col min="11038" max="11040" width="9" style="208"/>
    <col min="11041" max="11041" width="14.75" style="208" bestFit="1" customWidth="1"/>
    <col min="11042" max="11264" width="9" style="208"/>
    <col min="11265" max="11267" width="9" style="208" customWidth="1"/>
    <col min="11268" max="11268" width="10.5" style="208" customWidth="1"/>
    <col min="11269" max="11269" width="11.25" style="208" bestFit="1" customWidth="1"/>
    <col min="11270" max="11271" width="9" style="208"/>
    <col min="11272" max="11281" width="9" style="208" customWidth="1"/>
    <col min="11282" max="11282" width="9" style="208"/>
    <col min="11283" max="11283" width="9.5" style="208" bestFit="1" customWidth="1"/>
    <col min="11284" max="11284" width="9" style="208" customWidth="1"/>
    <col min="11285" max="11285" width="9" style="208"/>
    <col min="11286" max="11286" width="9" style="208" customWidth="1"/>
    <col min="11287" max="11292" width="9" style="208"/>
    <col min="11293" max="11293" width="26.5" style="208" customWidth="1"/>
    <col min="11294" max="11296" width="9" style="208"/>
    <col min="11297" max="11297" width="14.75" style="208" bestFit="1" customWidth="1"/>
    <col min="11298" max="11520" width="9" style="208"/>
    <col min="11521" max="11523" width="9" style="208" customWidth="1"/>
    <col min="11524" max="11524" width="10.5" style="208" customWidth="1"/>
    <col min="11525" max="11525" width="11.25" style="208" bestFit="1" customWidth="1"/>
    <col min="11526" max="11527" width="9" style="208"/>
    <col min="11528" max="11537" width="9" style="208" customWidth="1"/>
    <col min="11538" max="11538" width="9" style="208"/>
    <col min="11539" max="11539" width="9.5" style="208" bestFit="1" customWidth="1"/>
    <col min="11540" max="11540" width="9" style="208" customWidth="1"/>
    <col min="11541" max="11541" width="9" style="208"/>
    <col min="11542" max="11542" width="9" style="208" customWidth="1"/>
    <col min="11543" max="11548" width="9" style="208"/>
    <col min="11549" max="11549" width="26.5" style="208" customWidth="1"/>
    <col min="11550" max="11552" width="9" style="208"/>
    <col min="11553" max="11553" width="14.75" style="208" bestFit="1" customWidth="1"/>
    <col min="11554" max="11776" width="9" style="208"/>
    <col min="11777" max="11779" width="9" style="208" customWidth="1"/>
    <col min="11780" max="11780" width="10.5" style="208" customWidth="1"/>
    <col min="11781" max="11781" width="11.25" style="208" bestFit="1" customWidth="1"/>
    <col min="11782" max="11783" width="9" style="208"/>
    <col min="11784" max="11793" width="9" style="208" customWidth="1"/>
    <col min="11794" max="11794" width="9" style="208"/>
    <col min="11795" max="11795" width="9.5" style="208" bestFit="1" customWidth="1"/>
    <col min="11796" max="11796" width="9" style="208" customWidth="1"/>
    <col min="11797" max="11797" width="9" style="208"/>
    <col min="11798" max="11798" width="9" style="208" customWidth="1"/>
    <col min="11799" max="11804" width="9" style="208"/>
    <col min="11805" max="11805" width="26.5" style="208" customWidth="1"/>
    <col min="11806" max="11808" width="9" style="208"/>
    <col min="11809" max="11809" width="14.75" style="208" bestFit="1" customWidth="1"/>
    <col min="11810" max="12032" width="9" style="208"/>
    <col min="12033" max="12035" width="9" style="208" customWidth="1"/>
    <col min="12036" max="12036" width="10.5" style="208" customWidth="1"/>
    <col min="12037" max="12037" width="11.25" style="208" bestFit="1" customWidth="1"/>
    <col min="12038" max="12039" width="9" style="208"/>
    <col min="12040" max="12049" width="9" style="208" customWidth="1"/>
    <col min="12050" max="12050" width="9" style="208"/>
    <col min="12051" max="12051" width="9.5" style="208" bestFit="1" customWidth="1"/>
    <col min="12052" max="12052" width="9" style="208" customWidth="1"/>
    <col min="12053" max="12053" width="9" style="208"/>
    <col min="12054" max="12054" width="9" style="208" customWidth="1"/>
    <col min="12055" max="12060" width="9" style="208"/>
    <col min="12061" max="12061" width="26.5" style="208" customWidth="1"/>
    <col min="12062" max="12064" width="9" style="208"/>
    <col min="12065" max="12065" width="14.75" style="208" bestFit="1" customWidth="1"/>
    <col min="12066" max="12288" width="9" style="208"/>
    <col min="12289" max="12291" width="9" style="208" customWidth="1"/>
    <col min="12292" max="12292" width="10.5" style="208" customWidth="1"/>
    <col min="12293" max="12293" width="11.25" style="208" bestFit="1" customWidth="1"/>
    <col min="12294" max="12295" width="9" style="208"/>
    <col min="12296" max="12305" width="9" style="208" customWidth="1"/>
    <col min="12306" max="12306" width="9" style="208"/>
    <col min="12307" max="12307" width="9.5" style="208" bestFit="1" customWidth="1"/>
    <col min="12308" max="12308" width="9" style="208" customWidth="1"/>
    <col min="12309" max="12309" width="9" style="208"/>
    <col min="12310" max="12310" width="9" style="208" customWidth="1"/>
    <col min="12311" max="12316" width="9" style="208"/>
    <col min="12317" max="12317" width="26.5" style="208" customWidth="1"/>
    <col min="12318" max="12320" width="9" style="208"/>
    <col min="12321" max="12321" width="14.75" style="208" bestFit="1" customWidth="1"/>
    <col min="12322" max="12544" width="9" style="208"/>
    <col min="12545" max="12547" width="9" style="208" customWidth="1"/>
    <col min="12548" max="12548" width="10.5" style="208" customWidth="1"/>
    <col min="12549" max="12549" width="11.25" style="208" bestFit="1" customWidth="1"/>
    <col min="12550" max="12551" width="9" style="208"/>
    <col min="12552" max="12561" width="9" style="208" customWidth="1"/>
    <col min="12562" max="12562" width="9" style="208"/>
    <col min="12563" max="12563" width="9.5" style="208" bestFit="1" customWidth="1"/>
    <col min="12564" max="12564" width="9" style="208" customWidth="1"/>
    <col min="12565" max="12565" width="9" style="208"/>
    <col min="12566" max="12566" width="9" style="208" customWidth="1"/>
    <col min="12567" max="12572" width="9" style="208"/>
    <col min="12573" max="12573" width="26.5" style="208" customWidth="1"/>
    <col min="12574" max="12576" width="9" style="208"/>
    <col min="12577" max="12577" width="14.75" style="208" bestFit="1" customWidth="1"/>
    <col min="12578" max="12800" width="9" style="208"/>
    <col min="12801" max="12803" width="9" style="208" customWidth="1"/>
    <col min="12804" max="12804" width="10.5" style="208" customWidth="1"/>
    <col min="12805" max="12805" width="11.25" style="208" bestFit="1" customWidth="1"/>
    <col min="12806" max="12807" width="9" style="208"/>
    <col min="12808" max="12817" width="9" style="208" customWidth="1"/>
    <col min="12818" max="12818" width="9" style="208"/>
    <col min="12819" max="12819" width="9.5" style="208" bestFit="1" customWidth="1"/>
    <col min="12820" max="12820" width="9" style="208" customWidth="1"/>
    <col min="12821" max="12821" width="9" style="208"/>
    <col min="12822" max="12822" width="9" style="208" customWidth="1"/>
    <col min="12823" max="12828" width="9" style="208"/>
    <col min="12829" max="12829" width="26.5" style="208" customWidth="1"/>
    <col min="12830" max="12832" width="9" style="208"/>
    <col min="12833" max="12833" width="14.75" style="208" bestFit="1" customWidth="1"/>
    <col min="12834" max="13056" width="9" style="208"/>
    <col min="13057" max="13059" width="9" style="208" customWidth="1"/>
    <col min="13060" max="13060" width="10.5" style="208" customWidth="1"/>
    <col min="13061" max="13061" width="11.25" style="208" bestFit="1" customWidth="1"/>
    <col min="13062" max="13063" width="9" style="208"/>
    <col min="13064" max="13073" width="9" style="208" customWidth="1"/>
    <col min="13074" max="13074" width="9" style="208"/>
    <col min="13075" max="13075" width="9.5" style="208" bestFit="1" customWidth="1"/>
    <col min="13076" max="13076" width="9" style="208" customWidth="1"/>
    <col min="13077" max="13077" width="9" style="208"/>
    <col min="13078" max="13078" width="9" style="208" customWidth="1"/>
    <col min="13079" max="13084" width="9" style="208"/>
    <col min="13085" max="13085" width="26.5" style="208" customWidth="1"/>
    <col min="13086" max="13088" width="9" style="208"/>
    <col min="13089" max="13089" width="14.75" style="208" bestFit="1" customWidth="1"/>
    <col min="13090" max="13312" width="9" style="208"/>
    <col min="13313" max="13315" width="9" style="208" customWidth="1"/>
    <col min="13316" max="13316" width="10.5" style="208" customWidth="1"/>
    <col min="13317" max="13317" width="11.25" style="208" bestFit="1" customWidth="1"/>
    <col min="13318" max="13319" width="9" style="208"/>
    <col min="13320" max="13329" width="9" style="208" customWidth="1"/>
    <col min="13330" max="13330" width="9" style="208"/>
    <col min="13331" max="13331" width="9.5" style="208" bestFit="1" customWidth="1"/>
    <col min="13332" max="13332" width="9" style="208" customWidth="1"/>
    <col min="13333" max="13333" width="9" style="208"/>
    <col min="13334" max="13334" width="9" style="208" customWidth="1"/>
    <col min="13335" max="13340" width="9" style="208"/>
    <col min="13341" max="13341" width="26.5" style="208" customWidth="1"/>
    <col min="13342" max="13344" width="9" style="208"/>
    <col min="13345" max="13345" width="14.75" style="208" bestFit="1" customWidth="1"/>
    <col min="13346" max="13568" width="9" style="208"/>
    <col min="13569" max="13571" width="9" style="208" customWidth="1"/>
    <col min="13572" max="13572" width="10.5" style="208" customWidth="1"/>
    <col min="13573" max="13573" width="11.25" style="208" bestFit="1" customWidth="1"/>
    <col min="13574" max="13575" width="9" style="208"/>
    <col min="13576" max="13585" width="9" style="208" customWidth="1"/>
    <col min="13586" max="13586" width="9" style="208"/>
    <col min="13587" max="13587" width="9.5" style="208" bestFit="1" customWidth="1"/>
    <col min="13588" max="13588" width="9" style="208" customWidth="1"/>
    <col min="13589" max="13589" width="9" style="208"/>
    <col min="13590" max="13590" width="9" style="208" customWidth="1"/>
    <col min="13591" max="13596" width="9" style="208"/>
    <col min="13597" max="13597" width="26.5" style="208" customWidth="1"/>
    <col min="13598" max="13600" width="9" style="208"/>
    <col min="13601" max="13601" width="14.75" style="208" bestFit="1" customWidth="1"/>
    <col min="13602" max="13824" width="9" style="208"/>
    <col min="13825" max="13827" width="9" style="208" customWidth="1"/>
    <col min="13828" max="13828" width="10.5" style="208" customWidth="1"/>
    <col min="13829" max="13829" width="11.25" style="208" bestFit="1" customWidth="1"/>
    <col min="13830" max="13831" width="9" style="208"/>
    <col min="13832" max="13841" width="9" style="208" customWidth="1"/>
    <col min="13842" max="13842" width="9" style="208"/>
    <col min="13843" max="13843" width="9.5" style="208" bestFit="1" customWidth="1"/>
    <col min="13844" max="13844" width="9" style="208" customWidth="1"/>
    <col min="13845" max="13845" width="9" style="208"/>
    <col min="13846" max="13846" width="9" style="208" customWidth="1"/>
    <col min="13847" max="13852" width="9" style="208"/>
    <col min="13853" max="13853" width="26.5" style="208" customWidth="1"/>
    <col min="13854" max="13856" width="9" style="208"/>
    <col min="13857" max="13857" width="14.75" style="208" bestFit="1" customWidth="1"/>
    <col min="13858" max="14080" width="9" style="208"/>
    <col min="14081" max="14083" width="9" style="208" customWidth="1"/>
    <col min="14084" max="14084" width="10.5" style="208" customWidth="1"/>
    <col min="14085" max="14085" width="11.25" style="208" bestFit="1" customWidth="1"/>
    <col min="14086" max="14087" width="9" style="208"/>
    <col min="14088" max="14097" width="9" style="208" customWidth="1"/>
    <col min="14098" max="14098" width="9" style="208"/>
    <col min="14099" max="14099" width="9.5" style="208" bestFit="1" customWidth="1"/>
    <col min="14100" max="14100" width="9" style="208" customWidth="1"/>
    <col min="14101" max="14101" width="9" style="208"/>
    <col min="14102" max="14102" width="9" style="208" customWidth="1"/>
    <col min="14103" max="14108" width="9" style="208"/>
    <col min="14109" max="14109" width="26.5" style="208" customWidth="1"/>
    <col min="14110" max="14112" width="9" style="208"/>
    <col min="14113" max="14113" width="14.75" style="208" bestFit="1" customWidth="1"/>
    <col min="14114" max="14336" width="9" style="208"/>
    <col min="14337" max="14339" width="9" style="208" customWidth="1"/>
    <col min="14340" max="14340" width="10.5" style="208" customWidth="1"/>
    <col min="14341" max="14341" width="11.25" style="208" bestFit="1" customWidth="1"/>
    <col min="14342" max="14343" width="9" style="208"/>
    <col min="14344" max="14353" width="9" style="208" customWidth="1"/>
    <col min="14354" max="14354" width="9" style="208"/>
    <col min="14355" max="14355" width="9.5" style="208" bestFit="1" customWidth="1"/>
    <col min="14356" max="14356" width="9" style="208" customWidth="1"/>
    <col min="14357" max="14357" width="9" style="208"/>
    <col min="14358" max="14358" width="9" style="208" customWidth="1"/>
    <col min="14359" max="14364" width="9" style="208"/>
    <col min="14365" max="14365" width="26.5" style="208" customWidth="1"/>
    <col min="14366" max="14368" width="9" style="208"/>
    <col min="14369" max="14369" width="14.75" style="208" bestFit="1" customWidth="1"/>
    <col min="14370" max="14592" width="9" style="208"/>
    <col min="14593" max="14595" width="9" style="208" customWidth="1"/>
    <col min="14596" max="14596" width="10.5" style="208" customWidth="1"/>
    <col min="14597" max="14597" width="11.25" style="208" bestFit="1" customWidth="1"/>
    <col min="14598" max="14599" width="9" style="208"/>
    <col min="14600" max="14609" width="9" style="208" customWidth="1"/>
    <col min="14610" max="14610" width="9" style="208"/>
    <col min="14611" max="14611" width="9.5" style="208" bestFit="1" customWidth="1"/>
    <col min="14612" max="14612" width="9" style="208" customWidth="1"/>
    <col min="14613" max="14613" width="9" style="208"/>
    <col min="14614" max="14614" width="9" style="208" customWidth="1"/>
    <col min="14615" max="14620" width="9" style="208"/>
    <col min="14621" max="14621" width="26.5" style="208" customWidth="1"/>
    <col min="14622" max="14624" width="9" style="208"/>
    <col min="14625" max="14625" width="14.75" style="208" bestFit="1" customWidth="1"/>
    <col min="14626" max="14848" width="9" style="208"/>
    <col min="14849" max="14851" width="9" style="208" customWidth="1"/>
    <col min="14852" max="14852" width="10.5" style="208" customWidth="1"/>
    <col min="14853" max="14853" width="11.25" style="208" bestFit="1" customWidth="1"/>
    <col min="14854" max="14855" width="9" style="208"/>
    <col min="14856" max="14865" width="9" style="208" customWidth="1"/>
    <col min="14866" max="14866" width="9" style="208"/>
    <col min="14867" max="14867" width="9.5" style="208" bestFit="1" customWidth="1"/>
    <col min="14868" max="14868" width="9" style="208" customWidth="1"/>
    <col min="14869" max="14869" width="9" style="208"/>
    <col min="14870" max="14870" width="9" style="208" customWidth="1"/>
    <col min="14871" max="14876" width="9" style="208"/>
    <col min="14877" max="14877" width="26.5" style="208" customWidth="1"/>
    <col min="14878" max="14880" width="9" style="208"/>
    <col min="14881" max="14881" width="14.75" style="208" bestFit="1" customWidth="1"/>
    <col min="14882" max="15104" width="9" style="208"/>
    <col min="15105" max="15107" width="9" style="208" customWidth="1"/>
    <col min="15108" max="15108" width="10.5" style="208" customWidth="1"/>
    <col min="15109" max="15109" width="11.25" style="208" bestFit="1" customWidth="1"/>
    <col min="15110" max="15111" width="9" style="208"/>
    <col min="15112" max="15121" width="9" style="208" customWidth="1"/>
    <col min="15122" max="15122" width="9" style="208"/>
    <col min="15123" max="15123" width="9.5" style="208" bestFit="1" customWidth="1"/>
    <col min="15124" max="15124" width="9" style="208" customWidth="1"/>
    <col min="15125" max="15125" width="9" style="208"/>
    <col min="15126" max="15126" width="9" style="208" customWidth="1"/>
    <col min="15127" max="15132" width="9" style="208"/>
    <col min="15133" max="15133" width="26.5" style="208" customWidth="1"/>
    <col min="15134" max="15136" width="9" style="208"/>
    <col min="15137" max="15137" width="14.75" style="208" bestFit="1" customWidth="1"/>
    <col min="15138" max="15360" width="9" style="208"/>
    <col min="15361" max="15363" width="9" style="208" customWidth="1"/>
    <col min="15364" max="15364" width="10.5" style="208" customWidth="1"/>
    <col min="15365" max="15365" width="11.25" style="208" bestFit="1" customWidth="1"/>
    <col min="15366" max="15367" width="9" style="208"/>
    <col min="15368" max="15377" width="9" style="208" customWidth="1"/>
    <col min="15378" max="15378" width="9" style="208"/>
    <col min="15379" max="15379" width="9.5" style="208" bestFit="1" customWidth="1"/>
    <col min="15380" max="15380" width="9" style="208" customWidth="1"/>
    <col min="15381" max="15381" width="9" style="208"/>
    <col min="15382" max="15382" width="9" style="208" customWidth="1"/>
    <col min="15383" max="15388" width="9" style="208"/>
    <col min="15389" max="15389" width="26.5" style="208" customWidth="1"/>
    <col min="15390" max="15392" width="9" style="208"/>
    <col min="15393" max="15393" width="14.75" style="208" bestFit="1" customWidth="1"/>
    <col min="15394" max="15616" width="9" style="208"/>
    <col min="15617" max="15619" width="9" style="208" customWidth="1"/>
    <col min="15620" max="15620" width="10.5" style="208" customWidth="1"/>
    <col min="15621" max="15621" width="11.25" style="208" bestFit="1" customWidth="1"/>
    <col min="15622" max="15623" width="9" style="208"/>
    <col min="15624" max="15633" width="9" style="208" customWidth="1"/>
    <col min="15634" max="15634" width="9" style="208"/>
    <col min="15635" max="15635" width="9.5" style="208" bestFit="1" customWidth="1"/>
    <col min="15636" max="15636" width="9" style="208" customWidth="1"/>
    <col min="15637" max="15637" width="9" style="208"/>
    <col min="15638" max="15638" width="9" style="208" customWidth="1"/>
    <col min="15639" max="15644" width="9" style="208"/>
    <col min="15645" max="15645" width="26.5" style="208" customWidth="1"/>
    <col min="15646" max="15648" width="9" style="208"/>
    <col min="15649" max="15649" width="14.75" style="208" bestFit="1" customWidth="1"/>
    <col min="15650" max="15872" width="9" style="208"/>
    <col min="15873" max="15875" width="9" style="208" customWidth="1"/>
    <col min="15876" max="15876" width="10.5" style="208" customWidth="1"/>
    <col min="15877" max="15877" width="11.25" style="208" bestFit="1" customWidth="1"/>
    <col min="15878" max="15879" width="9" style="208"/>
    <col min="15880" max="15889" width="9" style="208" customWidth="1"/>
    <col min="15890" max="15890" width="9" style="208"/>
    <col min="15891" max="15891" width="9.5" style="208" bestFit="1" customWidth="1"/>
    <col min="15892" max="15892" width="9" style="208" customWidth="1"/>
    <col min="15893" max="15893" width="9" style="208"/>
    <col min="15894" max="15894" width="9" style="208" customWidth="1"/>
    <col min="15895" max="15900" width="9" style="208"/>
    <col min="15901" max="15901" width="26.5" style="208" customWidth="1"/>
    <col min="15902" max="15904" width="9" style="208"/>
    <col min="15905" max="15905" width="14.75" style="208" bestFit="1" customWidth="1"/>
    <col min="15906" max="16128" width="9" style="208"/>
    <col min="16129" max="16131" width="9" style="208" customWidth="1"/>
    <col min="16132" max="16132" width="10.5" style="208" customWidth="1"/>
    <col min="16133" max="16133" width="11.25" style="208" bestFit="1" customWidth="1"/>
    <col min="16134" max="16135" width="9" style="208"/>
    <col min="16136" max="16145" width="9" style="208" customWidth="1"/>
    <col min="16146" max="16146" width="9" style="208"/>
    <col min="16147" max="16147" width="9.5" style="208" bestFit="1" customWidth="1"/>
    <col min="16148" max="16148" width="9" style="208" customWidth="1"/>
    <col min="16149" max="16149" width="9" style="208"/>
    <col min="16150" max="16150" width="9" style="208" customWidth="1"/>
    <col min="16151" max="16156" width="9" style="208"/>
    <col min="16157" max="16157" width="26.5" style="208" customWidth="1"/>
    <col min="16158" max="16160" width="9" style="208"/>
    <col min="16161" max="16161" width="14.75" style="208" bestFit="1" customWidth="1"/>
    <col min="16162" max="16384" width="9" style="208"/>
  </cols>
  <sheetData>
    <row r="1" spans="1:53" ht="44.25" customHeight="1" x14ac:dyDescent="0.15">
      <c r="A1" s="133" t="s">
        <v>235</v>
      </c>
      <c r="B1" s="202" t="s">
        <v>1</v>
      </c>
      <c r="C1" s="202" t="s">
        <v>375</v>
      </c>
      <c r="D1" s="203" t="s">
        <v>3</v>
      </c>
      <c r="E1" s="203" t="s">
        <v>422</v>
      </c>
      <c r="F1" s="203" t="s">
        <v>5</v>
      </c>
      <c r="G1" s="203" t="s">
        <v>6</v>
      </c>
      <c r="H1" s="203" t="s">
        <v>423</v>
      </c>
      <c r="I1" s="203" t="s">
        <v>8</v>
      </c>
      <c r="J1" s="203" t="s">
        <v>9</v>
      </c>
      <c r="K1" s="203" t="s">
        <v>10</v>
      </c>
      <c r="L1" s="203" t="s">
        <v>270</v>
      </c>
      <c r="M1" s="203" t="s">
        <v>12</v>
      </c>
      <c r="N1" s="203" t="s">
        <v>13</v>
      </c>
      <c r="O1" s="203" t="s">
        <v>271</v>
      </c>
      <c r="P1" s="203" t="s">
        <v>272</v>
      </c>
      <c r="Q1" s="204" t="s">
        <v>16</v>
      </c>
      <c r="R1" s="203" t="s">
        <v>273</v>
      </c>
      <c r="S1" s="203" t="s">
        <v>274</v>
      </c>
      <c r="T1" s="204" t="s">
        <v>19</v>
      </c>
      <c r="U1" s="205" t="s">
        <v>108</v>
      </c>
      <c r="V1" s="206" t="s">
        <v>20</v>
      </c>
      <c r="W1" s="203" t="s">
        <v>21</v>
      </c>
      <c r="X1" s="203" t="s">
        <v>22</v>
      </c>
      <c r="Y1" s="203" t="s">
        <v>23</v>
      </c>
      <c r="Z1" s="203" t="s">
        <v>24</v>
      </c>
      <c r="AA1" s="134" t="s">
        <v>25</v>
      </c>
      <c r="AB1" s="135" t="s">
        <v>275</v>
      </c>
      <c r="AC1" s="136"/>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424</v>
      </c>
      <c r="AY1" s="214" t="s">
        <v>324</v>
      </c>
      <c r="AZ1" s="214" t="s">
        <v>425</v>
      </c>
      <c r="BA1" s="215" t="s">
        <v>426</v>
      </c>
    </row>
    <row r="2" spans="1:53" s="143" customFormat="1" x14ac:dyDescent="0.15">
      <c r="A2" s="137" t="s">
        <v>61</v>
      </c>
      <c r="B2" s="137" t="s">
        <v>427</v>
      </c>
      <c r="C2" s="137">
        <v>2018</v>
      </c>
      <c r="D2" s="138" t="s">
        <v>428</v>
      </c>
      <c r="E2" s="137" t="s">
        <v>237</v>
      </c>
      <c r="F2" s="137" t="s">
        <v>236</v>
      </c>
      <c r="G2" s="137" t="s">
        <v>42</v>
      </c>
      <c r="H2" s="247" t="s">
        <v>157</v>
      </c>
      <c r="I2" s="247" t="s">
        <v>155</v>
      </c>
      <c r="J2" s="137" t="s">
        <v>38</v>
      </c>
      <c r="K2" s="247" t="s">
        <v>156</v>
      </c>
      <c r="L2" s="247">
        <v>1</v>
      </c>
      <c r="M2" s="247"/>
      <c r="N2" s="247">
        <v>1</v>
      </c>
      <c r="O2" s="247">
        <v>0.6</v>
      </c>
      <c r="P2" s="247">
        <v>0.6</v>
      </c>
      <c r="Q2" s="139">
        <f t="shared" ref="Q2:Q66" si="0">IF(OR(O2="",P2=""),"",AVERAGE(O2,P2))</f>
        <v>0.6</v>
      </c>
      <c r="R2" s="247">
        <v>17.100000000000001</v>
      </c>
      <c r="S2" s="247">
        <v>130</v>
      </c>
      <c r="T2" s="140">
        <f t="shared" ref="T2:T65" si="1">IF(H2="","",IF(OR(H2="GREEN",H2="GK"),IF(S2&gt;=$AX$2,VLOOKUP(S2,$AX$2:$AY$15,2,1),""),IF(S2&gt;=$AZ$2,VLOOKUP(S2,$AZ$2:$BA$15,2,1),"")))</f>
        <v>25</v>
      </c>
      <c r="U2" s="247">
        <v>148</v>
      </c>
      <c r="V2" s="141">
        <f>IF(OR(N2="",U2="",T2=""),"",U2/N2*T2)</f>
        <v>3700</v>
      </c>
      <c r="W2" s="247">
        <v>4</v>
      </c>
      <c r="X2" s="137" t="s">
        <v>39</v>
      </c>
      <c r="Y2" s="247" t="s">
        <v>86</v>
      </c>
      <c r="Z2" s="247" t="s">
        <v>97</v>
      </c>
      <c r="AA2" s="247" t="s">
        <v>88</v>
      </c>
      <c r="AB2" s="137" t="s">
        <v>429</v>
      </c>
      <c r="AC2" s="142"/>
      <c r="AE2" s="218" t="s">
        <v>35</v>
      </c>
      <c r="AG2" s="49" t="s">
        <v>237</v>
      </c>
      <c r="AH2" s="49" t="s">
        <v>236</v>
      </c>
      <c r="AJ2" s="144" t="s">
        <v>36</v>
      </c>
      <c r="AL2" s="219" t="s">
        <v>127</v>
      </c>
      <c r="AN2" s="144" t="s">
        <v>37</v>
      </c>
      <c r="AP2" s="219" t="s">
        <v>38</v>
      </c>
      <c r="AR2" s="219" t="s">
        <v>430</v>
      </c>
      <c r="AT2" s="144" t="s">
        <v>39</v>
      </c>
      <c r="AV2" s="219" t="s">
        <v>40</v>
      </c>
      <c r="AX2" s="145">
        <v>1</v>
      </c>
      <c r="AY2" s="146">
        <v>50</v>
      </c>
      <c r="AZ2" s="146">
        <v>1</v>
      </c>
      <c r="BA2" s="147">
        <v>50</v>
      </c>
    </row>
    <row r="3" spans="1:53" x14ac:dyDescent="0.15">
      <c r="A3" s="137" t="s">
        <v>61</v>
      </c>
      <c r="B3" s="137" t="s">
        <v>431</v>
      </c>
      <c r="C3" s="137">
        <v>2018</v>
      </c>
      <c r="D3" s="138" t="s">
        <v>432</v>
      </c>
      <c r="E3" s="137" t="s">
        <v>237</v>
      </c>
      <c r="F3" s="137" t="s">
        <v>236</v>
      </c>
      <c r="G3" s="137" t="s">
        <v>42</v>
      </c>
      <c r="H3" s="247" t="s">
        <v>157</v>
      </c>
      <c r="I3" s="247" t="s">
        <v>155</v>
      </c>
      <c r="J3" s="137" t="s">
        <v>38</v>
      </c>
      <c r="K3" s="247" t="s">
        <v>156</v>
      </c>
      <c r="L3" s="247">
        <v>2</v>
      </c>
      <c r="M3" s="247"/>
      <c r="N3" s="247">
        <v>1</v>
      </c>
      <c r="O3" s="247">
        <v>0.65</v>
      </c>
      <c r="P3" s="247">
        <v>0.65</v>
      </c>
      <c r="Q3" s="139">
        <f t="shared" si="0"/>
        <v>0.65</v>
      </c>
      <c r="R3" s="247">
        <v>17.8</v>
      </c>
      <c r="S3" s="247">
        <v>132</v>
      </c>
      <c r="T3" s="140">
        <f t="shared" si="1"/>
        <v>25</v>
      </c>
      <c r="U3" s="247">
        <v>148</v>
      </c>
      <c r="V3" s="141">
        <f t="shared" ref="V3:V66" si="2">IF(OR(N3="",U3="",T3=""),"",U3/N3*T3)</f>
        <v>3700</v>
      </c>
      <c r="W3" s="247">
        <v>4</v>
      </c>
      <c r="X3" s="137" t="s">
        <v>39</v>
      </c>
      <c r="Y3" s="247" t="s">
        <v>86</v>
      </c>
      <c r="Z3" s="247" t="s">
        <v>97</v>
      </c>
      <c r="AA3" s="247" t="s">
        <v>88</v>
      </c>
      <c r="AB3" s="137" t="s">
        <v>429</v>
      </c>
      <c r="AC3" s="142"/>
      <c r="AE3" s="223" t="s">
        <v>41</v>
      </c>
      <c r="AG3" s="49" t="s">
        <v>238</v>
      </c>
      <c r="AH3" s="49" t="s">
        <v>239</v>
      </c>
      <c r="AJ3" s="224" t="s">
        <v>42</v>
      </c>
      <c r="AL3" s="224" t="s">
        <v>128</v>
      </c>
      <c r="AN3" s="224" t="s">
        <v>43</v>
      </c>
      <c r="AP3" s="224" t="s">
        <v>44</v>
      </c>
      <c r="AR3" s="238" t="s">
        <v>45</v>
      </c>
      <c r="AT3" s="224" t="s">
        <v>46</v>
      </c>
      <c r="AV3" s="238" t="s">
        <v>47</v>
      </c>
      <c r="AX3" s="225">
        <v>72</v>
      </c>
      <c r="AY3" s="226">
        <v>46</v>
      </c>
      <c r="AZ3" s="226">
        <v>71</v>
      </c>
      <c r="BA3" s="227">
        <v>42</v>
      </c>
    </row>
    <row r="4" spans="1:53" x14ac:dyDescent="0.15">
      <c r="A4" s="137" t="s">
        <v>61</v>
      </c>
      <c r="B4" s="137" t="s">
        <v>431</v>
      </c>
      <c r="C4" s="137">
        <v>2018</v>
      </c>
      <c r="D4" s="138" t="s">
        <v>432</v>
      </c>
      <c r="E4" s="137" t="s">
        <v>237</v>
      </c>
      <c r="F4" s="137" t="s">
        <v>236</v>
      </c>
      <c r="G4" s="137" t="s">
        <v>42</v>
      </c>
      <c r="H4" s="247" t="s">
        <v>157</v>
      </c>
      <c r="I4" s="247" t="s">
        <v>155</v>
      </c>
      <c r="J4" s="137" t="s">
        <v>38</v>
      </c>
      <c r="K4" s="247" t="s">
        <v>156</v>
      </c>
      <c r="L4" s="247">
        <v>3</v>
      </c>
      <c r="M4" s="247"/>
      <c r="N4" s="247">
        <v>1</v>
      </c>
      <c r="O4" s="247">
        <v>0.5</v>
      </c>
      <c r="P4" s="247">
        <v>0.55000000000000004</v>
      </c>
      <c r="Q4" s="139">
        <f t="shared" si="0"/>
        <v>0.52500000000000002</v>
      </c>
      <c r="R4" s="247">
        <v>17.2</v>
      </c>
      <c r="S4" s="247">
        <v>131</v>
      </c>
      <c r="T4" s="140">
        <f t="shared" si="1"/>
        <v>25</v>
      </c>
      <c r="U4" s="247">
        <v>148</v>
      </c>
      <c r="V4" s="141">
        <f t="shared" si="2"/>
        <v>3700</v>
      </c>
      <c r="W4" s="247">
        <v>4</v>
      </c>
      <c r="X4" s="137" t="s">
        <v>39</v>
      </c>
      <c r="Y4" s="247" t="s">
        <v>86</v>
      </c>
      <c r="Z4" s="247" t="s">
        <v>97</v>
      </c>
      <c r="AA4" s="247" t="s">
        <v>88</v>
      </c>
      <c r="AB4" s="137" t="s">
        <v>429</v>
      </c>
      <c r="AC4" s="142"/>
      <c r="AE4" s="223" t="s">
        <v>34</v>
      </c>
      <c r="AG4" s="49" t="s">
        <v>240</v>
      </c>
      <c r="AH4" s="49" t="s">
        <v>241</v>
      </c>
      <c r="AJ4" s="228" t="s">
        <v>48</v>
      </c>
      <c r="AL4" s="228" t="s">
        <v>129</v>
      </c>
      <c r="AN4" s="229" t="s">
        <v>49</v>
      </c>
      <c r="AP4" s="224" t="s">
        <v>433</v>
      </c>
      <c r="AR4" s="238" t="s">
        <v>434</v>
      </c>
      <c r="AT4" s="229"/>
      <c r="AV4" s="238" t="s">
        <v>50</v>
      </c>
      <c r="AX4" s="225">
        <v>75</v>
      </c>
      <c r="AY4" s="226">
        <v>42</v>
      </c>
      <c r="AZ4" s="226">
        <v>76</v>
      </c>
      <c r="BA4" s="227">
        <v>39</v>
      </c>
    </row>
    <row r="5" spans="1:53" x14ac:dyDescent="0.15">
      <c r="A5" s="137" t="s">
        <v>61</v>
      </c>
      <c r="B5" s="137" t="s">
        <v>431</v>
      </c>
      <c r="C5" s="137">
        <v>2018</v>
      </c>
      <c r="D5" s="138" t="s">
        <v>432</v>
      </c>
      <c r="E5" s="137" t="s">
        <v>237</v>
      </c>
      <c r="F5" s="137" t="s">
        <v>236</v>
      </c>
      <c r="G5" s="137" t="s">
        <v>42</v>
      </c>
      <c r="H5" s="247" t="s">
        <v>160</v>
      </c>
      <c r="I5" s="247" t="s">
        <v>155</v>
      </c>
      <c r="J5" s="137" t="s">
        <v>38</v>
      </c>
      <c r="K5" s="247" t="s">
        <v>156</v>
      </c>
      <c r="L5" s="247">
        <v>1</v>
      </c>
      <c r="M5" s="247"/>
      <c r="N5" s="247">
        <v>1</v>
      </c>
      <c r="O5" s="247">
        <v>0.5</v>
      </c>
      <c r="P5" s="247">
        <v>0.5</v>
      </c>
      <c r="Q5" s="139">
        <f t="shared" si="0"/>
        <v>0.5</v>
      </c>
      <c r="R5" s="247">
        <v>18.3</v>
      </c>
      <c r="S5" s="247">
        <v>148</v>
      </c>
      <c r="T5" s="140">
        <f t="shared" si="1"/>
        <v>22</v>
      </c>
      <c r="U5" s="247">
        <v>166</v>
      </c>
      <c r="V5" s="141">
        <f t="shared" si="2"/>
        <v>3652</v>
      </c>
      <c r="W5" s="247">
        <v>4</v>
      </c>
      <c r="X5" s="137" t="s">
        <v>39</v>
      </c>
      <c r="Y5" s="247" t="s">
        <v>86</v>
      </c>
      <c r="Z5" s="247" t="s">
        <v>97</v>
      </c>
      <c r="AA5" s="247" t="s">
        <v>88</v>
      </c>
      <c r="AB5" s="137" t="s">
        <v>429</v>
      </c>
      <c r="AC5" s="142"/>
      <c r="AE5" s="223" t="s">
        <v>51</v>
      </c>
      <c r="AG5" s="49" t="s">
        <v>244</v>
      </c>
      <c r="AH5" s="49" t="s">
        <v>245</v>
      </c>
      <c r="AJ5" s="228"/>
      <c r="AL5" s="230" t="s">
        <v>435</v>
      </c>
      <c r="AN5" s="230" t="s">
        <v>436</v>
      </c>
      <c r="AP5" s="224" t="s">
        <v>437</v>
      </c>
      <c r="AR5" s="238" t="s">
        <v>54</v>
      </c>
      <c r="AT5" s="247"/>
      <c r="AV5" s="238" t="s">
        <v>55</v>
      </c>
      <c r="AX5" s="225">
        <v>84</v>
      </c>
      <c r="AY5" s="226">
        <v>39</v>
      </c>
      <c r="AZ5" s="226">
        <v>84</v>
      </c>
      <c r="BA5" s="227">
        <v>36</v>
      </c>
    </row>
    <row r="6" spans="1:53" x14ac:dyDescent="0.15">
      <c r="A6" s="137" t="s">
        <v>61</v>
      </c>
      <c r="B6" s="137" t="s">
        <v>431</v>
      </c>
      <c r="C6" s="137">
        <v>2018</v>
      </c>
      <c r="D6" s="138" t="s">
        <v>432</v>
      </c>
      <c r="E6" s="137" t="s">
        <v>237</v>
      </c>
      <c r="F6" s="137" t="s">
        <v>236</v>
      </c>
      <c r="G6" s="137" t="s">
        <v>42</v>
      </c>
      <c r="H6" s="247" t="s">
        <v>160</v>
      </c>
      <c r="I6" s="247" t="s">
        <v>155</v>
      </c>
      <c r="J6" s="137" t="s">
        <v>38</v>
      </c>
      <c r="K6" s="247" t="s">
        <v>156</v>
      </c>
      <c r="L6" s="247">
        <v>2</v>
      </c>
      <c r="M6" s="247"/>
      <c r="N6" s="247">
        <v>1</v>
      </c>
      <c r="O6" s="247">
        <v>0.55000000000000004</v>
      </c>
      <c r="P6" s="247">
        <v>0.5</v>
      </c>
      <c r="Q6" s="139">
        <f t="shared" si="0"/>
        <v>0.52500000000000002</v>
      </c>
      <c r="R6" s="247">
        <v>18.600000000000001</v>
      </c>
      <c r="S6" s="247">
        <v>141</v>
      </c>
      <c r="T6" s="140">
        <f t="shared" si="1"/>
        <v>22</v>
      </c>
      <c r="U6" s="247">
        <v>166</v>
      </c>
      <c r="V6" s="141">
        <f t="shared" si="2"/>
        <v>3652</v>
      </c>
      <c r="W6" s="247">
        <v>4</v>
      </c>
      <c r="X6" s="137" t="s">
        <v>39</v>
      </c>
      <c r="Y6" s="247" t="s">
        <v>86</v>
      </c>
      <c r="Z6" s="247" t="s">
        <v>97</v>
      </c>
      <c r="AA6" s="247" t="s">
        <v>88</v>
      </c>
      <c r="AB6" s="137" t="s">
        <v>429</v>
      </c>
      <c r="AC6" s="142"/>
      <c r="AE6" s="223" t="s">
        <v>56</v>
      </c>
      <c r="AG6" s="49" t="s">
        <v>246</v>
      </c>
      <c r="AH6" s="49" t="s">
        <v>247</v>
      </c>
      <c r="AJ6" s="228"/>
      <c r="AL6" s="230" t="s">
        <v>438</v>
      </c>
      <c r="AN6" s="230" t="s">
        <v>439</v>
      </c>
      <c r="AP6" s="224" t="s">
        <v>53</v>
      </c>
      <c r="AR6" s="238" t="s">
        <v>59</v>
      </c>
      <c r="AT6" s="247"/>
      <c r="AV6" s="238" t="s">
        <v>60</v>
      </c>
      <c r="AX6" s="225">
        <v>97</v>
      </c>
      <c r="AY6" s="226">
        <v>36</v>
      </c>
      <c r="AZ6" s="226">
        <v>99</v>
      </c>
      <c r="BA6" s="227">
        <v>33</v>
      </c>
    </row>
    <row r="7" spans="1:53" x14ac:dyDescent="0.15">
      <c r="A7" s="137" t="s">
        <v>61</v>
      </c>
      <c r="B7" s="137" t="s">
        <v>431</v>
      </c>
      <c r="C7" s="137">
        <v>2018</v>
      </c>
      <c r="D7" s="138" t="s">
        <v>432</v>
      </c>
      <c r="E7" s="137" t="s">
        <v>237</v>
      </c>
      <c r="F7" s="137" t="s">
        <v>236</v>
      </c>
      <c r="G7" s="137" t="s">
        <v>42</v>
      </c>
      <c r="H7" s="247" t="s">
        <v>160</v>
      </c>
      <c r="I7" s="247" t="s">
        <v>155</v>
      </c>
      <c r="J7" s="137" t="s">
        <v>38</v>
      </c>
      <c r="K7" s="247" t="s">
        <v>156</v>
      </c>
      <c r="L7" s="247">
        <v>3</v>
      </c>
      <c r="M7" s="247"/>
      <c r="N7" s="247">
        <v>1</v>
      </c>
      <c r="O7" s="247">
        <v>0.55000000000000004</v>
      </c>
      <c r="P7" s="247">
        <v>0.5</v>
      </c>
      <c r="Q7" s="139">
        <f t="shared" si="0"/>
        <v>0.52500000000000002</v>
      </c>
      <c r="R7" s="247">
        <v>18.399999999999999</v>
      </c>
      <c r="S7" s="247">
        <v>140</v>
      </c>
      <c r="T7" s="140">
        <f t="shared" si="1"/>
        <v>22</v>
      </c>
      <c r="U7" s="247">
        <v>166</v>
      </c>
      <c r="V7" s="141">
        <f t="shared" si="2"/>
        <v>3652</v>
      </c>
      <c r="W7" s="247">
        <v>4</v>
      </c>
      <c r="X7" s="137" t="s">
        <v>39</v>
      </c>
      <c r="Y7" s="247" t="s">
        <v>86</v>
      </c>
      <c r="Z7" s="247" t="s">
        <v>97</v>
      </c>
      <c r="AA7" s="247" t="s">
        <v>88</v>
      </c>
      <c r="AB7" s="137" t="s">
        <v>429</v>
      </c>
      <c r="AC7" s="142"/>
      <c r="AE7" s="223" t="s">
        <v>61</v>
      </c>
      <c r="AG7" s="49" t="s">
        <v>248</v>
      </c>
      <c r="AH7" s="49" t="s">
        <v>249</v>
      </c>
      <c r="AJ7" s="228"/>
      <c r="AL7" s="235" t="s">
        <v>440</v>
      </c>
      <c r="AN7" s="148"/>
      <c r="AP7" s="224" t="s">
        <v>58</v>
      </c>
      <c r="AR7" s="231" t="s">
        <v>122</v>
      </c>
      <c r="AT7" s="247"/>
      <c r="AV7" s="238" t="s">
        <v>64</v>
      </c>
      <c r="AX7" s="225">
        <v>109</v>
      </c>
      <c r="AY7" s="226">
        <v>33</v>
      </c>
      <c r="AZ7" s="226">
        <v>113</v>
      </c>
      <c r="BA7" s="227">
        <v>30</v>
      </c>
    </row>
    <row r="8" spans="1:53" x14ac:dyDescent="0.15">
      <c r="A8" s="137" t="s">
        <v>61</v>
      </c>
      <c r="B8" s="137" t="s">
        <v>392</v>
      </c>
      <c r="C8" s="137">
        <v>2018</v>
      </c>
      <c r="D8" s="138" t="s">
        <v>393</v>
      </c>
      <c r="E8" s="137" t="s">
        <v>238</v>
      </c>
      <c r="F8" s="137" t="s">
        <v>239</v>
      </c>
      <c r="G8" s="137" t="s">
        <v>42</v>
      </c>
      <c r="H8" s="247" t="s">
        <v>157</v>
      </c>
      <c r="I8" s="247" t="s">
        <v>155</v>
      </c>
      <c r="J8" s="137" t="s">
        <v>38</v>
      </c>
      <c r="K8" s="247" t="s">
        <v>156</v>
      </c>
      <c r="L8" s="247">
        <v>1</v>
      </c>
      <c r="M8" s="247"/>
      <c r="N8" s="247">
        <v>1</v>
      </c>
      <c r="O8" s="247">
        <v>0.6</v>
      </c>
      <c r="P8" s="247">
        <v>0.6</v>
      </c>
      <c r="Q8" s="139">
        <f t="shared" si="0"/>
        <v>0.6</v>
      </c>
      <c r="R8" s="247">
        <v>17.3</v>
      </c>
      <c r="S8" s="247">
        <v>141</v>
      </c>
      <c r="T8" s="140">
        <f t="shared" si="1"/>
        <v>22</v>
      </c>
      <c r="U8" s="247">
        <v>98</v>
      </c>
      <c r="V8" s="141">
        <f t="shared" si="2"/>
        <v>2156</v>
      </c>
      <c r="W8" s="247">
        <v>7</v>
      </c>
      <c r="X8" s="137" t="s">
        <v>46</v>
      </c>
      <c r="Y8" s="247" t="s">
        <v>90</v>
      </c>
      <c r="Z8" s="247" t="s">
        <v>97</v>
      </c>
      <c r="AA8" s="247" t="s">
        <v>78</v>
      </c>
      <c r="AB8" s="137" t="s">
        <v>441</v>
      </c>
      <c r="AC8" s="142"/>
      <c r="AE8" s="223" t="s">
        <v>59</v>
      </c>
      <c r="AG8" s="49" t="s">
        <v>250</v>
      </c>
      <c r="AH8" s="49" t="s">
        <v>251</v>
      </c>
      <c r="AJ8" s="229"/>
      <c r="AL8" s="235" t="s">
        <v>372</v>
      </c>
      <c r="AN8" s="230"/>
      <c r="AP8" s="224" t="s">
        <v>62</v>
      </c>
      <c r="AR8" s="238" t="s">
        <v>81</v>
      </c>
      <c r="AV8" s="238" t="s">
        <v>97</v>
      </c>
      <c r="AX8" s="225">
        <v>119</v>
      </c>
      <c r="AY8" s="226">
        <v>30</v>
      </c>
      <c r="AZ8" s="226">
        <v>121</v>
      </c>
      <c r="BA8" s="227">
        <v>27</v>
      </c>
    </row>
    <row r="9" spans="1:53" x14ac:dyDescent="0.15">
      <c r="A9" s="137" t="s">
        <v>61</v>
      </c>
      <c r="B9" s="137" t="s">
        <v>392</v>
      </c>
      <c r="C9" s="137">
        <v>2018</v>
      </c>
      <c r="D9" s="138" t="s">
        <v>393</v>
      </c>
      <c r="E9" s="137" t="s">
        <v>238</v>
      </c>
      <c r="F9" s="137" t="s">
        <v>239</v>
      </c>
      <c r="G9" s="137" t="s">
        <v>42</v>
      </c>
      <c r="H9" s="247" t="s">
        <v>157</v>
      </c>
      <c r="I9" s="247" t="s">
        <v>155</v>
      </c>
      <c r="J9" s="137" t="s">
        <v>38</v>
      </c>
      <c r="K9" s="247" t="s">
        <v>156</v>
      </c>
      <c r="L9" s="247">
        <v>2</v>
      </c>
      <c r="M9" s="247"/>
      <c r="N9" s="247">
        <v>1</v>
      </c>
      <c r="O9" s="247">
        <v>0.7</v>
      </c>
      <c r="P9" s="247">
        <v>0.75</v>
      </c>
      <c r="Q9" s="139">
        <f t="shared" si="0"/>
        <v>0.72499999999999998</v>
      </c>
      <c r="R9" s="142">
        <v>17.8</v>
      </c>
      <c r="S9" s="247">
        <v>138</v>
      </c>
      <c r="T9" s="140">
        <f t="shared" si="1"/>
        <v>22</v>
      </c>
      <c r="U9" s="247">
        <v>98</v>
      </c>
      <c r="V9" s="141">
        <f t="shared" si="2"/>
        <v>2156</v>
      </c>
      <c r="W9" s="247">
        <v>7</v>
      </c>
      <c r="X9" s="137" t="s">
        <v>46</v>
      </c>
      <c r="Y9" s="247" t="s">
        <v>90</v>
      </c>
      <c r="Z9" s="247" t="s">
        <v>97</v>
      </c>
      <c r="AA9" s="247" t="s">
        <v>78</v>
      </c>
      <c r="AB9" s="137" t="s">
        <v>441</v>
      </c>
      <c r="AC9" s="142"/>
      <c r="AE9" s="223" t="s">
        <v>98</v>
      </c>
      <c r="AG9" s="49" t="s">
        <v>133</v>
      </c>
      <c r="AH9" s="49" t="s">
        <v>252</v>
      </c>
      <c r="AL9" s="230"/>
      <c r="AN9" s="230"/>
      <c r="AP9" s="224" t="s">
        <v>95</v>
      </c>
      <c r="AR9" s="231" t="s">
        <v>89</v>
      </c>
      <c r="AV9" s="238" t="s">
        <v>102</v>
      </c>
      <c r="AX9" s="225">
        <v>128</v>
      </c>
      <c r="AY9" s="226">
        <v>27</v>
      </c>
      <c r="AZ9" s="226">
        <v>129</v>
      </c>
      <c r="BA9" s="227">
        <v>25</v>
      </c>
    </row>
    <row r="10" spans="1:53" x14ac:dyDescent="0.15">
      <c r="A10" s="137" t="s">
        <v>61</v>
      </c>
      <c r="B10" s="137" t="s">
        <v>395</v>
      </c>
      <c r="C10" s="137">
        <v>2018</v>
      </c>
      <c r="D10" s="138" t="s">
        <v>396</v>
      </c>
      <c r="E10" s="137" t="s">
        <v>238</v>
      </c>
      <c r="F10" s="137" t="s">
        <v>239</v>
      </c>
      <c r="G10" s="137" t="s">
        <v>42</v>
      </c>
      <c r="H10" s="247" t="s">
        <v>157</v>
      </c>
      <c r="I10" s="247" t="s">
        <v>155</v>
      </c>
      <c r="J10" s="137" t="s">
        <v>38</v>
      </c>
      <c r="K10" s="247" t="s">
        <v>156</v>
      </c>
      <c r="L10" s="247">
        <v>3</v>
      </c>
      <c r="M10" s="247"/>
      <c r="N10" s="247">
        <v>1</v>
      </c>
      <c r="O10" s="247">
        <v>0.65</v>
      </c>
      <c r="P10" s="247">
        <v>0.6</v>
      </c>
      <c r="Q10" s="139">
        <f t="shared" si="0"/>
        <v>0.625</v>
      </c>
      <c r="R10" s="247">
        <v>18</v>
      </c>
      <c r="S10" s="247">
        <v>136</v>
      </c>
      <c r="T10" s="140">
        <f t="shared" si="1"/>
        <v>25</v>
      </c>
      <c r="U10" s="247">
        <v>98</v>
      </c>
      <c r="V10" s="141">
        <f t="shared" si="2"/>
        <v>2450</v>
      </c>
      <c r="W10" s="247">
        <v>7</v>
      </c>
      <c r="X10" s="137" t="s">
        <v>46</v>
      </c>
      <c r="Y10" s="247" t="s">
        <v>90</v>
      </c>
      <c r="Z10" s="247" t="s">
        <v>97</v>
      </c>
      <c r="AA10" s="247" t="s">
        <v>78</v>
      </c>
      <c r="AB10" s="137" t="s">
        <v>442</v>
      </c>
      <c r="AC10" s="142"/>
      <c r="AE10" s="223" t="s">
        <v>103</v>
      </c>
      <c r="AG10" s="49" t="s">
        <v>253</v>
      </c>
      <c r="AH10" s="49" t="s">
        <v>254</v>
      </c>
      <c r="AL10" s="228"/>
      <c r="AP10" s="224" t="s">
        <v>100</v>
      </c>
      <c r="AR10" s="231" t="s">
        <v>123</v>
      </c>
      <c r="AV10" s="238" t="s">
        <v>106</v>
      </c>
      <c r="AX10" s="225">
        <v>138</v>
      </c>
      <c r="AY10" s="226">
        <v>25</v>
      </c>
      <c r="AZ10" s="226">
        <v>138</v>
      </c>
      <c r="BA10" s="227">
        <v>22</v>
      </c>
    </row>
    <row r="11" spans="1:53" x14ac:dyDescent="0.15">
      <c r="A11" s="137" t="s">
        <v>443</v>
      </c>
      <c r="B11" s="137" t="s">
        <v>395</v>
      </c>
      <c r="C11" s="137">
        <v>2018</v>
      </c>
      <c r="D11" s="138" t="s">
        <v>396</v>
      </c>
      <c r="E11" s="137" t="s">
        <v>238</v>
      </c>
      <c r="F11" s="137" t="s">
        <v>239</v>
      </c>
      <c r="G11" s="137" t="s">
        <v>42</v>
      </c>
      <c r="H11" s="247" t="s">
        <v>160</v>
      </c>
      <c r="I11" s="247" t="s">
        <v>155</v>
      </c>
      <c r="J11" s="137" t="s">
        <v>38</v>
      </c>
      <c r="K11" s="247" t="s">
        <v>156</v>
      </c>
      <c r="L11" s="247">
        <v>1</v>
      </c>
      <c r="M11" s="247"/>
      <c r="N11" s="247">
        <v>1</v>
      </c>
      <c r="O11" s="247">
        <v>0.5</v>
      </c>
      <c r="P11" s="247">
        <v>0.5</v>
      </c>
      <c r="Q11" s="139">
        <f t="shared" si="0"/>
        <v>0.5</v>
      </c>
      <c r="R11" s="247">
        <v>17.8</v>
      </c>
      <c r="S11" s="247">
        <v>140</v>
      </c>
      <c r="T11" s="140">
        <f t="shared" si="1"/>
        <v>22</v>
      </c>
      <c r="U11" s="247">
        <v>158</v>
      </c>
      <c r="V11" s="141">
        <f t="shared" si="2"/>
        <v>3476</v>
      </c>
      <c r="W11" s="247">
        <v>7</v>
      </c>
      <c r="X11" s="137" t="s">
        <v>46</v>
      </c>
      <c r="Y11" s="247" t="s">
        <v>90</v>
      </c>
      <c r="Z11" s="247" t="s">
        <v>97</v>
      </c>
      <c r="AA11" s="247" t="s">
        <v>78</v>
      </c>
      <c r="AB11" s="137" t="s">
        <v>442</v>
      </c>
      <c r="AC11" s="142"/>
      <c r="AE11" s="223" t="s">
        <v>65</v>
      </c>
      <c r="AG11" s="49" t="s">
        <v>255</v>
      </c>
      <c r="AH11" s="49" t="s">
        <v>254</v>
      </c>
      <c r="AL11" s="149"/>
      <c r="AP11" s="224" t="s">
        <v>104</v>
      </c>
      <c r="AR11" s="231" t="s">
        <v>87</v>
      </c>
      <c r="AV11" s="150" t="s">
        <v>444</v>
      </c>
      <c r="AX11" s="225">
        <v>151</v>
      </c>
      <c r="AY11" s="226">
        <v>22</v>
      </c>
      <c r="AZ11" s="226">
        <v>152</v>
      </c>
      <c r="BA11" s="227">
        <v>18</v>
      </c>
    </row>
    <row r="12" spans="1:53" x14ac:dyDescent="0.15">
      <c r="A12" s="137" t="s">
        <v>61</v>
      </c>
      <c r="B12" s="137" t="s">
        <v>400</v>
      </c>
      <c r="C12" s="137">
        <v>2018</v>
      </c>
      <c r="D12" s="138" t="s">
        <v>401</v>
      </c>
      <c r="E12" s="137" t="s">
        <v>238</v>
      </c>
      <c r="F12" s="137" t="s">
        <v>239</v>
      </c>
      <c r="G12" s="137" t="s">
        <v>42</v>
      </c>
      <c r="H12" s="247" t="s">
        <v>160</v>
      </c>
      <c r="I12" s="247" t="s">
        <v>155</v>
      </c>
      <c r="J12" s="137" t="s">
        <v>38</v>
      </c>
      <c r="K12" s="247" t="s">
        <v>156</v>
      </c>
      <c r="L12" s="247">
        <v>2</v>
      </c>
      <c r="M12" s="247"/>
      <c r="N12" s="247">
        <v>1</v>
      </c>
      <c r="O12" s="247">
        <v>0.55000000000000004</v>
      </c>
      <c r="P12" s="247">
        <v>0.5</v>
      </c>
      <c r="Q12" s="139">
        <f t="shared" si="0"/>
        <v>0.52500000000000002</v>
      </c>
      <c r="R12" s="142">
        <v>18.2</v>
      </c>
      <c r="S12" s="247">
        <v>143</v>
      </c>
      <c r="T12" s="140">
        <f t="shared" si="1"/>
        <v>22</v>
      </c>
      <c r="U12" s="247">
        <v>158</v>
      </c>
      <c r="V12" s="141">
        <f t="shared" si="2"/>
        <v>3476</v>
      </c>
      <c r="W12" s="247">
        <v>7</v>
      </c>
      <c r="X12" s="137" t="s">
        <v>46</v>
      </c>
      <c r="Y12" s="247" t="s">
        <v>90</v>
      </c>
      <c r="Z12" s="247" t="s">
        <v>97</v>
      </c>
      <c r="AA12" s="247" t="s">
        <v>78</v>
      </c>
      <c r="AB12" s="137" t="s">
        <v>445</v>
      </c>
      <c r="AC12" s="142"/>
      <c r="AE12" s="223" t="s">
        <v>70</v>
      </c>
      <c r="AG12" s="224"/>
      <c r="AH12" s="223"/>
      <c r="AL12" s="149"/>
      <c r="AP12" s="224" t="s">
        <v>67</v>
      </c>
      <c r="AR12" s="231" t="s">
        <v>124</v>
      </c>
      <c r="AV12" s="150" t="s">
        <v>446</v>
      </c>
      <c r="AX12" s="225">
        <v>180</v>
      </c>
      <c r="AY12" s="226">
        <v>18</v>
      </c>
      <c r="AZ12" s="226">
        <v>181</v>
      </c>
      <c r="BA12" s="227">
        <v>16</v>
      </c>
    </row>
    <row r="13" spans="1:53" x14ac:dyDescent="0.15">
      <c r="A13" s="137" t="s">
        <v>61</v>
      </c>
      <c r="B13" s="137" t="s">
        <v>404</v>
      </c>
      <c r="C13" s="137">
        <v>2018</v>
      </c>
      <c r="D13" s="138" t="s">
        <v>405</v>
      </c>
      <c r="E13" s="137" t="s">
        <v>238</v>
      </c>
      <c r="F13" s="137" t="s">
        <v>239</v>
      </c>
      <c r="G13" s="137" t="s">
        <v>42</v>
      </c>
      <c r="H13" s="247" t="s">
        <v>160</v>
      </c>
      <c r="I13" s="247" t="s">
        <v>155</v>
      </c>
      <c r="J13" s="137" t="s">
        <v>38</v>
      </c>
      <c r="K13" s="247" t="s">
        <v>156</v>
      </c>
      <c r="L13" s="247">
        <v>3</v>
      </c>
      <c r="M13" s="247"/>
      <c r="N13" s="247">
        <v>1</v>
      </c>
      <c r="O13" s="247">
        <v>0.55000000000000004</v>
      </c>
      <c r="P13" s="247">
        <v>0.55000000000000004</v>
      </c>
      <c r="Q13" s="139">
        <f t="shared" si="0"/>
        <v>0.55000000000000004</v>
      </c>
      <c r="R13" s="247">
        <v>18.399999999999999</v>
      </c>
      <c r="S13" s="247">
        <v>145</v>
      </c>
      <c r="T13" s="140">
        <f t="shared" si="1"/>
        <v>22</v>
      </c>
      <c r="U13" s="247">
        <v>158</v>
      </c>
      <c r="V13" s="141">
        <f t="shared" si="2"/>
        <v>3476</v>
      </c>
      <c r="W13" s="247">
        <v>7</v>
      </c>
      <c r="X13" s="137" t="s">
        <v>46</v>
      </c>
      <c r="Y13" s="247" t="s">
        <v>90</v>
      </c>
      <c r="Z13" s="247" t="s">
        <v>97</v>
      </c>
      <c r="AA13" s="247" t="s">
        <v>78</v>
      </c>
      <c r="AB13" s="137" t="s">
        <v>447</v>
      </c>
      <c r="AC13" s="142"/>
      <c r="AE13" s="223" t="s">
        <v>73</v>
      </c>
      <c r="AG13" s="224"/>
      <c r="AH13" s="223"/>
      <c r="AL13" s="151"/>
      <c r="AP13" s="224" t="s">
        <v>71</v>
      </c>
      <c r="AR13" s="231" t="s">
        <v>103</v>
      </c>
      <c r="AV13" s="150" t="s">
        <v>448</v>
      </c>
      <c r="AX13" s="225"/>
      <c r="AY13" s="226"/>
      <c r="AZ13" s="226"/>
      <c r="BA13" s="227"/>
    </row>
    <row r="14" spans="1:53" x14ac:dyDescent="0.15">
      <c r="A14" s="137" t="s">
        <v>61</v>
      </c>
      <c r="B14" s="137" t="s">
        <v>406</v>
      </c>
      <c r="C14" s="137">
        <v>2018</v>
      </c>
      <c r="D14" s="138" t="s">
        <v>407</v>
      </c>
      <c r="E14" s="137" t="s">
        <v>240</v>
      </c>
      <c r="F14" s="137" t="s">
        <v>241</v>
      </c>
      <c r="G14" s="137" t="s">
        <v>42</v>
      </c>
      <c r="H14" s="247" t="s">
        <v>157</v>
      </c>
      <c r="I14" s="247" t="s">
        <v>155</v>
      </c>
      <c r="J14" s="137" t="s">
        <v>38</v>
      </c>
      <c r="K14" s="247" t="s">
        <v>156</v>
      </c>
      <c r="L14" s="247">
        <v>1</v>
      </c>
      <c r="M14" s="247"/>
      <c r="N14" s="247">
        <v>1</v>
      </c>
      <c r="O14" s="247">
        <v>0.7</v>
      </c>
      <c r="P14" s="247">
        <v>0.75</v>
      </c>
      <c r="Q14" s="139">
        <f t="shared" si="0"/>
        <v>0.72499999999999998</v>
      </c>
      <c r="R14" s="247">
        <v>17.100000000000001</v>
      </c>
      <c r="S14" s="247">
        <v>161</v>
      </c>
      <c r="T14" s="140">
        <f t="shared" si="1"/>
        <v>18</v>
      </c>
      <c r="U14" s="247">
        <v>138</v>
      </c>
      <c r="V14" s="141">
        <f t="shared" si="2"/>
        <v>2484</v>
      </c>
      <c r="W14" s="247">
        <v>13</v>
      </c>
      <c r="X14" s="137" t="s">
        <v>46</v>
      </c>
      <c r="Y14" s="247" t="s">
        <v>55</v>
      </c>
      <c r="Z14" s="247" t="s">
        <v>47</v>
      </c>
      <c r="AA14" s="247" t="s">
        <v>97</v>
      </c>
      <c r="AB14" s="137" t="s">
        <v>449</v>
      </c>
      <c r="AC14" s="142"/>
      <c r="AE14" s="223" t="s">
        <v>76</v>
      </c>
      <c r="AG14" s="224"/>
      <c r="AH14" s="223"/>
      <c r="AL14" s="235"/>
      <c r="AP14" s="224" t="s">
        <v>74</v>
      </c>
      <c r="AR14" s="231" t="s">
        <v>125</v>
      </c>
      <c r="AV14" s="150" t="s">
        <v>450</v>
      </c>
      <c r="AX14" s="225"/>
      <c r="AY14" s="226"/>
      <c r="AZ14" s="226"/>
      <c r="BA14" s="227"/>
    </row>
    <row r="15" spans="1:53" x14ac:dyDescent="0.15">
      <c r="A15" s="137" t="s">
        <v>61</v>
      </c>
      <c r="B15" s="137" t="s">
        <v>406</v>
      </c>
      <c r="C15" s="137">
        <v>2018</v>
      </c>
      <c r="D15" s="138" t="s">
        <v>407</v>
      </c>
      <c r="E15" s="137" t="s">
        <v>240</v>
      </c>
      <c r="F15" s="137" t="s">
        <v>241</v>
      </c>
      <c r="G15" s="137" t="s">
        <v>42</v>
      </c>
      <c r="H15" s="247" t="s">
        <v>157</v>
      </c>
      <c r="I15" s="247" t="s">
        <v>155</v>
      </c>
      <c r="J15" s="137" t="s">
        <v>38</v>
      </c>
      <c r="K15" s="247" t="s">
        <v>156</v>
      </c>
      <c r="L15" s="247">
        <v>2</v>
      </c>
      <c r="M15" s="247"/>
      <c r="N15" s="247">
        <v>1</v>
      </c>
      <c r="O15" s="247">
        <v>0.8</v>
      </c>
      <c r="P15" s="247">
        <v>0.75</v>
      </c>
      <c r="Q15" s="139">
        <f t="shared" si="0"/>
        <v>0.77500000000000002</v>
      </c>
      <c r="R15" s="142">
        <v>17.7</v>
      </c>
      <c r="S15" s="247">
        <v>158</v>
      </c>
      <c r="T15" s="140">
        <f t="shared" si="1"/>
        <v>18</v>
      </c>
      <c r="U15" s="247">
        <v>138</v>
      </c>
      <c r="V15" s="141">
        <f t="shared" si="2"/>
        <v>2484</v>
      </c>
      <c r="W15" s="247">
        <v>13</v>
      </c>
      <c r="X15" s="137" t="s">
        <v>46</v>
      </c>
      <c r="Y15" s="247" t="s">
        <v>55</v>
      </c>
      <c r="Z15" s="247" t="s">
        <v>47</v>
      </c>
      <c r="AA15" s="247" t="s">
        <v>97</v>
      </c>
      <c r="AB15" s="137" t="s">
        <v>449</v>
      </c>
      <c r="AC15" s="142"/>
      <c r="AE15" s="223" t="s">
        <v>79</v>
      </c>
      <c r="AG15" s="224"/>
      <c r="AH15" s="224"/>
      <c r="AL15" s="235"/>
      <c r="AP15" s="224" t="s">
        <v>77</v>
      </c>
      <c r="AR15" s="231" t="s">
        <v>94</v>
      </c>
      <c r="AV15" s="150" t="s">
        <v>451</v>
      </c>
      <c r="AX15" s="232"/>
      <c r="AY15" s="233"/>
      <c r="AZ15" s="233"/>
      <c r="BA15" s="234"/>
    </row>
    <row r="16" spans="1:53" x14ac:dyDescent="0.15">
      <c r="A16" s="137" t="s">
        <v>61</v>
      </c>
      <c r="B16" s="137" t="s">
        <v>408</v>
      </c>
      <c r="C16" s="137">
        <v>2018</v>
      </c>
      <c r="D16" s="138" t="s">
        <v>409</v>
      </c>
      <c r="E16" s="137" t="s">
        <v>240</v>
      </c>
      <c r="F16" s="137" t="s">
        <v>241</v>
      </c>
      <c r="G16" s="137" t="s">
        <v>42</v>
      </c>
      <c r="H16" s="247" t="s">
        <v>157</v>
      </c>
      <c r="I16" s="247" t="s">
        <v>155</v>
      </c>
      <c r="J16" s="137" t="s">
        <v>38</v>
      </c>
      <c r="K16" s="247" t="s">
        <v>156</v>
      </c>
      <c r="L16" s="247">
        <v>3</v>
      </c>
      <c r="M16" s="247"/>
      <c r="N16" s="247">
        <v>1</v>
      </c>
      <c r="O16" s="247">
        <v>0.8</v>
      </c>
      <c r="P16" s="247">
        <v>0.8</v>
      </c>
      <c r="Q16" s="139">
        <f t="shared" si="0"/>
        <v>0.8</v>
      </c>
      <c r="R16" s="247">
        <v>17.399999999999999</v>
      </c>
      <c r="S16" s="247">
        <v>162</v>
      </c>
      <c r="T16" s="140">
        <f t="shared" si="1"/>
        <v>18</v>
      </c>
      <c r="U16" s="247">
        <v>138</v>
      </c>
      <c r="V16" s="141">
        <f t="shared" si="2"/>
        <v>2484</v>
      </c>
      <c r="W16" s="247">
        <v>13</v>
      </c>
      <c r="X16" s="137" t="s">
        <v>46</v>
      </c>
      <c r="Y16" s="247" t="s">
        <v>55</v>
      </c>
      <c r="Z16" s="247" t="s">
        <v>47</v>
      </c>
      <c r="AA16" s="247" t="s">
        <v>97</v>
      </c>
      <c r="AB16" s="137" t="s">
        <v>452</v>
      </c>
      <c r="AC16" s="142"/>
      <c r="AE16" s="223" t="s">
        <v>82</v>
      </c>
      <c r="AG16" s="224"/>
      <c r="AH16" s="224"/>
      <c r="AP16" s="224" t="s">
        <v>80</v>
      </c>
      <c r="AR16" s="238" t="s">
        <v>63</v>
      </c>
      <c r="AV16" s="150" t="s">
        <v>453</v>
      </c>
    </row>
    <row r="17" spans="1:48" x14ac:dyDescent="0.15">
      <c r="A17" s="137" t="s">
        <v>61</v>
      </c>
      <c r="B17" s="137" t="s">
        <v>408</v>
      </c>
      <c r="C17" s="137">
        <v>2018</v>
      </c>
      <c r="D17" s="138" t="s">
        <v>409</v>
      </c>
      <c r="E17" s="137" t="s">
        <v>240</v>
      </c>
      <c r="F17" s="137" t="s">
        <v>241</v>
      </c>
      <c r="G17" s="137" t="s">
        <v>42</v>
      </c>
      <c r="H17" s="247" t="s">
        <v>160</v>
      </c>
      <c r="I17" s="247" t="s">
        <v>155</v>
      </c>
      <c r="J17" s="137" t="s">
        <v>38</v>
      </c>
      <c r="K17" s="247" t="s">
        <v>156</v>
      </c>
      <c r="L17" s="247">
        <v>1</v>
      </c>
      <c r="M17" s="247"/>
      <c r="N17" s="247">
        <v>1</v>
      </c>
      <c r="O17" s="247">
        <v>0.55000000000000004</v>
      </c>
      <c r="P17" s="247">
        <v>0.5</v>
      </c>
      <c r="Q17" s="139">
        <f t="shared" si="0"/>
        <v>0.52500000000000002</v>
      </c>
      <c r="R17" s="247">
        <v>17.8</v>
      </c>
      <c r="S17" s="247">
        <v>150</v>
      </c>
      <c r="T17" s="140">
        <f t="shared" si="1"/>
        <v>22</v>
      </c>
      <c r="U17" s="247">
        <v>158</v>
      </c>
      <c r="V17" s="141">
        <f t="shared" si="2"/>
        <v>3476</v>
      </c>
      <c r="W17" s="247">
        <v>13</v>
      </c>
      <c r="X17" s="137" t="s">
        <v>46</v>
      </c>
      <c r="Y17" s="247" t="s">
        <v>55</v>
      </c>
      <c r="Z17" s="247" t="s">
        <v>47</v>
      </c>
      <c r="AA17" s="247" t="s">
        <v>97</v>
      </c>
      <c r="AB17" s="137" t="s">
        <v>452</v>
      </c>
      <c r="AC17" s="142"/>
      <c r="AE17" s="223" t="s">
        <v>85</v>
      </c>
      <c r="AP17" s="239" t="s">
        <v>110</v>
      </c>
      <c r="AR17" s="238" t="s">
        <v>96</v>
      </c>
      <c r="AV17" s="150" t="s">
        <v>454</v>
      </c>
    </row>
    <row r="18" spans="1:48" x14ac:dyDescent="0.15">
      <c r="A18" s="137" t="s">
        <v>61</v>
      </c>
      <c r="B18" s="137" t="s">
        <v>408</v>
      </c>
      <c r="C18" s="137">
        <v>2018</v>
      </c>
      <c r="D18" s="138" t="s">
        <v>409</v>
      </c>
      <c r="E18" s="137" t="s">
        <v>240</v>
      </c>
      <c r="F18" s="137" t="s">
        <v>241</v>
      </c>
      <c r="G18" s="137" t="s">
        <v>42</v>
      </c>
      <c r="H18" s="247" t="s">
        <v>160</v>
      </c>
      <c r="I18" s="247" t="s">
        <v>155</v>
      </c>
      <c r="J18" s="137" t="s">
        <v>38</v>
      </c>
      <c r="K18" s="247" t="s">
        <v>156</v>
      </c>
      <c r="L18" s="247">
        <v>2</v>
      </c>
      <c r="M18" s="247"/>
      <c r="N18" s="247">
        <v>1</v>
      </c>
      <c r="O18" s="247">
        <v>0.55000000000000004</v>
      </c>
      <c r="P18" s="247">
        <v>0.5</v>
      </c>
      <c r="Q18" s="139">
        <f t="shared" si="0"/>
        <v>0.52500000000000002</v>
      </c>
      <c r="R18" s="142">
        <v>18.100000000000001</v>
      </c>
      <c r="S18" s="247">
        <v>154</v>
      </c>
      <c r="T18" s="140">
        <f t="shared" si="1"/>
        <v>18</v>
      </c>
      <c r="U18" s="247">
        <v>158</v>
      </c>
      <c r="V18" s="141">
        <f t="shared" si="2"/>
        <v>2844</v>
      </c>
      <c r="W18" s="247">
        <v>13</v>
      </c>
      <c r="X18" s="137" t="s">
        <v>46</v>
      </c>
      <c r="Y18" s="247" t="s">
        <v>55</v>
      </c>
      <c r="Z18" s="247" t="s">
        <v>47</v>
      </c>
      <c r="AA18" s="247" t="s">
        <v>97</v>
      </c>
      <c r="AB18" s="137" t="s">
        <v>452</v>
      </c>
      <c r="AC18" s="142"/>
      <c r="AE18" s="223" t="s">
        <v>87</v>
      </c>
      <c r="AP18" s="239" t="s">
        <v>111</v>
      </c>
      <c r="AR18" s="238" t="s">
        <v>101</v>
      </c>
      <c r="AV18" s="150" t="s">
        <v>373</v>
      </c>
    </row>
    <row r="19" spans="1:48" x14ac:dyDescent="0.15">
      <c r="A19" s="137" t="s">
        <v>61</v>
      </c>
      <c r="B19" s="137" t="s">
        <v>400</v>
      </c>
      <c r="C19" s="137">
        <v>2018</v>
      </c>
      <c r="D19" s="138" t="s">
        <v>401</v>
      </c>
      <c r="E19" s="137" t="s">
        <v>240</v>
      </c>
      <c r="F19" s="137" t="s">
        <v>241</v>
      </c>
      <c r="G19" s="137" t="s">
        <v>42</v>
      </c>
      <c r="H19" s="247" t="s">
        <v>160</v>
      </c>
      <c r="I19" s="247" t="s">
        <v>155</v>
      </c>
      <c r="J19" s="137" t="s">
        <v>38</v>
      </c>
      <c r="K19" s="247" t="s">
        <v>156</v>
      </c>
      <c r="L19" s="247">
        <v>3</v>
      </c>
      <c r="M19" s="247"/>
      <c r="N19" s="247">
        <v>1</v>
      </c>
      <c r="O19" s="142">
        <v>0.5</v>
      </c>
      <c r="P19" s="247">
        <v>0.5</v>
      </c>
      <c r="Q19" s="139">
        <f t="shared" si="0"/>
        <v>0.5</v>
      </c>
      <c r="R19" s="247">
        <v>18.2</v>
      </c>
      <c r="S19" s="247">
        <v>151</v>
      </c>
      <c r="T19" s="140">
        <f t="shared" si="1"/>
        <v>22</v>
      </c>
      <c r="U19" s="247">
        <v>158</v>
      </c>
      <c r="V19" s="141">
        <f t="shared" si="2"/>
        <v>3476</v>
      </c>
      <c r="W19" s="247">
        <v>13</v>
      </c>
      <c r="X19" s="137" t="s">
        <v>46</v>
      </c>
      <c r="Y19" s="247" t="s">
        <v>55</v>
      </c>
      <c r="Z19" s="247" t="s">
        <v>47</v>
      </c>
      <c r="AA19" s="247" t="s">
        <v>97</v>
      </c>
      <c r="AB19" s="137" t="s">
        <v>445</v>
      </c>
      <c r="AC19" s="142"/>
      <c r="AE19" s="236" t="s">
        <v>89</v>
      </c>
      <c r="AP19" s="239" t="s">
        <v>112</v>
      </c>
      <c r="AR19" s="231" t="s">
        <v>126</v>
      </c>
      <c r="AV19" s="150" t="s">
        <v>455</v>
      </c>
    </row>
    <row r="20" spans="1:48" x14ac:dyDescent="0.15">
      <c r="A20" s="137" t="s">
        <v>61</v>
      </c>
      <c r="B20" s="137" t="s">
        <v>400</v>
      </c>
      <c r="C20" s="137">
        <v>2018</v>
      </c>
      <c r="D20" s="138" t="s">
        <v>401</v>
      </c>
      <c r="E20" s="137" t="s">
        <v>244</v>
      </c>
      <c r="F20" s="137" t="s">
        <v>245</v>
      </c>
      <c r="G20" s="137" t="s">
        <v>42</v>
      </c>
      <c r="H20" s="247" t="s">
        <v>157</v>
      </c>
      <c r="I20" s="247" t="s">
        <v>155</v>
      </c>
      <c r="J20" s="137" t="s">
        <v>38</v>
      </c>
      <c r="K20" s="247" t="s">
        <v>156</v>
      </c>
      <c r="L20" s="247">
        <v>1</v>
      </c>
      <c r="M20" s="247"/>
      <c r="N20" s="247">
        <v>1</v>
      </c>
      <c r="O20" s="247">
        <v>0.7</v>
      </c>
      <c r="P20" s="247">
        <v>0.75</v>
      </c>
      <c r="Q20" s="139">
        <f t="shared" si="0"/>
        <v>0.72499999999999998</v>
      </c>
      <c r="R20" s="247">
        <v>16.8</v>
      </c>
      <c r="S20" s="247">
        <v>128</v>
      </c>
      <c r="T20" s="140">
        <f t="shared" si="1"/>
        <v>27</v>
      </c>
      <c r="U20" s="247">
        <v>138</v>
      </c>
      <c r="V20" s="141">
        <f t="shared" si="2"/>
        <v>3726</v>
      </c>
      <c r="W20" s="247">
        <v>15</v>
      </c>
      <c r="X20" s="137" t="s">
        <v>46</v>
      </c>
      <c r="Y20" s="247" t="s">
        <v>88</v>
      </c>
      <c r="Z20" s="247" t="s">
        <v>97</v>
      </c>
      <c r="AA20" s="247" t="s">
        <v>55</v>
      </c>
      <c r="AB20" s="137" t="s">
        <v>445</v>
      </c>
      <c r="AC20" s="142"/>
      <c r="AE20" s="223"/>
      <c r="AP20" s="239" t="s">
        <v>113</v>
      </c>
      <c r="AR20" s="238" t="s">
        <v>105</v>
      </c>
      <c r="AV20" s="150" t="s">
        <v>456</v>
      </c>
    </row>
    <row r="21" spans="1:48" x14ac:dyDescent="0.15">
      <c r="A21" s="137" t="s">
        <v>61</v>
      </c>
      <c r="B21" s="137" t="s">
        <v>400</v>
      </c>
      <c r="C21" s="137">
        <v>2018</v>
      </c>
      <c r="D21" s="138" t="s">
        <v>401</v>
      </c>
      <c r="E21" s="137" t="s">
        <v>244</v>
      </c>
      <c r="F21" s="137" t="s">
        <v>245</v>
      </c>
      <c r="G21" s="137" t="s">
        <v>42</v>
      </c>
      <c r="H21" s="247" t="s">
        <v>157</v>
      </c>
      <c r="I21" s="247" t="s">
        <v>155</v>
      </c>
      <c r="J21" s="137" t="s">
        <v>38</v>
      </c>
      <c r="K21" s="247" t="s">
        <v>156</v>
      </c>
      <c r="L21" s="247">
        <v>2</v>
      </c>
      <c r="M21" s="247"/>
      <c r="N21" s="247">
        <v>1</v>
      </c>
      <c r="O21" s="247">
        <v>0.75</v>
      </c>
      <c r="P21" s="247">
        <v>0.65</v>
      </c>
      <c r="Q21" s="139">
        <f t="shared" si="0"/>
        <v>0.7</v>
      </c>
      <c r="R21" s="247">
        <v>16.399999999999999</v>
      </c>
      <c r="S21" s="247">
        <v>131</v>
      </c>
      <c r="T21" s="140">
        <f t="shared" si="1"/>
        <v>25</v>
      </c>
      <c r="U21" s="247">
        <v>138</v>
      </c>
      <c r="V21" s="141">
        <f t="shared" si="2"/>
        <v>3450</v>
      </c>
      <c r="W21" s="247">
        <v>15</v>
      </c>
      <c r="X21" s="137" t="s">
        <v>46</v>
      </c>
      <c r="Y21" s="247" t="s">
        <v>88</v>
      </c>
      <c r="Z21" s="247" t="s">
        <v>97</v>
      </c>
      <c r="AA21" s="247" t="s">
        <v>55</v>
      </c>
      <c r="AB21" s="137" t="s">
        <v>445</v>
      </c>
      <c r="AC21" s="142"/>
      <c r="AE21" s="223"/>
      <c r="AP21" s="239" t="s">
        <v>114</v>
      </c>
      <c r="AR21" s="238" t="s">
        <v>68</v>
      </c>
      <c r="AV21" s="150" t="s">
        <v>457</v>
      </c>
    </row>
    <row r="22" spans="1:48" x14ac:dyDescent="0.15">
      <c r="A22" s="137" t="s">
        <v>61</v>
      </c>
      <c r="B22" s="137" t="s">
        <v>400</v>
      </c>
      <c r="C22" s="137">
        <v>2018</v>
      </c>
      <c r="D22" s="138" t="s">
        <v>401</v>
      </c>
      <c r="E22" s="137" t="s">
        <v>244</v>
      </c>
      <c r="F22" s="137" t="s">
        <v>245</v>
      </c>
      <c r="G22" s="137" t="s">
        <v>42</v>
      </c>
      <c r="H22" s="247" t="s">
        <v>157</v>
      </c>
      <c r="I22" s="247" t="s">
        <v>155</v>
      </c>
      <c r="J22" s="137" t="s">
        <v>38</v>
      </c>
      <c r="K22" s="247" t="s">
        <v>156</v>
      </c>
      <c r="L22" s="247">
        <v>3</v>
      </c>
      <c r="M22" s="247"/>
      <c r="N22" s="247">
        <v>1</v>
      </c>
      <c r="O22" s="142">
        <v>0.5</v>
      </c>
      <c r="P22" s="247">
        <v>0.5</v>
      </c>
      <c r="Q22" s="139">
        <f t="shared" si="0"/>
        <v>0.5</v>
      </c>
      <c r="R22" s="247">
        <v>16.899999999999999</v>
      </c>
      <c r="S22" s="247">
        <v>124</v>
      </c>
      <c r="T22" s="140">
        <f t="shared" si="1"/>
        <v>27</v>
      </c>
      <c r="U22" s="247">
        <v>138</v>
      </c>
      <c r="V22" s="141">
        <f t="shared" si="2"/>
        <v>3726</v>
      </c>
      <c r="W22" s="247">
        <v>15</v>
      </c>
      <c r="X22" s="137" t="s">
        <v>46</v>
      </c>
      <c r="Y22" s="247" t="s">
        <v>88</v>
      </c>
      <c r="Z22" s="247" t="s">
        <v>97</v>
      </c>
      <c r="AA22" s="247" t="s">
        <v>55</v>
      </c>
      <c r="AB22" s="137" t="s">
        <v>445</v>
      </c>
      <c r="AC22" s="142"/>
      <c r="AE22" s="236"/>
      <c r="AP22" s="239" t="s">
        <v>115</v>
      </c>
      <c r="AR22" s="238" t="s">
        <v>83</v>
      </c>
      <c r="AV22" s="224"/>
    </row>
    <row r="23" spans="1:48" x14ac:dyDescent="0.15">
      <c r="A23" s="137" t="s">
        <v>61</v>
      </c>
      <c r="B23" s="137" t="s">
        <v>400</v>
      </c>
      <c r="C23" s="137">
        <v>2018</v>
      </c>
      <c r="D23" s="138" t="s">
        <v>401</v>
      </c>
      <c r="E23" s="137" t="s">
        <v>244</v>
      </c>
      <c r="F23" s="137" t="s">
        <v>245</v>
      </c>
      <c r="G23" s="137" t="s">
        <v>42</v>
      </c>
      <c r="H23" s="247" t="s">
        <v>160</v>
      </c>
      <c r="I23" s="247" t="s">
        <v>155</v>
      </c>
      <c r="J23" s="137" t="s">
        <v>38</v>
      </c>
      <c r="K23" s="247" t="s">
        <v>156</v>
      </c>
      <c r="L23" s="247">
        <v>1</v>
      </c>
      <c r="M23" s="247"/>
      <c r="N23" s="247">
        <v>1</v>
      </c>
      <c r="O23" s="247">
        <v>0.6</v>
      </c>
      <c r="P23" s="247">
        <v>0.65</v>
      </c>
      <c r="Q23" s="139">
        <f t="shared" si="0"/>
        <v>0.625</v>
      </c>
      <c r="R23" s="247">
        <v>16.8</v>
      </c>
      <c r="S23" s="247">
        <v>138</v>
      </c>
      <c r="T23" s="140">
        <f t="shared" si="1"/>
        <v>22</v>
      </c>
      <c r="U23" s="247">
        <v>84</v>
      </c>
      <c r="V23" s="141">
        <f t="shared" si="2"/>
        <v>1848</v>
      </c>
      <c r="W23" s="247">
        <v>15</v>
      </c>
      <c r="X23" s="137" t="s">
        <v>46</v>
      </c>
      <c r="Y23" s="247" t="s">
        <v>88</v>
      </c>
      <c r="Z23" s="247" t="s">
        <v>97</v>
      </c>
      <c r="AA23" s="247" t="s">
        <v>55</v>
      </c>
      <c r="AB23" s="137" t="s">
        <v>445</v>
      </c>
      <c r="AC23" s="142"/>
      <c r="AE23" s="223"/>
      <c r="AP23" s="239" t="s">
        <v>415</v>
      </c>
      <c r="AR23" s="238" t="s">
        <v>61</v>
      </c>
    </row>
    <row r="24" spans="1:48" x14ac:dyDescent="0.15">
      <c r="A24" s="137" t="s">
        <v>61</v>
      </c>
      <c r="B24" s="137" t="s">
        <v>400</v>
      </c>
      <c r="C24" s="137">
        <v>2018</v>
      </c>
      <c r="D24" s="138" t="s">
        <v>401</v>
      </c>
      <c r="E24" s="137" t="s">
        <v>244</v>
      </c>
      <c r="F24" s="137" t="s">
        <v>245</v>
      </c>
      <c r="G24" s="137" t="s">
        <v>42</v>
      </c>
      <c r="H24" s="247" t="s">
        <v>160</v>
      </c>
      <c r="I24" s="247" t="s">
        <v>155</v>
      </c>
      <c r="J24" s="137" t="s">
        <v>38</v>
      </c>
      <c r="K24" s="247" t="s">
        <v>156</v>
      </c>
      <c r="L24" s="247">
        <v>2</v>
      </c>
      <c r="M24" s="247"/>
      <c r="N24" s="247">
        <v>1</v>
      </c>
      <c r="O24" s="247">
        <v>0.65</v>
      </c>
      <c r="P24" s="247">
        <v>0.65</v>
      </c>
      <c r="Q24" s="139">
        <f t="shared" si="0"/>
        <v>0.65</v>
      </c>
      <c r="R24" s="247">
        <v>17.5</v>
      </c>
      <c r="S24" s="247">
        <v>135</v>
      </c>
      <c r="T24" s="140">
        <f t="shared" si="1"/>
        <v>25</v>
      </c>
      <c r="U24" s="247">
        <v>84</v>
      </c>
      <c r="V24" s="141">
        <f t="shared" si="2"/>
        <v>2100</v>
      </c>
      <c r="W24" s="247">
        <v>15</v>
      </c>
      <c r="X24" s="137" t="s">
        <v>46</v>
      </c>
      <c r="Y24" s="247" t="s">
        <v>88</v>
      </c>
      <c r="Z24" s="247" t="s">
        <v>97</v>
      </c>
      <c r="AA24" s="247" t="s">
        <v>55</v>
      </c>
      <c r="AB24" s="137" t="s">
        <v>445</v>
      </c>
      <c r="AC24" s="142"/>
      <c r="AE24" s="223"/>
      <c r="AP24" s="239" t="s">
        <v>416</v>
      </c>
      <c r="AR24" s="238" t="s">
        <v>91</v>
      </c>
    </row>
    <row r="25" spans="1:48" x14ac:dyDescent="0.15">
      <c r="A25" s="137" t="s">
        <v>61</v>
      </c>
      <c r="B25" s="137" t="s">
        <v>400</v>
      </c>
      <c r="C25" s="137">
        <v>2018</v>
      </c>
      <c r="D25" s="138" t="s">
        <v>401</v>
      </c>
      <c r="E25" s="137" t="s">
        <v>244</v>
      </c>
      <c r="F25" s="137" t="s">
        <v>245</v>
      </c>
      <c r="G25" s="137" t="s">
        <v>42</v>
      </c>
      <c r="H25" s="247" t="s">
        <v>160</v>
      </c>
      <c r="I25" s="247" t="s">
        <v>155</v>
      </c>
      <c r="J25" s="137" t="s">
        <v>38</v>
      </c>
      <c r="K25" s="247" t="s">
        <v>156</v>
      </c>
      <c r="L25" s="247">
        <v>3</v>
      </c>
      <c r="M25" s="247"/>
      <c r="N25" s="247">
        <v>1</v>
      </c>
      <c r="O25" s="247">
        <v>0.6</v>
      </c>
      <c r="P25" s="247">
        <v>0.6</v>
      </c>
      <c r="Q25" s="139">
        <f t="shared" si="0"/>
        <v>0.6</v>
      </c>
      <c r="R25" s="247">
        <v>17.3</v>
      </c>
      <c r="S25" s="247">
        <v>141</v>
      </c>
      <c r="T25" s="140">
        <f t="shared" si="1"/>
        <v>22</v>
      </c>
      <c r="U25" s="247">
        <v>84</v>
      </c>
      <c r="V25" s="141">
        <f t="shared" si="2"/>
        <v>1848</v>
      </c>
      <c r="W25" s="247">
        <v>15</v>
      </c>
      <c r="X25" s="137" t="s">
        <v>46</v>
      </c>
      <c r="Y25" s="247" t="s">
        <v>88</v>
      </c>
      <c r="Z25" s="247" t="s">
        <v>97</v>
      </c>
      <c r="AA25" s="247" t="s">
        <v>55</v>
      </c>
      <c r="AB25" s="137" t="s">
        <v>445</v>
      </c>
      <c r="AC25" s="142"/>
      <c r="AE25" s="236"/>
      <c r="AP25" s="239" t="s">
        <v>116</v>
      </c>
      <c r="AR25" s="42" t="s">
        <v>92</v>
      </c>
    </row>
    <row r="26" spans="1:48" x14ac:dyDescent="0.15">
      <c r="A26" s="137" t="s">
        <v>61</v>
      </c>
      <c r="B26" s="137" t="s">
        <v>400</v>
      </c>
      <c r="C26" s="137">
        <v>2018</v>
      </c>
      <c r="D26" s="138" t="s">
        <v>401</v>
      </c>
      <c r="E26" s="137" t="s">
        <v>244</v>
      </c>
      <c r="F26" s="137" t="s">
        <v>245</v>
      </c>
      <c r="G26" s="137" t="s">
        <v>42</v>
      </c>
      <c r="H26" s="247" t="s">
        <v>157</v>
      </c>
      <c r="I26" s="247" t="s">
        <v>158</v>
      </c>
      <c r="J26" s="137" t="s">
        <v>38</v>
      </c>
      <c r="K26" s="247" t="s">
        <v>156</v>
      </c>
      <c r="L26" s="247">
        <v>1</v>
      </c>
      <c r="M26" s="247"/>
      <c r="N26" s="247">
        <v>2</v>
      </c>
      <c r="O26" s="247">
        <v>0.65</v>
      </c>
      <c r="P26" s="142">
        <v>0.65</v>
      </c>
      <c r="Q26" s="139">
        <f t="shared" si="0"/>
        <v>0.65</v>
      </c>
      <c r="R26" s="247">
        <v>16.2</v>
      </c>
      <c r="S26" s="247">
        <v>130</v>
      </c>
      <c r="T26" s="140">
        <f t="shared" si="1"/>
        <v>25</v>
      </c>
      <c r="U26" s="247">
        <v>386</v>
      </c>
      <c r="V26" s="141">
        <f t="shared" si="2"/>
        <v>4825</v>
      </c>
      <c r="W26" s="247">
        <v>15</v>
      </c>
      <c r="X26" s="137" t="s">
        <v>46</v>
      </c>
      <c r="Y26" s="247" t="s">
        <v>88</v>
      </c>
      <c r="Z26" s="247" t="s">
        <v>97</v>
      </c>
      <c r="AA26" s="247" t="s">
        <v>55</v>
      </c>
      <c r="AB26" s="137" t="s">
        <v>445</v>
      </c>
      <c r="AC26" s="142"/>
      <c r="AD26" s="235"/>
      <c r="AE26" s="236"/>
      <c r="AP26" s="239" t="s">
        <v>117</v>
      </c>
      <c r="AR26" s="224" t="s">
        <v>294</v>
      </c>
    </row>
    <row r="27" spans="1:48" x14ac:dyDescent="0.15">
      <c r="A27" s="137" t="s">
        <v>61</v>
      </c>
      <c r="B27" s="137" t="s">
        <v>400</v>
      </c>
      <c r="C27" s="137">
        <v>2018</v>
      </c>
      <c r="D27" s="138" t="s">
        <v>401</v>
      </c>
      <c r="E27" s="137" t="s">
        <v>244</v>
      </c>
      <c r="F27" s="137" t="s">
        <v>245</v>
      </c>
      <c r="G27" s="137" t="s">
        <v>42</v>
      </c>
      <c r="H27" s="247" t="s">
        <v>157</v>
      </c>
      <c r="I27" s="247" t="s">
        <v>158</v>
      </c>
      <c r="J27" s="137" t="s">
        <v>38</v>
      </c>
      <c r="K27" s="247" t="s">
        <v>156</v>
      </c>
      <c r="L27" s="247">
        <v>2</v>
      </c>
      <c r="M27" s="247"/>
      <c r="N27" s="247">
        <v>2</v>
      </c>
      <c r="O27" s="247">
        <v>0.7</v>
      </c>
      <c r="P27" s="142">
        <v>0.7</v>
      </c>
      <c r="Q27" s="139">
        <f t="shared" si="0"/>
        <v>0.7</v>
      </c>
      <c r="R27" s="247">
        <v>15.9</v>
      </c>
      <c r="S27" s="247">
        <v>138</v>
      </c>
      <c r="T27" s="140">
        <f t="shared" si="1"/>
        <v>22</v>
      </c>
      <c r="U27" s="247">
        <v>386</v>
      </c>
      <c r="V27" s="141">
        <f t="shared" si="2"/>
        <v>4246</v>
      </c>
      <c r="W27" s="247">
        <v>15</v>
      </c>
      <c r="X27" s="137" t="s">
        <v>46</v>
      </c>
      <c r="Y27" s="247" t="s">
        <v>88</v>
      </c>
      <c r="Z27" s="247" t="s">
        <v>97</v>
      </c>
      <c r="AA27" s="247" t="s">
        <v>55</v>
      </c>
      <c r="AB27" s="137" t="s">
        <v>445</v>
      </c>
      <c r="AC27" s="142"/>
      <c r="AD27" s="235"/>
      <c r="AE27" s="229"/>
      <c r="AP27" s="239" t="s">
        <v>118</v>
      </c>
      <c r="AR27" s="224"/>
    </row>
    <row r="28" spans="1:48" x14ac:dyDescent="0.15">
      <c r="A28" s="137" t="s">
        <v>61</v>
      </c>
      <c r="B28" s="137" t="s">
        <v>400</v>
      </c>
      <c r="C28" s="137">
        <v>2018</v>
      </c>
      <c r="D28" s="138" t="s">
        <v>401</v>
      </c>
      <c r="E28" s="137" t="s">
        <v>244</v>
      </c>
      <c r="F28" s="137" t="s">
        <v>245</v>
      </c>
      <c r="G28" s="137" t="s">
        <v>42</v>
      </c>
      <c r="H28" s="247" t="s">
        <v>157</v>
      </c>
      <c r="I28" s="247" t="s">
        <v>158</v>
      </c>
      <c r="J28" s="137" t="s">
        <v>38</v>
      </c>
      <c r="K28" s="247" t="s">
        <v>156</v>
      </c>
      <c r="L28" s="247">
        <v>3</v>
      </c>
      <c r="M28" s="247"/>
      <c r="N28" s="247">
        <v>2</v>
      </c>
      <c r="O28" s="247">
        <v>0.7</v>
      </c>
      <c r="P28" s="142">
        <v>0.7</v>
      </c>
      <c r="Q28" s="139">
        <f t="shared" si="0"/>
        <v>0.7</v>
      </c>
      <c r="R28" s="247">
        <v>15.6</v>
      </c>
      <c r="S28" s="247">
        <v>136</v>
      </c>
      <c r="T28" s="140">
        <f t="shared" si="1"/>
        <v>25</v>
      </c>
      <c r="U28" s="247">
        <v>386</v>
      </c>
      <c r="V28" s="141">
        <f t="shared" si="2"/>
        <v>4825</v>
      </c>
      <c r="W28" s="247">
        <v>15</v>
      </c>
      <c r="X28" s="137" t="s">
        <v>46</v>
      </c>
      <c r="Y28" s="247" t="s">
        <v>88</v>
      </c>
      <c r="Z28" s="247" t="s">
        <v>97</v>
      </c>
      <c r="AA28" s="247" t="s">
        <v>55</v>
      </c>
      <c r="AB28" s="137" t="s">
        <v>445</v>
      </c>
      <c r="AC28" s="142"/>
      <c r="AD28" s="235"/>
      <c r="AP28" s="228"/>
      <c r="AR28" s="224"/>
    </row>
    <row r="29" spans="1:48" x14ac:dyDescent="0.15">
      <c r="A29" s="137" t="s">
        <v>61</v>
      </c>
      <c r="B29" s="137" t="s">
        <v>400</v>
      </c>
      <c r="C29" s="137">
        <v>2018</v>
      </c>
      <c r="D29" s="138" t="s">
        <v>401</v>
      </c>
      <c r="E29" s="137" t="s">
        <v>244</v>
      </c>
      <c r="F29" s="137" t="s">
        <v>245</v>
      </c>
      <c r="G29" s="137" t="s">
        <v>42</v>
      </c>
      <c r="H29" s="247" t="s">
        <v>160</v>
      </c>
      <c r="I29" s="247" t="s">
        <v>158</v>
      </c>
      <c r="J29" s="137" t="s">
        <v>38</v>
      </c>
      <c r="K29" s="247" t="s">
        <v>156</v>
      </c>
      <c r="L29" s="247">
        <v>1</v>
      </c>
      <c r="M29" s="247"/>
      <c r="N29" s="247">
        <v>2</v>
      </c>
      <c r="O29" s="247">
        <v>0.5</v>
      </c>
      <c r="P29" s="247">
        <v>0.5</v>
      </c>
      <c r="Q29" s="139">
        <f t="shared" si="0"/>
        <v>0.5</v>
      </c>
      <c r="R29" s="247">
        <v>18.100000000000001</v>
      </c>
      <c r="S29" s="247">
        <v>142</v>
      </c>
      <c r="T29" s="140">
        <f t="shared" si="1"/>
        <v>22</v>
      </c>
      <c r="U29" s="247">
        <v>429</v>
      </c>
      <c r="V29" s="141">
        <f t="shared" si="2"/>
        <v>4719</v>
      </c>
      <c r="W29" s="247">
        <v>15</v>
      </c>
      <c r="X29" s="137" t="s">
        <v>46</v>
      </c>
      <c r="Y29" s="247" t="s">
        <v>88</v>
      </c>
      <c r="Z29" s="247" t="s">
        <v>97</v>
      </c>
      <c r="AA29" s="247" t="s">
        <v>55</v>
      </c>
      <c r="AB29" s="137" t="s">
        <v>445</v>
      </c>
      <c r="AC29" s="142"/>
    </row>
    <row r="30" spans="1:48" x14ac:dyDescent="0.15">
      <c r="A30" s="137" t="s">
        <v>61</v>
      </c>
      <c r="B30" s="137" t="s">
        <v>400</v>
      </c>
      <c r="C30" s="137">
        <v>2018</v>
      </c>
      <c r="D30" s="138" t="s">
        <v>401</v>
      </c>
      <c r="E30" s="137" t="s">
        <v>244</v>
      </c>
      <c r="F30" s="137" t="s">
        <v>245</v>
      </c>
      <c r="G30" s="137" t="s">
        <v>42</v>
      </c>
      <c r="H30" s="247" t="s">
        <v>160</v>
      </c>
      <c r="I30" s="247" t="s">
        <v>158</v>
      </c>
      <c r="J30" s="137" t="s">
        <v>38</v>
      </c>
      <c r="K30" s="247" t="s">
        <v>156</v>
      </c>
      <c r="L30" s="247">
        <v>2</v>
      </c>
      <c r="M30" s="247"/>
      <c r="N30" s="247">
        <v>2</v>
      </c>
      <c r="O30" s="247">
        <v>0.5</v>
      </c>
      <c r="P30" s="142">
        <v>0.55000000000000004</v>
      </c>
      <c r="Q30" s="139">
        <f t="shared" si="0"/>
        <v>0.52500000000000002</v>
      </c>
      <c r="R30" s="247">
        <v>17.8</v>
      </c>
      <c r="S30" s="247">
        <v>144</v>
      </c>
      <c r="T30" s="140">
        <f t="shared" si="1"/>
        <v>22</v>
      </c>
      <c r="U30" s="247">
        <v>429</v>
      </c>
      <c r="V30" s="141">
        <f t="shared" si="2"/>
        <v>4719</v>
      </c>
      <c r="W30" s="247">
        <v>15</v>
      </c>
      <c r="X30" s="137" t="s">
        <v>46</v>
      </c>
      <c r="Y30" s="247" t="s">
        <v>88</v>
      </c>
      <c r="Z30" s="247" t="s">
        <v>97</v>
      </c>
      <c r="AA30" s="247" t="s">
        <v>55</v>
      </c>
      <c r="AB30" s="137" t="s">
        <v>445</v>
      </c>
      <c r="AC30" s="142"/>
    </row>
    <row r="31" spans="1:48" x14ac:dyDescent="0.15">
      <c r="A31" s="137" t="s">
        <v>61</v>
      </c>
      <c r="B31" s="137" t="s">
        <v>400</v>
      </c>
      <c r="C31" s="137">
        <v>2018</v>
      </c>
      <c r="D31" s="138" t="s">
        <v>401</v>
      </c>
      <c r="E31" s="137" t="s">
        <v>244</v>
      </c>
      <c r="F31" s="137" t="s">
        <v>245</v>
      </c>
      <c r="G31" s="137" t="s">
        <v>42</v>
      </c>
      <c r="H31" s="247" t="s">
        <v>160</v>
      </c>
      <c r="I31" s="247" t="s">
        <v>158</v>
      </c>
      <c r="J31" s="137" t="s">
        <v>38</v>
      </c>
      <c r="K31" s="247" t="s">
        <v>156</v>
      </c>
      <c r="L31" s="247">
        <v>3</v>
      </c>
      <c r="M31" s="247"/>
      <c r="N31" s="247">
        <v>2</v>
      </c>
      <c r="O31" s="247">
        <v>0.55000000000000004</v>
      </c>
      <c r="P31" s="247">
        <v>0.55000000000000004</v>
      </c>
      <c r="Q31" s="139">
        <f t="shared" si="0"/>
        <v>0.55000000000000004</v>
      </c>
      <c r="R31" s="247">
        <v>17.8</v>
      </c>
      <c r="S31" s="247">
        <v>141</v>
      </c>
      <c r="T31" s="140">
        <f t="shared" si="1"/>
        <v>22</v>
      </c>
      <c r="U31" s="247">
        <v>429</v>
      </c>
      <c r="V31" s="141">
        <f t="shared" si="2"/>
        <v>4719</v>
      </c>
      <c r="W31" s="247">
        <v>15</v>
      </c>
      <c r="X31" s="137" t="s">
        <v>46</v>
      </c>
      <c r="Y31" s="247" t="s">
        <v>88</v>
      </c>
      <c r="Z31" s="247" t="s">
        <v>97</v>
      </c>
      <c r="AA31" s="247" t="s">
        <v>55</v>
      </c>
      <c r="AB31" s="137" t="s">
        <v>445</v>
      </c>
      <c r="AC31" s="142"/>
    </row>
    <row r="32" spans="1:48" x14ac:dyDescent="0.15">
      <c r="A32" s="137" t="s">
        <v>61</v>
      </c>
      <c r="B32" s="137" t="s">
        <v>400</v>
      </c>
      <c r="C32" s="137">
        <v>2018</v>
      </c>
      <c r="D32" s="138" t="s">
        <v>401</v>
      </c>
      <c r="E32" s="137" t="s">
        <v>246</v>
      </c>
      <c r="F32" s="137" t="s">
        <v>247</v>
      </c>
      <c r="G32" s="137" t="s">
        <v>42</v>
      </c>
      <c r="H32" s="247" t="s">
        <v>157</v>
      </c>
      <c r="I32" s="247" t="s">
        <v>155</v>
      </c>
      <c r="J32" s="137" t="s">
        <v>38</v>
      </c>
      <c r="K32" s="247" t="s">
        <v>156</v>
      </c>
      <c r="L32" s="247">
        <v>1</v>
      </c>
      <c r="M32" s="247"/>
      <c r="N32" s="247">
        <v>5</v>
      </c>
      <c r="O32" s="247">
        <v>0.65</v>
      </c>
      <c r="P32" s="247">
        <v>0.6</v>
      </c>
      <c r="Q32" s="139">
        <f t="shared" si="0"/>
        <v>0.625</v>
      </c>
      <c r="R32" s="247">
        <v>17.100000000000001</v>
      </c>
      <c r="S32" s="247">
        <v>86</v>
      </c>
      <c r="T32" s="140">
        <f t="shared" si="1"/>
        <v>36</v>
      </c>
      <c r="U32" s="247">
        <v>84</v>
      </c>
      <c r="V32" s="141">
        <f t="shared" si="2"/>
        <v>604.80000000000007</v>
      </c>
      <c r="W32" s="247">
        <v>14</v>
      </c>
      <c r="X32" s="137" t="s">
        <v>46</v>
      </c>
      <c r="Y32" s="247" t="s">
        <v>88</v>
      </c>
      <c r="Z32" s="247" t="s">
        <v>78</v>
      </c>
      <c r="AA32" s="247" t="s">
        <v>97</v>
      </c>
      <c r="AB32" s="137" t="s">
        <v>445</v>
      </c>
      <c r="AC32" s="142"/>
    </row>
    <row r="33" spans="1:29" x14ac:dyDescent="0.15">
      <c r="A33" s="137" t="s">
        <v>61</v>
      </c>
      <c r="B33" s="137" t="s">
        <v>400</v>
      </c>
      <c r="C33" s="137">
        <v>2018</v>
      </c>
      <c r="D33" s="138" t="s">
        <v>401</v>
      </c>
      <c r="E33" s="137" t="s">
        <v>246</v>
      </c>
      <c r="F33" s="137" t="s">
        <v>247</v>
      </c>
      <c r="G33" s="137" t="s">
        <v>42</v>
      </c>
      <c r="H33" s="247" t="s">
        <v>157</v>
      </c>
      <c r="I33" s="247" t="s">
        <v>155</v>
      </c>
      <c r="J33" s="137" t="s">
        <v>38</v>
      </c>
      <c r="K33" s="247" t="s">
        <v>156</v>
      </c>
      <c r="L33" s="247">
        <v>2</v>
      </c>
      <c r="M33" s="247"/>
      <c r="N33" s="247">
        <v>5</v>
      </c>
      <c r="O33" s="247">
        <v>0.75</v>
      </c>
      <c r="P33" s="247">
        <v>0.75</v>
      </c>
      <c r="Q33" s="139">
        <f t="shared" si="0"/>
        <v>0.75</v>
      </c>
      <c r="R33" s="247">
        <v>17</v>
      </c>
      <c r="S33" s="247">
        <v>88</v>
      </c>
      <c r="T33" s="140">
        <f t="shared" si="1"/>
        <v>36</v>
      </c>
      <c r="U33" s="247">
        <v>84</v>
      </c>
      <c r="V33" s="141">
        <f t="shared" si="2"/>
        <v>604.80000000000007</v>
      </c>
      <c r="W33" s="247">
        <v>14</v>
      </c>
      <c r="X33" s="137" t="s">
        <v>46</v>
      </c>
      <c r="Y33" s="247" t="s">
        <v>88</v>
      </c>
      <c r="Z33" s="247" t="s">
        <v>78</v>
      </c>
      <c r="AA33" s="247" t="s">
        <v>97</v>
      </c>
      <c r="AB33" s="137" t="s">
        <v>445</v>
      </c>
      <c r="AC33" s="142"/>
    </row>
    <row r="34" spans="1:29" x14ac:dyDescent="0.15">
      <c r="A34" s="137" t="s">
        <v>61</v>
      </c>
      <c r="B34" s="137" t="s">
        <v>400</v>
      </c>
      <c r="C34" s="137">
        <v>2018</v>
      </c>
      <c r="D34" s="138" t="s">
        <v>401</v>
      </c>
      <c r="E34" s="137" t="s">
        <v>246</v>
      </c>
      <c r="F34" s="137" t="s">
        <v>247</v>
      </c>
      <c r="G34" s="137" t="s">
        <v>42</v>
      </c>
      <c r="H34" s="247" t="s">
        <v>157</v>
      </c>
      <c r="I34" s="247" t="s">
        <v>155</v>
      </c>
      <c r="J34" s="137" t="s">
        <v>38</v>
      </c>
      <c r="K34" s="247" t="s">
        <v>156</v>
      </c>
      <c r="L34" s="247">
        <v>3</v>
      </c>
      <c r="M34" s="247"/>
      <c r="N34" s="247">
        <v>5</v>
      </c>
      <c r="O34" s="247">
        <v>0.65</v>
      </c>
      <c r="P34" s="247">
        <v>0.65</v>
      </c>
      <c r="Q34" s="139">
        <f t="shared" si="0"/>
        <v>0.65</v>
      </c>
      <c r="R34" s="247">
        <v>16.8</v>
      </c>
      <c r="S34" s="247">
        <v>91</v>
      </c>
      <c r="T34" s="140">
        <f t="shared" si="1"/>
        <v>36</v>
      </c>
      <c r="U34" s="247">
        <v>84</v>
      </c>
      <c r="V34" s="141">
        <f t="shared" si="2"/>
        <v>604.80000000000007</v>
      </c>
      <c r="W34" s="247">
        <v>14</v>
      </c>
      <c r="X34" s="137" t="s">
        <v>46</v>
      </c>
      <c r="Y34" s="247" t="s">
        <v>88</v>
      </c>
      <c r="Z34" s="247" t="s">
        <v>78</v>
      </c>
      <c r="AA34" s="247" t="s">
        <v>97</v>
      </c>
      <c r="AB34" s="137" t="s">
        <v>445</v>
      </c>
      <c r="AC34" s="142"/>
    </row>
    <row r="35" spans="1:29" x14ac:dyDescent="0.15">
      <c r="A35" s="137" t="s">
        <v>61</v>
      </c>
      <c r="B35" s="137" t="s">
        <v>400</v>
      </c>
      <c r="C35" s="137">
        <v>2018</v>
      </c>
      <c r="D35" s="138" t="s">
        <v>401</v>
      </c>
      <c r="E35" s="137" t="s">
        <v>246</v>
      </c>
      <c r="F35" s="137" t="s">
        <v>247</v>
      </c>
      <c r="G35" s="137" t="s">
        <v>42</v>
      </c>
      <c r="H35" s="247" t="s">
        <v>160</v>
      </c>
      <c r="I35" s="247" t="s">
        <v>155</v>
      </c>
      <c r="J35" s="137" t="s">
        <v>38</v>
      </c>
      <c r="K35" s="247" t="s">
        <v>156</v>
      </c>
      <c r="L35" s="247">
        <v>1</v>
      </c>
      <c r="M35" s="247"/>
      <c r="N35" s="247">
        <v>1</v>
      </c>
      <c r="O35" s="247">
        <v>0.6</v>
      </c>
      <c r="P35" s="247">
        <v>0.6</v>
      </c>
      <c r="Q35" s="139">
        <f t="shared" si="0"/>
        <v>0.6</v>
      </c>
      <c r="R35" s="247">
        <v>18.2</v>
      </c>
      <c r="S35" s="247">
        <v>142</v>
      </c>
      <c r="T35" s="140">
        <f t="shared" si="1"/>
        <v>22</v>
      </c>
      <c r="U35" s="247">
        <v>138</v>
      </c>
      <c r="V35" s="141">
        <f t="shared" si="2"/>
        <v>3036</v>
      </c>
      <c r="W35" s="247">
        <v>14</v>
      </c>
      <c r="X35" s="137" t="s">
        <v>46</v>
      </c>
      <c r="Y35" s="247" t="s">
        <v>88</v>
      </c>
      <c r="Z35" s="247" t="s">
        <v>78</v>
      </c>
      <c r="AA35" s="247" t="s">
        <v>97</v>
      </c>
      <c r="AB35" s="137" t="s">
        <v>445</v>
      </c>
      <c r="AC35" s="142"/>
    </row>
    <row r="36" spans="1:29" x14ac:dyDescent="0.15">
      <c r="A36" s="137" t="s">
        <v>61</v>
      </c>
      <c r="B36" s="137" t="s">
        <v>400</v>
      </c>
      <c r="C36" s="137">
        <v>2018</v>
      </c>
      <c r="D36" s="138" t="s">
        <v>401</v>
      </c>
      <c r="E36" s="137" t="s">
        <v>246</v>
      </c>
      <c r="F36" s="137" t="s">
        <v>247</v>
      </c>
      <c r="G36" s="137" t="s">
        <v>42</v>
      </c>
      <c r="H36" s="247" t="s">
        <v>160</v>
      </c>
      <c r="I36" s="247" t="s">
        <v>155</v>
      </c>
      <c r="J36" s="137" t="s">
        <v>38</v>
      </c>
      <c r="K36" s="247" t="s">
        <v>156</v>
      </c>
      <c r="L36" s="247">
        <v>2</v>
      </c>
      <c r="M36" s="247"/>
      <c r="N36" s="247">
        <v>1</v>
      </c>
      <c r="O36" s="247">
        <v>0.65</v>
      </c>
      <c r="P36" s="247">
        <v>0.65</v>
      </c>
      <c r="Q36" s="139">
        <f t="shared" si="0"/>
        <v>0.65</v>
      </c>
      <c r="R36" s="247">
        <v>18.5</v>
      </c>
      <c r="S36" s="247">
        <v>143</v>
      </c>
      <c r="T36" s="140">
        <f t="shared" si="1"/>
        <v>22</v>
      </c>
      <c r="U36" s="247">
        <v>138</v>
      </c>
      <c r="V36" s="141">
        <f t="shared" si="2"/>
        <v>3036</v>
      </c>
      <c r="W36" s="247">
        <v>14</v>
      </c>
      <c r="X36" s="137" t="s">
        <v>46</v>
      </c>
      <c r="Y36" s="247" t="s">
        <v>88</v>
      </c>
      <c r="Z36" s="247" t="s">
        <v>78</v>
      </c>
      <c r="AA36" s="247" t="s">
        <v>97</v>
      </c>
      <c r="AB36" s="137" t="s">
        <v>445</v>
      </c>
      <c r="AC36" s="142"/>
    </row>
    <row r="37" spans="1:29" x14ac:dyDescent="0.15">
      <c r="A37" s="137" t="s">
        <v>61</v>
      </c>
      <c r="B37" s="137" t="s">
        <v>400</v>
      </c>
      <c r="C37" s="137">
        <v>2018</v>
      </c>
      <c r="D37" s="138" t="s">
        <v>401</v>
      </c>
      <c r="E37" s="137" t="s">
        <v>246</v>
      </c>
      <c r="F37" s="137" t="s">
        <v>247</v>
      </c>
      <c r="G37" s="137" t="s">
        <v>42</v>
      </c>
      <c r="H37" s="247" t="s">
        <v>160</v>
      </c>
      <c r="I37" s="247" t="s">
        <v>155</v>
      </c>
      <c r="J37" s="137" t="s">
        <v>38</v>
      </c>
      <c r="K37" s="247" t="s">
        <v>156</v>
      </c>
      <c r="L37" s="247">
        <v>3</v>
      </c>
      <c r="M37" s="247"/>
      <c r="N37" s="247">
        <v>1</v>
      </c>
      <c r="O37" s="247">
        <v>0.5</v>
      </c>
      <c r="P37" s="247">
        <v>0.5</v>
      </c>
      <c r="Q37" s="139">
        <f t="shared" si="0"/>
        <v>0.5</v>
      </c>
      <c r="R37" s="247">
        <v>18.3</v>
      </c>
      <c r="S37" s="247">
        <v>139</v>
      </c>
      <c r="T37" s="140">
        <f t="shared" si="1"/>
        <v>22</v>
      </c>
      <c r="U37" s="247">
        <v>138</v>
      </c>
      <c r="V37" s="141">
        <f t="shared" si="2"/>
        <v>3036</v>
      </c>
      <c r="W37" s="247">
        <v>14</v>
      </c>
      <c r="X37" s="137" t="s">
        <v>46</v>
      </c>
      <c r="Y37" s="247" t="s">
        <v>88</v>
      </c>
      <c r="Z37" s="247" t="s">
        <v>78</v>
      </c>
      <c r="AA37" s="247" t="s">
        <v>97</v>
      </c>
      <c r="AB37" s="137" t="s">
        <v>445</v>
      </c>
      <c r="AC37" s="142"/>
    </row>
    <row r="38" spans="1:29" x14ac:dyDescent="0.15">
      <c r="A38" s="137" t="s">
        <v>61</v>
      </c>
      <c r="B38" s="137" t="s">
        <v>400</v>
      </c>
      <c r="C38" s="137">
        <v>2018</v>
      </c>
      <c r="D38" s="138" t="s">
        <v>401</v>
      </c>
      <c r="E38" s="137" t="s">
        <v>246</v>
      </c>
      <c r="F38" s="137" t="s">
        <v>247</v>
      </c>
      <c r="G38" s="137" t="s">
        <v>42</v>
      </c>
      <c r="H38" s="247" t="s">
        <v>157</v>
      </c>
      <c r="I38" s="247" t="s">
        <v>158</v>
      </c>
      <c r="J38" s="137" t="s">
        <v>38</v>
      </c>
      <c r="K38" s="247" t="s">
        <v>156</v>
      </c>
      <c r="L38" s="247">
        <v>1</v>
      </c>
      <c r="M38" s="247"/>
      <c r="N38" s="247">
        <v>2</v>
      </c>
      <c r="O38" s="247">
        <v>0.6</v>
      </c>
      <c r="P38" s="247">
        <v>0.6</v>
      </c>
      <c r="Q38" s="139">
        <f t="shared" si="0"/>
        <v>0.6</v>
      </c>
      <c r="R38" s="247">
        <v>17.2</v>
      </c>
      <c r="S38" s="247">
        <v>126</v>
      </c>
      <c r="T38" s="140">
        <f t="shared" si="1"/>
        <v>27</v>
      </c>
      <c r="U38" s="247">
        <v>429</v>
      </c>
      <c r="V38" s="141">
        <f t="shared" si="2"/>
        <v>5791.5</v>
      </c>
      <c r="W38" s="247">
        <v>14</v>
      </c>
      <c r="X38" s="137" t="s">
        <v>46</v>
      </c>
      <c r="Y38" s="247" t="s">
        <v>88</v>
      </c>
      <c r="Z38" s="247" t="s">
        <v>78</v>
      </c>
      <c r="AA38" s="247" t="s">
        <v>97</v>
      </c>
      <c r="AB38" s="137" t="s">
        <v>445</v>
      </c>
      <c r="AC38" s="142"/>
    </row>
    <row r="39" spans="1:29" x14ac:dyDescent="0.15">
      <c r="A39" s="137" t="s">
        <v>61</v>
      </c>
      <c r="B39" s="137" t="s">
        <v>400</v>
      </c>
      <c r="C39" s="137">
        <v>2018</v>
      </c>
      <c r="D39" s="138" t="s">
        <v>401</v>
      </c>
      <c r="E39" s="137" t="s">
        <v>246</v>
      </c>
      <c r="F39" s="137" t="s">
        <v>247</v>
      </c>
      <c r="G39" s="137" t="s">
        <v>42</v>
      </c>
      <c r="H39" s="247" t="s">
        <v>157</v>
      </c>
      <c r="I39" s="247" t="s">
        <v>158</v>
      </c>
      <c r="J39" s="137" t="s">
        <v>38</v>
      </c>
      <c r="K39" s="247" t="s">
        <v>156</v>
      </c>
      <c r="L39" s="247">
        <v>2</v>
      </c>
      <c r="M39" s="247"/>
      <c r="N39" s="247">
        <v>2</v>
      </c>
      <c r="O39" s="247">
        <v>0.65</v>
      </c>
      <c r="P39" s="247">
        <v>0.7</v>
      </c>
      <c r="Q39" s="139">
        <f t="shared" si="0"/>
        <v>0.67500000000000004</v>
      </c>
      <c r="R39" s="247">
        <v>17.3</v>
      </c>
      <c r="S39" s="247">
        <v>122</v>
      </c>
      <c r="T39" s="140">
        <f t="shared" si="1"/>
        <v>27</v>
      </c>
      <c r="U39" s="247">
        <v>429</v>
      </c>
      <c r="V39" s="141">
        <f t="shared" si="2"/>
        <v>5791.5</v>
      </c>
      <c r="W39" s="247">
        <v>14</v>
      </c>
      <c r="X39" s="137" t="s">
        <v>46</v>
      </c>
      <c r="Y39" s="247" t="s">
        <v>88</v>
      </c>
      <c r="Z39" s="247" t="s">
        <v>78</v>
      </c>
      <c r="AA39" s="247" t="s">
        <v>97</v>
      </c>
      <c r="AB39" s="137" t="s">
        <v>445</v>
      </c>
      <c r="AC39" s="142"/>
    </row>
    <row r="40" spans="1:29" x14ac:dyDescent="0.15">
      <c r="A40" s="137" t="s">
        <v>61</v>
      </c>
      <c r="B40" s="137" t="s">
        <v>400</v>
      </c>
      <c r="C40" s="137">
        <v>2018</v>
      </c>
      <c r="D40" s="138" t="s">
        <v>401</v>
      </c>
      <c r="E40" s="137" t="s">
        <v>246</v>
      </c>
      <c r="F40" s="137" t="s">
        <v>247</v>
      </c>
      <c r="G40" s="137" t="s">
        <v>42</v>
      </c>
      <c r="H40" s="247" t="s">
        <v>157</v>
      </c>
      <c r="I40" s="247" t="s">
        <v>158</v>
      </c>
      <c r="J40" s="137" t="s">
        <v>38</v>
      </c>
      <c r="K40" s="247" t="s">
        <v>156</v>
      </c>
      <c r="L40" s="247">
        <v>3</v>
      </c>
      <c r="M40" s="247"/>
      <c r="N40" s="247">
        <v>2</v>
      </c>
      <c r="O40" s="247">
        <v>0.7</v>
      </c>
      <c r="P40" s="247">
        <v>0.7</v>
      </c>
      <c r="Q40" s="139">
        <f t="shared" si="0"/>
        <v>0.7</v>
      </c>
      <c r="R40" s="247">
        <v>17</v>
      </c>
      <c r="S40" s="247">
        <v>128</v>
      </c>
      <c r="T40" s="140">
        <f t="shared" si="1"/>
        <v>27</v>
      </c>
      <c r="U40" s="247">
        <v>429</v>
      </c>
      <c r="V40" s="141">
        <f t="shared" si="2"/>
        <v>5791.5</v>
      </c>
      <c r="W40" s="247">
        <v>14</v>
      </c>
      <c r="X40" s="137" t="s">
        <v>46</v>
      </c>
      <c r="Y40" s="247" t="s">
        <v>88</v>
      </c>
      <c r="Z40" s="247" t="s">
        <v>78</v>
      </c>
      <c r="AA40" s="247" t="s">
        <v>97</v>
      </c>
      <c r="AB40" s="137" t="s">
        <v>445</v>
      </c>
      <c r="AC40" s="142"/>
    </row>
    <row r="41" spans="1:29" x14ac:dyDescent="0.15">
      <c r="A41" s="137" t="s">
        <v>61</v>
      </c>
      <c r="B41" s="137" t="s">
        <v>400</v>
      </c>
      <c r="C41" s="137">
        <v>2018</v>
      </c>
      <c r="D41" s="138" t="s">
        <v>401</v>
      </c>
      <c r="E41" s="137" t="s">
        <v>248</v>
      </c>
      <c r="F41" s="137" t="s">
        <v>249</v>
      </c>
      <c r="G41" s="137" t="s">
        <v>42</v>
      </c>
      <c r="H41" s="247" t="s">
        <v>157</v>
      </c>
      <c r="I41" s="247" t="s">
        <v>155</v>
      </c>
      <c r="J41" s="137" t="s">
        <v>38</v>
      </c>
      <c r="K41" s="247" t="s">
        <v>156</v>
      </c>
      <c r="L41" s="247">
        <v>1</v>
      </c>
      <c r="M41" s="247"/>
      <c r="N41" s="247">
        <v>1</v>
      </c>
      <c r="O41" s="247">
        <v>0.8</v>
      </c>
      <c r="P41" s="247">
        <v>0.75</v>
      </c>
      <c r="Q41" s="139">
        <f t="shared" si="0"/>
        <v>0.77500000000000002</v>
      </c>
      <c r="R41" s="247">
        <v>17.5</v>
      </c>
      <c r="S41" s="247">
        <v>129</v>
      </c>
      <c r="T41" s="140">
        <f t="shared" si="1"/>
        <v>25</v>
      </c>
      <c r="U41" s="247">
        <v>98</v>
      </c>
      <c r="V41" s="141">
        <f t="shared" si="2"/>
        <v>2450</v>
      </c>
      <c r="W41" s="247">
        <v>9</v>
      </c>
      <c r="X41" s="137" t="s">
        <v>46</v>
      </c>
      <c r="Y41" s="247" t="s">
        <v>97</v>
      </c>
      <c r="Z41" s="247" t="s">
        <v>88</v>
      </c>
      <c r="AA41" s="247" t="s">
        <v>78</v>
      </c>
      <c r="AB41" s="137" t="s">
        <v>445</v>
      </c>
      <c r="AC41" s="142"/>
    </row>
    <row r="42" spans="1:29" x14ac:dyDescent="0.15">
      <c r="A42" s="137" t="s">
        <v>61</v>
      </c>
      <c r="B42" s="137" t="s">
        <v>400</v>
      </c>
      <c r="C42" s="137">
        <v>2018</v>
      </c>
      <c r="D42" s="138" t="s">
        <v>401</v>
      </c>
      <c r="E42" s="137" t="s">
        <v>248</v>
      </c>
      <c r="F42" s="137" t="s">
        <v>249</v>
      </c>
      <c r="G42" s="137" t="s">
        <v>42</v>
      </c>
      <c r="H42" s="247" t="s">
        <v>157</v>
      </c>
      <c r="I42" s="247" t="s">
        <v>155</v>
      </c>
      <c r="J42" s="137" t="s">
        <v>38</v>
      </c>
      <c r="K42" s="247" t="s">
        <v>156</v>
      </c>
      <c r="L42" s="247">
        <v>2</v>
      </c>
      <c r="M42" s="247"/>
      <c r="N42" s="247">
        <v>1</v>
      </c>
      <c r="O42" s="247">
        <v>0.9</v>
      </c>
      <c r="P42" s="247">
        <v>0.9</v>
      </c>
      <c r="Q42" s="139">
        <f t="shared" si="0"/>
        <v>0.9</v>
      </c>
      <c r="R42" s="247">
        <v>17.2</v>
      </c>
      <c r="S42" s="247">
        <v>132</v>
      </c>
      <c r="T42" s="140">
        <f t="shared" si="1"/>
        <v>25</v>
      </c>
      <c r="U42" s="247">
        <v>98</v>
      </c>
      <c r="V42" s="141">
        <f t="shared" si="2"/>
        <v>2450</v>
      </c>
      <c r="W42" s="247">
        <v>9</v>
      </c>
      <c r="X42" s="137" t="s">
        <v>46</v>
      </c>
      <c r="Y42" s="247" t="s">
        <v>97</v>
      </c>
      <c r="Z42" s="247" t="s">
        <v>88</v>
      </c>
      <c r="AA42" s="247" t="s">
        <v>78</v>
      </c>
      <c r="AB42" s="137" t="s">
        <v>445</v>
      </c>
      <c r="AC42" s="142"/>
    </row>
    <row r="43" spans="1:29" x14ac:dyDescent="0.15">
      <c r="A43" s="137" t="s">
        <v>61</v>
      </c>
      <c r="B43" s="137" t="s">
        <v>400</v>
      </c>
      <c r="C43" s="137">
        <v>2018</v>
      </c>
      <c r="D43" s="138" t="s">
        <v>401</v>
      </c>
      <c r="E43" s="137" t="s">
        <v>248</v>
      </c>
      <c r="F43" s="137" t="s">
        <v>249</v>
      </c>
      <c r="G43" s="137" t="s">
        <v>42</v>
      </c>
      <c r="H43" s="247" t="s">
        <v>157</v>
      </c>
      <c r="I43" s="247" t="s">
        <v>155</v>
      </c>
      <c r="J43" s="137" t="s">
        <v>38</v>
      </c>
      <c r="K43" s="247" t="s">
        <v>156</v>
      </c>
      <c r="L43" s="247">
        <v>3</v>
      </c>
      <c r="M43" s="247"/>
      <c r="N43" s="247">
        <v>1</v>
      </c>
      <c r="O43" s="247">
        <v>0.75</v>
      </c>
      <c r="P43" s="247">
        <v>0.75</v>
      </c>
      <c r="Q43" s="139">
        <f t="shared" si="0"/>
        <v>0.75</v>
      </c>
      <c r="R43" s="247">
        <v>17.8</v>
      </c>
      <c r="S43" s="247">
        <v>134</v>
      </c>
      <c r="T43" s="140">
        <f t="shared" si="1"/>
        <v>25</v>
      </c>
      <c r="U43" s="247">
        <v>98</v>
      </c>
      <c r="V43" s="141">
        <f t="shared" si="2"/>
        <v>2450</v>
      </c>
      <c r="W43" s="247">
        <v>9</v>
      </c>
      <c r="X43" s="137" t="s">
        <v>46</v>
      </c>
      <c r="Y43" s="247" t="s">
        <v>97</v>
      </c>
      <c r="Z43" s="247" t="s">
        <v>88</v>
      </c>
      <c r="AA43" s="247" t="s">
        <v>78</v>
      </c>
      <c r="AB43" s="137" t="s">
        <v>445</v>
      </c>
      <c r="AC43" s="142"/>
    </row>
    <row r="44" spans="1:29" x14ac:dyDescent="0.15">
      <c r="A44" s="137" t="s">
        <v>61</v>
      </c>
      <c r="B44" s="137" t="s">
        <v>400</v>
      </c>
      <c r="C44" s="137">
        <v>2018</v>
      </c>
      <c r="D44" s="138" t="s">
        <v>401</v>
      </c>
      <c r="E44" s="137" t="s">
        <v>248</v>
      </c>
      <c r="F44" s="137" t="s">
        <v>249</v>
      </c>
      <c r="G44" s="137" t="s">
        <v>42</v>
      </c>
      <c r="H44" s="247" t="s">
        <v>160</v>
      </c>
      <c r="I44" s="247" t="s">
        <v>155</v>
      </c>
      <c r="J44" s="137" t="s">
        <v>38</v>
      </c>
      <c r="K44" s="247" t="s">
        <v>156</v>
      </c>
      <c r="L44" s="247">
        <v>1</v>
      </c>
      <c r="M44" s="247"/>
      <c r="N44" s="247">
        <v>1</v>
      </c>
      <c r="O44" s="247">
        <v>0.6</v>
      </c>
      <c r="P44" s="247">
        <v>0.55000000000000004</v>
      </c>
      <c r="Q44" s="139">
        <f t="shared" si="0"/>
        <v>0.57499999999999996</v>
      </c>
      <c r="R44" s="247">
        <v>17.8</v>
      </c>
      <c r="S44" s="247">
        <v>171</v>
      </c>
      <c r="T44" s="140">
        <f t="shared" si="1"/>
        <v>18</v>
      </c>
      <c r="U44" s="247">
        <v>128</v>
      </c>
      <c r="V44" s="141">
        <f t="shared" si="2"/>
        <v>2304</v>
      </c>
      <c r="W44" s="247">
        <v>9</v>
      </c>
      <c r="X44" s="137" t="s">
        <v>46</v>
      </c>
      <c r="Y44" s="247" t="s">
        <v>97</v>
      </c>
      <c r="Z44" s="247" t="s">
        <v>88</v>
      </c>
      <c r="AA44" s="247" t="s">
        <v>78</v>
      </c>
      <c r="AB44" s="137" t="s">
        <v>445</v>
      </c>
      <c r="AC44" s="247"/>
    </row>
    <row r="45" spans="1:29" x14ac:dyDescent="0.15">
      <c r="A45" s="137" t="s">
        <v>61</v>
      </c>
      <c r="B45" s="137" t="s">
        <v>400</v>
      </c>
      <c r="C45" s="137">
        <v>2018</v>
      </c>
      <c r="D45" s="138" t="s">
        <v>401</v>
      </c>
      <c r="E45" s="137" t="s">
        <v>248</v>
      </c>
      <c r="F45" s="137" t="s">
        <v>249</v>
      </c>
      <c r="G45" s="137" t="s">
        <v>42</v>
      </c>
      <c r="H45" s="247" t="s">
        <v>160</v>
      </c>
      <c r="I45" s="247" t="s">
        <v>155</v>
      </c>
      <c r="J45" s="137" t="s">
        <v>38</v>
      </c>
      <c r="K45" s="247" t="s">
        <v>156</v>
      </c>
      <c r="L45" s="247">
        <v>2</v>
      </c>
      <c r="M45" s="247"/>
      <c r="N45" s="247">
        <v>1</v>
      </c>
      <c r="O45" s="247">
        <v>0.6</v>
      </c>
      <c r="P45" s="247">
        <v>0.6</v>
      </c>
      <c r="Q45" s="139">
        <f t="shared" si="0"/>
        <v>0.6</v>
      </c>
      <c r="R45" s="247">
        <v>18.100000000000001</v>
      </c>
      <c r="S45" s="247">
        <v>168</v>
      </c>
      <c r="T45" s="140">
        <f t="shared" si="1"/>
        <v>18</v>
      </c>
      <c r="U45" s="247">
        <v>128</v>
      </c>
      <c r="V45" s="141">
        <f t="shared" si="2"/>
        <v>2304</v>
      </c>
      <c r="W45" s="247">
        <v>9</v>
      </c>
      <c r="X45" s="137" t="s">
        <v>46</v>
      </c>
      <c r="Y45" s="247" t="s">
        <v>97</v>
      </c>
      <c r="Z45" s="247" t="s">
        <v>88</v>
      </c>
      <c r="AA45" s="247" t="s">
        <v>78</v>
      </c>
      <c r="AB45" s="137" t="s">
        <v>445</v>
      </c>
      <c r="AC45" s="247"/>
    </row>
    <row r="46" spans="1:29" x14ac:dyDescent="0.15">
      <c r="A46" s="137" t="s">
        <v>61</v>
      </c>
      <c r="B46" s="137" t="s">
        <v>400</v>
      </c>
      <c r="C46" s="137">
        <v>2018</v>
      </c>
      <c r="D46" s="138" t="s">
        <v>401</v>
      </c>
      <c r="E46" s="137" t="s">
        <v>248</v>
      </c>
      <c r="F46" s="137" t="s">
        <v>249</v>
      </c>
      <c r="G46" s="137" t="s">
        <v>42</v>
      </c>
      <c r="H46" s="247" t="s">
        <v>160</v>
      </c>
      <c r="I46" s="247" t="s">
        <v>155</v>
      </c>
      <c r="J46" s="137" t="s">
        <v>38</v>
      </c>
      <c r="K46" s="247" t="s">
        <v>156</v>
      </c>
      <c r="L46" s="247">
        <v>3</v>
      </c>
      <c r="M46" s="247"/>
      <c r="N46" s="247">
        <v>1</v>
      </c>
      <c r="O46" s="247">
        <v>0.6</v>
      </c>
      <c r="P46" s="247">
        <v>0.6</v>
      </c>
      <c r="Q46" s="139">
        <f t="shared" si="0"/>
        <v>0.6</v>
      </c>
      <c r="R46" s="247">
        <v>18.3</v>
      </c>
      <c r="S46" s="247">
        <v>160</v>
      </c>
      <c r="T46" s="140">
        <f t="shared" si="1"/>
        <v>18</v>
      </c>
      <c r="U46" s="247">
        <v>128</v>
      </c>
      <c r="V46" s="141">
        <f t="shared" si="2"/>
        <v>2304</v>
      </c>
      <c r="W46" s="247">
        <v>9</v>
      </c>
      <c r="X46" s="137" t="s">
        <v>46</v>
      </c>
      <c r="Y46" s="247" t="s">
        <v>97</v>
      </c>
      <c r="Z46" s="247" t="s">
        <v>88</v>
      </c>
      <c r="AA46" s="247" t="s">
        <v>78</v>
      </c>
      <c r="AB46" s="137" t="s">
        <v>445</v>
      </c>
      <c r="AC46" s="247"/>
    </row>
    <row r="47" spans="1:29" x14ac:dyDescent="0.15">
      <c r="A47" s="137" t="s">
        <v>61</v>
      </c>
      <c r="B47" s="137" t="s">
        <v>400</v>
      </c>
      <c r="C47" s="137">
        <v>2018</v>
      </c>
      <c r="D47" s="138" t="s">
        <v>401</v>
      </c>
      <c r="E47" s="137" t="s">
        <v>250</v>
      </c>
      <c r="F47" s="137" t="s">
        <v>251</v>
      </c>
      <c r="G47" s="137" t="s">
        <v>42</v>
      </c>
      <c r="H47" s="247" t="s">
        <v>157</v>
      </c>
      <c r="I47" s="247" t="s">
        <v>155</v>
      </c>
      <c r="J47" s="137" t="s">
        <v>38</v>
      </c>
      <c r="K47" s="247" t="s">
        <v>156</v>
      </c>
      <c r="L47" s="247">
        <v>1</v>
      </c>
      <c r="M47" s="247"/>
      <c r="N47" s="247">
        <v>1</v>
      </c>
      <c r="O47" s="247">
        <v>0.5</v>
      </c>
      <c r="P47" s="247">
        <v>0.55000000000000004</v>
      </c>
      <c r="Q47" s="139">
        <f t="shared" si="0"/>
        <v>0.52500000000000002</v>
      </c>
      <c r="R47" s="247">
        <v>15.6</v>
      </c>
      <c r="S47" s="247">
        <v>138</v>
      </c>
      <c r="T47" s="140">
        <f t="shared" si="1"/>
        <v>22</v>
      </c>
      <c r="U47" s="247">
        <v>138</v>
      </c>
      <c r="V47" s="141">
        <f t="shared" si="2"/>
        <v>3036</v>
      </c>
      <c r="W47" s="247">
        <v>11</v>
      </c>
      <c r="X47" s="137" t="s">
        <v>39</v>
      </c>
      <c r="Y47" s="247" t="s">
        <v>97</v>
      </c>
      <c r="Z47" s="247" t="s">
        <v>78</v>
      </c>
      <c r="AA47" s="247" t="s">
        <v>69</v>
      </c>
      <c r="AB47" s="137" t="s">
        <v>445</v>
      </c>
      <c r="AC47" s="142"/>
    </row>
    <row r="48" spans="1:29" x14ac:dyDescent="0.15">
      <c r="A48" s="137" t="s">
        <v>61</v>
      </c>
      <c r="B48" s="137" t="s">
        <v>400</v>
      </c>
      <c r="C48" s="137">
        <v>2018</v>
      </c>
      <c r="D48" s="138" t="s">
        <v>401</v>
      </c>
      <c r="E48" s="137" t="s">
        <v>250</v>
      </c>
      <c r="F48" s="137" t="s">
        <v>251</v>
      </c>
      <c r="G48" s="137" t="s">
        <v>42</v>
      </c>
      <c r="H48" s="247" t="s">
        <v>157</v>
      </c>
      <c r="I48" s="247" t="s">
        <v>155</v>
      </c>
      <c r="J48" s="137" t="s">
        <v>38</v>
      </c>
      <c r="K48" s="247" t="s">
        <v>156</v>
      </c>
      <c r="L48" s="247">
        <v>2</v>
      </c>
      <c r="M48" s="247"/>
      <c r="N48" s="247">
        <v>1</v>
      </c>
      <c r="O48" s="247">
        <v>0.6</v>
      </c>
      <c r="P48" s="247">
        <v>0.6</v>
      </c>
      <c r="Q48" s="139">
        <f t="shared" si="0"/>
        <v>0.6</v>
      </c>
      <c r="R48" s="247">
        <v>17.100000000000001</v>
      </c>
      <c r="S48" s="247">
        <v>131</v>
      </c>
      <c r="T48" s="140">
        <f t="shared" si="1"/>
        <v>25</v>
      </c>
      <c r="U48" s="247">
        <v>138</v>
      </c>
      <c r="V48" s="141">
        <f t="shared" si="2"/>
        <v>3450</v>
      </c>
      <c r="W48" s="247">
        <v>11</v>
      </c>
      <c r="X48" s="137" t="s">
        <v>39</v>
      </c>
      <c r="Y48" s="247" t="s">
        <v>97</v>
      </c>
      <c r="Z48" s="247" t="s">
        <v>78</v>
      </c>
      <c r="AA48" s="247" t="s">
        <v>69</v>
      </c>
      <c r="AB48" s="137" t="s">
        <v>445</v>
      </c>
      <c r="AC48" s="142"/>
    </row>
    <row r="49" spans="1:29" x14ac:dyDescent="0.15">
      <c r="A49" s="137" t="s">
        <v>61</v>
      </c>
      <c r="B49" s="137" t="s">
        <v>400</v>
      </c>
      <c r="C49" s="137">
        <v>2018</v>
      </c>
      <c r="D49" s="138" t="s">
        <v>401</v>
      </c>
      <c r="E49" s="137" t="s">
        <v>250</v>
      </c>
      <c r="F49" s="137" t="s">
        <v>251</v>
      </c>
      <c r="G49" s="137" t="s">
        <v>42</v>
      </c>
      <c r="H49" s="247" t="s">
        <v>157</v>
      </c>
      <c r="I49" s="247" t="s">
        <v>155</v>
      </c>
      <c r="J49" s="137" t="s">
        <v>38</v>
      </c>
      <c r="K49" s="247" t="s">
        <v>156</v>
      </c>
      <c r="L49" s="247">
        <v>3</v>
      </c>
      <c r="M49" s="247"/>
      <c r="N49" s="247">
        <v>1</v>
      </c>
      <c r="O49" s="247">
        <v>0.5</v>
      </c>
      <c r="P49" s="247">
        <v>0.5</v>
      </c>
      <c r="Q49" s="139">
        <f t="shared" si="0"/>
        <v>0.5</v>
      </c>
      <c r="R49" s="247">
        <v>16.8</v>
      </c>
      <c r="S49" s="247">
        <v>136</v>
      </c>
      <c r="T49" s="140">
        <f t="shared" si="1"/>
        <v>25</v>
      </c>
      <c r="U49" s="247">
        <v>138</v>
      </c>
      <c r="V49" s="141">
        <f t="shared" si="2"/>
        <v>3450</v>
      </c>
      <c r="W49" s="247">
        <v>11</v>
      </c>
      <c r="X49" s="137" t="s">
        <v>39</v>
      </c>
      <c r="Y49" s="247" t="s">
        <v>97</v>
      </c>
      <c r="Z49" s="247" t="s">
        <v>78</v>
      </c>
      <c r="AA49" s="247" t="s">
        <v>69</v>
      </c>
      <c r="AB49" s="137" t="s">
        <v>445</v>
      </c>
      <c r="AC49" s="142"/>
    </row>
    <row r="50" spans="1:29" x14ac:dyDescent="0.15">
      <c r="A50" s="137" t="s">
        <v>61</v>
      </c>
      <c r="B50" s="137" t="s">
        <v>400</v>
      </c>
      <c r="C50" s="137">
        <v>2018</v>
      </c>
      <c r="D50" s="138" t="s">
        <v>401</v>
      </c>
      <c r="E50" s="137" t="s">
        <v>250</v>
      </c>
      <c r="F50" s="137" t="s">
        <v>251</v>
      </c>
      <c r="G50" s="137" t="s">
        <v>42</v>
      </c>
      <c r="H50" s="247" t="s">
        <v>160</v>
      </c>
      <c r="I50" s="247" t="s">
        <v>155</v>
      </c>
      <c r="J50" s="137" t="s">
        <v>38</v>
      </c>
      <c r="K50" s="247" t="s">
        <v>156</v>
      </c>
      <c r="L50" s="247">
        <v>1</v>
      </c>
      <c r="M50" s="247"/>
      <c r="N50" s="247">
        <v>1</v>
      </c>
      <c r="O50" s="247">
        <v>0.6</v>
      </c>
      <c r="P50" s="247">
        <v>0.6</v>
      </c>
      <c r="Q50" s="139">
        <f t="shared" si="0"/>
        <v>0.6</v>
      </c>
      <c r="R50" s="247">
        <v>17.8</v>
      </c>
      <c r="S50" s="247">
        <v>143</v>
      </c>
      <c r="T50" s="140">
        <f t="shared" si="1"/>
        <v>22</v>
      </c>
      <c r="U50" s="247">
        <v>149</v>
      </c>
      <c r="V50" s="141">
        <f t="shared" si="2"/>
        <v>3278</v>
      </c>
      <c r="W50" s="247">
        <v>11</v>
      </c>
      <c r="X50" s="137" t="s">
        <v>39</v>
      </c>
      <c r="Y50" s="247" t="s">
        <v>97</v>
      </c>
      <c r="Z50" s="247" t="s">
        <v>78</v>
      </c>
      <c r="AA50" s="247" t="s">
        <v>69</v>
      </c>
      <c r="AB50" s="137" t="s">
        <v>445</v>
      </c>
      <c r="AC50" s="142"/>
    </row>
    <row r="51" spans="1:29" x14ac:dyDescent="0.15">
      <c r="A51" s="137" t="s">
        <v>61</v>
      </c>
      <c r="B51" s="137" t="s">
        <v>400</v>
      </c>
      <c r="C51" s="137">
        <v>2018</v>
      </c>
      <c r="D51" s="138" t="s">
        <v>401</v>
      </c>
      <c r="E51" s="137" t="s">
        <v>250</v>
      </c>
      <c r="F51" s="137" t="s">
        <v>251</v>
      </c>
      <c r="G51" s="137" t="s">
        <v>42</v>
      </c>
      <c r="H51" s="247" t="s">
        <v>160</v>
      </c>
      <c r="I51" s="247" t="s">
        <v>155</v>
      </c>
      <c r="J51" s="137" t="s">
        <v>38</v>
      </c>
      <c r="K51" s="247" t="s">
        <v>156</v>
      </c>
      <c r="L51" s="247">
        <v>2</v>
      </c>
      <c r="M51" s="247"/>
      <c r="N51" s="247">
        <v>1</v>
      </c>
      <c r="O51" s="247">
        <v>0.55000000000000004</v>
      </c>
      <c r="P51" s="247">
        <v>0.5</v>
      </c>
      <c r="Q51" s="139">
        <f t="shared" si="0"/>
        <v>0.52500000000000002</v>
      </c>
      <c r="R51" s="247">
        <v>18.399999999999999</v>
      </c>
      <c r="S51" s="247">
        <v>140</v>
      </c>
      <c r="T51" s="140">
        <f t="shared" si="1"/>
        <v>22</v>
      </c>
      <c r="U51" s="247">
        <v>149</v>
      </c>
      <c r="V51" s="141">
        <f t="shared" si="2"/>
        <v>3278</v>
      </c>
      <c r="W51" s="247">
        <v>11</v>
      </c>
      <c r="X51" s="137" t="s">
        <v>39</v>
      </c>
      <c r="Y51" s="247" t="s">
        <v>97</v>
      </c>
      <c r="Z51" s="247" t="s">
        <v>78</v>
      </c>
      <c r="AA51" s="247" t="s">
        <v>69</v>
      </c>
      <c r="AB51" s="137" t="s">
        <v>445</v>
      </c>
      <c r="AC51" s="142"/>
    </row>
    <row r="52" spans="1:29" x14ac:dyDescent="0.15">
      <c r="A52" s="137" t="s">
        <v>61</v>
      </c>
      <c r="B52" s="137" t="s">
        <v>400</v>
      </c>
      <c r="C52" s="137">
        <v>2018</v>
      </c>
      <c r="D52" s="138" t="s">
        <v>401</v>
      </c>
      <c r="E52" s="137" t="s">
        <v>250</v>
      </c>
      <c r="F52" s="137" t="s">
        <v>251</v>
      </c>
      <c r="G52" s="137" t="s">
        <v>42</v>
      </c>
      <c r="H52" s="247" t="s">
        <v>160</v>
      </c>
      <c r="I52" s="247" t="s">
        <v>155</v>
      </c>
      <c r="J52" s="137" t="s">
        <v>38</v>
      </c>
      <c r="K52" s="247" t="s">
        <v>156</v>
      </c>
      <c r="L52" s="247">
        <v>3</v>
      </c>
      <c r="M52" s="247"/>
      <c r="N52" s="247">
        <v>1</v>
      </c>
      <c r="O52" s="247">
        <v>0.5</v>
      </c>
      <c r="P52" s="247">
        <v>0.5</v>
      </c>
      <c r="Q52" s="139">
        <f t="shared" si="0"/>
        <v>0.5</v>
      </c>
      <c r="R52" s="247">
        <v>18</v>
      </c>
      <c r="S52" s="247">
        <v>147</v>
      </c>
      <c r="T52" s="140">
        <f t="shared" si="1"/>
        <v>22</v>
      </c>
      <c r="U52" s="247">
        <v>149</v>
      </c>
      <c r="V52" s="141">
        <f t="shared" si="2"/>
        <v>3278</v>
      </c>
      <c r="W52" s="247">
        <v>11</v>
      </c>
      <c r="X52" s="137" t="s">
        <v>39</v>
      </c>
      <c r="Y52" s="247" t="s">
        <v>97</v>
      </c>
      <c r="Z52" s="247" t="s">
        <v>78</v>
      </c>
      <c r="AA52" s="247" t="s">
        <v>69</v>
      </c>
      <c r="AB52" s="137" t="s">
        <v>445</v>
      </c>
      <c r="AC52" s="142"/>
    </row>
    <row r="53" spans="1:29" x14ac:dyDescent="0.15">
      <c r="A53" s="137" t="s">
        <v>61</v>
      </c>
      <c r="B53" s="137" t="s">
        <v>400</v>
      </c>
      <c r="C53" s="137">
        <v>2018</v>
      </c>
      <c r="D53" s="138" t="s">
        <v>401</v>
      </c>
      <c r="E53" s="137" t="s">
        <v>133</v>
      </c>
      <c r="F53" s="137" t="s">
        <v>252</v>
      </c>
      <c r="G53" s="137" t="s">
        <v>42</v>
      </c>
      <c r="H53" s="247" t="s">
        <v>157</v>
      </c>
      <c r="I53" s="247" t="s">
        <v>155</v>
      </c>
      <c r="J53" s="137" t="s">
        <v>38</v>
      </c>
      <c r="K53" s="247" t="s">
        <v>156</v>
      </c>
      <c r="L53" s="247">
        <v>1</v>
      </c>
      <c r="M53" s="247"/>
      <c r="N53" s="247">
        <v>1</v>
      </c>
      <c r="O53" s="247">
        <v>0.7</v>
      </c>
      <c r="P53" s="247">
        <v>0.7</v>
      </c>
      <c r="Q53" s="139">
        <f t="shared" si="0"/>
        <v>0.7</v>
      </c>
      <c r="R53" s="247">
        <v>17.3</v>
      </c>
      <c r="S53" s="247">
        <v>151</v>
      </c>
      <c r="T53" s="140">
        <f t="shared" si="1"/>
        <v>22</v>
      </c>
      <c r="U53" s="247">
        <v>84</v>
      </c>
      <c r="V53" s="141">
        <f t="shared" si="2"/>
        <v>1848</v>
      </c>
      <c r="W53" s="247">
        <v>15</v>
      </c>
      <c r="X53" s="137" t="s">
        <v>46</v>
      </c>
      <c r="Y53" s="247" t="s">
        <v>88</v>
      </c>
      <c r="Z53" s="247" t="s">
        <v>78</v>
      </c>
      <c r="AA53" s="247" t="s">
        <v>69</v>
      </c>
      <c r="AB53" s="137" t="s">
        <v>445</v>
      </c>
      <c r="AC53" s="142"/>
    </row>
    <row r="54" spans="1:29" x14ac:dyDescent="0.15">
      <c r="A54" s="137" t="s">
        <v>61</v>
      </c>
      <c r="B54" s="137" t="s">
        <v>400</v>
      </c>
      <c r="C54" s="137">
        <v>2018</v>
      </c>
      <c r="D54" s="138" t="s">
        <v>401</v>
      </c>
      <c r="E54" s="137" t="s">
        <v>133</v>
      </c>
      <c r="F54" s="137" t="s">
        <v>252</v>
      </c>
      <c r="G54" s="137" t="s">
        <v>42</v>
      </c>
      <c r="H54" s="247" t="s">
        <v>157</v>
      </c>
      <c r="I54" s="247" t="s">
        <v>155</v>
      </c>
      <c r="J54" s="137" t="s">
        <v>38</v>
      </c>
      <c r="K54" s="247" t="s">
        <v>156</v>
      </c>
      <c r="L54" s="247">
        <v>2</v>
      </c>
      <c r="M54" s="247"/>
      <c r="N54" s="247">
        <v>1</v>
      </c>
      <c r="O54" s="247">
        <v>0.7</v>
      </c>
      <c r="P54" s="247">
        <v>0.75</v>
      </c>
      <c r="Q54" s="139">
        <f t="shared" si="0"/>
        <v>0.72499999999999998</v>
      </c>
      <c r="R54" s="247">
        <v>17.100000000000001</v>
      </c>
      <c r="S54" s="247">
        <v>148</v>
      </c>
      <c r="T54" s="140">
        <f t="shared" si="1"/>
        <v>22</v>
      </c>
      <c r="U54" s="247">
        <v>84</v>
      </c>
      <c r="V54" s="141">
        <f t="shared" si="2"/>
        <v>1848</v>
      </c>
      <c r="W54" s="247">
        <v>15</v>
      </c>
      <c r="X54" s="137" t="s">
        <v>46</v>
      </c>
      <c r="Y54" s="247" t="s">
        <v>88</v>
      </c>
      <c r="Z54" s="247" t="s">
        <v>78</v>
      </c>
      <c r="AA54" s="247" t="s">
        <v>69</v>
      </c>
      <c r="AB54" s="137" t="s">
        <v>445</v>
      </c>
      <c r="AC54" s="142"/>
    </row>
    <row r="55" spans="1:29" x14ac:dyDescent="0.15">
      <c r="A55" s="137" t="s">
        <v>61</v>
      </c>
      <c r="B55" s="137" t="s">
        <v>400</v>
      </c>
      <c r="C55" s="137">
        <v>2018</v>
      </c>
      <c r="D55" s="138" t="s">
        <v>401</v>
      </c>
      <c r="E55" s="137" t="s">
        <v>133</v>
      </c>
      <c r="F55" s="137" t="s">
        <v>252</v>
      </c>
      <c r="G55" s="137" t="s">
        <v>42</v>
      </c>
      <c r="H55" s="247" t="s">
        <v>157</v>
      </c>
      <c r="I55" s="247" t="s">
        <v>155</v>
      </c>
      <c r="J55" s="137" t="s">
        <v>38</v>
      </c>
      <c r="K55" s="247" t="s">
        <v>156</v>
      </c>
      <c r="L55" s="247">
        <v>3</v>
      </c>
      <c r="M55" s="247"/>
      <c r="N55" s="247">
        <v>1</v>
      </c>
      <c r="O55" s="247">
        <v>0.6</v>
      </c>
      <c r="P55" s="247">
        <v>0.7</v>
      </c>
      <c r="Q55" s="139">
        <f t="shared" si="0"/>
        <v>0.64999999999999991</v>
      </c>
      <c r="R55" s="247">
        <v>17</v>
      </c>
      <c r="S55" s="247">
        <v>145</v>
      </c>
      <c r="T55" s="140">
        <f t="shared" si="1"/>
        <v>22</v>
      </c>
      <c r="U55" s="247">
        <v>84</v>
      </c>
      <c r="V55" s="141">
        <f t="shared" si="2"/>
        <v>1848</v>
      </c>
      <c r="W55" s="247">
        <v>15</v>
      </c>
      <c r="X55" s="137" t="s">
        <v>46</v>
      </c>
      <c r="Y55" s="247" t="s">
        <v>88</v>
      </c>
      <c r="Z55" s="247" t="s">
        <v>78</v>
      </c>
      <c r="AA55" s="247" t="s">
        <v>69</v>
      </c>
      <c r="AB55" s="137" t="s">
        <v>445</v>
      </c>
      <c r="AC55" s="142"/>
    </row>
    <row r="56" spans="1:29" x14ac:dyDescent="0.15">
      <c r="A56" s="137" t="s">
        <v>61</v>
      </c>
      <c r="B56" s="137" t="s">
        <v>400</v>
      </c>
      <c r="C56" s="137">
        <v>2018</v>
      </c>
      <c r="D56" s="138" t="s">
        <v>401</v>
      </c>
      <c r="E56" s="137" t="s">
        <v>133</v>
      </c>
      <c r="F56" s="137" t="s">
        <v>252</v>
      </c>
      <c r="G56" s="137" t="s">
        <v>42</v>
      </c>
      <c r="H56" s="247" t="s">
        <v>160</v>
      </c>
      <c r="I56" s="247" t="s">
        <v>155</v>
      </c>
      <c r="J56" s="137" t="s">
        <v>38</v>
      </c>
      <c r="K56" s="247" t="s">
        <v>156</v>
      </c>
      <c r="L56" s="247">
        <v>1</v>
      </c>
      <c r="M56" s="247"/>
      <c r="N56" s="247">
        <v>1</v>
      </c>
      <c r="O56" s="247">
        <v>0.7</v>
      </c>
      <c r="P56" s="247">
        <v>0.7</v>
      </c>
      <c r="Q56" s="139">
        <f t="shared" si="0"/>
        <v>0.7</v>
      </c>
      <c r="R56" s="247">
        <v>18.100000000000001</v>
      </c>
      <c r="S56" s="247">
        <v>150</v>
      </c>
      <c r="T56" s="140">
        <f t="shared" si="1"/>
        <v>22</v>
      </c>
      <c r="U56" s="247">
        <v>149</v>
      </c>
      <c r="V56" s="141">
        <f t="shared" si="2"/>
        <v>3278</v>
      </c>
      <c r="W56" s="247">
        <v>15</v>
      </c>
      <c r="X56" s="137" t="s">
        <v>46</v>
      </c>
      <c r="Y56" s="247" t="s">
        <v>88</v>
      </c>
      <c r="Z56" s="247" t="s">
        <v>78</v>
      </c>
      <c r="AA56" s="247" t="s">
        <v>69</v>
      </c>
      <c r="AB56" s="137" t="s">
        <v>445</v>
      </c>
      <c r="AC56" s="142"/>
    </row>
    <row r="57" spans="1:29" x14ac:dyDescent="0.15">
      <c r="A57" s="137" t="s">
        <v>61</v>
      </c>
      <c r="B57" s="137" t="s">
        <v>400</v>
      </c>
      <c r="C57" s="137">
        <v>2018</v>
      </c>
      <c r="D57" s="138" t="s">
        <v>401</v>
      </c>
      <c r="E57" s="137" t="s">
        <v>133</v>
      </c>
      <c r="F57" s="137" t="s">
        <v>252</v>
      </c>
      <c r="G57" s="137" t="s">
        <v>42</v>
      </c>
      <c r="H57" s="247" t="s">
        <v>160</v>
      </c>
      <c r="I57" s="247" t="s">
        <v>155</v>
      </c>
      <c r="J57" s="137" t="s">
        <v>38</v>
      </c>
      <c r="K57" s="247" t="s">
        <v>156</v>
      </c>
      <c r="L57" s="247">
        <v>2</v>
      </c>
      <c r="M57" s="247"/>
      <c r="N57" s="247">
        <v>1</v>
      </c>
      <c r="O57" s="247">
        <v>0.75</v>
      </c>
      <c r="P57" s="247">
        <v>0.7</v>
      </c>
      <c r="Q57" s="139">
        <f t="shared" si="0"/>
        <v>0.72499999999999998</v>
      </c>
      <c r="R57" s="247">
        <v>18.399999999999999</v>
      </c>
      <c r="S57" s="247">
        <v>153</v>
      </c>
      <c r="T57" s="140">
        <f t="shared" si="1"/>
        <v>18</v>
      </c>
      <c r="U57" s="247">
        <v>149</v>
      </c>
      <c r="V57" s="141">
        <f t="shared" si="2"/>
        <v>2682</v>
      </c>
      <c r="W57" s="247">
        <v>15</v>
      </c>
      <c r="X57" s="137" t="s">
        <v>46</v>
      </c>
      <c r="Y57" s="247" t="s">
        <v>88</v>
      </c>
      <c r="Z57" s="247" t="s">
        <v>78</v>
      </c>
      <c r="AA57" s="247" t="s">
        <v>69</v>
      </c>
      <c r="AB57" s="137" t="s">
        <v>445</v>
      </c>
      <c r="AC57" s="142"/>
    </row>
    <row r="58" spans="1:29" x14ac:dyDescent="0.15">
      <c r="A58" s="137" t="s">
        <v>61</v>
      </c>
      <c r="B58" s="137" t="s">
        <v>400</v>
      </c>
      <c r="C58" s="137">
        <v>2018</v>
      </c>
      <c r="D58" s="138" t="s">
        <v>401</v>
      </c>
      <c r="E58" s="137" t="s">
        <v>133</v>
      </c>
      <c r="F58" s="137" t="s">
        <v>252</v>
      </c>
      <c r="G58" s="137" t="s">
        <v>42</v>
      </c>
      <c r="H58" s="247" t="s">
        <v>160</v>
      </c>
      <c r="I58" s="247" t="s">
        <v>155</v>
      </c>
      <c r="J58" s="137" t="s">
        <v>38</v>
      </c>
      <c r="K58" s="247" t="s">
        <v>156</v>
      </c>
      <c r="L58" s="247">
        <v>3</v>
      </c>
      <c r="M58" s="247"/>
      <c r="N58" s="247">
        <v>1</v>
      </c>
      <c r="O58" s="247">
        <v>0.6</v>
      </c>
      <c r="P58" s="247">
        <v>0.55000000000000004</v>
      </c>
      <c r="Q58" s="139">
        <f t="shared" si="0"/>
        <v>0.57499999999999996</v>
      </c>
      <c r="R58" s="247">
        <v>17.8</v>
      </c>
      <c r="S58" s="247">
        <v>151</v>
      </c>
      <c r="T58" s="140">
        <f t="shared" si="1"/>
        <v>22</v>
      </c>
      <c r="U58" s="247">
        <v>149</v>
      </c>
      <c r="V58" s="141">
        <f t="shared" si="2"/>
        <v>3278</v>
      </c>
      <c r="W58" s="247">
        <v>15</v>
      </c>
      <c r="X58" s="137" t="s">
        <v>46</v>
      </c>
      <c r="Y58" s="247" t="s">
        <v>88</v>
      </c>
      <c r="Z58" s="247" t="s">
        <v>78</v>
      </c>
      <c r="AA58" s="247" t="s">
        <v>69</v>
      </c>
      <c r="AB58" s="137" t="s">
        <v>445</v>
      </c>
      <c r="AC58" s="142"/>
    </row>
    <row r="59" spans="1:29" x14ac:dyDescent="0.15">
      <c r="A59" s="137" t="s">
        <v>61</v>
      </c>
      <c r="B59" s="137" t="s">
        <v>400</v>
      </c>
      <c r="C59" s="137">
        <v>2018</v>
      </c>
      <c r="D59" s="138" t="s">
        <v>401</v>
      </c>
      <c r="E59" s="137" t="s">
        <v>253</v>
      </c>
      <c r="F59" s="137" t="s">
        <v>254</v>
      </c>
      <c r="G59" s="137" t="s">
        <v>42</v>
      </c>
      <c r="H59" s="247" t="s">
        <v>157</v>
      </c>
      <c r="I59" s="247" t="s">
        <v>155</v>
      </c>
      <c r="J59" s="137" t="s">
        <v>38</v>
      </c>
      <c r="K59" s="247" t="s">
        <v>156</v>
      </c>
      <c r="L59" s="247">
        <v>1</v>
      </c>
      <c r="M59" s="247"/>
      <c r="N59" s="247">
        <v>1</v>
      </c>
      <c r="O59" s="247">
        <v>0.8</v>
      </c>
      <c r="P59" s="247">
        <v>0.75</v>
      </c>
      <c r="Q59" s="139">
        <f t="shared" si="0"/>
        <v>0.77500000000000002</v>
      </c>
      <c r="R59" s="247">
        <v>17.600000000000001</v>
      </c>
      <c r="S59" s="247">
        <v>143</v>
      </c>
      <c r="T59" s="140">
        <f t="shared" si="1"/>
        <v>22</v>
      </c>
      <c r="U59" s="247">
        <v>98</v>
      </c>
      <c r="V59" s="141">
        <f t="shared" si="2"/>
        <v>2156</v>
      </c>
      <c r="W59" s="247">
        <v>17</v>
      </c>
      <c r="X59" s="137" t="s">
        <v>46</v>
      </c>
      <c r="Y59" s="247" t="s">
        <v>88</v>
      </c>
      <c r="Z59" s="247" t="s">
        <v>78</v>
      </c>
      <c r="AA59" s="247" t="s">
        <v>97</v>
      </c>
      <c r="AB59" s="137" t="s">
        <v>445</v>
      </c>
      <c r="AC59" s="247"/>
    </row>
    <row r="60" spans="1:29" x14ac:dyDescent="0.15">
      <c r="A60" s="137" t="s">
        <v>61</v>
      </c>
      <c r="B60" s="137" t="s">
        <v>400</v>
      </c>
      <c r="C60" s="137">
        <v>2018</v>
      </c>
      <c r="D60" s="138" t="s">
        <v>401</v>
      </c>
      <c r="E60" s="137" t="s">
        <v>253</v>
      </c>
      <c r="F60" s="137" t="s">
        <v>254</v>
      </c>
      <c r="G60" s="137" t="s">
        <v>42</v>
      </c>
      <c r="H60" s="247" t="s">
        <v>157</v>
      </c>
      <c r="I60" s="247" t="s">
        <v>155</v>
      </c>
      <c r="J60" s="137" t="s">
        <v>38</v>
      </c>
      <c r="K60" s="247" t="s">
        <v>156</v>
      </c>
      <c r="L60" s="247">
        <v>2</v>
      </c>
      <c r="M60" s="247"/>
      <c r="N60" s="247">
        <v>1</v>
      </c>
      <c r="O60" s="247">
        <v>0.8</v>
      </c>
      <c r="P60" s="247">
        <v>0.8</v>
      </c>
      <c r="Q60" s="139">
        <f t="shared" si="0"/>
        <v>0.8</v>
      </c>
      <c r="R60" s="247">
        <v>17.600000000000001</v>
      </c>
      <c r="S60" s="247">
        <v>138</v>
      </c>
      <c r="T60" s="140">
        <f t="shared" si="1"/>
        <v>22</v>
      </c>
      <c r="U60" s="247">
        <v>98</v>
      </c>
      <c r="V60" s="141">
        <f t="shared" si="2"/>
        <v>2156</v>
      </c>
      <c r="W60" s="247">
        <v>17</v>
      </c>
      <c r="X60" s="137" t="s">
        <v>46</v>
      </c>
      <c r="Y60" s="247" t="s">
        <v>88</v>
      </c>
      <c r="Z60" s="247" t="s">
        <v>78</v>
      </c>
      <c r="AA60" s="247" t="s">
        <v>97</v>
      </c>
      <c r="AB60" s="137" t="s">
        <v>445</v>
      </c>
      <c r="AC60" s="247"/>
    </row>
    <row r="61" spans="1:29" x14ac:dyDescent="0.15">
      <c r="A61" s="137" t="s">
        <v>61</v>
      </c>
      <c r="B61" s="137" t="s">
        <v>400</v>
      </c>
      <c r="C61" s="137">
        <v>2018</v>
      </c>
      <c r="D61" s="138" t="s">
        <v>401</v>
      </c>
      <c r="E61" s="137" t="s">
        <v>253</v>
      </c>
      <c r="F61" s="137" t="s">
        <v>254</v>
      </c>
      <c r="G61" s="137" t="s">
        <v>42</v>
      </c>
      <c r="H61" s="247" t="s">
        <v>157</v>
      </c>
      <c r="I61" s="247" t="s">
        <v>155</v>
      </c>
      <c r="J61" s="137" t="s">
        <v>38</v>
      </c>
      <c r="K61" s="247" t="s">
        <v>156</v>
      </c>
      <c r="L61" s="247">
        <v>3</v>
      </c>
      <c r="M61" s="247"/>
      <c r="N61" s="247">
        <v>1</v>
      </c>
      <c r="O61" s="247">
        <v>0.75</v>
      </c>
      <c r="P61" s="247">
        <v>0.75</v>
      </c>
      <c r="Q61" s="139">
        <f t="shared" si="0"/>
        <v>0.75</v>
      </c>
      <c r="R61" s="247">
        <v>17.5</v>
      </c>
      <c r="S61" s="247">
        <v>139</v>
      </c>
      <c r="T61" s="140">
        <f t="shared" si="1"/>
        <v>22</v>
      </c>
      <c r="U61" s="247">
        <v>98</v>
      </c>
      <c r="V61" s="141">
        <f t="shared" si="2"/>
        <v>2156</v>
      </c>
      <c r="W61" s="247">
        <v>17</v>
      </c>
      <c r="X61" s="137" t="s">
        <v>46</v>
      </c>
      <c r="Y61" s="247" t="s">
        <v>88</v>
      </c>
      <c r="Z61" s="247" t="s">
        <v>78</v>
      </c>
      <c r="AA61" s="247" t="s">
        <v>97</v>
      </c>
      <c r="AB61" s="137" t="s">
        <v>445</v>
      </c>
      <c r="AC61" s="247"/>
    </row>
    <row r="62" spans="1:29" x14ac:dyDescent="0.15">
      <c r="A62" s="137" t="s">
        <v>61</v>
      </c>
      <c r="B62" s="137" t="s">
        <v>400</v>
      </c>
      <c r="C62" s="137">
        <v>2018</v>
      </c>
      <c r="D62" s="138" t="s">
        <v>401</v>
      </c>
      <c r="E62" s="137" t="s">
        <v>253</v>
      </c>
      <c r="F62" s="137" t="s">
        <v>254</v>
      </c>
      <c r="G62" s="137" t="s">
        <v>42</v>
      </c>
      <c r="H62" s="247" t="s">
        <v>160</v>
      </c>
      <c r="I62" s="247" t="s">
        <v>155</v>
      </c>
      <c r="J62" s="137" t="s">
        <v>38</v>
      </c>
      <c r="K62" s="247" t="s">
        <v>156</v>
      </c>
      <c r="L62" s="247">
        <v>1</v>
      </c>
      <c r="M62" s="247"/>
      <c r="N62" s="247">
        <v>1</v>
      </c>
      <c r="O62" s="247">
        <v>0.6</v>
      </c>
      <c r="P62" s="247">
        <v>0.6</v>
      </c>
      <c r="Q62" s="139">
        <f>IF(OR(O62="",P62=""),"",AVERAGE(O62,P62))</f>
        <v>0.6</v>
      </c>
      <c r="R62" s="247">
        <v>18.100000000000001</v>
      </c>
      <c r="S62" s="247">
        <v>146</v>
      </c>
      <c r="T62" s="140">
        <f t="shared" si="1"/>
        <v>22</v>
      </c>
      <c r="U62" s="247">
        <v>158</v>
      </c>
      <c r="V62" s="141">
        <f t="shared" si="2"/>
        <v>3476</v>
      </c>
      <c r="W62" s="247">
        <v>17</v>
      </c>
      <c r="X62" s="137" t="s">
        <v>46</v>
      </c>
      <c r="Y62" s="247" t="s">
        <v>88</v>
      </c>
      <c r="Z62" s="247" t="s">
        <v>78</v>
      </c>
      <c r="AA62" s="247" t="s">
        <v>97</v>
      </c>
      <c r="AB62" s="137" t="s">
        <v>445</v>
      </c>
      <c r="AC62" s="247"/>
    </row>
    <row r="63" spans="1:29" x14ac:dyDescent="0.15">
      <c r="A63" s="137" t="s">
        <v>61</v>
      </c>
      <c r="B63" s="137" t="s">
        <v>400</v>
      </c>
      <c r="C63" s="137">
        <v>2018</v>
      </c>
      <c r="D63" s="138" t="s">
        <v>401</v>
      </c>
      <c r="E63" s="137" t="s">
        <v>253</v>
      </c>
      <c r="F63" s="137" t="s">
        <v>254</v>
      </c>
      <c r="G63" s="137" t="s">
        <v>42</v>
      </c>
      <c r="H63" s="247" t="s">
        <v>160</v>
      </c>
      <c r="I63" s="247" t="s">
        <v>155</v>
      </c>
      <c r="J63" s="137" t="s">
        <v>38</v>
      </c>
      <c r="K63" s="247" t="s">
        <v>156</v>
      </c>
      <c r="L63" s="247">
        <v>2</v>
      </c>
      <c r="M63" s="247"/>
      <c r="N63" s="247">
        <v>1</v>
      </c>
      <c r="O63" s="247">
        <v>0.5</v>
      </c>
      <c r="P63" s="247">
        <v>0.55000000000000004</v>
      </c>
      <c r="Q63" s="139">
        <f t="shared" si="0"/>
        <v>0.52500000000000002</v>
      </c>
      <c r="R63" s="247">
        <v>18.3</v>
      </c>
      <c r="S63" s="247">
        <v>141</v>
      </c>
      <c r="T63" s="140">
        <f t="shared" si="1"/>
        <v>22</v>
      </c>
      <c r="U63" s="247">
        <v>158</v>
      </c>
      <c r="V63" s="141">
        <f t="shared" si="2"/>
        <v>3476</v>
      </c>
      <c r="W63" s="247">
        <v>17</v>
      </c>
      <c r="X63" s="137" t="s">
        <v>46</v>
      </c>
      <c r="Y63" s="247" t="s">
        <v>88</v>
      </c>
      <c r="Z63" s="247" t="s">
        <v>78</v>
      </c>
      <c r="AA63" s="247" t="s">
        <v>97</v>
      </c>
      <c r="AB63" s="137" t="s">
        <v>445</v>
      </c>
      <c r="AC63" s="247"/>
    </row>
    <row r="64" spans="1:29" x14ac:dyDescent="0.15">
      <c r="A64" s="137" t="s">
        <v>61</v>
      </c>
      <c r="B64" s="137" t="s">
        <v>400</v>
      </c>
      <c r="C64" s="137">
        <v>2018</v>
      </c>
      <c r="D64" s="138" t="s">
        <v>401</v>
      </c>
      <c r="E64" s="137" t="s">
        <v>253</v>
      </c>
      <c r="F64" s="137" t="s">
        <v>254</v>
      </c>
      <c r="G64" s="137" t="s">
        <v>42</v>
      </c>
      <c r="H64" s="247" t="s">
        <v>160</v>
      </c>
      <c r="I64" s="247" t="s">
        <v>155</v>
      </c>
      <c r="J64" s="137" t="s">
        <v>38</v>
      </c>
      <c r="K64" s="247" t="s">
        <v>156</v>
      </c>
      <c r="L64" s="247">
        <v>3</v>
      </c>
      <c r="M64" s="247"/>
      <c r="N64" s="247">
        <v>1</v>
      </c>
      <c r="O64" s="247">
        <v>0.5</v>
      </c>
      <c r="P64" s="247">
        <v>0.5</v>
      </c>
      <c r="Q64" s="139">
        <f t="shared" si="0"/>
        <v>0.5</v>
      </c>
      <c r="R64" s="247">
        <v>18.7</v>
      </c>
      <c r="S64" s="247">
        <v>139</v>
      </c>
      <c r="T64" s="140">
        <f t="shared" si="1"/>
        <v>22</v>
      </c>
      <c r="U64" s="247">
        <v>158</v>
      </c>
      <c r="V64" s="141">
        <f t="shared" si="2"/>
        <v>3476</v>
      </c>
      <c r="W64" s="247">
        <v>17</v>
      </c>
      <c r="X64" s="137" t="s">
        <v>46</v>
      </c>
      <c r="Y64" s="247" t="s">
        <v>88</v>
      </c>
      <c r="Z64" s="247" t="s">
        <v>78</v>
      </c>
      <c r="AA64" s="247" t="s">
        <v>97</v>
      </c>
      <c r="AB64" s="137" t="s">
        <v>445</v>
      </c>
      <c r="AC64" s="247"/>
    </row>
    <row r="65" spans="1:29" x14ac:dyDescent="0.15">
      <c r="A65" s="137" t="s">
        <v>61</v>
      </c>
      <c r="B65" s="137" t="s">
        <v>400</v>
      </c>
      <c r="C65" s="137">
        <v>2018</v>
      </c>
      <c r="D65" s="138" t="s">
        <v>401</v>
      </c>
      <c r="E65" s="137" t="s">
        <v>255</v>
      </c>
      <c r="F65" s="137" t="s">
        <v>254</v>
      </c>
      <c r="G65" s="137" t="s">
        <v>42</v>
      </c>
      <c r="H65" s="247" t="s">
        <v>157</v>
      </c>
      <c r="I65" s="247" t="s">
        <v>155</v>
      </c>
      <c r="J65" s="137" t="s">
        <v>38</v>
      </c>
      <c r="K65" s="247" t="s">
        <v>156</v>
      </c>
      <c r="L65" s="247">
        <v>1</v>
      </c>
      <c r="M65" s="247"/>
      <c r="N65" s="247">
        <v>1</v>
      </c>
      <c r="O65" s="247">
        <v>0.65</v>
      </c>
      <c r="P65" s="247">
        <v>0.7</v>
      </c>
      <c r="Q65" s="139">
        <f t="shared" si="0"/>
        <v>0.67500000000000004</v>
      </c>
      <c r="R65" s="247">
        <v>17.600000000000001</v>
      </c>
      <c r="S65" s="247">
        <v>137</v>
      </c>
      <c r="T65" s="140">
        <f t="shared" si="1"/>
        <v>25</v>
      </c>
      <c r="U65" s="247">
        <v>149</v>
      </c>
      <c r="V65" s="141">
        <f t="shared" si="2"/>
        <v>3725</v>
      </c>
      <c r="W65" s="247">
        <v>21</v>
      </c>
      <c r="X65" s="137" t="s">
        <v>46</v>
      </c>
      <c r="Y65" s="247" t="s">
        <v>97</v>
      </c>
      <c r="Z65" s="247" t="s">
        <v>78</v>
      </c>
      <c r="AA65" s="247" t="s">
        <v>88</v>
      </c>
      <c r="AB65" s="137" t="s">
        <v>445</v>
      </c>
      <c r="AC65" s="142"/>
    </row>
    <row r="66" spans="1:29" x14ac:dyDescent="0.15">
      <c r="A66" s="137" t="s">
        <v>61</v>
      </c>
      <c r="B66" s="137" t="s">
        <v>400</v>
      </c>
      <c r="C66" s="137">
        <v>2018</v>
      </c>
      <c r="D66" s="138" t="s">
        <v>401</v>
      </c>
      <c r="E66" s="137" t="s">
        <v>255</v>
      </c>
      <c r="F66" s="137" t="s">
        <v>254</v>
      </c>
      <c r="G66" s="137" t="s">
        <v>42</v>
      </c>
      <c r="H66" s="247" t="s">
        <v>157</v>
      </c>
      <c r="I66" s="247" t="s">
        <v>155</v>
      </c>
      <c r="J66" s="137" t="s">
        <v>38</v>
      </c>
      <c r="K66" s="247" t="s">
        <v>156</v>
      </c>
      <c r="L66" s="247">
        <v>2</v>
      </c>
      <c r="M66" s="247"/>
      <c r="N66" s="247">
        <v>1</v>
      </c>
      <c r="O66" s="247">
        <v>0.7</v>
      </c>
      <c r="P66" s="247">
        <v>0.65</v>
      </c>
      <c r="Q66" s="139">
        <f t="shared" si="0"/>
        <v>0.67500000000000004</v>
      </c>
      <c r="R66" s="247">
        <v>17.3</v>
      </c>
      <c r="S66" s="247">
        <v>131</v>
      </c>
      <c r="T66" s="140">
        <f t="shared" ref="T66:T85" si="3">IF(H66="","",IF(OR(H66="GREEN",H66="GK"),IF(S66&gt;=$AX$2,VLOOKUP(S66,$AX$2:$AY$15,2,1),""),IF(S66&gt;=$AZ$2,VLOOKUP(S66,$AZ$2:$BA$15,2,1),"")))</f>
        <v>25</v>
      </c>
      <c r="U66" s="247">
        <v>149</v>
      </c>
      <c r="V66" s="141">
        <f t="shared" si="2"/>
        <v>3725</v>
      </c>
      <c r="W66" s="247">
        <v>21</v>
      </c>
      <c r="X66" s="137" t="s">
        <v>46</v>
      </c>
      <c r="Y66" s="247" t="s">
        <v>97</v>
      </c>
      <c r="Z66" s="247" t="s">
        <v>78</v>
      </c>
      <c r="AA66" s="247" t="s">
        <v>88</v>
      </c>
      <c r="AB66" s="137" t="s">
        <v>445</v>
      </c>
      <c r="AC66" s="142"/>
    </row>
    <row r="67" spans="1:29" x14ac:dyDescent="0.15">
      <c r="A67" s="137" t="s">
        <v>61</v>
      </c>
      <c r="B67" s="137" t="s">
        <v>400</v>
      </c>
      <c r="C67" s="137">
        <v>2018</v>
      </c>
      <c r="D67" s="138" t="s">
        <v>401</v>
      </c>
      <c r="E67" s="137" t="s">
        <v>255</v>
      </c>
      <c r="F67" s="137" t="s">
        <v>254</v>
      </c>
      <c r="G67" s="137" t="s">
        <v>42</v>
      </c>
      <c r="H67" s="247" t="s">
        <v>157</v>
      </c>
      <c r="I67" s="247" t="s">
        <v>155</v>
      </c>
      <c r="J67" s="137" t="s">
        <v>38</v>
      </c>
      <c r="K67" s="247" t="s">
        <v>156</v>
      </c>
      <c r="L67" s="247">
        <v>3</v>
      </c>
      <c r="M67" s="247"/>
      <c r="N67" s="247">
        <v>1</v>
      </c>
      <c r="O67" s="247">
        <v>0.8</v>
      </c>
      <c r="P67" s="247">
        <v>0.75</v>
      </c>
      <c r="Q67" s="139">
        <f t="shared" ref="Q67:Q85" si="4">IF(OR(O67="",P67=""),"",AVERAGE(O67,P67))</f>
        <v>0.77500000000000002</v>
      </c>
      <c r="R67" s="142">
        <v>16.7</v>
      </c>
      <c r="S67" s="247">
        <v>128</v>
      </c>
      <c r="T67" s="140">
        <f t="shared" si="3"/>
        <v>27</v>
      </c>
      <c r="U67" s="247">
        <v>149</v>
      </c>
      <c r="V67" s="141">
        <f t="shared" ref="V67:V85" si="5">IF(OR(N67="",U67="",T67=""),"",U67/N67*T67)</f>
        <v>4023</v>
      </c>
      <c r="W67" s="247">
        <v>21</v>
      </c>
      <c r="X67" s="137" t="s">
        <v>46</v>
      </c>
      <c r="Y67" s="247" t="s">
        <v>97</v>
      </c>
      <c r="Z67" s="247" t="s">
        <v>78</v>
      </c>
      <c r="AA67" s="247" t="s">
        <v>88</v>
      </c>
      <c r="AB67" s="137" t="s">
        <v>445</v>
      </c>
      <c r="AC67" s="142"/>
    </row>
    <row r="68" spans="1:29" x14ac:dyDescent="0.15">
      <c r="A68" s="137" t="s">
        <v>61</v>
      </c>
      <c r="B68" s="137" t="s">
        <v>400</v>
      </c>
      <c r="C68" s="137">
        <v>2018</v>
      </c>
      <c r="D68" s="138" t="s">
        <v>401</v>
      </c>
      <c r="E68" s="137" t="s">
        <v>255</v>
      </c>
      <c r="F68" s="137" t="s">
        <v>254</v>
      </c>
      <c r="G68" s="137" t="s">
        <v>42</v>
      </c>
      <c r="H68" s="247" t="s">
        <v>160</v>
      </c>
      <c r="I68" s="247" t="s">
        <v>155</v>
      </c>
      <c r="J68" s="137" t="s">
        <v>38</v>
      </c>
      <c r="K68" s="247" t="s">
        <v>156</v>
      </c>
      <c r="L68" s="247">
        <v>1</v>
      </c>
      <c r="M68" s="247"/>
      <c r="N68" s="247">
        <v>1</v>
      </c>
      <c r="O68" s="247">
        <v>0.7</v>
      </c>
      <c r="P68" s="247">
        <v>0.65</v>
      </c>
      <c r="Q68" s="139">
        <f t="shared" si="4"/>
        <v>0.67500000000000004</v>
      </c>
      <c r="R68" s="247">
        <v>17.8</v>
      </c>
      <c r="S68" s="247">
        <v>143</v>
      </c>
      <c r="T68" s="140">
        <f t="shared" si="3"/>
        <v>22</v>
      </c>
      <c r="U68" s="247">
        <v>149</v>
      </c>
      <c r="V68" s="141">
        <f t="shared" si="5"/>
        <v>3278</v>
      </c>
      <c r="W68" s="247">
        <v>21</v>
      </c>
      <c r="X68" s="137" t="s">
        <v>46</v>
      </c>
      <c r="Y68" s="247" t="s">
        <v>97</v>
      </c>
      <c r="Z68" s="247" t="s">
        <v>78</v>
      </c>
      <c r="AA68" s="247" t="s">
        <v>88</v>
      </c>
      <c r="AB68" s="137" t="s">
        <v>445</v>
      </c>
      <c r="AC68" s="142"/>
    </row>
    <row r="69" spans="1:29" x14ac:dyDescent="0.15">
      <c r="A69" s="137" t="s">
        <v>61</v>
      </c>
      <c r="B69" s="137" t="s">
        <v>400</v>
      </c>
      <c r="C69" s="137">
        <v>2018</v>
      </c>
      <c r="D69" s="138" t="s">
        <v>401</v>
      </c>
      <c r="E69" s="137" t="s">
        <v>255</v>
      </c>
      <c r="F69" s="137" t="s">
        <v>254</v>
      </c>
      <c r="G69" s="137" t="s">
        <v>42</v>
      </c>
      <c r="H69" s="247" t="s">
        <v>160</v>
      </c>
      <c r="I69" s="247" t="s">
        <v>155</v>
      </c>
      <c r="J69" s="137" t="s">
        <v>38</v>
      </c>
      <c r="K69" s="247" t="s">
        <v>156</v>
      </c>
      <c r="L69" s="247">
        <v>2</v>
      </c>
      <c r="M69" s="247"/>
      <c r="N69" s="247">
        <v>1</v>
      </c>
      <c r="O69" s="247">
        <v>0.6</v>
      </c>
      <c r="P69" s="247">
        <v>0.6</v>
      </c>
      <c r="Q69" s="139">
        <f t="shared" si="4"/>
        <v>0.6</v>
      </c>
      <c r="R69" s="142">
        <v>17.3</v>
      </c>
      <c r="S69" s="247">
        <v>147</v>
      </c>
      <c r="T69" s="140">
        <f t="shared" si="3"/>
        <v>22</v>
      </c>
      <c r="U69" s="247">
        <v>149</v>
      </c>
      <c r="V69" s="141">
        <f t="shared" si="5"/>
        <v>3278</v>
      </c>
      <c r="W69" s="247">
        <v>21</v>
      </c>
      <c r="X69" s="137" t="s">
        <v>46</v>
      </c>
      <c r="Y69" s="247" t="s">
        <v>97</v>
      </c>
      <c r="Z69" s="247" t="s">
        <v>78</v>
      </c>
      <c r="AA69" s="247" t="s">
        <v>88</v>
      </c>
      <c r="AB69" s="137" t="s">
        <v>445</v>
      </c>
      <c r="AC69" s="142"/>
    </row>
    <row r="70" spans="1:29" x14ac:dyDescent="0.15">
      <c r="A70" s="137" t="s">
        <v>61</v>
      </c>
      <c r="B70" s="137" t="s">
        <v>400</v>
      </c>
      <c r="C70" s="137">
        <v>2018</v>
      </c>
      <c r="D70" s="138" t="s">
        <v>401</v>
      </c>
      <c r="E70" s="137" t="s">
        <v>255</v>
      </c>
      <c r="F70" s="137" t="s">
        <v>254</v>
      </c>
      <c r="G70" s="137" t="s">
        <v>42</v>
      </c>
      <c r="H70" s="247" t="s">
        <v>160</v>
      </c>
      <c r="I70" s="247" t="s">
        <v>155</v>
      </c>
      <c r="J70" s="137" t="s">
        <v>38</v>
      </c>
      <c r="K70" s="247" t="s">
        <v>156</v>
      </c>
      <c r="L70" s="247">
        <v>3</v>
      </c>
      <c r="M70" s="247"/>
      <c r="N70" s="247">
        <v>1</v>
      </c>
      <c r="O70" s="247">
        <v>0.65</v>
      </c>
      <c r="P70" s="247">
        <v>0.65</v>
      </c>
      <c r="Q70" s="139">
        <f t="shared" si="4"/>
        <v>0.65</v>
      </c>
      <c r="R70" s="142">
        <v>17.600000000000001</v>
      </c>
      <c r="S70" s="247">
        <v>145</v>
      </c>
      <c r="T70" s="140">
        <f t="shared" si="3"/>
        <v>22</v>
      </c>
      <c r="U70" s="247">
        <v>149</v>
      </c>
      <c r="V70" s="141">
        <f t="shared" si="5"/>
        <v>3278</v>
      </c>
      <c r="W70" s="247">
        <v>21</v>
      </c>
      <c r="X70" s="137" t="s">
        <v>46</v>
      </c>
      <c r="Y70" s="247" t="s">
        <v>97</v>
      </c>
      <c r="Z70" s="247" t="s">
        <v>78</v>
      </c>
      <c r="AA70" s="247" t="s">
        <v>88</v>
      </c>
      <c r="AB70" s="137" t="s">
        <v>445</v>
      </c>
      <c r="AC70" s="142"/>
    </row>
    <row r="71" spans="1:29" x14ac:dyDescent="0.15">
      <c r="A71" s="137"/>
      <c r="B71" s="137"/>
      <c r="C71" s="137"/>
      <c r="D71" s="138"/>
      <c r="E71" s="137"/>
      <c r="F71" s="137"/>
      <c r="G71" s="137"/>
      <c r="H71" s="247"/>
      <c r="I71" s="247"/>
      <c r="J71" s="137"/>
      <c r="K71" s="247"/>
      <c r="L71" s="247"/>
      <c r="M71" s="247"/>
      <c r="N71" s="247"/>
      <c r="O71" s="247"/>
      <c r="P71" s="247"/>
      <c r="Q71" s="139"/>
      <c r="R71" s="247"/>
      <c r="S71" s="247"/>
      <c r="T71" s="140"/>
      <c r="U71" s="247"/>
      <c r="V71" s="141"/>
      <c r="W71" s="247"/>
      <c r="X71" s="137"/>
      <c r="Y71" s="247"/>
      <c r="Z71" s="247"/>
      <c r="AA71" s="247"/>
      <c r="AB71" s="137"/>
      <c r="AC71" s="142"/>
    </row>
    <row r="72" spans="1:29" x14ac:dyDescent="0.15">
      <c r="A72" s="137"/>
      <c r="B72" s="137"/>
      <c r="C72" s="137"/>
      <c r="D72" s="138"/>
      <c r="E72" s="137"/>
      <c r="F72" s="137"/>
      <c r="G72" s="137"/>
      <c r="H72" s="247"/>
      <c r="I72" s="247"/>
      <c r="J72" s="137"/>
      <c r="K72" s="247"/>
      <c r="L72" s="247"/>
      <c r="M72" s="247"/>
      <c r="N72" s="247"/>
      <c r="O72" s="247"/>
      <c r="P72" s="247"/>
      <c r="Q72" s="139"/>
      <c r="R72" s="247"/>
      <c r="S72" s="247"/>
      <c r="T72" s="140"/>
      <c r="U72" s="247"/>
      <c r="V72" s="141"/>
      <c r="W72" s="247"/>
      <c r="X72" s="137"/>
      <c r="Y72" s="247"/>
      <c r="Z72" s="247"/>
      <c r="AA72" s="247"/>
      <c r="AB72" s="137"/>
      <c r="AC72" s="142"/>
    </row>
    <row r="73" spans="1:29" x14ac:dyDescent="0.15">
      <c r="A73" s="137"/>
      <c r="B73" s="137"/>
      <c r="C73" s="137"/>
      <c r="D73" s="138"/>
      <c r="E73" s="137"/>
      <c r="F73" s="137"/>
      <c r="G73" s="137"/>
      <c r="H73" s="247"/>
      <c r="I73" s="247"/>
      <c r="J73" s="137"/>
      <c r="K73" s="247"/>
      <c r="L73" s="247"/>
      <c r="M73" s="247"/>
      <c r="N73" s="247"/>
      <c r="O73" s="247"/>
      <c r="P73" s="247"/>
      <c r="Q73" s="139"/>
      <c r="R73" s="247"/>
      <c r="S73" s="247"/>
      <c r="T73" s="140"/>
      <c r="U73" s="247"/>
      <c r="V73" s="141"/>
      <c r="W73" s="247"/>
      <c r="X73" s="137"/>
      <c r="Y73" s="247"/>
      <c r="Z73" s="247"/>
      <c r="AA73" s="247"/>
      <c r="AB73" s="137"/>
      <c r="AC73" s="142"/>
    </row>
    <row r="74" spans="1:29" x14ac:dyDescent="0.15">
      <c r="A74" s="137"/>
      <c r="B74" s="137"/>
      <c r="C74" s="137"/>
      <c r="D74" s="138"/>
      <c r="E74" s="137"/>
      <c r="F74" s="137"/>
      <c r="G74" s="137"/>
      <c r="H74" s="247"/>
      <c r="I74" s="247"/>
      <c r="J74" s="137"/>
      <c r="K74" s="247"/>
      <c r="L74" s="247"/>
      <c r="M74" s="247"/>
      <c r="N74" s="247"/>
      <c r="O74" s="247"/>
      <c r="P74" s="247"/>
      <c r="Q74" s="139"/>
      <c r="R74" s="247"/>
      <c r="S74" s="247"/>
      <c r="T74" s="140"/>
      <c r="U74" s="247"/>
      <c r="V74" s="141"/>
      <c r="W74" s="247"/>
      <c r="X74" s="137"/>
      <c r="Y74" s="247"/>
      <c r="Z74" s="247"/>
      <c r="AA74" s="247"/>
      <c r="AB74" s="137"/>
      <c r="AC74" s="247"/>
    </row>
    <row r="75" spans="1:29" x14ac:dyDescent="0.15">
      <c r="A75" s="137"/>
      <c r="B75" s="137"/>
      <c r="C75" s="137"/>
      <c r="D75" s="138"/>
      <c r="E75" s="137"/>
      <c r="F75" s="137"/>
      <c r="G75" s="137"/>
      <c r="H75" s="247"/>
      <c r="I75" s="247"/>
      <c r="J75" s="137"/>
      <c r="K75" s="247"/>
      <c r="L75" s="247"/>
      <c r="M75" s="247"/>
      <c r="N75" s="247"/>
      <c r="O75" s="247"/>
      <c r="P75" s="247"/>
      <c r="Q75" s="139"/>
      <c r="R75" s="247"/>
      <c r="S75" s="247"/>
      <c r="T75" s="140"/>
      <c r="U75" s="247"/>
      <c r="V75" s="141"/>
      <c r="W75" s="247"/>
      <c r="X75" s="137"/>
      <c r="Y75" s="247"/>
      <c r="Z75" s="247"/>
      <c r="AA75" s="247"/>
      <c r="AB75" s="137"/>
      <c r="AC75" s="247"/>
    </row>
    <row r="76" spans="1:29" x14ac:dyDescent="0.15">
      <c r="A76" s="137"/>
      <c r="B76" s="137"/>
      <c r="C76" s="137"/>
      <c r="D76" s="138"/>
      <c r="E76" s="137"/>
      <c r="F76" s="137"/>
      <c r="G76" s="137"/>
      <c r="H76" s="247"/>
      <c r="I76" s="247"/>
      <c r="J76" s="137"/>
      <c r="K76" s="247"/>
      <c r="L76" s="247"/>
      <c r="M76" s="247"/>
      <c r="N76" s="247"/>
      <c r="O76" s="247"/>
      <c r="P76" s="247"/>
      <c r="Q76" s="139"/>
      <c r="R76" s="247"/>
      <c r="S76" s="247"/>
      <c r="T76" s="140"/>
      <c r="U76" s="247"/>
      <c r="V76" s="141"/>
      <c r="W76" s="247"/>
      <c r="X76" s="137"/>
      <c r="Y76" s="247"/>
      <c r="Z76" s="247"/>
      <c r="AA76" s="247"/>
      <c r="AB76" s="137"/>
      <c r="AC76" s="247"/>
    </row>
    <row r="77" spans="1:29" x14ac:dyDescent="0.15">
      <c r="A77" s="137"/>
      <c r="B77" s="137"/>
      <c r="C77" s="137"/>
      <c r="D77" s="138"/>
      <c r="E77" s="137"/>
      <c r="F77" s="137"/>
      <c r="G77" s="137"/>
      <c r="H77" s="247"/>
      <c r="I77" s="247"/>
      <c r="J77" s="137"/>
      <c r="K77" s="247"/>
      <c r="L77" s="247"/>
      <c r="M77" s="247"/>
      <c r="N77" s="247"/>
      <c r="O77" s="247"/>
      <c r="P77" s="247"/>
      <c r="Q77" s="139"/>
      <c r="R77" s="247"/>
      <c r="S77" s="247"/>
      <c r="T77" s="140"/>
      <c r="U77" s="247"/>
      <c r="V77" s="141"/>
      <c r="W77" s="247"/>
      <c r="X77" s="137"/>
      <c r="Y77" s="247"/>
      <c r="Z77" s="247"/>
      <c r="AA77" s="247"/>
      <c r="AB77" s="137"/>
      <c r="AC77" s="247"/>
    </row>
    <row r="78" spans="1:29" x14ac:dyDescent="0.15">
      <c r="A78" s="137"/>
      <c r="B78" s="137"/>
      <c r="C78" s="137"/>
      <c r="D78" s="138"/>
      <c r="E78" s="137"/>
      <c r="F78" s="137"/>
      <c r="G78" s="137"/>
      <c r="H78" s="247"/>
      <c r="I78" s="247"/>
      <c r="J78" s="137"/>
      <c r="K78" s="247"/>
      <c r="L78" s="247"/>
      <c r="M78" s="247"/>
      <c r="N78" s="247"/>
      <c r="O78" s="247"/>
      <c r="P78" s="247"/>
      <c r="Q78" s="139"/>
      <c r="R78" s="247"/>
      <c r="S78" s="247"/>
      <c r="T78" s="140"/>
      <c r="U78" s="247"/>
      <c r="V78" s="141"/>
      <c r="W78" s="247"/>
      <c r="X78" s="137"/>
      <c r="Y78" s="247"/>
      <c r="Z78" s="247"/>
      <c r="AA78" s="247"/>
      <c r="AB78" s="137"/>
      <c r="AC78" s="247"/>
    </row>
    <row r="79" spans="1:29" x14ac:dyDescent="0.15">
      <c r="A79" s="137"/>
      <c r="B79" s="137"/>
      <c r="C79" s="137"/>
      <c r="D79" s="138"/>
      <c r="E79" s="137"/>
      <c r="F79" s="137"/>
      <c r="G79" s="137"/>
      <c r="H79" s="247"/>
      <c r="I79" s="247"/>
      <c r="J79" s="137"/>
      <c r="K79" s="247"/>
      <c r="L79" s="247"/>
      <c r="M79" s="247"/>
      <c r="N79" s="247"/>
      <c r="O79" s="247"/>
      <c r="P79" s="247"/>
      <c r="Q79" s="139"/>
      <c r="R79" s="247"/>
      <c r="S79" s="247"/>
      <c r="T79" s="140"/>
      <c r="U79" s="247"/>
      <c r="V79" s="141"/>
      <c r="W79" s="247"/>
      <c r="X79" s="137"/>
      <c r="Y79" s="247"/>
      <c r="Z79" s="247"/>
      <c r="AA79" s="247"/>
      <c r="AB79" s="137"/>
      <c r="AC79" s="247"/>
    </row>
    <row r="80" spans="1:29" x14ac:dyDescent="0.15">
      <c r="A80" s="137"/>
      <c r="B80" s="137"/>
      <c r="C80" s="137"/>
      <c r="D80" s="138"/>
      <c r="E80" s="137"/>
      <c r="F80" s="137"/>
      <c r="G80" s="137"/>
      <c r="H80" s="247"/>
      <c r="I80" s="247"/>
      <c r="J80" s="137"/>
      <c r="K80" s="247"/>
      <c r="L80" s="247"/>
      <c r="M80" s="247"/>
      <c r="N80" s="247"/>
      <c r="O80" s="247"/>
      <c r="P80" s="247"/>
      <c r="Q80" s="139" t="str">
        <f t="shared" si="4"/>
        <v/>
      </c>
      <c r="R80" s="247"/>
      <c r="S80" s="247"/>
      <c r="T80" s="140" t="str">
        <f t="shared" si="3"/>
        <v/>
      </c>
      <c r="U80" s="247"/>
      <c r="V80" s="141" t="str">
        <f t="shared" si="5"/>
        <v/>
      </c>
      <c r="W80" s="247"/>
      <c r="X80" s="137"/>
      <c r="Y80" s="247"/>
      <c r="Z80" s="247"/>
      <c r="AA80" s="247"/>
      <c r="AB80" s="137"/>
      <c r="AC80" s="247"/>
    </row>
    <row r="81" spans="1:29" x14ac:dyDescent="0.15">
      <c r="A81" s="137"/>
      <c r="B81" s="137"/>
      <c r="C81" s="137"/>
      <c r="D81" s="138"/>
      <c r="E81" s="137"/>
      <c r="F81" s="137"/>
      <c r="G81" s="137"/>
      <c r="H81" s="247"/>
      <c r="I81" s="247"/>
      <c r="J81" s="137"/>
      <c r="K81" s="247"/>
      <c r="L81" s="247"/>
      <c r="M81" s="247"/>
      <c r="N81" s="247"/>
      <c r="O81" s="247"/>
      <c r="P81" s="247"/>
      <c r="Q81" s="139" t="str">
        <f t="shared" si="4"/>
        <v/>
      </c>
      <c r="R81" s="247"/>
      <c r="S81" s="247"/>
      <c r="T81" s="140" t="str">
        <f t="shared" si="3"/>
        <v/>
      </c>
      <c r="U81" s="247"/>
      <c r="V81" s="141" t="str">
        <f t="shared" si="5"/>
        <v/>
      </c>
      <c r="W81" s="247"/>
      <c r="X81" s="137"/>
      <c r="Y81" s="247"/>
      <c r="Z81" s="247"/>
      <c r="AA81" s="247"/>
      <c r="AB81" s="137"/>
      <c r="AC81" s="247"/>
    </row>
    <row r="82" spans="1:29" x14ac:dyDescent="0.15">
      <c r="A82" s="137"/>
      <c r="B82" s="137"/>
      <c r="C82" s="137"/>
      <c r="D82" s="138"/>
      <c r="E82" s="137"/>
      <c r="F82" s="137"/>
      <c r="G82" s="137"/>
      <c r="H82" s="247"/>
      <c r="I82" s="247"/>
      <c r="J82" s="137"/>
      <c r="K82" s="247"/>
      <c r="L82" s="247"/>
      <c r="M82" s="247"/>
      <c r="N82" s="247"/>
      <c r="O82" s="247"/>
      <c r="P82" s="247"/>
      <c r="Q82" s="139" t="str">
        <f t="shared" si="4"/>
        <v/>
      </c>
      <c r="R82" s="247"/>
      <c r="S82" s="247"/>
      <c r="T82" s="140" t="str">
        <f t="shared" si="3"/>
        <v/>
      </c>
      <c r="U82" s="247"/>
      <c r="V82" s="141" t="str">
        <f t="shared" si="5"/>
        <v/>
      </c>
      <c r="W82" s="247"/>
      <c r="X82" s="137"/>
      <c r="Y82" s="247"/>
      <c r="Z82" s="247"/>
      <c r="AA82" s="247"/>
      <c r="AB82" s="137"/>
      <c r="AC82" s="247"/>
    </row>
    <row r="83" spans="1:29" x14ac:dyDescent="0.15">
      <c r="A83" s="137"/>
      <c r="B83" s="137"/>
      <c r="C83" s="137"/>
      <c r="D83" s="138"/>
      <c r="E83" s="137"/>
      <c r="F83" s="137"/>
      <c r="G83" s="137"/>
      <c r="H83" s="247"/>
      <c r="I83" s="247"/>
      <c r="J83" s="137"/>
      <c r="K83" s="247"/>
      <c r="L83" s="247"/>
      <c r="M83" s="247"/>
      <c r="N83" s="247"/>
      <c r="O83" s="247"/>
      <c r="P83" s="247"/>
      <c r="Q83" s="139" t="str">
        <f t="shared" si="4"/>
        <v/>
      </c>
      <c r="R83" s="247"/>
      <c r="S83" s="247"/>
      <c r="T83" s="140" t="str">
        <f t="shared" si="3"/>
        <v/>
      </c>
      <c r="U83" s="247"/>
      <c r="V83" s="141" t="str">
        <f t="shared" si="5"/>
        <v/>
      </c>
      <c r="W83" s="247"/>
      <c r="X83" s="137"/>
      <c r="Y83" s="247"/>
      <c r="Z83" s="247"/>
      <c r="AA83" s="247"/>
      <c r="AB83" s="137"/>
      <c r="AC83" s="247"/>
    </row>
    <row r="84" spans="1:29" x14ac:dyDescent="0.15">
      <c r="A84" s="137"/>
      <c r="B84" s="137"/>
      <c r="C84" s="137"/>
      <c r="D84" s="138"/>
      <c r="E84" s="137"/>
      <c r="F84" s="137"/>
      <c r="G84" s="137"/>
      <c r="H84" s="247"/>
      <c r="I84" s="247"/>
      <c r="J84" s="137"/>
      <c r="K84" s="247"/>
      <c r="L84" s="247"/>
      <c r="M84" s="247"/>
      <c r="N84" s="247"/>
      <c r="O84" s="247"/>
      <c r="P84" s="247"/>
      <c r="Q84" s="139" t="str">
        <f t="shared" si="4"/>
        <v/>
      </c>
      <c r="R84" s="247"/>
      <c r="S84" s="247"/>
      <c r="T84" s="140" t="str">
        <f t="shared" si="3"/>
        <v/>
      </c>
      <c r="U84" s="247"/>
      <c r="V84" s="141" t="str">
        <f t="shared" si="5"/>
        <v/>
      </c>
      <c r="W84" s="247"/>
      <c r="X84" s="137"/>
      <c r="Y84" s="247"/>
      <c r="Z84" s="247"/>
      <c r="AA84" s="247"/>
      <c r="AB84" s="137"/>
      <c r="AC84" s="247"/>
    </row>
    <row r="85" spans="1:29" x14ac:dyDescent="0.15">
      <c r="A85" s="137"/>
      <c r="B85" s="137"/>
      <c r="C85" s="137"/>
      <c r="D85" s="138"/>
      <c r="E85" s="137"/>
      <c r="F85" s="137"/>
      <c r="G85" s="137"/>
      <c r="H85" s="247"/>
      <c r="I85" s="247"/>
      <c r="J85" s="137"/>
      <c r="K85" s="247"/>
      <c r="L85" s="247"/>
      <c r="M85" s="247"/>
      <c r="N85" s="247"/>
      <c r="O85" s="247"/>
      <c r="P85" s="247"/>
      <c r="Q85" s="139" t="str">
        <f t="shared" si="4"/>
        <v/>
      </c>
      <c r="R85" s="247"/>
      <c r="S85" s="247"/>
      <c r="T85" s="140" t="str">
        <f t="shared" si="3"/>
        <v/>
      </c>
      <c r="U85" s="247"/>
      <c r="V85" s="141" t="str">
        <f t="shared" si="5"/>
        <v/>
      </c>
      <c r="W85" s="247"/>
      <c r="X85" s="137"/>
      <c r="Y85" s="247"/>
      <c r="Z85" s="247"/>
      <c r="AA85" s="247"/>
      <c r="AB85" s="137"/>
      <c r="AC85" s="247"/>
    </row>
    <row r="86" spans="1:29" x14ac:dyDescent="0.15">
      <c r="A86" s="137"/>
      <c r="B86" s="137"/>
      <c r="C86" s="137"/>
      <c r="D86" s="138"/>
      <c r="E86" s="247"/>
      <c r="F86" s="247"/>
      <c r="G86" s="137"/>
      <c r="H86" s="247"/>
      <c r="I86" s="247"/>
      <c r="J86" s="137"/>
      <c r="K86" s="247"/>
      <c r="L86" s="247"/>
      <c r="M86" s="247"/>
      <c r="N86" s="247"/>
      <c r="O86" s="247"/>
      <c r="P86" s="247"/>
      <c r="Q86" s="139"/>
      <c r="R86" s="247"/>
      <c r="S86" s="247"/>
      <c r="T86" s="140"/>
      <c r="U86" s="247"/>
      <c r="V86" s="141"/>
      <c r="W86" s="247"/>
      <c r="X86" s="137"/>
      <c r="Y86" s="247"/>
      <c r="Z86" s="247"/>
      <c r="AA86" s="247"/>
      <c r="AB86" s="137"/>
      <c r="AC86" s="247"/>
    </row>
    <row r="87" spans="1:29" x14ac:dyDescent="0.15">
      <c r="A87" s="137"/>
      <c r="B87" s="137"/>
      <c r="C87" s="137"/>
      <c r="D87" s="138"/>
      <c r="E87" s="247"/>
      <c r="F87" s="247"/>
      <c r="G87" s="137"/>
      <c r="H87" s="247"/>
      <c r="I87" s="247"/>
      <c r="J87" s="137"/>
      <c r="K87" s="247"/>
      <c r="L87" s="247"/>
      <c r="M87" s="247"/>
      <c r="N87" s="247"/>
      <c r="O87" s="247"/>
      <c r="P87" s="247"/>
      <c r="Q87" s="139"/>
      <c r="R87" s="247"/>
      <c r="S87" s="247"/>
      <c r="T87" s="140"/>
      <c r="U87" s="247"/>
      <c r="V87" s="141"/>
      <c r="W87" s="247"/>
      <c r="X87" s="137"/>
      <c r="Y87" s="247"/>
      <c r="Z87" s="247"/>
      <c r="AA87" s="247"/>
      <c r="AB87" s="137"/>
      <c r="AC87" s="247"/>
    </row>
    <row r="88" spans="1:29" x14ac:dyDescent="0.15">
      <c r="A88" s="137"/>
      <c r="B88" s="137"/>
      <c r="C88" s="137"/>
      <c r="D88" s="138"/>
      <c r="E88" s="247"/>
      <c r="F88" s="247"/>
      <c r="G88" s="137"/>
      <c r="H88" s="247"/>
      <c r="I88" s="247"/>
      <c r="J88" s="137"/>
      <c r="K88" s="247"/>
      <c r="L88" s="247"/>
      <c r="M88" s="247"/>
      <c r="N88" s="247"/>
      <c r="O88" s="247"/>
      <c r="P88" s="247"/>
      <c r="Q88" s="139"/>
      <c r="R88" s="247"/>
      <c r="S88" s="247"/>
      <c r="T88" s="140"/>
      <c r="U88" s="247"/>
      <c r="V88" s="141"/>
      <c r="W88" s="247"/>
      <c r="X88" s="137"/>
      <c r="Y88" s="247"/>
      <c r="Z88" s="247"/>
      <c r="AA88" s="247"/>
      <c r="AB88" s="137"/>
      <c r="AC88" s="247"/>
    </row>
    <row r="89" spans="1:29" x14ac:dyDescent="0.15">
      <c r="A89" s="137"/>
      <c r="B89" s="137"/>
      <c r="C89" s="137"/>
      <c r="D89" s="138"/>
      <c r="E89" s="247"/>
      <c r="F89" s="247"/>
      <c r="G89" s="137"/>
      <c r="H89" s="247"/>
      <c r="I89" s="247"/>
      <c r="J89" s="137"/>
      <c r="K89" s="247"/>
      <c r="L89" s="247"/>
      <c r="M89" s="247"/>
      <c r="N89" s="247"/>
      <c r="O89" s="247"/>
      <c r="P89" s="247"/>
      <c r="Q89" s="139"/>
      <c r="R89" s="247"/>
      <c r="S89" s="247"/>
      <c r="T89" s="140"/>
      <c r="U89" s="247"/>
      <c r="V89" s="141"/>
      <c r="W89" s="247"/>
      <c r="X89" s="137"/>
      <c r="Y89" s="247"/>
      <c r="Z89" s="247"/>
      <c r="AA89" s="247"/>
      <c r="AB89" s="137"/>
      <c r="AC89" s="247"/>
    </row>
    <row r="90" spans="1:29" x14ac:dyDescent="0.15">
      <c r="A90" s="137"/>
      <c r="B90" s="137"/>
      <c r="C90" s="137"/>
      <c r="D90" s="138"/>
      <c r="E90" s="247"/>
      <c r="F90" s="247"/>
      <c r="G90" s="137"/>
      <c r="H90" s="247"/>
      <c r="I90" s="247"/>
      <c r="J90" s="137"/>
      <c r="K90" s="247"/>
      <c r="L90" s="247"/>
      <c r="M90" s="247"/>
      <c r="N90" s="247"/>
      <c r="O90" s="247"/>
      <c r="P90" s="247"/>
      <c r="Q90" s="139"/>
      <c r="R90" s="247"/>
      <c r="S90" s="247"/>
      <c r="T90" s="140"/>
      <c r="U90" s="247"/>
      <c r="V90" s="141"/>
      <c r="W90" s="247"/>
      <c r="X90" s="137"/>
      <c r="Y90" s="247"/>
      <c r="Z90" s="247"/>
      <c r="AA90" s="247"/>
      <c r="AB90" s="137"/>
      <c r="AC90" s="247"/>
    </row>
    <row r="91" spans="1:29" x14ac:dyDescent="0.15">
      <c r="A91" s="137"/>
      <c r="B91" s="137"/>
      <c r="C91" s="137"/>
      <c r="D91" s="138"/>
      <c r="E91" s="247"/>
      <c r="F91" s="247"/>
      <c r="G91" s="137"/>
      <c r="H91" s="247"/>
      <c r="I91" s="247"/>
      <c r="J91" s="137"/>
      <c r="K91" s="247"/>
      <c r="L91" s="247"/>
      <c r="M91" s="247"/>
      <c r="N91" s="247"/>
      <c r="O91" s="247"/>
      <c r="P91" s="247"/>
      <c r="Q91" s="139"/>
      <c r="R91" s="247"/>
      <c r="S91" s="247"/>
      <c r="T91" s="140"/>
      <c r="U91" s="247"/>
      <c r="V91" s="141"/>
      <c r="W91" s="247"/>
      <c r="X91" s="137"/>
      <c r="Y91" s="247"/>
      <c r="Z91" s="247"/>
      <c r="AA91" s="247"/>
      <c r="AB91" s="137"/>
      <c r="AC91" s="247"/>
    </row>
    <row r="92" spans="1:29" x14ac:dyDescent="0.15">
      <c r="A92" s="137"/>
      <c r="B92" s="137"/>
      <c r="C92" s="137"/>
      <c r="D92" s="138"/>
      <c r="E92" s="247"/>
      <c r="F92" s="247"/>
      <c r="G92" s="137"/>
      <c r="H92" s="247"/>
      <c r="I92" s="247"/>
      <c r="J92" s="137"/>
      <c r="K92" s="247"/>
      <c r="L92" s="247"/>
      <c r="M92" s="247"/>
      <c r="N92" s="247"/>
      <c r="O92" s="247"/>
      <c r="P92" s="247"/>
      <c r="Q92" s="139"/>
      <c r="R92" s="247"/>
      <c r="S92" s="247"/>
      <c r="T92" s="140"/>
      <c r="U92" s="247"/>
      <c r="V92" s="141"/>
      <c r="W92" s="247"/>
      <c r="X92" s="137"/>
      <c r="Y92" s="247"/>
      <c r="Z92" s="247"/>
      <c r="AA92" s="247"/>
      <c r="AB92" s="137"/>
      <c r="AC92" s="247"/>
    </row>
    <row r="93" spans="1:29" x14ac:dyDescent="0.15">
      <c r="A93" s="137"/>
      <c r="B93" s="137"/>
      <c r="C93" s="137"/>
      <c r="D93" s="138"/>
      <c r="E93" s="247"/>
      <c r="F93" s="247"/>
      <c r="G93" s="137"/>
      <c r="H93" s="247"/>
      <c r="I93" s="247"/>
      <c r="J93" s="137"/>
      <c r="K93" s="247"/>
      <c r="L93" s="247"/>
      <c r="M93" s="247"/>
      <c r="N93" s="247"/>
      <c r="O93" s="247"/>
      <c r="P93" s="247"/>
      <c r="Q93" s="139"/>
      <c r="R93" s="247"/>
      <c r="S93" s="247"/>
      <c r="T93" s="140"/>
      <c r="U93" s="247"/>
      <c r="V93" s="141"/>
      <c r="W93" s="247"/>
      <c r="X93" s="137"/>
      <c r="Y93" s="247"/>
      <c r="Z93" s="247"/>
      <c r="AA93" s="247"/>
      <c r="AB93" s="137"/>
      <c r="AC93" s="247"/>
    </row>
    <row r="94" spans="1:29" x14ac:dyDescent="0.15">
      <c r="A94" s="137"/>
      <c r="B94" s="137"/>
      <c r="C94" s="137"/>
      <c r="D94" s="138"/>
      <c r="E94" s="247"/>
      <c r="F94" s="247"/>
      <c r="G94" s="137"/>
      <c r="H94" s="247"/>
      <c r="I94" s="247"/>
      <c r="J94" s="137"/>
      <c r="K94" s="247"/>
      <c r="L94" s="247"/>
      <c r="M94" s="247"/>
      <c r="N94" s="247"/>
      <c r="O94" s="247"/>
      <c r="P94" s="247"/>
      <c r="Q94" s="139"/>
      <c r="R94" s="247"/>
      <c r="S94" s="247"/>
      <c r="T94" s="140"/>
      <c r="U94" s="247"/>
      <c r="V94" s="141"/>
      <c r="W94" s="247"/>
      <c r="X94" s="137"/>
      <c r="Y94" s="247"/>
      <c r="Z94" s="247"/>
      <c r="AA94" s="247"/>
      <c r="AB94" s="137"/>
      <c r="AC94" s="247"/>
    </row>
    <row r="95" spans="1:29" x14ac:dyDescent="0.15">
      <c r="K95" s="247"/>
      <c r="AC95" s="247"/>
    </row>
    <row r="96" spans="1:29" x14ac:dyDescent="0.15">
      <c r="A96" s="137"/>
      <c r="B96" s="137"/>
      <c r="C96" s="137"/>
      <c r="D96" s="138"/>
      <c r="E96" s="247"/>
      <c r="F96" s="247"/>
      <c r="G96" s="137"/>
      <c r="H96" s="247"/>
      <c r="I96" s="247"/>
      <c r="J96" s="137"/>
      <c r="K96" s="247"/>
      <c r="L96" s="247"/>
      <c r="M96" s="247"/>
      <c r="N96" s="247"/>
      <c r="O96" s="247"/>
      <c r="P96" s="247"/>
      <c r="Q96" s="139"/>
      <c r="R96" s="247"/>
      <c r="S96" s="247"/>
      <c r="T96" s="140"/>
      <c r="U96" s="247"/>
      <c r="V96" s="141"/>
      <c r="W96" s="247"/>
      <c r="X96" s="137"/>
      <c r="Y96" s="247"/>
      <c r="Z96" s="247"/>
      <c r="AA96" s="247"/>
      <c r="AB96" s="137"/>
      <c r="AC96" s="247"/>
    </row>
    <row r="97" spans="1:29" x14ac:dyDescent="0.15">
      <c r="A97" s="137"/>
      <c r="B97" s="137"/>
      <c r="C97" s="137"/>
      <c r="D97" s="138"/>
      <c r="E97" s="247"/>
      <c r="F97" s="247"/>
      <c r="G97" s="137"/>
      <c r="H97" s="247"/>
      <c r="I97" s="247"/>
      <c r="J97" s="137"/>
      <c r="K97" s="247"/>
      <c r="L97" s="247"/>
      <c r="M97" s="247"/>
      <c r="N97" s="247"/>
      <c r="O97" s="247"/>
      <c r="P97" s="247"/>
      <c r="Q97" s="139"/>
      <c r="R97" s="247"/>
      <c r="S97" s="247"/>
      <c r="T97" s="140"/>
      <c r="U97" s="247"/>
      <c r="V97" s="141"/>
      <c r="W97" s="247"/>
      <c r="X97" s="137"/>
      <c r="Y97" s="247"/>
      <c r="Z97" s="247"/>
      <c r="AA97" s="247"/>
      <c r="AB97" s="137"/>
      <c r="AC97" s="247"/>
    </row>
    <row r="98" spans="1:29" x14ac:dyDescent="0.15">
      <c r="A98" s="137"/>
      <c r="B98" s="137"/>
      <c r="C98" s="137"/>
      <c r="D98" s="138"/>
      <c r="E98" s="247"/>
      <c r="F98" s="247"/>
      <c r="G98" s="137"/>
      <c r="H98" s="247"/>
      <c r="I98" s="247"/>
      <c r="J98" s="137"/>
      <c r="K98" s="247"/>
      <c r="L98" s="247"/>
      <c r="M98" s="247"/>
      <c r="N98" s="247"/>
      <c r="O98" s="247"/>
      <c r="P98" s="247"/>
      <c r="Q98" s="139"/>
      <c r="R98" s="247"/>
      <c r="S98" s="247"/>
      <c r="T98" s="140"/>
      <c r="U98" s="247"/>
      <c r="V98" s="141"/>
      <c r="W98" s="247"/>
      <c r="X98" s="137"/>
      <c r="Y98" s="247"/>
      <c r="Z98" s="247"/>
      <c r="AA98" s="247"/>
      <c r="AB98" s="137"/>
      <c r="AC98" s="247"/>
    </row>
    <row r="99" spans="1:29" x14ac:dyDescent="0.15">
      <c r="A99" s="137"/>
      <c r="B99" s="137"/>
      <c r="C99" s="137"/>
      <c r="D99" s="138"/>
      <c r="E99" s="247"/>
      <c r="F99" s="247"/>
      <c r="G99" s="137"/>
      <c r="H99" s="247"/>
      <c r="I99" s="247"/>
      <c r="J99" s="137"/>
      <c r="K99" s="247"/>
      <c r="L99" s="247"/>
      <c r="M99" s="247"/>
      <c r="N99" s="247"/>
      <c r="O99" s="247"/>
      <c r="P99" s="247"/>
      <c r="Q99" s="139"/>
      <c r="R99" s="247"/>
      <c r="S99" s="247"/>
      <c r="T99" s="140"/>
      <c r="U99" s="247"/>
      <c r="V99" s="141"/>
      <c r="W99" s="247"/>
      <c r="X99" s="137"/>
      <c r="Y99" s="247"/>
      <c r="Z99" s="247"/>
      <c r="AA99" s="247"/>
      <c r="AB99" s="137"/>
      <c r="AC99" s="247"/>
    </row>
    <row r="100" spans="1:29" x14ac:dyDescent="0.15">
      <c r="A100" s="137"/>
      <c r="B100" s="137"/>
      <c r="C100" s="137"/>
      <c r="D100" s="138"/>
      <c r="E100" s="247"/>
      <c r="F100" s="247"/>
      <c r="G100" s="137"/>
      <c r="H100" s="247"/>
      <c r="I100" s="247"/>
      <c r="J100" s="137"/>
      <c r="K100" s="247"/>
      <c r="L100" s="247"/>
      <c r="M100" s="247"/>
      <c r="N100" s="247"/>
      <c r="O100" s="247"/>
      <c r="P100" s="247"/>
      <c r="Q100" s="139"/>
      <c r="R100" s="247"/>
      <c r="S100" s="247"/>
      <c r="T100" s="140"/>
      <c r="U100" s="247"/>
      <c r="V100" s="141"/>
      <c r="W100" s="247"/>
      <c r="X100" s="137"/>
      <c r="Y100" s="247"/>
      <c r="Z100" s="247"/>
      <c r="AA100" s="247"/>
      <c r="AB100" s="137"/>
      <c r="AC100" s="247"/>
    </row>
    <row r="101" spans="1:29" x14ac:dyDescent="0.15">
      <c r="A101" s="137"/>
      <c r="B101" s="137"/>
      <c r="C101" s="137"/>
      <c r="D101" s="138"/>
      <c r="E101" s="247"/>
      <c r="F101" s="247"/>
      <c r="G101" s="137"/>
      <c r="H101" s="247"/>
      <c r="I101" s="247"/>
      <c r="J101" s="137"/>
      <c r="K101" s="247"/>
      <c r="L101" s="247"/>
      <c r="M101" s="247"/>
      <c r="N101" s="247"/>
      <c r="O101" s="247"/>
      <c r="P101" s="247"/>
      <c r="Q101" s="139"/>
      <c r="R101" s="247"/>
      <c r="S101" s="247"/>
      <c r="T101" s="140"/>
      <c r="U101" s="247"/>
      <c r="V101" s="141"/>
      <c r="W101" s="247"/>
      <c r="X101" s="137"/>
      <c r="Y101" s="247"/>
      <c r="Z101" s="247"/>
      <c r="AA101" s="247"/>
      <c r="AB101" s="137"/>
      <c r="AC101" s="247"/>
    </row>
    <row r="102" spans="1:29" x14ac:dyDescent="0.15">
      <c r="A102" s="137"/>
      <c r="B102" s="137"/>
      <c r="C102" s="137"/>
      <c r="D102" s="138"/>
      <c r="E102" s="247"/>
      <c r="F102" s="247"/>
      <c r="G102" s="137"/>
      <c r="H102" s="247"/>
      <c r="I102" s="247"/>
      <c r="J102" s="137"/>
      <c r="K102" s="247"/>
      <c r="L102" s="247"/>
      <c r="M102" s="247"/>
      <c r="N102" s="247"/>
      <c r="O102" s="247"/>
      <c r="P102" s="247"/>
      <c r="Q102" s="139"/>
      <c r="R102" s="247"/>
      <c r="S102" s="247"/>
      <c r="T102" s="140"/>
      <c r="U102" s="247"/>
      <c r="V102" s="141"/>
      <c r="W102" s="247"/>
      <c r="X102" s="137"/>
      <c r="Y102" s="247"/>
      <c r="Z102" s="247"/>
      <c r="AA102" s="247"/>
      <c r="AB102" s="137"/>
      <c r="AC102" s="247"/>
    </row>
    <row r="103" spans="1:29" x14ac:dyDescent="0.15">
      <c r="A103" s="137"/>
      <c r="B103" s="137"/>
      <c r="C103" s="137"/>
      <c r="D103" s="138"/>
      <c r="E103" s="247"/>
      <c r="F103" s="247"/>
      <c r="G103" s="137"/>
      <c r="H103" s="247"/>
      <c r="I103" s="247"/>
      <c r="J103" s="137"/>
      <c r="K103" s="247"/>
      <c r="L103" s="247"/>
      <c r="M103" s="247"/>
      <c r="N103" s="247"/>
      <c r="O103" s="247"/>
      <c r="P103" s="247"/>
      <c r="Q103" s="139"/>
      <c r="R103" s="247"/>
      <c r="S103" s="247"/>
      <c r="T103" s="140"/>
      <c r="U103" s="247"/>
      <c r="V103" s="141"/>
      <c r="W103" s="247"/>
      <c r="X103" s="137"/>
      <c r="Y103" s="247"/>
      <c r="Z103" s="247"/>
      <c r="AA103" s="247"/>
      <c r="AB103" s="137"/>
      <c r="AC103" s="247"/>
    </row>
    <row r="104" spans="1:29" x14ac:dyDescent="0.15">
      <c r="A104" s="137"/>
      <c r="B104" s="137"/>
      <c r="C104" s="137"/>
      <c r="D104" s="138"/>
      <c r="E104" s="247"/>
      <c r="F104" s="247"/>
      <c r="G104" s="137"/>
      <c r="H104" s="247"/>
      <c r="I104" s="247"/>
      <c r="J104" s="137"/>
      <c r="K104" s="247"/>
      <c r="L104" s="247"/>
      <c r="M104" s="247"/>
      <c r="N104" s="247"/>
      <c r="O104" s="247"/>
      <c r="P104" s="247"/>
      <c r="Q104" s="139"/>
      <c r="R104" s="247"/>
      <c r="S104" s="247"/>
      <c r="T104" s="140"/>
      <c r="U104" s="247"/>
      <c r="V104" s="141"/>
      <c r="W104" s="247"/>
      <c r="X104" s="137"/>
      <c r="Y104" s="247"/>
      <c r="Z104" s="247"/>
      <c r="AA104" s="247"/>
      <c r="AB104" s="137"/>
      <c r="AC104" s="247"/>
    </row>
    <row r="105" spans="1:29" x14ac:dyDescent="0.15">
      <c r="A105" s="137"/>
      <c r="B105" s="137"/>
      <c r="C105" s="137"/>
      <c r="D105" s="138"/>
      <c r="E105" s="247"/>
      <c r="F105" s="247"/>
      <c r="G105" s="137"/>
      <c r="H105" s="247"/>
      <c r="I105" s="247"/>
      <c r="J105" s="137"/>
      <c r="K105" s="247"/>
      <c r="L105" s="247"/>
      <c r="M105" s="247"/>
      <c r="N105" s="247"/>
      <c r="O105" s="247"/>
      <c r="P105" s="247"/>
      <c r="Q105" s="139"/>
      <c r="R105" s="247"/>
      <c r="S105" s="247"/>
      <c r="T105" s="140"/>
      <c r="U105" s="247"/>
      <c r="V105" s="141"/>
      <c r="W105" s="247"/>
      <c r="X105" s="137"/>
      <c r="Y105" s="247"/>
      <c r="Z105" s="247"/>
      <c r="AA105" s="247"/>
      <c r="AB105" s="137"/>
      <c r="AC105" s="247"/>
    </row>
    <row r="106" spans="1:29" x14ac:dyDescent="0.15">
      <c r="A106" s="137"/>
      <c r="B106" s="137"/>
      <c r="C106" s="137"/>
      <c r="D106" s="138"/>
      <c r="E106" s="247"/>
      <c r="F106" s="247"/>
      <c r="G106" s="137"/>
      <c r="H106" s="247"/>
      <c r="I106" s="247"/>
      <c r="J106" s="137"/>
      <c r="K106" s="247"/>
      <c r="L106" s="247"/>
      <c r="M106" s="247"/>
      <c r="N106" s="247"/>
      <c r="O106" s="247"/>
      <c r="P106" s="247"/>
      <c r="Q106" s="139"/>
      <c r="R106" s="247"/>
      <c r="S106" s="247"/>
      <c r="T106" s="140"/>
      <c r="U106" s="247"/>
      <c r="V106" s="141"/>
      <c r="W106" s="247"/>
      <c r="X106" s="137"/>
      <c r="Y106" s="247"/>
      <c r="Z106" s="247"/>
      <c r="AA106" s="247"/>
      <c r="AB106" s="137"/>
      <c r="AC106" s="247"/>
    </row>
    <row r="107" spans="1:29" x14ac:dyDescent="0.15">
      <c r="A107" s="137"/>
      <c r="B107" s="137"/>
      <c r="C107" s="137"/>
      <c r="D107" s="138"/>
      <c r="E107" s="247"/>
      <c r="F107" s="247"/>
      <c r="G107" s="137"/>
      <c r="H107" s="247"/>
      <c r="I107" s="247"/>
      <c r="J107" s="137"/>
      <c r="K107" s="247"/>
      <c r="L107" s="247"/>
      <c r="M107" s="247"/>
      <c r="N107" s="247"/>
      <c r="O107" s="247"/>
      <c r="P107" s="247"/>
      <c r="Q107" s="139"/>
      <c r="R107" s="247"/>
      <c r="S107" s="247"/>
      <c r="T107" s="140"/>
      <c r="U107" s="247"/>
      <c r="V107" s="141"/>
      <c r="W107" s="247"/>
      <c r="X107" s="137"/>
      <c r="Y107" s="247"/>
      <c r="Z107" s="247"/>
      <c r="AA107" s="247"/>
      <c r="AB107" s="137"/>
      <c r="AC107" s="247"/>
    </row>
    <row r="108" spans="1:29" x14ac:dyDescent="0.15">
      <c r="A108" s="137"/>
      <c r="B108" s="137"/>
      <c r="C108" s="137"/>
      <c r="D108" s="138"/>
      <c r="E108" s="247"/>
      <c r="F108" s="247"/>
      <c r="G108" s="137"/>
      <c r="H108" s="247"/>
      <c r="I108" s="247"/>
      <c r="J108" s="137"/>
      <c r="K108" s="247"/>
      <c r="L108" s="247"/>
      <c r="M108" s="247"/>
      <c r="N108" s="247"/>
      <c r="O108" s="247"/>
      <c r="P108" s="247"/>
      <c r="Q108" s="139"/>
      <c r="R108" s="247"/>
      <c r="S108" s="247"/>
      <c r="T108" s="140"/>
      <c r="U108" s="247"/>
      <c r="V108" s="141"/>
      <c r="W108" s="247"/>
      <c r="X108" s="137"/>
      <c r="Y108" s="247"/>
      <c r="Z108" s="247"/>
      <c r="AA108" s="247"/>
      <c r="AB108" s="137"/>
      <c r="AC108" s="247"/>
    </row>
    <row r="109" spans="1:29" x14ac:dyDescent="0.15">
      <c r="A109" s="137"/>
      <c r="B109" s="137"/>
      <c r="C109" s="137"/>
      <c r="D109" s="138"/>
      <c r="E109" s="247"/>
      <c r="F109" s="247"/>
      <c r="G109" s="137"/>
      <c r="H109" s="247"/>
      <c r="I109" s="247"/>
      <c r="J109" s="137"/>
      <c r="K109" s="247"/>
      <c r="L109" s="247"/>
      <c r="M109" s="247"/>
      <c r="N109" s="247"/>
      <c r="O109" s="247"/>
      <c r="P109" s="247"/>
      <c r="Q109" s="139"/>
      <c r="R109" s="247"/>
      <c r="S109" s="247"/>
      <c r="T109" s="140"/>
      <c r="U109" s="247"/>
      <c r="V109" s="141"/>
      <c r="W109" s="247"/>
      <c r="X109" s="137"/>
      <c r="Y109" s="247"/>
      <c r="Z109" s="247"/>
      <c r="AA109" s="247"/>
      <c r="AB109" s="137"/>
      <c r="AC109" s="247"/>
    </row>
    <row r="110" spans="1:29" x14ac:dyDescent="0.15">
      <c r="A110" s="137"/>
      <c r="B110" s="137"/>
      <c r="C110" s="137"/>
      <c r="D110" s="138"/>
      <c r="E110" s="247"/>
      <c r="F110" s="247"/>
      <c r="G110" s="137"/>
      <c r="H110" s="247"/>
      <c r="I110" s="247"/>
      <c r="J110" s="137"/>
      <c r="K110" s="247"/>
      <c r="L110" s="247"/>
      <c r="M110" s="247"/>
      <c r="N110" s="247"/>
      <c r="O110" s="247"/>
      <c r="P110" s="247"/>
      <c r="Q110" s="139"/>
      <c r="R110" s="247"/>
      <c r="S110" s="247"/>
      <c r="T110" s="140"/>
      <c r="U110" s="247"/>
      <c r="V110" s="141"/>
      <c r="W110" s="247"/>
      <c r="X110" s="137"/>
      <c r="Y110" s="247"/>
      <c r="Z110" s="247"/>
      <c r="AA110" s="247"/>
      <c r="AB110" s="137"/>
      <c r="AC110" s="247"/>
    </row>
    <row r="111" spans="1:29" x14ac:dyDescent="0.15">
      <c r="A111" s="137"/>
      <c r="B111" s="137"/>
      <c r="C111" s="137"/>
      <c r="D111" s="138"/>
      <c r="E111" s="247"/>
      <c r="F111" s="247"/>
      <c r="G111" s="137"/>
      <c r="H111" s="247"/>
      <c r="I111" s="247"/>
      <c r="J111" s="137"/>
      <c r="K111" s="247"/>
      <c r="L111" s="247"/>
      <c r="M111" s="247"/>
      <c r="N111" s="247"/>
      <c r="O111" s="247"/>
      <c r="P111" s="247"/>
      <c r="Q111" s="139"/>
      <c r="R111" s="247"/>
      <c r="S111" s="247"/>
      <c r="T111" s="140"/>
      <c r="U111" s="247"/>
      <c r="V111" s="141"/>
      <c r="W111" s="247"/>
      <c r="X111" s="137"/>
      <c r="Y111" s="247"/>
      <c r="Z111" s="247"/>
      <c r="AA111" s="247"/>
      <c r="AB111" s="137"/>
      <c r="AC111" s="247"/>
    </row>
    <row r="112" spans="1:29" x14ac:dyDescent="0.15">
      <c r="A112" s="137"/>
      <c r="B112" s="137"/>
      <c r="C112" s="137"/>
      <c r="D112" s="138"/>
      <c r="E112" s="247"/>
      <c r="F112" s="247"/>
      <c r="G112" s="137"/>
      <c r="H112" s="247"/>
      <c r="I112" s="247"/>
      <c r="J112" s="137"/>
      <c r="K112" s="247"/>
      <c r="L112" s="247"/>
      <c r="M112" s="247"/>
      <c r="N112" s="247"/>
      <c r="O112" s="247"/>
      <c r="P112" s="247"/>
      <c r="Q112" s="139"/>
      <c r="R112" s="247"/>
      <c r="S112" s="247"/>
      <c r="T112" s="140"/>
      <c r="U112" s="247"/>
      <c r="V112" s="141"/>
      <c r="W112" s="247"/>
      <c r="X112" s="137"/>
      <c r="Y112" s="247"/>
      <c r="Z112" s="247"/>
      <c r="AA112" s="247"/>
      <c r="AB112" s="137"/>
      <c r="AC112" s="247"/>
    </row>
    <row r="113" spans="1:29" x14ac:dyDescent="0.15">
      <c r="A113" s="247"/>
      <c r="B113" s="247"/>
      <c r="C113" s="247"/>
      <c r="D113" s="247"/>
      <c r="E113" s="247"/>
      <c r="F113" s="247"/>
      <c r="G113" s="247"/>
      <c r="H113" s="247"/>
      <c r="I113" s="247"/>
      <c r="J113" s="247"/>
      <c r="K113" s="247"/>
      <c r="L113" s="247"/>
      <c r="M113" s="247"/>
      <c r="N113" s="247"/>
      <c r="O113" s="247"/>
      <c r="P113" s="247"/>
      <c r="Q113" s="140"/>
      <c r="R113" s="247"/>
      <c r="S113" s="247"/>
      <c r="T113" s="140"/>
      <c r="U113" s="247"/>
      <c r="V113" s="140"/>
      <c r="W113" s="247"/>
      <c r="X113" s="247"/>
      <c r="Y113" s="247"/>
      <c r="Z113" s="247"/>
      <c r="AA113" s="247"/>
      <c r="AB113" s="247"/>
      <c r="AC113" s="247"/>
    </row>
    <row r="114" spans="1:29" x14ac:dyDescent="0.15">
      <c r="A114" s="247"/>
      <c r="B114" s="247"/>
      <c r="C114" s="247"/>
      <c r="D114" s="247"/>
      <c r="E114" s="247"/>
      <c r="F114" s="247"/>
      <c r="G114" s="247"/>
      <c r="H114" s="247"/>
      <c r="I114" s="247"/>
      <c r="J114" s="247"/>
      <c r="K114" s="247"/>
      <c r="L114" s="247" t="s">
        <v>458</v>
      </c>
      <c r="M114" s="247"/>
      <c r="N114" s="247"/>
      <c r="O114" s="247"/>
      <c r="P114" s="247"/>
      <c r="Q114" s="140"/>
      <c r="R114" s="247"/>
      <c r="S114" s="247"/>
      <c r="T114" s="140"/>
      <c r="U114" s="247"/>
      <c r="V114" s="140"/>
      <c r="W114" s="247"/>
      <c r="X114" s="247"/>
      <c r="Y114" s="247"/>
      <c r="Z114" s="247"/>
      <c r="AA114" s="247"/>
      <c r="AB114" s="247"/>
      <c r="AC114" s="247"/>
    </row>
    <row r="115" spans="1:29" x14ac:dyDescent="0.15">
      <c r="K115" s="247"/>
    </row>
    <row r="116" spans="1:29" x14ac:dyDescent="0.15">
      <c r="K116" s="247"/>
    </row>
    <row r="117" spans="1:29" x14ac:dyDescent="0.15">
      <c r="K117" s="247"/>
    </row>
    <row r="118" spans="1:29" x14ac:dyDescent="0.15">
      <c r="K118" s="247"/>
    </row>
    <row r="119" spans="1:29" x14ac:dyDescent="0.15">
      <c r="K119" s="247"/>
    </row>
    <row r="120" spans="1:29" x14ac:dyDescent="0.15">
      <c r="K120" s="247"/>
    </row>
  </sheetData>
  <autoFilter ref="A1:BA1"/>
  <phoneticPr fontId="3"/>
  <dataValidations count="21">
    <dataValidation type="list" allowBlank="1" showInputMessage="1" showErrorMessage="1" sqref="K2:K120">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formula1>$AV$2:$AV$22</formula1>
    </dataValidation>
    <dataValidation type="list" allowBlank="1" showInputMessage="1" showErrorMessage="1" sqref="K121:K500">
      <formula1>$AR$2:$AR$25</formula1>
    </dataValidation>
    <dataValidation type="list" allowBlank="1" showInputMessage="1" showErrorMessage="1" sqref="J96:J500 J2:J94">
      <formula1>$AP$2:$AP$27</formula1>
    </dataValidation>
    <dataValidation type="list" allowBlank="1" showInputMessage="1" showErrorMessage="1" sqref="F96:F500 F2:F94">
      <formula1>$AH$2:$AH$10</formula1>
    </dataValidation>
    <dataValidation type="list" allowBlank="1" showInputMessage="1" showErrorMessage="1" sqref="E96:E500 E2:E94">
      <formula1>$AG$2:$AG$11</formula1>
    </dataValidation>
    <dataValidation type="list" allowBlank="1" showInputMessage="1" showErrorMessage="1" sqref="A96:A500 A2:A94">
      <formula1>$AE$2:$AE$19</formula1>
    </dataValidation>
    <dataValidation type="list" allowBlank="1" showInputMessage="1" showErrorMessage="1" sqref="H96:H500 H2:H94">
      <formula1>$AL$2:$AL$8</formula1>
    </dataValidation>
    <dataValidation type="list" allowBlank="1" showInputMessage="1" showErrorMessage="1" sqref="Y96:AA500 Y2:AA94">
      <formula1>$AV$2:$AV$21</formula1>
    </dataValidation>
    <dataValidation type="decimal" allowBlank="1" showInputMessage="1" showErrorMessage="1" error="硬度を正しく入力して下さい。" sqref="O96:P500 O41:P94 O5:O7 P5:P40 O17:O22">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zoomScale="84" zoomScaleNormal="84" workbookViewId="0">
      <selection activeCell="N24" sqref="N24"/>
    </sheetView>
  </sheetViews>
  <sheetFormatPr defaultColWidth="8.875" defaultRowHeight="13.5" x14ac:dyDescent="0.15"/>
  <cols>
    <col min="1" max="3" width="8.875" style="208"/>
    <col min="4" max="4" width="13.5" style="208" bestFit="1" customWidth="1"/>
    <col min="5" max="5" width="9.625" style="208" bestFit="1" customWidth="1"/>
    <col min="6" max="16" width="8.875" style="208"/>
    <col min="17" max="17" width="8.875" style="217"/>
    <col min="18" max="19" width="8.875" style="208"/>
    <col min="20" max="20" width="8.875" style="217"/>
    <col min="21" max="21" width="8.875" style="208"/>
    <col min="22" max="22" width="8.875" style="217"/>
    <col min="23" max="32" width="8.875" style="208"/>
    <col min="33" max="33" width="19.625" style="208" bestFit="1" customWidth="1"/>
    <col min="34" max="259" width="8.875" style="208"/>
    <col min="260" max="260" width="10.5" style="208" bestFit="1" customWidth="1"/>
    <col min="261" max="261" width="9.625" style="208" bestFit="1" customWidth="1"/>
    <col min="262" max="515" width="8.875" style="208"/>
    <col min="516" max="516" width="10.5" style="208" bestFit="1" customWidth="1"/>
    <col min="517" max="517" width="9.625" style="208" bestFit="1" customWidth="1"/>
    <col min="518" max="771" width="8.875" style="208"/>
    <col min="772" max="772" width="10.5" style="208" bestFit="1" customWidth="1"/>
    <col min="773" max="773" width="9.625" style="208" bestFit="1" customWidth="1"/>
    <col min="774" max="1027" width="8.875" style="208"/>
    <col min="1028" max="1028" width="10.5" style="208" bestFit="1" customWidth="1"/>
    <col min="1029" max="1029" width="9.625" style="208" bestFit="1" customWidth="1"/>
    <col min="1030" max="1283" width="8.875" style="208"/>
    <col min="1284" max="1284" width="10.5" style="208" bestFit="1" customWidth="1"/>
    <col min="1285" max="1285" width="9.625" style="208" bestFit="1" customWidth="1"/>
    <col min="1286" max="1539" width="8.875" style="208"/>
    <col min="1540" max="1540" width="10.5" style="208" bestFit="1" customWidth="1"/>
    <col min="1541" max="1541" width="9.625" style="208" bestFit="1" customWidth="1"/>
    <col min="1542" max="1795" width="8.875" style="208"/>
    <col min="1796" max="1796" width="10.5" style="208" bestFit="1" customWidth="1"/>
    <col min="1797" max="1797" width="9.625" style="208" bestFit="1" customWidth="1"/>
    <col min="1798" max="2051" width="8.875" style="208"/>
    <col min="2052" max="2052" width="10.5" style="208" bestFit="1" customWidth="1"/>
    <col min="2053" max="2053" width="9.625" style="208" bestFit="1" customWidth="1"/>
    <col min="2054" max="2307" width="8.875" style="208"/>
    <col min="2308" max="2308" width="10.5" style="208" bestFit="1" customWidth="1"/>
    <col min="2309" max="2309" width="9.625" style="208" bestFit="1" customWidth="1"/>
    <col min="2310" max="2563" width="8.875" style="208"/>
    <col min="2564" max="2564" width="10.5" style="208" bestFit="1" customWidth="1"/>
    <col min="2565" max="2565" width="9.625" style="208" bestFit="1" customWidth="1"/>
    <col min="2566" max="2819" width="8.875" style="208"/>
    <col min="2820" max="2820" width="10.5" style="208" bestFit="1" customWidth="1"/>
    <col min="2821" max="2821" width="9.625" style="208" bestFit="1" customWidth="1"/>
    <col min="2822" max="3075" width="8.875" style="208"/>
    <col min="3076" max="3076" width="10.5" style="208" bestFit="1" customWidth="1"/>
    <col min="3077" max="3077" width="9.625" style="208" bestFit="1" customWidth="1"/>
    <col min="3078" max="3331" width="8.875" style="208"/>
    <col min="3332" max="3332" width="10.5" style="208" bestFit="1" customWidth="1"/>
    <col min="3333" max="3333" width="9.625" style="208" bestFit="1" customWidth="1"/>
    <col min="3334" max="3587" width="8.875" style="208"/>
    <col min="3588" max="3588" width="10.5" style="208" bestFit="1" customWidth="1"/>
    <col min="3589" max="3589" width="9.625" style="208" bestFit="1" customWidth="1"/>
    <col min="3590" max="3843" width="8.875" style="208"/>
    <col min="3844" max="3844" width="10.5" style="208" bestFit="1" customWidth="1"/>
    <col min="3845" max="3845" width="9.625" style="208" bestFit="1" customWidth="1"/>
    <col min="3846" max="4099" width="8.875" style="208"/>
    <col min="4100" max="4100" width="10.5" style="208" bestFit="1" customWidth="1"/>
    <col min="4101" max="4101" width="9.625" style="208" bestFit="1" customWidth="1"/>
    <col min="4102" max="4355" width="8.875" style="208"/>
    <col min="4356" max="4356" width="10.5" style="208" bestFit="1" customWidth="1"/>
    <col min="4357" max="4357" width="9.625" style="208" bestFit="1" customWidth="1"/>
    <col min="4358" max="4611" width="8.875" style="208"/>
    <col min="4612" max="4612" width="10.5" style="208" bestFit="1" customWidth="1"/>
    <col min="4613" max="4613" width="9.625" style="208" bestFit="1" customWidth="1"/>
    <col min="4614" max="4867" width="8.875" style="208"/>
    <col min="4868" max="4868" width="10.5" style="208" bestFit="1" customWidth="1"/>
    <col min="4869" max="4869" width="9.625" style="208" bestFit="1" customWidth="1"/>
    <col min="4870" max="5123" width="8.875" style="208"/>
    <col min="5124" max="5124" width="10.5" style="208" bestFit="1" customWidth="1"/>
    <col min="5125" max="5125" width="9.625" style="208" bestFit="1" customWidth="1"/>
    <col min="5126" max="5379" width="8.875" style="208"/>
    <col min="5380" max="5380" width="10.5" style="208" bestFit="1" customWidth="1"/>
    <col min="5381" max="5381" width="9.625" style="208" bestFit="1" customWidth="1"/>
    <col min="5382" max="5635" width="8.875" style="208"/>
    <col min="5636" max="5636" width="10.5" style="208" bestFit="1" customWidth="1"/>
    <col min="5637" max="5637" width="9.625" style="208" bestFit="1" customWidth="1"/>
    <col min="5638" max="5891" width="8.875" style="208"/>
    <col min="5892" max="5892" width="10.5" style="208" bestFit="1" customWidth="1"/>
    <col min="5893" max="5893" width="9.625" style="208" bestFit="1" customWidth="1"/>
    <col min="5894" max="6147" width="8.875" style="208"/>
    <col min="6148" max="6148" width="10.5" style="208" bestFit="1" customWidth="1"/>
    <col min="6149" max="6149" width="9.625" style="208" bestFit="1" customWidth="1"/>
    <col min="6150" max="6403" width="8.875" style="208"/>
    <col min="6404" max="6404" width="10.5" style="208" bestFit="1" customWidth="1"/>
    <col min="6405" max="6405" width="9.625" style="208" bestFit="1" customWidth="1"/>
    <col min="6406" max="6659" width="8.875" style="208"/>
    <col min="6660" max="6660" width="10.5" style="208" bestFit="1" customWidth="1"/>
    <col min="6661" max="6661" width="9.625" style="208" bestFit="1" customWidth="1"/>
    <col min="6662" max="6915" width="8.875" style="208"/>
    <col min="6916" max="6916" width="10.5" style="208" bestFit="1" customWidth="1"/>
    <col min="6917" max="6917" width="9.625" style="208" bestFit="1" customWidth="1"/>
    <col min="6918" max="7171" width="8.875" style="208"/>
    <col min="7172" max="7172" width="10.5" style="208" bestFit="1" customWidth="1"/>
    <col min="7173" max="7173" width="9.625" style="208" bestFit="1" customWidth="1"/>
    <col min="7174" max="7427" width="8.875" style="208"/>
    <col min="7428" max="7428" width="10.5" style="208" bestFit="1" customWidth="1"/>
    <col min="7429" max="7429" width="9.625" style="208" bestFit="1" customWidth="1"/>
    <col min="7430" max="7683" width="8.875" style="208"/>
    <col min="7684" max="7684" width="10.5" style="208" bestFit="1" customWidth="1"/>
    <col min="7685" max="7685" width="9.625" style="208" bestFit="1" customWidth="1"/>
    <col min="7686" max="7939" width="8.875" style="208"/>
    <col min="7940" max="7940" width="10.5" style="208" bestFit="1" customWidth="1"/>
    <col min="7941" max="7941" width="9.625" style="208" bestFit="1" customWidth="1"/>
    <col min="7942" max="8195" width="8.875" style="208"/>
    <col min="8196" max="8196" width="10.5" style="208" bestFit="1" customWidth="1"/>
    <col min="8197" max="8197" width="9.625" style="208" bestFit="1" customWidth="1"/>
    <col min="8198" max="8451" width="8.875" style="208"/>
    <col min="8452" max="8452" width="10.5" style="208" bestFit="1" customWidth="1"/>
    <col min="8453" max="8453" width="9.625" style="208" bestFit="1" customWidth="1"/>
    <col min="8454" max="8707" width="8.875" style="208"/>
    <col min="8708" max="8708" width="10.5" style="208" bestFit="1" customWidth="1"/>
    <col min="8709" max="8709" width="9.625" style="208" bestFit="1" customWidth="1"/>
    <col min="8710" max="8963" width="8.875" style="208"/>
    <col min="8964" max="8964" width="10.5" style="208" bestFit="1" customWidth="1"/>
    <col min="8965" max="8965" width="9.625" style="208" bestFit="1" customWidth="1"/>
    <col min="8966" max="9219" width="8.875" style="208"/>
    <col min="9220" max="9220" width="10.5" style="208" bestFit="1" customWidth="1"/>
    <col min="9221" max="9221" width="9.625" style="208" bestFit="1" customWidth="1"/>
    <col min="9222" max="9475" width="8.875" style="208"/>
    <col min="9476" max="9476" width="10.5" style="208" bestFit="1" customWidth="1"/>
    <col min="9477" max="9477" width="9.625" style="208" bestFit="1" customWidth="1"/>
    <col min="9478" max="9731" width="8.875" style="208"/>
    <col min="9732" max="9732" width="10.5" style="208" bestFit="1" customWidth="1"/>
    <col min="9733" max="9733" width="9.625" style="208" bestFit="1" customWidth="1"/>
    <col min="9734" max="9987" width="8.875" style="208"/>
    <col min="9988" max="9988" width="10.5" style="208" bestFit="1" customWidth="1"/>
    <col min="9989" max="9989" width="9.625" style="208" bestFit="1" customWidth="1"/>
    <col min="9990" max="10243" width="8.875" style="208"/>
    <col min="10244" max="10244" width="10.5" style="208" bestFit="1" customWidth="1"/>
    <col min="10245" max="10245" width="9.625" style="208" bestFit="1" customWidth="1"/>
    <col min="10246" max="10499" width="8.875" style="208"/>
    <col min="10500" max="10500" width="10.5" style="208" bestFit="1" customWidth="1"/>
    <col min="10501" max="10501" width="9.625" style="208" bestFit="1" customWidth="1"/>
    <col min="10502" max="10755" width="8.875" style="208"/>
    <col min="10756" max="10756" width="10.5" style="208" bestFit="1" customWidth="1"/>
    <col min="10757" max="10757" width="9.625" style="208" bestFit="1" customWidth="1"/>
    <col min="10758" max="11011" width="8.875" style="208"/>
    <col min="11012" max="11012" width="10.5" style="208" bestFit="1" customWidth="1"/>
    <col min="11013" max="11013" width="9.625" style="208" bestFit="1" customWidth="1"/>
    <col min="11014" max="11267" width="8.875" style="208"/>
    <col min="11268" max="11268" width="10.5" style="208" bestFit="1" customWidth="1"/>
    <col min="11269" max="11269" width="9.625" style="208" bestFit="1" customWidth="1"/>
    <col min="11270" max="11523" width="8.875" style="208"/>
    <col min="11524" max="11524" width="10.5" style="208" bestFit="1" customWidth="1"/>
    <col min="11525" max="11525" width="9.625" style="208" bestFit="1" customWidth="1"/>
    <col min="11526" max="11779" width="8.875" style="208"/>
    <col min="11780" max="11780" width="10.5" style="208" bestFit="1" customWidth="1"/>
    <col min="11781" max="11781" width="9.625" style="208" bestFit="1" customWidth="1"/>
    <col min="11782" max="12035" width="8.875" style="208"/>
    <col min="12036" max="12036" width="10.5" style="208" bestFit="1" customWidth="1"/>
    <col min="12037" max="12037" width="9.625" style="208" bestFit="1" customWidth="1"/>
    <col min="12038" max="12291" width="8.875" style="208"/>
    <col min="12292" max="12292" width="10.5" style="208" bestFit="1" customWidth="1"/>
    <col min="12293" max="12293" width="9.625" style="208" bestFit="1" customWidth="1"/>
    <col min="12294" max="12547" width="8.875" style="208"/>
    <col min="12548" max="12548" width="10.5" style="208" bestFit="1" customWidth="1"/>
    <col min="12549" max="12549" width="9.625" style="208" bestFit="1" customWidth="1"/>
    <col min="12550" max="12803" width="8.875" style="208"/>
    <col min="12804" max="12804" width="10.5" style="208" bestFit="1" customWidth="1"/>
    <col min="12805" max="12805" width="9.625" style="208" bestFit="1" customWidth="1"/>
    <col min="12806" max="13059" width="8.875" style="208"/>
    <col min="13060" max="13060" width="10.5" style="208" bestFit="1" customWidth="1"/>
    <col min="13061" max="13061" width="9.625" style="208" bestFit="1" customWidth="1"/>
    <col min="13062" max="13315" width="8.875" style="208"/>
    <col min="13316" max="13316" width="10.5" style="208" bestFit="1" customWidth="1"/>
    <col min="13317" max="13317" width="9.625" style="208" bestFit="1" customWidth="1"/>
    <col min="13318" max="13571" width="8.875" style="208"/>
    <col min="13572" max="13572" width="10.5" style="208" bestFit="1" customWidth="1"/>
    <col min="13573" max="13573" width="9.625" style="208" bestFit="1" customWidth="1"/>
    <col min="13574" max="13827" width="8.875" style="208"/>
    <col min="13828" max="13828" width="10.5" style="208" bestFit="1" customWidth="1"/>
    <col min="13829" max="13829" width="9.625" style="208" bestFit="1" customWidth="1"/>
    <col min="13830" max="14083" width="8.875" style="208"/>
    <col min="14084" max="14084" width="10.5" style="208" bestFit="1" customWidth="1"/>
    <col min="14085" max="14085" width="9.625" style="208" bestFit="1" customWidth="1"/>
    <col min="14086" max="14339" width="8.875" style="208"/>
    <col min="14340" max="14340" width="10.5" style="208" bestFit="1" customWidth="1"/>
    <col min="14341" max="14341" width="9.625" style="208" bestFit="1" customWidth="1"/>
    <col min="14342" max="14595" width="8.875" style="208"/>
    <col min="14596" max="14596" width="10.5" style="208" bestFit="1" customWidth="1"/>
    <col min="14597" max="14597" width="9.625" style="208" bestFit="1" customWidth="1"/>
    <col min="14598" max="14851" width="8.875" style="208"/>
    <col min="14852" max="14852" width="10.5" style="208" bestFit="1" customWidth="1"/>
    <col min="14853" max="14853" width="9.625" style="208" bestFit="1" customWidth="1"/>
    <col min="14854" max="15107" width="8.875" style="208"/>
    <col min="15108" max="15108" width="10.5" style="208" bestFit="1" customWidth="1"/>
    <col min="15109" max="15109" width="9.625" style="208" bestFit="1" customWidth="1"/>
    <col min="15110" max="15363" width="8.875" style="208"/>
    <col min="15364" max="15364" width="10.5" style="208" bestFit="1" customWidth="1"/>
    <col min="15365" max="15365" width="9.625" style="208" bestFit="1" customWidth="1"/>
    <col min="15366" max="15619" width="8.875" style="208"/>
    <col min="15620" max="15620" width="10.5" style="208" bestFit="1" customWidth="1"/>
    <col min="15621" max="15621" width="9.625" style="208" bestFit="1" customWidth="1"/>
    <col min="15622" max="15875" width="8.875" style="208"/>
    <col min="15876" max="15876" width="10.5" style="208" bestFit="1" customWidth="1"/>
    <col min="15877" max="15877" width="9.625" style="208" bestFit="1" customWidth="1"/>
    <col min="15878" max="16131" width="8.875" style="208"/>
    <col min="16132" max="16132" width="10.5" style="208" bestFit="1" customWidth="1"/>
    <col min="16133" max="16133" width="9.625" style="208" bestFit="1" customWidth="1"/>
    <col min="16134" max="16384" width="8.875" style="208"/>
  </cols>
  <sheetData>
    <row r="1" spans="1:53" ht="45" x14ac:dyDescent="0.15">
      <c r="A1" s="240" t="s">
        <v>0</v>
      </c>
      <c r="B1" s="202" t="s">
        <v>1</v>
      </c>
      <c r="C1" s="202" t="s">
        <v>375</v>
      </c>
      <c r="D1" s="203" t="s">
        <v>3</v>
      </c>
      <c r="E1" s="241" t="s">
        <v>4</v>
      </c>
      <c r="F1" s="241" t="s">
        <v>5</v>
      </c>
      <c r="G1" s="241" t="s">
        <v>6</v>
      </c>
      <c r="H1" s="241" t="s">
        <v>7</v>
      </c>
      <c r="I1" s="241" t="s">
        <v>8</v>
      </c>
      <c r="J1" s="241" t="s">
        <v>9</v>
      </c>
      <c r="K1" s="241" t="s">
        <v>10</v>
      </c>
      <c r="L1" s="203" t="s">
        <v>159</v>
      </c>
      <c r="M1" s="203" t="s">
        <v>12</v>
      </c>
      <c r="N1" s="203" t="s">
        <v>459</v>
      </c>
      <c r="O1" s="203" t="s">
        <v>350</v>
      </c>
      <c r="P1" s="203" t="s">
        <v>15</v>
      </c>
      <c r="Q1" s="204" t="s">
        <v>16</v>
      </c>
      <c r="R1" s="203" t="s">
        <v>376</v>
      </c>
      <c r="S1" s="203" t="s">
        <v>377</v>
      </c>
      <c r="T1" s="204" t="s">
        <v>19</v>
      </c>
      <c r="U1" s="205" t="s">
        <v>460</v>
      </c>
      <c r="V1" s="206" t="s">
        <v>20</v>
      </c>
      <c r="W1" s="203" t="s">
        <v>21</v>
      </c>
      <c r="X1" s="241" t="s">
        <v>22</v>
      </c>
      <c r="Y1" s="241" t="s">
        <v>23</v>
      </c>
      <c r="Z1" s="241" t="s">
        <v>24</v>
      </c>
      <c r="AA1" s="242" t="s">
        <v>25</v>
      </c>
      <c r="AB1" s="207" t="s">
        <v>378</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276</v>
      </c>
      <c r="AY1" s="214" t="s">
        <v>277</v>
      </c>
      <c r="AZ1" s="214" t="s">
        <v>278</v>
      </c>
      <c r="BA1" s="215" t="s">
        <v>279</v>
      </c>
    </row>
    <row r="2" spans="1:53" x14ac:dyDescent="0.15">
      <c r="A2" s="208" t="s">
        <v>59</v>
      </c>
      <c r="B2" s="237" t="s">
        <v>379</v>
      </c>
      <c r="C2" s="152">
        <v>2018</v>
      </c>
      <c r="D2" s="153" t="s">
        <v>461</v>
      </c>
      <c r="E2" s="208" t="s">
        <v>462</v>
      </c>
      <c r="F2" s="208" t="s">
        <v>308</v>
      </c>
      <c r="G2" s="208" t="s">
        <v>36</v>
      </c>
      <c r="H2" s="208" t="s">
        <v>160</v>
      </c>
      <c r="I2" s="208" t="s">
        <v>155</v>
      </c>
      <c r="J2" s="208" t="s">
        <v>38</v>
      </c>
      <c r="K2" s="208" t="s">
        <v>156</v>
      </c>
      <c r="L2" s="208">
        <v>1</v>
      </c>
      <c r="N2" s="208">
        <v>4</v>
      </c>
      <c r="O2" s="208">
        <v>0.56000000000000005</v>
      </c>
      <c r="P2" s="208">
        <v>0.7</v>
      </c>
      <c r="Q2" s="245">
        <f>IF(OR(O2="",P2=""),"",AVERAGE(O2,P2))</f>
        <v>0.63</v>
      </c>
      <c r="R2" s="208">
        <v>17.600000000000001</v>
      </c>
      <c r="S2" s="208">
        <v>140</v>
      </c>
      <c r="T2" s="217">
        <f t="shared" ref="T2:T73" si="0">IF(H2="","",IF(OR(H2="GREEN",H2="GK"),IF(S2&gt;=$AX$2,VLOOKUP(S2,$AX$2:$AY$12,2,1),""),IF(S2&gt;=$AZ$2,VLOOKUP(S2,$AZ$2:$BA$12,2,1),"")))</f>
        <v>22</v>
      </c>
      <c r="U2" s="208">
        <v>480</v>
      </c>
      <c r="V2" s="217">
        <f t="shared" ref="V2:V70" si="1">IF(J2="","",IF(OR(J2="GREEN",J2="GK"),IF(U2&gt;=$AX$2,VLOOKUP(U2,$AX$2:$AY$12,2,1),""),IF(U2&gt;=$AZ$2,VLOOKUP(U2,$AZ$2:$BA$12,2,1),"")))</f>
        <v>16</v>
      </c>
      <c r="W2" s="208">
        <v>2</v>
      </c>
      <c r="X2" s="208" t="s">
        <v>39</v>
      </c>
      <c r="Y2" s="208" t="s">
        <v>90</v>
      </c>
      <c r="Z2" s="208" t="s">
        <v>78</v>
      </c>
      <c r="AA2" s="208" t="s">
        <v>69</v>
      </c>
      <c r="AB2" s="237" t="s">
        <v>463</v>
      </c>
      <c r="AE2" s="218" t="s">
        <v>35</v>
      </c>
      <c r="AG2" s="154" t="s">
        <v>315</v>
      </c>
      <c r="AH2" s="155" t="s">
        <v>307</v>
      </c>
      <c r="AJ2" s="248" t="s">
        <v>36</v>
      </c>
      <c r="AL2" s="219" t="s">
        <v>127</v>
      </c>
      <c r="AN2" s="156" t="s">
        <v>464</v>
      </c>
      <c r="AP2" s="219" t="s">
        <v>38</v>
      </c>
      <c r="AR2" s="219" t="s">
        <v>465</v>
      </c>
      <c r="AT2" s="248" t="s">
        <v>39</v>
      </c>
      <c r="AV2" s="224" t="s">
        <v>55</v>
      </c>
      <c r="AX2" s="157">
        <v>1</v>
      </c>
      <c r="AY2" s="158">
        <v>50</v>
      </c>
      <c r="AZ2" s="158">
        <v>1</v>
      </c>
      <c r="BA2" s="159">
        <v>50</v>
      </c>
    </row>
    <row r="3" spans="1:53" x14ac:dyDescent="0.15">
      <c r="A3" s="208" t="s">
        <v>59</v>
      </c>
      <c r="B3" s="237" t="s">
        <v>466</v>
      </c>
      <c r="C3" s="152">
        <v>2018</v>
      </c>
      <c r="D3" s="153" t="s">
        <v>467</v>
      </c>
      <c r="E3" s="208" t="s">
        <v>468</v>
      </c>
      <c r="F3" s="208" t="s">
        <v>308</v>
      </c>
      <c r="G3" s="208" t="s">
        <v>36</v>
      </c>
      <c r="H3" s="208" t="s">
        <v>160</v>
      </c>
      <c r="I3" s="208" t="s">
        <v>155</v>
      </c>
      <c r="J3" s="208" t="s">
        <v>38</v>
      </c>
      <c r="K3" s="208" t="s">
        <v>156</v>
      </c>
      <c r="L3" s="208">
        <v>2</v>
      </c>
      <c r="N3" s="208">
        <v>4</v>
      </c>
      <c r="O3" s="208">
        <v>0.7</v>
      </c>
      <c r="P3" s="208">
        <v>0.52</v>
      </c>
      <c r="Q3" s="245">
        <f t="shared" ref="Q3:Q73" si="2">IF(OR(O3="",P3=""),"",AVERAGE(O3,P3))</f>
        <v>0.61</v>
      </c>
      <c r="R3" s="208">
        <v>17.3</v>
      </c>
      <c r="S3" s="208">
        <v>131</v>
      </c>
      <c r="T3" s="217">
        <f t="shared" si="0"/>
        <v>25</v>
      </c>
      <c r="U3" s="208">
        <v>480</v>
      </c>
      <c r="V3" s="217">
        <f t="shared" si="1"/>
        <v>16</v>
      </c>
      <c r="W3" s="208">
        <v>2</v>
      </c>
      <c r="X3" s="208" t="s">
        <v>39</v>
      </c>
      <c r="Y3" s="208" t="s">
        <v>90</v>
      </c>
      <c r="Z3" s="208" t="s">
        <v>78</v>
      </c>
      <c r="AA3" s="208" t="s">
        <v>69</v>
      </c>
      <c r="AB3" s="237" t="s">
        <v>469</v>
      </c>
      <c r="AE3" s="223" t="s">
        <v>41</v>
      </c>
      <c r="AG3" s="154" t="s">
        <v>316</v>
      </c>
      <c r="AH3" s="155" t="s">
        <v>308</v>
      </c>
      <c r="AJ3" s="224" t="s">
        <v>42</v>
      </c>
      <c r="AL3" s="224" t="s">
        <v>128</v>
      </c>
      <c r="AN3" s="224" t="s">
        <v>43</v>
      </c>
      <c r="AP3" s="224" t="s">
        <v>44</v>
      </c>
      <c r="AR3" s="238" t="s">
        <v>45</v>
      </c>
      <c r="AT3" s="224" t="s">
        <v>46</v>
      </c>
      <c r="AV3" s="224" t="s">
        <v>470</v>
      </c>
      <c r="AX3" s="225">
        <v>72</v>
      </c>
      <c r="AY3" s="226">
        <v>46</v>
      </c>
      <c r="AZ3" s="226">
        <v>71</v>
      </c>
      <c r="BA3" s="227">
        <v>42</v>
      </c>
    </row>
    <row r="4" spans="1:53" x14ac:dyDescent="0.15">
      <c r="A4" s="208" t="s">
        <v>59</v>
      </c>
      <c r="B4" s="237" t="s">
        <v>466</v>
      </c>
      <c r="C4" s="152">
        <v>2018</v>
      </c>
      <c r="D4" s="153" t="s">
        <v>467</v>
      </c>
      <c r="E4" s="208" t="s">
        <v>468</v>
      </c>
      <c r="F4" s="208" t="s">
        <v>308</v>
      </c>
      <c r="G4" s="208" t="s">
        <v>36</v>
      </c>
      <c r="H4" s="208" t="s">
        <v>160</v>
      </c>
      <c r="I4" s="208" t="s">
        <v>471</v>
      </c>
      <c r="J4" s="208" t="s">
        <v>38</v>
      </c>
      <c r="K4" s="208" t="s">
        <v>156</v>
      </c>
      <c r="L4" s="208">
        <v>3</v>
      </c>
      <c r="N4" s="208">
        <v>4</v>
      </c>
      <c r="O4" s="208">
        <v>0.72</v>
      </c>
      <c r="P4" s="208">
        <v>0.66</v>
      </c>
      <c r="Q4" s="245">
        <f t="shared" si="2"/>
        <v>0.69</v>
      </c>
      <c r="R4" s="208">
        <v>17.7</v>
      </c>
      <c r="S4" s="208">
        <v>130</v>
      </c>
      <c r="T4" s="217">
        <f t="shared" si="0"/>
        <v>25</v>
      </c>
      <c r="U4" s="208">
        <v>480</v>
      </c>
      <c r="V4" s="217">
        <f t="shared" si="1"/>
        <v>16</v>
      </c>
      <c r="W4" s="208">
        <v>2</v>
      </c>
      <c r="X4" s="208" t="s">
        <v>39</v>
      </c>
      <c r="Y4" s="208" t="s">
        <v>90</v>
      </c>
      <c r="Z4" s="208" t="s">
        <v>78</v>
      </c>
      <c r="AA4" s="208" t="s">
        <v>69</v>
      </c>
      <c r="AB4" s="237" t="s">
        <v>469</v>
      </c>
      <c r="AE4" s="223" t="s">
        <v>34</v>
      </c>
      <c r="AG4" s="154" t="s">
        <v>317</v>
      </c>
      <c r="AH4" s="155" t="s">
        <v>309</v>
      </c>
      <c r="AJ4" s="228" t="s">
        <v>48</v>
      </c>
      <c r="AL4" s="228" t="s">
        <v>129</v>
      </c>
      <c r="AN4" s="229" t="s">
        <v>49</v>
      </c>
      <c r="AP4" s="224" t="s">
        <v>472</v>
      </c>
      <c r="AR4" s="238" t="s">
        <v>256</v>
      </c>
      <c r="AT4" s="229"/>
      <c r="AV4" s="224" t="s">
        <v>473</v>
      </c>
      <c r="AX4" s="225">
        <v>75</v>
      </c>
      <c r="AY4" s="226">
        <v>42</v>
      </c>
      <c r="AZ4" s="226">
        <v>76</v>
      </c>
      <c r="BA4" s="227">
        <v>39</v>
      </c>
    </row>
    <row r="5" spans="1:53" x14ac:dyDescent="0.15">
      <c r="A5" s="208" t="s">
        <v>59</v>
      </c>
      <c r="B5" s="237" t="s">
        <v>466</v>
      </c>
      <c r="C5" s="152">
        <v>2018</v>
      </c>
      <c r="D5" s="153" t="s">
        <v>467</v>
      </c>
      <c r="E5" s="208" t="s">
        <v>468</v>
      </c>
      <c r="F5" s="208" t="s">
        <v>308</v>
      </c>
      <c r="G5" s="208" t="s">
        <v>36</v>
      </c>
      <c r="H5" s="208" t="s">
        <v>157</v>
      </c>
      <c r="I5" s="208" t="s">
        <v>155</v>
      </c>
      <c r="J5" s="208" t="s">
        <v>38</v>
      </c>
      <c r="K5" s="208" t="s">
        <v>156</v>
      </c>
      <c r="L5" s="208">
        <v>1</v>
      </c>
      <c r="N5" s="208">
        <v>4</v>
      </c>
      <c r="O5" s="208">
        <v>0.64</v>
      </c>
      <c r="P5" s="208">
        <v>0.56999999999999995</v>
      </c>
      <c r="Q5" s="245">
        <f t="shared" si="2"/>
        <v>0.60499999999999998</v>
      </c>
      <c r="R5" s="208">
        <v>16.600000000000001</v>
      </c>
      <c r="S5" s="208">
        <v>141</v>
      </c>
      <c r="T5" s="217">
        <f t="shared" si="0"/>
        <v>22</v>
      </c>
      <c r="U5" s="208">
        <v>398</v>
      </c>
      <c r="V5" s="217">
        <f t="shared" si="1"/>
        <v>16</v>
      </c>
      <c r="W5" s="208">
        <v>2</v>
      </c>
      <c r="X5" s="208" t="s">
        <v>39</v>
      </c>
      <c r="Y5" s="208" t="s">
        <v>90</v>
      </c>
      <c r="Z5" s="208" t="s">
        <v>78</v>
      </c>
      <c r="AA5" s="208" t="s">
        <v>69</v>
      </c>
      <c r="AB5" s="237" t="s">
        <v>469</v>
      </c>
      <c r="AE5" s="223" t="s">
        <v>51</v>
      </c>
      <c r="AG5" s="154" t="s">
        <v>257</v>
      </c>
      <c r="AH5" s="155" t="s">
        <v>310</v>
      </c>
      <c r="AJ5" s="229"/>
      <c r="AL5" s="230" t="s">
        <v>474</v>
      </c>
      <c r="AN5" s="72" t="s">
        <v>475</v>
      </c>
      <c r="AP5" s="224" t="s">
        <v>476</v>
      </c>
      <c r="AR5" s="238" t="s">
        <v>54</v>
      </c>
      <c r="AV5" s="224" t="s">
        <v>477</v>
      </c>
      <c r="AX5" s="225">
        <v>84</v>
      </c>
      <c r="AY5" s="226">
        <v>39</v>
      </c>
      <c r="AZ5" s="226">
        <v>84</v>
      </c>
      <c r="BA5" s="227">
        <v>36</v>
      </c>
    </row>
    <row r="6" spans="1:53" x14ac:dyDescent="0.15">
      <c r="A6" s="208" t="s">
        <v>59</v>
      </c>
      <c r="B6" s="237" t="s">
        <v>466</v>
      </c>
      <c r="C6" s="152">
        <v>2018</v>
      </c>
      <c r="D6" s="153" t="s">
        <v>467</v>
      </c>
      <c r="E6" s="208" t="s">
        <v>468</v>
      </c>
      <c r="F6" s="208" t="s">
        <v>308</v>
      </c>
      <c r="G6" s="208" t="s">
        <v>36</v>
      </c>
      <c r="H6" s="208" t="s">
        <v>157</v>
      </c>
      <c r="I6" s="208" t="s">
        <v>155</v>
      </c>
      <c r="J6" s="208" t="s">
        <v>38</v>
      </c>
      <c r="K6" s="208" t="s">
        <v>156</v>
      </c>
      <c r="L6" s="208">
        <v>2</v>
      </c>
      <c r="N6" s="208">
        <v>4</v>
      </c>
      <c r="O6" s="208">
        <v>0.5</v>
      </c>
      <c r="P6" s="208">
        <v>0.56999999999999995</v>
      </c>
      <c r="Q6" s="245">
        <f t="shared" si="2"/>
        <v>0.53499999999999992</v>
      </c>
      <c r="R6" s="208">
        <v>15</v>
      </c>
      <c r="S6" s="208">
        <v>135</v>
      </c>
      <c r="T6" s="217">
        <f t="shared" si="0"/>
        <v>25</v>
      </c>
      <c r="U6" s="208">
        <v>398</v>
      </c>
      <c r="V6" s="217">
        <f t="shared" si="1"/>
        <v>16</v>
      </c>
      <c r="W6" s="208">
        <v>2</v>
      </c>
      <c r="X6" s="208" t="s">
        <v>39</v>
      </c>
      <c r="Y6" s="208" t="s">
        <v>90</v>
      </c>
      <c r="Z6" s="208" t="s">
        <v>78</v>
      </c>
      <c r="AA6" s="208" t="s">
        <v>69</v>
      </c>
      <c r="AB6" s="237" t="s">
        <v>469</v>
      </c>
      <c r="AE6" s="223" t="s">
        <v>56</v>
      </c>
      <c r="AG6" s="154" t="s">
        <v>318</v>
      </c>
      <c r="AH6" s="155" t="s">
        <v>311</v>
      </c>
      <c r="AL6" s="230" t="s">
        <v>479</v>
      </c>
      <c r="AN6" s="230" t="s">
        <v>480</v>
      </c>
      <c r="AP6" s="224" t="s">
        <v>53</v>
      </c>
      <c r="AR6" s="238" t="s">
        <v>162</v>
      </c>
      <c r="AV6" s="224" t="s">
        <v>60</v>
      </c>
      <c r="AX6" s="225">
        <v>97</v>
      </c>
      <c r="AY6" s="226">
        <v>36</v>
      </c>
      <c r="AZ6" s="226">
        <v>99</v>
      </c>
      <c r="BA6" s="227">
        <v>33</v>
      </c>
    </row>
    <row r="7" spans="1:53" x14ac:dyDescent="0.15">
      <c r="A7" s="208" t="s">
        <v>59</v>
      </c>
      <c r="B7" s="237" t="s">
        <v>400</v>
      </c>
      <c r="C7" s="152">
        <v>2018</v>
      </c>
      <c r="D7" s="153" t="s">
        <v>481</v>
      </c>
      <c r="E7" s="208" t="s">
        <v>482</v>
      </c>
      <c r="F7" s="208" t="s">
        <v>308</v>
      </c>
      <c r="G7" s="208" t="s">
        <v>36</v>
      </c>
      <c r="H7" s="208" t="s">
        <v>157</v>
      </c>
      <c r="I7" s="208" t="s">
        <v>155</v>
      </c>
      <c r="J7" s="208" t="s">
        <v>38</v>
      </c>
      <c r="K7" s="208" t="s">
        <v>156</v>
      </c>
      <c r="L7" s="208">
        <v>3</v>
      </c>
      <c r="N7" s="208">
        <v>4</v>
      </c>
      <c r="O7" s="208">
        <v>0.53</v>
      </c>
      <c r="P7" s="208">
        <v>0.56000000000000005</v>
      </c>
      <c r="Q7" s="245">
        <f t="shared" si="2"/>
        <v>0.54500000000000004</v>
      </c>
      <c r="R7" s="208">
        <v>16.100000000000001</v>
      </c>
      <c r="S7" s="208">
        <v>142</v>
      </c>
      <c r="T7" s="217">
        <f t="shared" si="0"/>
        <v>22</v>
      </c>
      <c r="U7" s="208">
        <v>398</v>
      </c>
      <c r="V7" s="217">
        <f t="shared" si="1"/>
        <v>16</v>
      </c>
      <c r="W7" s="208">
        <v>2</v>
      </c>
      <c r="X7" s="208" t="s">
        <v>39</v>
      </c>
      <c r="Y7" s="208" t="s">
        <v>90</v>
      </c>
      <c r="Z7" s="208" t="s">
        <v>78</v>
      </c>
      <c r="AA7" s="208" t="s">
        <v>69</v>
      </c>
      <c r="AB7" s="237" t="s">
        <v>483</v>
      </c>
      <c r="AE7" s="223" t="s">
        <v>61</v>
      </c>
      <c r="AG7" s="154" t="s">
        <v>319</v>
      </c>
      <c r="AH7" s="155" t="s">
        <v>312</v>
      </c>
      <c r="AL7" s="235" t="s">
        <v>484</v>
      </c>
      <c r="AP7" s="224" t="s">
        <v>58</v>
      </c>
      <c r="AR7" s="231" t="s">
        <v>258</v>
      </c>
      <c r="AV7" s="224" t="s">
        <v>64</v>
      </c>
      <c r="AX7" s="225">
        <v>109</v>
      </c>
      <c r="AY7" s="226">
        <v>33</v>
      </c>
      <c r="AZ7" s="226">
        <v>113</v>
      </c>
      <c r="BA7" s="227">
        <v>30</v>
      </c>
    </row>
    <row r="8" spans="1:53" x14ac:dyDescent="0.15">
      <c r="A8" s="208" t="s">
        <v>59</v>
      </c>
      <c r="B8" s="237" t="s">
        <v>485</v>
      </c>
      <c r="C8" s="152">
        <v>2018</v>
      </c>
      <c r="D8" s="153" t="s">
        <v>486</v>
      </c>
      <c r="E8" s="208" t="s">
        <v>315</v>
      </c>
      <c r="F8" s="208" t="s">
        <v>307</v>
      </c>
      <c r="G8" s="208" t="s">
        <v>36</v>
      </c>
      <c r="H8" s="208" t="s">
        <v>160</v>
      </c>
      <c r="I8" s="208" t="s">
        <v>155</v>
      </c>
      <c r="J8" s="208" t="s">
        <v>38</v>
      </c>
      <c r="K8" s="208" t="s">
        <v>156</v>
      </c>
      <c r="L8" s="208">
        <v>1</v>
      </c>
      <c r="N8" s="208">
        <v>4</v>
      </c>
      <c r="O8" s="208">
        <v>0.51</v>
      </c>
      <c r="P8" s="208">
        <v>0.45</v>
      </c>
      <c r="Q8" s="245">
        <f t="shared" si="2"/>
        <v>0.48</v>
      </c>
      <c r="R8" s="208">
        <v>16.8</v>
      </c>
      <c r="S8" s="208">
        <v>112</v>
      </c>
      <c r="T8" s="217">
        <f t="shared" si="0"/>
        <v>33</v>
      </c>
      <c r="U8" s="208">
        <v>437</v>
      </c>
      <c r="V8" s="217">
        <f t="shared" si="1"/>
        <v>16</v>
      </c>
      <c r="W8" s="208">
        <v>8</v>
      </c>
      <c r="X8" s="208" t="s">
        <v>39</v>
      </c>
      <c r="Y8" s="208" t="s">
        <v>78</v>
      </c>
      <c r="Z8" s="208" t="s">
        <v>69</v>
      </c>
      <c r="AA8" s="208" t="s">
        <v>90</v>
      </c>
      <c r="AB8" s="237" t="s">
        <v>469</v>
      </c>
      <c r="AE8" s="223" t="s">
        <v>59</v>
      </c>
      <c r="AG8" s="160" t="s">
        <v>320</v>
      </c>
      <c r="AH8" s="155" t="s">
        <v>313</v>
      </c>
      <c r="AL8" s="235" t="s">
        <v>487</v>
      </c>
      <c r="AP8" s="224" t="s">
        <v>62</v>
      </c>
      <c r="AR8" s="238" t="s">
        <v>81</v>
      </c>
      <c r="AV8" s="224" t="s">
        <v>97</v>
      </c>
      <c r="AX8" s="225">
        <v>119</v>
      </c>
      <c r="AY8" s="226">
        <v>30</v>
      </c>
      <c r="AZ8" s="226">
        <v>121</v>
      </c>
      <c r="BA8" s="227">
        <v>27</v>
      </c>
    </row>
    <row r="9" spans="1:53" x14ac:dyDescent="0.15">
      <c r="A9" s="208" t="s">
        <v>59</v>
      </c>
      <c r="B9" s="237" t="s">
        <v>466</v>
      </c>
      <c r="C9" s="152">
        <v>2018</v>
      </c>
      <c r="D9" s="153" t="s">
        <v>467</v>
      </c>
      <c r="E9" s="208" t="s">
        <v>315</v>
      </c>
      <c r="F9" s="208" t="s">
        <v>307</v>
      </c>
      <c r="G9" s="208" t="s">
        <v>36</v>
      </c>
      <c r="H9" s="208" t="s">
        <v>160</v>
      </c>
      <c r="I9" s="208" t="s">
        <v>155</v>
      </c>
      <c r="J9" s="208" t="s">
        <v>38</v>
      </c>
      <c r="K9" s="208" t="s">
        <v>156</v>
      </c>
      <c r="L9" s="208">
        <v>2</v>
      </c>
      <c r="N9" s="208">
        <v>4</v>
      </c>
      <c r="O9" s="208">
        <v>0.53</v>
      </c>
      <c r="P9" s="208">
        <v>0.56999999999999995</v>
      </c>
      <c r="Q9" s="245">
        <f t="shared" si="2"/>
        <v>0.55000000000000004</v>
      </c>
      <c r="R9" s="208">
        <v>15.9</v>
      </c>
      <c r="S9" s="208">
        <v>112</v>
      </c>
      <c r="T9" s="217">
        <f t="shared" si="0"/>
        <v>33</v>
      </c>
      <c r="U9" s="208">
        <v>437</v>
      </c>
      <c r="V9" s="217">
        <f t="shared" si="1"/>
        <v>16</v>
      </c>
      <c r="W9" s="208">
        <v>8</v>
      </c>
      <c r="X9" s="208" t="s">
        <v>39</v>
      </c>
      <c r="Y9" s="208" t="s">
        <v>78</v>
      </c>
      <c r="Z9" s="208" t="s">
        <v>69</v>
      </c>
      <c r="AA9" s="208" t="s">
        <v>90</v>
      </c>
      <c r="AB9" s="237" t="s">
        <v>469</v>
      </c>
      <c r="AE9" s="223" t="s">
        <v>98</v>
      </c>
      <c r="AG9" s="160" t="s">
        <v>321</v>
      </c>
      <c r="AH9" s="155" t="s">
        <v>313</v>
      </c>
      <c r="AL9" s="230"/>
      <c r="AP9" s="224" t="s">
        <v>260</v>
      </c>
      <c r="AR9" s="231" t="s">
        <v>89</v>
      </c>
      <c r="AV9" s="224" t="s">
        <v>102</v>
      </c>
      <c r="AX9" s="225">
        <v>128</v>
      </c>
      <c r="AY9" s="226">
        <v>27</v>
      </c>
      <c r="AZ9" s="226">
        <v>129</v>
      </c>
      <c r="BA9" s="227">
        <v>25</v>
      </c>
    </row>
    <row r="10" spans="1:53" x14ac:dyDescent="0.15">
      <c r="A10" s="208" t="s">
        <v>59</v>
      </c>
      <c r="B10" s="237" t="s">
        <v>395</v>
      </c>
      <c r="C10" s="152">
        <v>2018</v>
      </c>
      <c r="D10" s="153" t="s">
        <v>488</v>
      </c>
      <c r="E10" s="208" t="s">
        <v>315</v>
      </c>
      <c r="F10" s="208" t="s">
        <v>307</v>
      </c>
      <c r="G10" s="208" t="s">
        <v>36</v>
      </c>
      <c r="H10" s="208" t="s">
        <v>160</v>
      </c>
      <c r="I10" s="208" t="s">
        <v>155</v>
      </c>
      <c r="J10" s="208" t="s">
        <v>38</v>
      </c>
      <c r="K10" s="208" t="s">
        <v>156</v>
      </c>
      <c r="L10" s="208">
        <v>3</v>
      </c>
      <c r="N10" s="208">
        <v>4</v>
      </c>
      <c r="O10" s="208">
        <v>0.47</v>
      </c>
      <c r="P10" s="208">
        <v>0.55000000000000004</v>
      </c>
      <c r="Q10" s="245">
        <f t="shared" si="2"/>
        <v>0.51</v>
      </c>
      <c r="R10" s="208">
        <v>15.8</v>
      </c>
      <c r="S10" s="208">
        <v>109</v>
      </c>
      <c r="T10" s="217">
        <f t="shared" si="0"/>
        <v>33</v>
      </c>
      <c r="U10" s="208">
        <v>437</v>
      </c>
      <c r="V10" s="217">
        <f t="shared" si="1"/>
        <v>16</v>
      </c>
      <c r="W10" s="208">
        <v>8</v>
      </c>
      <c r="X10" s="208" t="s">
        <v>39</v>
      </c>
      <c r="Y10" s="208" t="s">
        <v>78</v>
      </c>
      <c r="Z10" s="208" t="s">
        <v>69</v>
      </c>
      <c r="AA10" s="208" t="s">
        <v>90</v>
      </c>
      <c r="AB10" s="237" t="s">
        <v>469</v>
      </c>
      <c r="AE10" s="223" t="s">
        <v>103</v>
      </c>
      <c r="AG10" s="154" t="s">
        <v>322</v>
      </c>
      <c r="AH10" s="155" t="s">
        <v>310</v>
      </c>
      <c r="AL10" s="88"/>
      <c r="AP10" s="224" t="s">
        <v>100</v>
      </c>
      <c r="AR10" s="231" t="s">
        <v>123</v>
      </c>
      <c r="AV10" s="224" t="s">
        <v>106</v>
      </c>
      <c r="AX10" s="225">
        <v>138</v>
      </c>
      <c r="AY10" s="226">
        <v>25</v>
      </c>
      <c r="AZ10" s="226">
        <v>138</v>
      </c>
      <c r="BA10" s="227">
        <v>22</v>
      </c>
    </row>
    <row r="11" spans="1:53" x14ac:dyDescent="0.15">
      <c r="A11" s="208" t="s">
        <v>59</v>
      </c>
      <c r="B11" s="237" t="s">
        <v>466</v>
      </c>
      <c r="C11" s="152">
        <v>2018</v>
      </c>
      <c r="D11" s="153" t="s">
        <v>467</v>
      </c>
      <c r="E11" s="208" t="s">
        <v>315</v>
      </c>
      <c r="F11" s="208" t="s">
        <v>307</v>
      </c>
      <c r="G11" s="208" t="s">
        <v>36</v>
      </c>
      <c r="H11" s="208" t="s">
        <v>157</v>
      </c>
      <c r="I11" s="208" t="s">
        <v>155</v>
      </c>
      <c r="J11" s="208" t="s">
        <v>38</v>
      </c>
      <c r="K11" s="208" t="s">
        <v>156</v>
      </c>
      <c r="L11" s="208">
        <v>1</v>
      </c>
      <c r="N11" s="208">
        <v>4</v>
      </c>
      <c r="O11" s="208">
        <v>0.66</v>
      </c>
      <c r="P11" s="208">
        <v>0.63</v>
      </c>
      <c r="Q11" s="245">
        <f t="shared" si="2"/>
        <v>0.64500000000000002</v>
      </c>
      <c r="R11" s="208">
        <v>13.2</v>
      </c>
      <c r="S11" s="208">
        <v>99</v>
      </c>
      <c r="T11" s="217">
        <f t="shared" si="0"/>
        <v>33</v>
      </c>
      <c r="U11" s="208">
        <v>297</v>
      </c>
      <c r="V11" s="217">
        <f t="shared" si="1"/>
        <v>16</v>
      </c>
      <c r="W11" s="208">
        <v>8</v>
      </c>
      <c r="X11" s="208" t="s">
        <v>39</v>
      </c>
      <c r="Y11" s="208" t="s">
        <v>78</v>
      </c>
      <c r="Z11" s="208" t="s">
        <v>69</v>
      </c>
      <c r="AA11" s="208" t="s">
        <v>90</v>
      </c>
      <c r="AB11" s="237" t="s">
        <v>469</v>
      </c>
      <c r="AE11" s="223" t="s">
        <v>65</v>
      </c>
      <c r="AG11" s="160" t="s">
        <v>323</v>
      </c>
      <c r="AH11" s="155" t="s">
        <v>314</v>
      </c>
      <c r="AL11" s="88"/>
      <c r="AP11" s="224" t="s">
        <v>259</v>
      </c>
      <c r="AR11" s="231" t="s">
        <v>261</v>
      </c>
      <c r="AV11" s="224" t="s">
        <v>489</v>
      </c>
      <c r="AX11" s="225">
        <v>151</v>
      </c>
      <c r="AY11" s="226">
        <v>22</v>
      </c>
      <c r="AZ11" s="226">
        <v>152</v>
      </c>
      <c r="BA11" s="227">
        <v>18</v>
      </c>
    </row>
    <row r="12" spans="1:53" x14ac:dyDescent="0.15">
      <c r="A12" s="208" t="s">
        <v>59</v>
      </c>
      <c r="B12" s="237" t="s">
        <v>490</v>
      </c>
      <c r="C12" s="152">
        <v>2018</v>
      </c>
      <c r="D12" s="153" t="s">
        <v>491</v>
      </c>
      <c r="E12" s="208" t="s">
        <v>315</v>
      </c>
      <c r="F12" s="208" t="s">
        <v>307</v>
      </c>
      <c r="G12" s="208" t="s">
        <v>36</v>
      </c>
      <c r="H12" s="208" t="s">
        <v>157</v>
      </c>
      <c r="I12" s="208" t="s">
        <v>155</v>
      </c>
      <c r="J12" s="208" t="s">
        <v>38</v>
      </c>
      <c r="K12" s="208" t="s">
        <v>156</v>
      </c>
      <c r="L12" s="208">
        <v>2</v>
      </c>
      <c r="N12" s="208">
        <v>4</v>
      </c>
      <c r="O12" s="208">
        <v>0.85</v>
      </c>
      <c r="P12" s="208">
        <v>0.71</v>
      </c>
      <c r="Q12" s="245">
        <f t="shared" si="2"/>
        <v>0.78</v>
      </c>
      <c r="R12" s="208">
        <v>14.4</v>
      </c>
      <c r="S12" s="208">
        <v>102</v>
      </c>
      <c r="T12" s="217">
        <f t="shared" si="0"/>
        <v>33</v>
      </c>
      <c r="U12" s="208">
        <v>297</v>
      </c>
      <c r="V12" s="217">
        <f t="shared" si="1"/>
        <v>16</v>
      </c>
      <c r="W12" s="208">
        <v>8</v>
      </c>
      <c r="X12" s="208" t="s">
        <v>39</v>
      </c>
      <c r="Y12" s="208" t="s">
        <v>78</v>
      </c>
      <c r="Z12" s="208" t="s">
        <v>69</v>
      </c>
      <c r="AA12" s="208" t="s">
        <v>90</v>
      </c>
      <c r="AB12" s="237" t="s">
        <v>469</v>
      </c>
      <c r="AE12" s="223" t="s">
        <v>70</v>
      </c>
      <c r="AG12" s="231"/>
      <c r="AH12" s="161"/>
      <c r="AL12" s="88"/>
      <c r="AP12" s="224" t="s">
        <v>67</v>
      </c>
      <c r="AR12" s="231" t="s">
        <v>124</v>
      </c>
      <c r="AV12" s="224" t="s">
        <v>72</v>
      </c>
      <c r="AX12" s="232">
        <v>180</v>
      </c>
      <c r="AY12" s="233">
        <v>18</v>
      </c>
      <c r="AZ12" s="233">
        <v>181</v>
      </c>
      <c r="BA12" s="234">
        <v>16</v>
      </c>
    </row>
    <row r="13" spans="1:53" x14ac:dyDescent="0.15">
      <c r="A13" s="208" t="s">
        <v>59</v>
      </c>
      <c r="B13" s="237" t="s">
        <v>404</v>
      </c>
      <c r="C13" s="152">
        <v>2018</v>
      </c>
      <c r="D13" s="153" t="s">
        <v>492</v>
      </c>
      <c r="E13" s="208" t="s">
        <v>315</v>
      </c>
      <c r="F13" s="208" t="s">
        <v>307</v>
      </c>
      <c r="G13" s="208" t="s">
        <v>36</v>
      </c>
      <c r="H13" s="208" t="s">
        <v>157</v>
      </c>
      <c r="I13" s="208" t="s">
        <v>155</v>
      </c>
      <c r="J13" s="208" t="s">
        <v>38</v>
      </c>
      <c r="K13" s="208" t="s">
        <v>156</v>
      </c>
      <c r="L13" s="208">
        <v>3</v>
      </c>
      <c r="N13" s="208">
        <v>4</v>
      </c>
      <c r="O13" s="208">
        <v>0.7</v>
      </c>
      <c r="P13" s="208">
        <v>0.65</v>
      </c>
      <c r="Q13" s="245">
        <f t="shared" si="2"/>
        <v>0.67500000000000004</v>
      </c>
      <c r="R13" s="208">
        <v>14</v>
      </c>
      <c r="S13" s="208">
        <v>109</v>
      </c>
      <c r="T13" s="217">
        <f t="shared" si="0"/>
        <v>33</v>
      </c>
      <c r="U13" s="208">
        <v>297</v>
      </c>
      <c r="V13" s="217">
        <f t="shared" si="1"/>
        <v>16</v>
      </c>
      <c r="W13" s="208">
        <v>8</v>
      </c>
      <c r="X13" s="208" t="s">
        <v>39</v>
      </c>
      <c r="Y13" s="208" t="s">
        <v>78</v>
      </c>
      <c r="Z13" s="208" t="s">
        <v>69</v>
      </c>
      <c r="AA13" s="208" t="s">
        <v>90</v>
      </c>
      <c r="AB13" s="237" t="s">
        <v>469</v>
      </c>
      <c r="AE13" s="223" t="s">
        <v>73</v>
      </c>
      <c r="AG13" s="224"/>
      <c r="AH13" s="224"/>
      <c r="AP13" s="224" t="s">
        <v>71</v>
      </c>
      <c r="AR13" s="231" t="s">
        <v>103</v>
      </c>
      <c r="AV13" s="224" t="s">
        <v>75</v>
      </c>
    </row>
    <row r="14" spans="1:53" x14ac:dyDescent="0.15">
      <c r="A14" s="208" t="s">
        <v>59</v>
      </c>
      <c r="B14" s="237" t="s">
        <v>406</v>
      </c>
      <c r="C14" s="152">
        <v>2018</v>
      </c>
      <c r="D14" s="153" t="s">
        <v>493</v>
      </c>
      <c r="E14" s="208" t="s">
        <v>257</v>
      </c>
      <c r="F14" s="208" t="s">
        <v>310</v>
      </c>
      <c r="G14" s="208" t="s">
        <v>36</v>
      </c>
      <c r="H14" s="208" t="s">
        <v>160</v>
      </c>
      <c r="I14" s="208" t="s">
        <v>155</v>
      </c>
      <c r="J14" s="208" t="s">
        <v>38</v>
      </c>
      <c r="K14" s="208" t="s">
        <v>156</v>
      </c>
      <c r="L14" s="208">
        <v>1</v>
      </c>
      <c r="N14" s="208">
        <v>3</v>
      </c>
      <c r="O14" s="208">
        <v>0.55000000000000004</v>
      </c>
      <c r="P14" s="208">
        <v>0.5</v>
      </c>
      <c r="Q14" s="245">
        <f t="shared" si="2"/>
        <v>0.52500000000000002</v>
      </c>
      <c r="R14" s="208">
        <v>15.6</v>
      </c>
      <c r="S14" s="208">
        <v>129</v>
      </c>
      <c r="T14" s="217">
        <f t="shared" si="0"/>
        <v>25</v>
      </c>
      <c r="U14" s="208">
        <v>399</v>
      </c>
      <c r="V14" s="217">
        <f t="shared" si="1"/>
        <v>16</v>
      </c>
      <c r="W14" s="208">
        <v>6</v>
      </c>
      <c r="X14" s="208" t="s">
        <v>46</v>
      </c>
      <c r="Y14" s="208" t="s">
        <v>90</v>
      </c>
      <c r="Z14" s="208" t="s">
        <v>69</v>
      </c>
      <c r="AA14" s="208" t="s">
        <v>55</v>
      </c>
      <c r="AB14" s="237" t="s">
        <v>494</v>
      </c>
      <c r="AE14" s="223" t="s">
        <v>76</v>
      </c>
      <c r="AG14" s="224"/>
      <c r="AH14" s="224"/>
      <c r="AP14" s="224" t="s">
        <v>262</v>
      </c>
      <c r="AR14" s="231" t="s">
        <v>125</v>
      </c>
      <c r="AV14" s="224" t="s">
        <v>78</v>
      </c>
    </row>
    <row r="15" spans="1:53" x14ac:dyDescent="0.15">
      <c r="A15" s="208" t="s">
        <v>59</v>
      </c>
      <c r="B15" s="237" t="s">
        <v>406</v>
      </c>
      <c r="C15" s="152">
        <v>2018</v>
      </c>
      <c r="D15" s="153" t="s">
        <v>493</v>
      </c>
      <c r="E15" s="208" t="s">
        <v>257</v>
      </c>
      <c r="F15" s="208" t="s">
        <v>310</v>
      </c>
      <c r="G15" s="208" t="s">
        <v>36</v>
      </c>
      <c r="H15" s="208" t="s">
        <v>160</v>
      </c>
      <c r="I15" s="208" t="s">
        <v>155</v>
      </c>
      <c r="J15" s="208" t="s">
        <v>38</v>
      </c>
      <c r="K15" s="208" t="s">
        <v>156</v>
      </c>
      <c r="L15" s="208">
        <v>2</v>
      </c>
      <c r="N15" s="208">
        <v>3</v>
      </c>
      <c r="O15" s="208">
        <v>0.5</v>
      </c>
      <c r="P15" s="208">
        <v>0.55000000000000004</v>
      </c>
      <c r="Q15" s="245">
        <f t="shared" si="2"/>
        <v>0.52500000000000002</v>
      </c>
      <c r="R15" s="208">
        <v>15</v>
      </c>
      <c r="S15" s="208">
        <v>121</v>
      </c>
      <c r="T15" s="217">
        <f t="shared" si="0"/>
        <v>27</v>
      </c>
      <c r="U15" s="208">
        <v>399</v>
      </c>
      <c r="V15" s="217">
        <f t="shared" si="1"/>
        <v>16</v>
      </c>
      <c r="W15" s="208">
        <v>6</v>
      </c>
      <c r="X15" s="208" t="s">
        <v>46</v>
      </c>
      <c r="Y15" s="208" t="s">
        <v>90</v>
      </c>
      <c r="Z15" s="208" t="s">
        <v>69</v>
      </c>
      <c r="AA15" s="208" t="s">
        <v>55</v>
      </c>
      <c r="AB15" s="237" t="s">
        <v>494</v>
      </c>
      <c r="AE15" s="223" t="s">
        <v>79</v>
      </c>
      <c r="AG15" s="224"/>
      <c r="AH15" s="224"/>
      <c r="AP15" s="224" t="s">
        <v>263</v>
      </c>
      <c r="AR15" s="231" t="s">
        <v>94</v>
      </c>
      <c r="AV15" s="224" t="s">
        <v>107</v>
      </c>
    </row>
    <row r="16" spans="1:53" x14ac:dyDescent="0.15">
      <c r="A16" s="208" t="s">
        <v>59</v>
      </c>
      <c r="B16" s="237" t="s">
        <v>408</v>
      </c>
      <c r="C16" s="152">
        <v>2018</v>
      </c>
      <c r="D16" s="153" t="s">
        <v>495</v>
      </c>
      <c r="E16" s="208" t="s">
        <v>257</v>
      </c>
      <c r="F16" s="208" t="s">
        <v>310</v>
      </c>
      <c r="G16" s="208" t="s">
        <v>36</v>
      </c>
      <c r="H16" s="208" t="s">
        <v>160</v>
      </c>
      <c r="I16" s="208" t="s">
        <v>155</v>
      </c>
      <c r="J16" s="208" t="s">
        <v>38</v>
      </c>
      <c r="K16" s="208" t="s">
        <v>156</v>
      </c>
      <c r="L16" s="208">
        <v>3</v>
      </c>
      <c r="N16" s="208">
        <v>3</v>
      </c>
      <c r="O16" s="208">
        <v>0.56000000000000005</v>
      </c>
      <c r="P16" s="208">
        <v>0.57999999999999996</v>
      </c>
      <c r="Q16" s="245">
        <f t="shared" si="2"/>
        <v>0.57000000000000006</v>
      </c>
      <c r="R16" s="208">
        <v>15.9</v>
      </c>
      <c r="S16" s="208">
        <v>121</v>
      </c>
      <c r="T16" s="217">
        <f t="shared" si="0"/>
        <v>27</v>
      </c>
      <c r="U16" s="208">
        <v>399</v>
      </c>
      <c r="V16" s="217">
        <f t="shared" si="1"/>
        <v>16</v>
      </c>
      <c r="W16" s="208">
        <v>6</v>
      </c>
      <c r="X16" s="208" t="s">
        <v>46</v>
      </c>
      <c r="Y16" s="208" t="s">
        <v>90</v>
      </c>
      <c r="Z16" s="208" t="s">
        <v>69</v>
      </c>
      <c r="AA16" s="208" t="s">
        <v>55</v>
      </c>
      <c r="AB16" s="237" t="s">
        <v>496</v>
      </c>
      <c r="AE16" s="223" t="s">
        <v>82</v>
      </c>
      <c r="AG16" s="229"/>
      <c r="AH16" s="229"/>
      <c r="AP16" s="224" t="s">
        <v>80</v>
      </c>
      <c r="AR16" s="238" t="s">
        <v>63</v>
      </c>
      <c r="AV16" s="224" t="s">
        <v>84</v>
      </c>
    </row>
    <row r="17" spans="1:48" x14ac:dyDescent="0.15">
      <c r="A17" s="208" t="s">
        <v>59</v>
      </c>
      <c r="B17" s="237" t="s">
        <v>408</v>
      </c>
      <c r="C17" s="152">
        <v>2018</v>
      </c>
      <c r="D17" s="153" t="s">
        <v>495</v>
      </c>
      <c r="E17" s="208" t="s">
        <v>257</v>
      </c>
      <c r="F17" s="208" t="s">
        <v>310</v>
      </c>
      <c r="G17" s="208" t="s">
        <v>36</v>
      </c>
      <c r="H17" s="208" t="s">
        <v>157</v>
      </c>
      <c r="I17" s="208" t="s">
        <v>155</v>
      </c>
      <c r="J17" s="208" t="s">
        <v>38</v>
      </c>
      <c r="K17" s="208" t="s">
        <v>156</v>
      </c>
      <c r="L17" s="208">
        <v>1</v>
      </c>
      <c r="N17" s="208">
        <v>4</v>
      </c>
      <c r="O17" s="208">
        <v>0.7</v>
      </c>
      <c r="P17" s="208">
        <v>0.6</v>
      </c>
      <c r="Q17" s="245">
        <f t="shared" si="2"/>
        <v>0.64999999999999991</v>
      </c>
      <c r="R17" s="208">
        <v>15.8</v>
      </c>
      <c r="S17" s="208">
        <v>124</v>
      </c>
      <c r="T17" s="217">
        <f t="shared" si="0"/>
        <v>27</v>
      </c>
      <c r="U17" s="208">
        <v>399</v>
      </c>
      <c r="V17" s="217">
        <f t="shared" si="1"/>
        <v>16</v>
      </c>
      <c r="W17" s="208">
        <v>6</v>
      </c>
      <c r="X17" s="208" t="s">
        <v>46</v>
      </c>
      <c r="Y17" s="208" t="s">
        <v>90</v>
      </c>
      <c r="Z17" s="208" t="s">
        <v>69</v>
      </c>
      <c r="AA17" s="208" t="s">
        <v>55</v>
      </c>
      <c r="AB17" s="237" t="s">
        <v>496</v>
      </c>
      <c r="AE17" s="223" t="s">
        <v>85</v>
      </c>
      <c r="AP17" s="239" t="s">
        <v>110</v>
      </c>
      <c r="AR17" s="238" t="s">
        <v>96</v>
      </c>
      <c r="AV17" s="224" t="s">
        <v>86</v>
      </c>
    </row>
    <row r="18" spans="1:48" x14ac:dyDescent="0.15">
      <c r="A18" s="208" t="s">
        <v>59</v>
      </c>
      <c r="B18" s="237" t="s">
        <v>408</v>
      </c>
      <c r="C18" s="152">
        <v>2018</v>
      </c>
      <c r="D18" s="153" t="s">
        <v>495</v>
      </c>
      <c r="E18" s="208" t="s">
        <v>257</v>
      </c>
      <c r="F18" s="208" t="s">
        <v>310</v>
      </c>
      <c r="G18" s="208" t="s">
        <v>36</v>
      </c>
      <c r="H18" s="208" t="s">
        <v>157</v>
      </c>
      <c r="I18" s="208" t="s">
        <v>155</v>
      </c>
      <c r="J18" s="208" t="s">
        <v>38</v>
      </c>
      <c r="K18" s="208" t="s">
        <v>156</v>
      </c>
      <c r="L18" s="208">
        <v>2</v>
      </c>
      <c r="N18" s="208">
        <v>4</v>
      </c>
      <c r="O18" s="208">
        <v>0.57999999999999996</v>
      </c>
      <c r="P18" s="208">
        <v>0.51</v>
      </c>
      <c r="Q18" s="245">
        <f t="shared" si="2"/>
        <v>0.54499999999999993</v>
      </c>
      <c r="R18" s="208">
        <v>15.3</v>
      </c>
      <c r="S18" s="208">
        <v>126</v>
      </c>
      <c r="T18" s="217">
        <f t="shared" si="0"/>
        <v>27</v>
      </c>
      <c r="U18" s="208">
        <v>399</v>
      </c>
      <c r="V18" s="217">
        <f t="shared" si="1"/>
        <v>16</v>
      </c>
      <c r="W18" s="208">
        <v>6</v>
      </c>
      <c r="X18" s="208" t="s">
        <v>46</v>
      </c>
      <c r="Y18" s="208" t="s">
        <v>90</v>
      </c>
      <c r="Z18" s="208" t="s">
        <v>69</v>
      </c>
      <c r="AA18" s="208" t="s">
        <v>55</v>
      </c>
      <c r="AB18" s="237" t="s">
        <v>496</v>
      </c>
      <c r="AE18" s="223" t="s">
        <v>87</v>
      </c>
      <c r="AP18" s="239" t="s">
        <v>265</v>
      </c>
      <c r="AR18" s="238" t="s">
        <v>101</v>
      </c>
      <c r="AV18" s="224" t="s">
        <v>88</v>
      </c>
    </row>
    <row r="19" spans="1:48" x14ac:dyDescent="0.15">
      <c r="A19" s="208" t="s">
        <v>59</v>
      </c>
      <c r="B19" s="237" t="s">
        <v>400</v>
      </c>
      <c r="C19" s="152">
        <v>2018</v>
      </c>
      <c r="D19" s="153" t="s">
        <v>481</v>
      </c>
      <c r="E19" s="208" t="s">
        <v>257</v>
      </c>
      <c r="F19" s="208" t="s">
        <v>310</v>
      </c>
      <c r="G19" s="208" t="s">
        <v>36</v>
      </c>
      <c r="H19" s="208" t="s">
        <v>157</v>
      </c>
      <c r="I19" s="208" t="s">
        <v>155</v>
      </c>
      <c r="J19" s="208" t="s">
        <v>38</v>
      </c>
      <c r="K19" s="208" t="s">
        <v>156</v>
      </c>
      <c r="L19" s="208">
        <v>3</v>
      </c>
      <c r="N19" s="208">
        <v>4</v>
      </c>
      <c r="O19" s="208">
        <v>0.55000000000000004</v>
      </c>
      <c r="P19" s="208">
        <v>0.62</v>
      </c>
      <c r="Q19" s="245">
        <f t="shared" si="2"/>
        <v>0.58499999999999996</v>
      </c>
      <c r="R19" s="208">
        <v>15.2</v>
      </c>
      <c r="S19" s="208">
        <v>123</v>
      </c>
      <c r="T19" s="217">
        <f t="shared" si="0"/>
        <v>27</v>
      </c>
      <c r="U19" s="208">
        <v>399</v>
      </c>
      <c r="V19" s="217">
        <f t="shared" si="1"/>
        <v>16</v>
      </c>
      <c r="W19" s="208">
        <v>6</v>
      </c>
      <c r="X19" s="208" t="s">
        <v>46</v>
      </c>
      <c r="Y19" s="208" t="s">
        <v>90</v>
      </c>
      <c r="Z19" s="208" t="s">
        <v>69</v>
      </c>
      <c r="AA19" s="208" t="s">
        <v>55</v>
      </c>
      <c r="AB19" s="237" t="s">
        <v>483</v>
      </c>
      <c r="AD19" s="237"/>
      <c r="AE19" s="236" t="s">
        <v>89</v>
      </c>
      <c r="AP19" s="239" t="s">
        <v>112</v>
      </c>
      <c r="AR19" s="231" t="s">
        <v>126</v>
      </c>
      <c r="AV19" s="224" t="s">
        <v>266</v>
      </c>
    </row>
    <row r="20" spans="1:48" x14ac:dyDescent="0.15">
      <c r="A20" s="208" t="s">
        <v>59</v>
      </c>
      <c r="B20" s="237" t="s">
        <v>497</v>
      </c>
      <c r="C20" s="152">
        <v>2018</v>
      </c>
      <c r="D20" s="153" t="s">
        <v>498</v>
      </c>
      <c r="E20" s="208" t="s">
        <v>322</v>
      </c>
      <c r="F20" s="208" t="s">
        <v>310</v>
      </c>
      <c r="G20" s="208" t="s">
        <v>36</v>
      </c>
      <c r="H20" s="208" t="s">
        <v>160</v>
      </c>
      <c r="I20" s="208" t="s">
        <v>155</v>
      </c>
      <c r="J20" s="208" t="s">
        <v>38</v>
      </c>
      <c r="K20" s="208" t="s">
        <v>156</v>
      </c>
      <c r="L20" s="208">
        <v>1</v>
      </c>
      <c r="N20" s="208">
        <v>2</v>
      </c>
      <c r="O20" s="208">
        <v>0.49</v>
      </c>
      <c r="P20" s="208">
        <v>0.47</v>
      </c>
      <c r="Q20" s="245">
        <f t="shared" si="2"/>
        <v>0.48</v>
      </c>
      <c r="R20" s="208">
        <v>16.100000000000001</v>
      </c>
      <c r="S20" s="208">
        <v>165</v>
      </c>
      <c r="T20" s="217">
        <f t="shared" si="0"/>
        <v>18</v>
      </c>
      <c r="U20" s="208">
        <v>410</v>
      </c>
      <c r="V20" s="217">
        <f t="shared" si="1"/>
        <v>16</v>
      </c>
      <c r="W20" s="208">
        <v>2</v>
      </c>
      <c r="X20" s="208" t="s">
        <v>46</v>
      </c>
      <c r="Y20" s="208" t="s">
        <v>88</v>
      </c>
      <c r="Z20" s="208" t="s">
        <v>78</v>
      </c>
      <c r="AA20" s="208" t="s">
        <v>69</v>
      </c>
      <c r="AB20" s="237" t="s">
        <v>499</v>
      </c>
      <c r="AD20" s="237"/>
      <c r="AE20" s="236"/>
      <c r="AP20" s="239" t="s">
        <v>113</v>
      </c>
      <c r="AR20" s="238" t="s">
        <v>105</v>
      </c>
      <c r="AV20" s="228" t="s">
        <v>500</v>
      </c>
    </row>
    <row r="21" spans="1:48" x14ac:dyDescent="0.15">
      <c r="A21" s="208" t="s">
        <v>59</v>
      </c>
      <c r="B21" s="237" t="s">
        <v>497</v>
      </c>
      <c r="C21" s="152">
        <v>2018</v>
      </c>
      <c r="D21" s="153" t="s">
        <v>498</v>
      </c>
      <c r="E21" s="208" t="s">
        <v>322</v>
      </c>
      <c r="F21" s="208" t="s">
        <v>310</v>
      </c>
      <c r="G21" s="208" t="s">
        <v>36</v>
      </c>
      <c r="H21" s="208" t="s">
        <v>160</v>
      </c>
      <c r="I21" s="208" t="s">
        <v>155</v>
      </c>
      <c r="J21" s="208" t="s">
        <v>38</v>
      </c>
      <c r="K21" s="208" t="s">
        <v>156</v>
      </c>
      <c r="L21" s="208">
        <v>2</v>
      </c>
      <c r="N21" s="208">
        <v>2</v>
      </c>
      <c r="O21" s="208">
        <v>0.51</v>
      </c>
      <c r="P21" s="208">
        <v>0.45</v>
      </c>
      <c r="Q21" s="245">
        <f t="shared" si="2"/>
        <v>0.48</v>
      </c>
      <c r="R21" s="208">
        <v>16.5</v>
      </c>
      <c r="S21" s="208">
        <v>160</v>
      </c>
      <c r="T21" s="217">
        <f t="shared" si="0"/>
        <v>18</v>
      </c>
      <c r="U21" s="208">
        <v>410</v>
      </c>
      <c r="V21" s="217">
        <f t="shared" si="1"/>
        <v>16</v>
      </c>
      <c r="W21" s="208">
        <v>2</v>
      </c>
      <c r="X21" s="208" t="s">
        <v>46</v>
      </c>
      <c r="Y21" s="208" t="s">
        <v>88</v>
      </c>
      <c r="Z21" s="208" t="s">
        <v>78</v>
      </c>
      <c r="AA21" s="208" t="s">
        <v>69</v>
      </c>
      <c r="AB21" s="237" t="s">
        <v>499</v>
      </c>
      <c r="AD21" s="237"/>
      <c r="AE21" s="229"/>
      <c r="AP21" s="239" t="s">
        <v>267</v>
      </c>
      <c r="AR21" s="238" t="s">
        <v>68</v>
      </c>
      <c r="AV21" s="228" t="s">
        <v>501</v>
      </c>
    </row>
    <row r="22" spans="1:48" x14ac:dyDescent="0.15">
      <c r="A22" s="208" t="s">
        <v>59</v>
      </c>
      <c r="B22" s="237" t="s">
        <v>497</v>
      </c>
      <c r="C22" s="152">
        <v>2018</v>
      </c>
      <c r="D22" s="153" t="s">
        <v>498</v>
      </c>
      <c r="E22" s="208" t="s">
        <v>322</v>
      </c>
      <c r="F22" s="208" t="s">
        <v>310</v>
      </c>
      <c r="G22" s="208" t="s">
        <v>36</v>
      </c>
      <c r="H22" s="208" t="s">
        <v>160</v>
      </c>
      <c r="I22" s="208" t="s">
        <v>155</v>
      </c>
      <c r="J22" s="208" t="s">
        <v>38</v>
      </c>
      <c r="K22" s="208" t="s">
        <v>156</v>
      </c>
      <c r="L22" s="208">
        <v>3</v>
      </c>
      <c r="N22" s="208">
        <v>2</v>
      </c>
      <c r="O22" s="208">
        <v>0.47</v>
      </c>
      <c r="P22" s="208">
        <v>0.52</v>
      </c>
      <c r="Q22" s="245">
        <f t="shared" si="2"/>
        <v>0.495</v>
      </c>
      <c r="R22" s="208">
        <v>16.8</v>
      </c>
      <c r="S22" s="208">
        <v>175</v>
      </c>
      <c r="T22" s="217">
        <f t="shared" si="0"/>
        <v>18</v>
      </c>
      <c r="U22" s="208">
        <v>410</v>
      </c>
      <c r="V22" s="217">
        <f t="shared" si="1"/>
        <v>16</v>
      </c>
      <c r="W22" s="208">
        <v>2</v>
      </c>
      <c r="X22" s="208" t="s">
        <v>46</v>
      </c>
      <c r="Y22" s="208" t="s">
        <v>88</v>
      </c>
      <c r="Z22" s="208" t="s">
        <v>78</v>
      </c>
      <c r="AA22" s="208" t="s">
        <v>69</v>
      </c>
      <c r="AB22" s="237" t="s">
        <v>499</v>
      </c>
      <c r="AD22" s="237"/>
      <c r="AP22" s="239" t="s">
        <v>264</v>
      </c>
      <c r="AR22" s="238" t="s">
        <v>83</v>
      </c>
      <c r="AV22" s="228" t="s">
        <v>268</v>
      </c>
    </row>
    <row r="23" spans="1:48" x14ac:dyDescent="0.15">
      <c r="A23" s="208" t="s">
        <v>59</v>
      </c>
      <c r="B23" s="237" t="s">
        <v>497</v>
      </c>
      <c r="C23" s="152">
        <v>2018</v>
      </c>
      <c r="D23" s="153" t="s">
        <v>498</v>
      </c>
      <c r="E23" s="208" t="s">
        <v>322</v>
      </c>
      <c r="F23" s="208" t="s">
        <v>310</v>
      </c>
      <c r="G23" s="208" t="s">
        <v>36</v>
      </c>
      <c r="H23" s="208" t="s">
        <v>157</v>
      </c>
      <c r="I23" s="208" t="s">
        <v>155</v>
      </c>
      <c r="J23" s="208" t="s">
        <v>38</v>
      </c>
      <c r="K23" s="208" t="s">
        <v>156</v>
      </c>
      <c r="L23" s="208">
        <v>1</v>
      </c>
      <c r="N23" s="208">
        <v>4</v>
      </c>
      <c r="O23" s="208">
        <v>0.49</v>
      </c>
      <c r="P23" s="208">
        <v>0.44</v>
      </c>
      <c r="Q23" s="245">
        <f t="shared" si="2"/>
        <v>0.46499999999999997</v>
      </c>
      <c r="R23" s="208">
        <v>13.2</v>
      </c>
      <c r="S23" s="208">
        <v>99</v>
      </c>
      <c r="T23" s="217">
        <f t="shared" si="0"/>
        <v>33</v>
      </c>
      <c r="U23" s="208">
        <v>410</v>
      </c>
      <c r="V23" s="217">
        <f t="shared" si="1"/>
        <v>16</v>
      </c>
      <c r="W23" s="208">
        <v>2</v>
      </c>
      <c r="X23" s="208" t="s">
        <v>46</v>
      </c>
      <c r="Y23" s="208" t="s">
        <v>88</v>
      </c>
      <c r="Z23" s="208" t="s">
        <v>78</v>
      </c>
      <c r="AA23" s="208" t="s">
        <v>69</v>
      </c>
      <c r="AB23" s="237" t="s">
        <v>499</v>
      </c>
      <c r="AP23" s="239" t="s">
        <v>502</v>
      </c>
      <c r="AR23" s="238" t="s">
        <v>61</v>
      </c>
      <c r="AV23" s="228" t="s">
        <v>503</v>
      </c>
    </row>
    <row r="24" spans="1:48" x14ac:dyDescent="0.15">
      <c r="A24" s="208" t="s">
        <v>59</v>
      </c>
      <c r="B24" s="237" t="s">
        <v>497</v>
      </c>
      <c r="C24" s="152">
        <v>2018</v>
      </c>
      <c r="D24" s="153" t="s">
        <v>498</v>
      </c>
      <c r="E24" s="208" t="s">
        <v>322</v>
      </c>
      <c r="F24" s="208" t="s">
        <v>310</v>
      </c>
      <c r="G24" s="208" t="s">
        <v>36</v>
      </c>
      <c r="H24" s="208" t="s">
        <v>157</v>
      </c>
      <c r="I24" s="208" t="s">
        <v>155</v>
      </c>
      <c r="J24" s="208" t="s">
        <v>38</v>
      </c>
      <c r="K24" s="208" t="s">
        <v>156</v>
      </c>
      <c r="L24" s="208">
        <v>2</v>
      </c>
      <c r="N24" s="208">
        <v>4</v>
      </c>
      <c r="O24" s="208">
        <v>0.46</v>
      </c>
      <c r="P24" s="208">
        <v>0.47</v>
      </c>
      <c r="Q24" s="245">
        <f t="shared" si="2"/>
        <v>0.46499999999999997</v>
      </c>
      <c r="R24" s="208">
        <v>13.4</v>
      </c>
      <c r="S24" s="208">
        <v>106</v>
      </c>
      <c r="T24" s="217">
        <f t="shared" si="0"/>
        <v>33</v>
      </c>
      <c r="U24" s="208">
        <v>410</v>
      </c>
      <c r="V24" s="217">
        <f t="shared" si="1"/>
        <v>16</v>
      </c>
      <c r="W24" s="208">
        <v>2</v>
      </c>
      <c r="X24" s="208" t="s">
        <v>46</v>
      </c>
      <c r="Y24" s="208" t="s">
        <v>88</v>
      </c>
      <c r="Z24" s="208" t="s">
        <v>78</v>
      </c>
      <c r="AA24" s="208" t="s">
        <v>69</v>
      </c>
      <c r="AB24" s="237" t="s">
        <v>499</v>
      </c>
      <c r="AP24" s="239" t="s">
        <v>504</v>
      </c>
      <c r="AR24" s="238" t="s">
        <v>91</v>
      </c>
      <c r="AV24" s="228" t="s">
        <v>505</v>
      </c>
    </row>
    <row r="25" spans="1:48" x14ac:dyDescent="0.15">
      <c r="A25" s="208" t="s">
        <v>59</v>
      </c>
      <c r="B25" s="237" t="s">
        <v>497</v>
      </c>
      <c r="C25" s="152">
        <v>2018</v>
      </c>
      <c r="D25" s="153" t="s">
        <v>498</v>
      </c>
      <c r="E25" s="208" t="s">
        <v>322</v>
      </c>
      <c r="F25" s="208" t="s">
        <v>310</v>
      </c>
      <c r="G25" s="208" t="s">
        <v>36</v>
      </c>
      <c r="H25" s="208" t="s">
        <v>157</v>
      </c>
      <c r="I25" s="208" t="s">
        <v>155</v>
      </c>
      <c r="J25" s="208" t="s">
        <v>38</v>
      </c>
      <c r="K25" s="208" t="s">
        <v>156</v>
      </c>
      <c r="L25" s="208">
        <v>3</v>
      </c>
      <c r="N25" s="208">
        <v>4</v>
      </c>
      <c r="O25" s="208">
        <v>0.45</v>
      </c>
      <c r="P25" s="208">
        <v>0.48</v>
      </c>
      <c r="Q25" s="245">
        <f t="shared" si="2"/>
        <v>0.46499999999999997</v>
      </c>
      <c r="R25" s="208">
        <v>13.4</v>
      </c>
      <c r="S25" s="208">
        <v>106</v>
      </c>
      <c r="T25" s="217">
        <f t="shared" si="0"/>
        <v>33</v>
      </c>
      <c r="U25" s="208">
        <v>410</v>
      </c>
      <c r="V25" s="217">
        <f t="shared" si="1"/>
        <v>16</v>
      </c>
      <c r="W25" s="208">
        <v>2</v>
      </c>
      <c r="X25" s="208" t="s">
        <v>46</v>
      </c>
      <c r="Y25" s="208" t="s">
        <v>88</v>
      </c>
      <c r="Z25" s="208" t="s">
        <v>78</v>
      </c>
      <c r="AA25" s="208" t="s">
        <v>69</v>
      </c>
      <c r="AB25" s="237" t="s">
        <v>499</v>
      </c>
      <c r="AD25" s="237"/>
      <c r="AP25" s="239" t="s">
        <v>116</v>
      </c>
      <c r="AR25" s="42" t="s">
        <v>92</v>
      </c>
      <c r="AV25" s="228" t="s">
        <v>506</v>
      </c>
    </row>
    <row r="26" spans="1:48" x14ac:dyDescent="0.15">
      <c r="A26" s="208" t="s">
        <v>59</v>
      </c>
      <c r="B26" s="237" t="s">
        <v>497</v>
      </c>
      <c r="C26" s="152">
        <v>2018</v>
      </c>
      <c r="D26" s="153" t="s">
        <v>498</v>
      </c>
      <c r="E26" s="208" t="s">
        <v>321</v>
      </c>
      <c r="F26" s="208" t="s">
        <v>313</v>
      </c>
      <c r="G26" s="208" t="s">
        <v>36</v>
      </c>
      <c r="H26" s="208" t="s">
        <v>160</v>
      </c>
      <c r="I26" s="208" t="s">
        <v>155</v>
      </c>
      <c r="J26" s="208" t="s">
        <v>38</v>
      </c>
      <c r="K26" s="208" t="s">
        <v>156</v>
      </c>
      <c r="L26" s="208">
        <v>1</v>
      </c>
      <c r="N26" s="208">
        <v>2</v>
      </c>
      <c r="O26" s="208">
        <v>0.38</v>
      </c>
      <c r="P26" s="208">
        <v>0.33</v>
      </c>
      <c r="Q26" s="245">
        <f t="shared" si="2"/>
        <v>0.35499999999999998</v>
      </c>
      <c r="R26" s="208">
        <v>18.899999999999999</v>
      </c>
      <c r="S26" s="208">
        <v>180</v>
      </c>
      <c r="T26" s="217">
        <f t="shared" si="0"/>
        <v>18</v>
      </c>
      <c r="U26" s="208">
        <v>380</v>
      </c>
      <c r="V26" s="217">
        <f t="shared" si="1"/>
        <v>16</v>
      </c>
      <c r="W26" s="208">
        <v>4</v>
      </c>
      <c r="X26" s="208" t="s">
        <v>39</v>
      </c>
      <c r="Y26" s="208" t="s">
        <v>90</v>
      </c>
      <c r="Z26" s="208" t="s">
        <v>69</v>
      </c>
      <c r="AA26" s="208" t="s">
        <v>86</v>
      </c>
      <c r="AB26" s="237" t="s">
        <v>499</v>
      </c>
      <c r="AD26" s="237"/>
      <c r="AP26" s="239" t="s">
        <v>117</v>
      </c>
      <c r="AR26" s="228" t="s">
        <v>269</v>
      </c>
      <c r="AV26" s="228"/>
    </row>
    <row r="27" spans="1:48" x14ac:dyDescent="0.15">
      <c r="A27" s="208" t="s">
        <v>59</v>
      </c>
      <c r="B27" s="237" t="s">
        <v>497</v>
      </c>
      <c r="C27" s="152">
        <v>2018</v>
      </c>
      <c r="D27" s="153" t="s">
        <v>498</v>
      </c>
      <c r="E27" s="208" t="s">
        <v>321</v>
      </c>
      <c r="F27" s="208" t="s">
        <v>313</v>
      </c>
      <c r="G27" s="208" t="s">
        <v>36</v>
      </c>
      <c r="H27" s="208" t="s">
        <v>160</v>
      </c>
      <c r="I27" s="208" t="s">
        <v>155</v>
      </c>
      <c r="J27" s="208" t="s">
        <v>38</v>
      </c>
      <c r="K27" s="208" t="s">
        <v>156</v>
      </c>
      <c r="L27" s="208">
        <v>2</v>
      </c>
      <c r="N27" s="208">
        <v>2</v>
      </c>
      <c r="O27" s="208">
        <v>0.38</v>
      </c>
      <c r="P27" s="208">
        <v>0.35</v>
      </c>
      <c r="Q27" s="245">
        <f t="shared" si="2"/>
        <v>0.36499999999999999</v>
      </c>
      <c r="R27" s="208">
        <v>18.5</v>
      </c>
      <c r="S27" s="208">
        <v>204</v>
      </c>
      <c r="T27" s="217">
        <f t="shared" si="0"/>
        <v>16</v>
      </c>
      <c r="U27" s="208">
        <v>380</v>
      </c>
      <c r="V27" s="217">
        <f t="shared" si="1"/>
        <v>16</v>
      </c>
      <c r="W27" s="208">
        <v>4</v>
      </c>
      <c r="X27" s="208" t="s">
        <v>39</v>
      </c>
      <c r="Y27" s="208" t="s">
        <v>90</v>
      </c>
      <c r="Z27" s="208" t="s">
        <v>69</v>
      </c>
      <c r="AA27" s="208" t="s">
        <v>86</v>
      </c>
      <c r="AB27" s="237" t="s">
        <v>499</v>
      </c>
      <c r="AD27" s="237"/>
      <c r="AP27" s="239" t="s">
        <v>118</v>
      </c>
      <c r="AR27" s="229" t="s">
        <v>294</v>
      </c>
      <c r="AV27" s="228"/>
    </row>
    <row r="28" spans="1:48" x14ac:dyDescent="0.15">
      <c r="A28" s="208" t="s">
        <v>59</v>
      </c>
      <c r="B28" s="237" t="s">
        <v>497</v>
      </c>
      <c r="C28" s="152">
        <v>2018</v>
      </c>
      <c r="D28" s="153" t="s">
        <v>498</v>
      </c>
      <c r="E28" s="208" t="s">
        <v>321</v>
      </c>
      <c r="F28" s="208" t="s">
        <v>313</v>
      </c>
      <c r="G28" s="208" t="s">
        <v>36</v>
      </c>
      <c r="H28" s="208" t="s">
        <v>160</v>
      </c>
      <c r="I28" s="208" t="s">
        <v>155</v>
      </c>
      <c r="J28" s="208" t="s">
        <v>38</v>
      </c>
      <c r="K28" s="208" t="s">
        <v>156</v>
      </c>
      <c r="L28" s="208">
        <v>3</v>
      </c>
      <c r="N28" s="208">
        <v>2</v>
      </c>
      <c r="O28" s="208">
        <v>0.35</v>
      </c>
      <c r="P28" s="208">
        <v>0.38</v>
      </c>
      <c r="Q28" s="245">
        <f t="shared" si="2"/>
        <v>0.36499999999999999</v>
      </c>
      <c r="R28" s="208">
        <v>18.2</v>
      </c>
      <c r="S28" s="208">
        <v>190</v>
      </c>
      <c r="T28" s="217">
        <f t="shared" si="0"/>
        <v>16</v>
      </c>
      <c r="U28" s="208">
        <v>380</v>
      </c>
      <c r="V28" s="217">
        <f t="shared" si="1"/>
        <v>16</v>
      </c>
      <c r="W28" s="208">
        <v>4</v>
      </c>
      <c r="X28" s="208" t="s">
        <v>39</v>
      </c>
      <c r="Y28" s="208" t="s">
        <v>90</v>
      </c>
      <c r="Z28" s="208" t="s">
        <v>69</v>
      </c>
      <c r="AA28" s="208" t="s">
        <v>86</v>
      </c>
      <c r="AB28" s="237" t="s">
        <v>499</v>
      </c>
      <c r="AD28" s="237"/>
      <c r="AV28" s="228"/>
    </row>
    <row r="29" spans="1:48" x14ac:dyDescent="0.15">
      <c r="A29" s="208" t="s">
        <v>59</v>
      </c>
      <c r="B29" s="237" t="s">
        <v>497</v>
      </c>
      <c r="C29" s="152">
        <v>2018</v>
      </c>
      <c r="D29" s="153" t="s">
        <v>498</v>
      </c>
      <c r="E29" s="208" t="s">
        <v>321</v>
      </c>
      <c r="F29" s="208" t="s">
        <v>313</v>
      </c>
      <c r="G29" s="208" t="s">
        <v>36</v>
      </c>
      <c r="H29" s="208" t="s">
        <v>157</v>
      </c>
      <c r="I29" s="208" t="s">
        <v>155</v>
      </c>
      <c r="J29" s="208" t="s">
        <v>38</v>
      </c>
      <c r="K29" s="208" t="s">
        <v>156</v>
      </c>
      <c r="L29" s="208">
        <v>1</v>
      </c>
      <c r="N29" s="208">
        <v>1</v>
      </c>
      <c r="O29" s="208">
        <v>0.65</v>
      </c>
      <c r="P29" s="208">
        <v>0.77</v>
      </c>
      <c r="Q29" s="245">
        <f t="shared" si="2"/>
        <v>0.71</v>
      </c>
      <c r="R29" s="208">
        <v>15</v>
      </c>
      <c r="S29" s="208">
        <v>126</v>
      </c>
      <c r="T29" s="217">
        <f t="shared" si="0"/>
        <v>27</v>
      </c>
      <c r="U29" s="208">
        <v>128</v>
      </c>
      <c r="V29" s="217">
        <f t="shared" si="1"/>
        <v>27</v>
      </c>
      <c r="W29" s="208">
        <v>4</v>
      </c>
      <c r="X29" s="208" t="s">
        <v>39</v>
      </c>
      <c r="Y29" s="208" t="s">
        <v>90</v>
      </c>
      <c r="Z29" s="208" t="s">
        <v>69</v>
      </c>
      <c r="AA29" s="208" t="s">
        <v>86</v>
      </c>
      <c r="AB29" s="237" t="s">
        <v>499</v>
      </c>
      <c r="AV29" s="228"/>
    </row>
    <row r="30" spans="1:48" x14ac:dyDescent="0.15">
      <c r="A30" s="208" t="s">
        <v>59</v>
      </c>
      <c r="B30" s="237" t="s">
        <v>497</v>
      </c>
      <c r="C30" s="152">
        <v>2018</v>
      </c>
      <c r="D30" s="153" t="s">
        <v>498</v>
      </c>
      <c r="E30" s="208" t="s">
        <v>321</v>
      </c>
      <c r="F30" s="208" t="s">
        <v>313</v>
      </c>
      <c r="G30" s="208" t="s">
        <v>36</v>
      </c>
      <c r="H30" s="208" t="s">
        <v>157</v>
      </c>
      <c r="I30" s="208" t="s">
        <v>155</v>
      </c>
      <c r="J30" s="208" t="s">
        <v>38</v>
      </c>
      <c r="K30" s="208" t="s">
        <v>156</v>
      </c>
      <c r="L30" s="208">
        <v>2</v>
      </c>
      <c r="N30" s="208">
        <v>1</v>
      </c>
      <c r="O30" s="208">
        <v>0.5</v>
      </c>
      <c r="P30" s="208">
        <v>0.55000000000000004</v>
      </c>
      <c r="Q30" s="245">
        <f t="shared" si="2"/>
        <v>0.52500000000000002</v>
      </c>
      <c r="R30" s="208">
        <v>15.6</v>
      </c>
      <c r="S30" s="208">
        <v>130</v>
      </c>
      <c r="T30" s="217">
        <f t="shared" si="0"/>
        <v>25</v>
      </c>
      <c r="U30" s="208">
        <v>128</v>
      </c>
      <c r="V30" s="217">
        <f t="shared" si="1"/>
        <v>27</v>
      </c>
      <c r="W30" s="208">
        <v>4</v>
      </c>
      <c r="X30" s="208" t="s">
        <v>39</v>
      </c>
      <c r="Y30" s="208" t="s">
        <v>90</v>
      </c>
      <c r="Z30" s="208" t="s">
        <v>69</v>
      </c>
      <c r="AA30" s="208" t="s">
        <v>86</v>
      </c>
      <c r="AB30" s="237" t="s">
        <v>499</v>
      </c>
      <c r="AV30" s="228"/>
    </row>
    <row r="31" spans="1:48" x14ac:dyDescent="0.15">
      <c r="A31" s="208" t="s">
        <v>59</v>
      </c>
      <c r="B31" s="237" t="s">
        <v>497</v>
      </c>
      <c r="C31" s="152">
        <v>2018</v>
      </c>
      <c r="D31" s="153" t="s">
        <v>498</v>
      </c>
      <c r="E31" s="208" t="s">
        <v>321</v>
      </c>
      <c r="F31" s="208" t="s">
        <v>313</v>
      </c>
      <c r="G31" s="208" t="s">
        <v>36</v>
      </c>
      <c r="H31" s="208" t="s">
        <v>157</v>
      </c>
      <c r="I31" s="208" t="s">
        <v>155</v>
      </c>
      <c r="J31" s="208" t="s">
        <v>38</v>
      </c>
      <c r="K31" s="208" t="s">
        <v>156</v>
      </c>
      <c r="L31" s="208">
        <v>3</v>
      </c>
      <c r="N31" s="208">
        <v>1</v>
      </c>
      <c r="O31" s="208">
        <v>0.72</v>
      </c>
      <c r="P31" s="208">
        <v>0.75</v>
      </c>
      <c r="Q31" s="245">
        <f t="shared" si="2"/>
        <v>0.73499999999999999</v>
      </c>
      <c r="R31" s="208">
        <v>14.9</v>
      </c>
      <c r="S31" s="208">
        <v>136</v>
      </c>
      <c r="T31" s="217">
        <f t="shared" si="0"/>
        <v>25</v>
      </c>
      <c r="U31" s="208">
        <v>128</v>
      </c>
      <c r="V31" s="217">
        <f t="shared" si="1"/>
        <v>27</v>
      </c>
      <c r="W31" s="208">
        <v>4</v>
      </c>
      <c r="X31" s="208" t="s">
        <v>39</v>
      </c>
      <c r="Y31" s="208" t="s">
        <v>90</v>
      </c>
      <c r="Z31" s="208" t="s">
        <v>69</v>
      </c>
      <c r="AA31" s="208" t="s">
        <v>86</v>
      </c>
      <c r="AB31" s="237" t="s">
        <v>499</v>
      </c>
      <c r="AV31" s="228"/>
    </row>
    <row r="32" spans="1:48" x14ac:dyDescent="0.15">
      <c r="A32" s="208" t="s">
        <v>59</v>
      </c>
      <c r="B32" s="237" t="s">
        <v>497</v>
      </c>
      <c r="C32" s="152">
        <v>2018</v>
      </c>
      <c r="D32" s="153" t="s">
        <v>498</v>
      </c>
      <c r="E32" s="208" t="s">
        <v>320</v>
      </c>
      <c r="F32" s="208" t="s">
        <v>313</v>
      </c>
      <c r="G32" s="208" t="s">
        <v>36</v>
      </c>
      <c r="H32" s="208" t="s">
        <v>160</v>
      </c>
      <c r="I32" s="208" t="s">
        <v>155</v>
      </c>
      <c r="J32" s="208" t="s">
        <v>38</v>
      </c>
      <c r="K32" s="208" t="s">
        <v>156</v>
      </c>
      <c r="L32" s="208">
        <v>1</v>
      </c>
      <c r="N32" s="208">
        <v>1</v>
      </c>
      <c r="O32" s="208">
        <v>0.75</v>
      </c>
      <c r="P32" s="208">
        <v>0.75</v>
      </c>
      <c r="Q32" s="245">
        <f t="shared" si="2"/>
        <v>0.75</v>
      </c>
      <c r="R32" s="208">
        <v>16.7</v>
      </c>
      <c r="S32" s="208">
        <v>185</v>
      </c>
      <c r="T32" s="217">
        <f t="shared" si="0"/>
        <v>16</v>
      </c>
      <c r="U32" s="208">
        <v>149</v>
      </c>
      <c r="V32" s="217">
        <f t="shared" si="1"/>
        <v>22</v>
      </c>
      <c r="W32" s="208">
        <v>6</v>
      </c>
      <c r="X32" s="208" t="s">
        <v>46</v>
      </c>
      <c r="Y32" s="208" t="s">
        <v>69</v>
      </c>
      <c r="Z32" s="208" t="s">
        <v>55</v>
      </c>
      <c r="AA32" s="208" t="s">
        <v>47</v>
      </c>
      <c r="AB32" s="237" t="s">
        <v>499</v>
      </c>
      <c r="AV32" s="228"/>
    </row>
    <row r="33" spans="1:48" x14ac:dyDescent="0.15">
      <c r="A33" s="208" t="s">
        <v>59</v>
      </c>
      <c r="B33" s="237" t="s">
        <v>497</v>
      </c>
      <c r="C33" s="152">
        <v>2018</v>
      </c>
      <c r="D33" s="153" t="s">
        <v>498</v>
      </c>
      <c r="E33" s="208" t="s">
        <v>320</v>
      </c>
      <c r="F33" s="208" t="s">
        <v>313</v>
      </c>
      <c r="G33" s="208" t="s">
        <v>36</v>
      </c>
      <c r="H33" s="208" t="s">
        <v>160</v>
      </c>
      <c r="I33" s="208" t="s">
        <v>155</v>
      </c>
      <c r="J33" s="208" t="s">
        <v>38</v>
      </c>
      <c r="K33" s="208" t="s">
        <v>156</v>
      </c>
      <c r="L33" s="208">
        <v>2</v>
      </c>
      <c r="N33" s="208">
        <v>1</v>
      </c>
      <c r="O33" s="208">
        <v>0.7</v>
      </c>
      <c r="P33" s="208">
        <v>0.78</v>
      </c>
      <c r="Q33" s="245">
        <f t="shared" si="2"/>
        <v>0.74</v>
      </c>
      <c r="R33" s="208">
        <v>15.6</v>
      </c>
      <c r="S33" s="208">
        <v>192</v>
      </c>
      <c r="T33" s="217">
        <f t="shared" si="0"/>
        <v>16</v>
      </c>
      <c r="U33" s="208">
        <v>149</v>
      </c>
      <c r="V33" s="217">
        <f t="shared" si="1"/>
        <v>22</v>
      </c>
      <c r="W33" s="208">
        <v>6</v>
      </c>
      <c r="X33" s="208" t="s">
        <v>46</v>
      </c>
      <c r="Y33" s="208" t="s">
        <v>69</v>
      </c>
      <c r="Z33" s="208" t="s">
        <v>55</v>
      </c>
      <c r="AA33" s="208" t="s">
        <v>47</v>
      </c>
      <c r="AB33" s="237" t="s">
        <v>499</v>
      </c>
      <c r="AV33" s="228"/>
    </row>
    <row r="34" spans="1:48" x14ac:dyDescent="0.15">
      <c r="A34" s="208" t="s">
        <v>59</v>
      </c>
      <c r="B34" s="237" t="s">
        <v>497</v>
      </c>
      <c r="C34" s="152">
        <v>2018</v>
      </c>
      <c r="D34" s="153" t="s">
        <v>498</v>
      </c>
      <c r="E34" s="208" t="s">
        <v>320</v>
      </c>
      <c r="F34" s="208" t="s">
        <v>313</v>
      </c>
      <c r="G34" s="208" t="s">
        <v>36</v>
      </c>
      <c r="H34" s="208" t="s">
        <v>160</v>
      </c>
      <c r="I34" s="208" t="s">
        <v>155</v>
      </c>
      <c r="J34" s="208" t="s">
        <v>38</v>
      </c>
      <c r="K34" s="208" t="s">
        <v>156</v>
      </c>
      <c r="L34" s="208">
        <v>3</v>
      </c>
      <c r="N34" s="208">
        <v>1</v>
      </c>
      <c r="O34" s="208">
        <v>0.74</v>
      </c>
      <c r="P34" s="208">
        <v>0.82</v>
      </c>
      <c r="Q34" s="245">
        <f t="shared" si="2"/>
        <v>0.78</v>
      </c>
      <c r="R34" s="208">
        <v>16.600000000000001</v>
      </c>
      <c r="S34" s="208">
        <v>190</v>
      </c>
      <c r="T34" s="217">
        <f t="shared" si="0"/>
        <v>16</v>
      </c>
      <c r="U34" s="208">
        <v>149</v>
      </c>
      <c r="V34" s="217">
        <f t="shared" si="1"/>
        <v>22</v>
      </c>
      <c r="W34" s="208">
        <v>6</v>
      </c>
      <c r="X34" s="208" t="s">
        <v>46</v>
      </c>
      <c r="Y34" s="208" t="s">
        <v>69</v>
      </c>
      <c r="Z34" s="208" t="s">
        <v>55</v>
      </c>
      <c r="AA34" s="208" t="s">
        <v>47</v>
      </c>
      <c r="AB34" s="237" t="s">
        <v>499</v>
      </c>
      <c r="AV34" s="228"/>
    </row>
    <row r="35" spans="1:48" x14ac:dyDescent="0.15">
      <c r="A35" s="208" t="s">
        <v>59</v>
      </c>
      <c r="B35" s="237" t="s">
        <v>497</v>
      </c>
      <c r="C35" s="152">
        <v>2018</v>
      </c>
      <c r="D35" s="153" t="s">
        <v>498</v>
      </c>
      <c r="E35" s="208" t="s">
        <v>320</v>
      </c>
      <c r="F35" s="208" t="s">
        <v>313</v>
      </c>
      <c r="G35" s="208" t="s">
        <v>36</v>
      </c>
      <c r="H35" s="208" t="s">
        <v>157</v>
      </c>
      <c r="I35" s="208" t="s">
        <v>155</v>
      </c>
      <c r="J35" s="208" t="s">
        <v>38</v>
      </c>
      <c r="K35" s="208" t="s">
        <v>156</v>
      </c>
      <c r="L35" s="208">
        <v>1</v>
      </c>
      <c r="N35" s="208">
        <v>3</v>
      </c>
      <c r="O35" s="208">
        <v>1</v>
      </c>
      <c r="P35" s="208">
        <v>0.9</v>
      </c>
      <c r="Q35" s="245">
        <f t="shared" si="2"/>
        <v>0.95</v>
      </c>
      <c r="R35" s="208">
        <v>15.8</v>
      </c>
      <c r="S35" s="208">
        <v>105</v>
      </c>
      <c r="T35" s="217">
        <f t="shared" si="0"/>
        <v>33</v>
      </c>
      <c r="U35" s="208">
        <v>321</v>
      </c>
      <c r="V35" s="217">
        <f t="shared" si="1"/>
        <v>16</v>
      </c>
      <c r="W35" s="208">
        <v>5</v>
      </c>
      <c r="X35" s="208" t="s">
        <v>46</v>
      </c>
      <c r="Y35" s="208" t="s">
        <v>69</v>
      </c>
      <c r="Z35" s="208" t="s">
        <v>55</v>
      </c>
      <c r="AA35" s="208" t="s">
        <v>47</v>
      </c>
      <c r="AB35" s="237" t="s">
        <v>499</v>
      </c>
      <c r="AV35" s="228"/>
    </row>
    <row r="36" spans="1:48" x14ac:dyDescent="0.15">
      <c r="A36" s="208" t="s">
        <v>59</v>
      </c>
      <c r="B36" s="237" t="s">
        <v>497</v>
      </c>
      <c r="C36" s="152">
        <v>2018</v>
      </c>
      <c r="D36" s="153" t="s">
        <v>498</v>
      </c>
      <c r="E36" s="208" t="s">
        <v>320</v>
      </c>
      <c r="F36" s="208" t="s">
        <v>313</v>
      </c>
      <c r="G36" s="208" t="s">
        <v>36</v>
      </c>
      <c r="H36" s="208" t="s">
        <v>157</v>
      </c>
      <c r="I36" s="208" t="s">
        <v>155</v>
      </c>
      <c r="J36" s="208" t="s">
        <v>38</v>
      </c>
      <c r="K36" s="208" t="s">
        <v>156</v>
      </c>
      <c r="L36" s="208">
        <v>2</v>
      </c>
      <c r="N36" s="208">
        <v>3</v>
      </c>
      <c r="O36" s="208">
        <v>0.8</v>
      </c>
      <c r="P36" s="208">
        <v>0.75</v>
      </c>
      <c r="Q36" s="245">
        <f t="shared" si="2"/>
        <v>0.77500000000000002</v>
      </c>
      <c r="R36" s="208">
        <v>14.4</v>
      </c>
      <c r="S36" s="208">
        <v>116</v>
      </c>
      <c r="T36" s="217">
        <f t="shared" si="0"/>
        <v>30</v>
      </c>
      <c r="U36" s="208">
        <v>321</v>
      </c>
      <c r="V36" s="217">
        <f t="shared" si="1"/>
        <v>16</v>
      </c>
      <c r="W36" s="208">
        <v>5</v>
      </c>
      <c r="X36" s="208" t="s">
        <v>46</v>
      </c>
      <c r="Y36" s="208" t="s">
        <v>69</v>
      </c>
      <c r="Z36" s="208" t="s">
        <v>55</v>
      </c>
      <c r="AA36" s="208" t="s">
        <v>47</v>
      </c>
      <c r="AB36" s="237" t="s">
        <v>499</v>
      </c>
      <c r="AV36" s="228"/>
    </row>
    <row r="37" spans="1:48" x14ac:dyDescent="0.15">
      <c r="A37" s="208" t="s">
        <v>59</v>
      </c>
      <c r="B37" s="237" t="s">
        <v>497</v>
      </c>
      <c r="C37" s="152">
        <v>2018</v>
      </c>
      <c r="D37" s="153" t="s">
        <v>498</v>
      </c>
      <c r="E37" s="208" t="s">
        <v>320</v>
      </c>
      <c r="F37" s="208" t="s">
        <v>313</v>
      </c>
      <c r="G37" s="208" t="s">
        <v>36</v>
      </c>
      <c r="H37" s="208" t="s">
        <v>157</v>
      </c>
      <c r="I37" s="208" t="s">
        <v>155</v>
      </c>
      <c r="J37" s="208" t="s">
        <v>38</v>
      </c>
      <c r="K37" s="208" t="s">
        <v>156</v>
      </c>
      <c r="L37" s="208">
        <v>3</v>
      </c>
      <c r="N37" s="208">
        <v>3</v>
      </c>
      <c r="O37" s="208">
        <v>0.95</v>
      </c>
      <c r="P37" s="208">
        <v>0.92</v>
      </c>
      <c r="Q37" s="245">
        <f t="shared" si="2"/>
        <v>0.93500000000000005</v>
      </c>
      <c r="R37" s="208">
        <v>14.3</v>
      </c>
      <c r="S37" s="208">
        <v>116</v>
      </c>
      <c r="T37" s="217">
        <f t="shared" si="0"/>
        <v>30</v>
      </c>
      <c r="U37" s="208">
        <v>321</v>
      </c>
      <c r="V37" s="217">
        <f t="shared" si="1"/>
        <v>16</v>
      </c>
      <c r="W37" s="208">
        <v>5</v>
      </c>
      <c r="X37" s="208" t="s">
        <v>46</v>
      </c>
      <c r="Y37" s="208" t="s">
        <v>69</v>
      </c>
      <c r="Z37" s="208" t="s">
        <v>55</v>
      </c>
      <c r="AA37" s="208" t="s">
        <v>47</v>
      </c>
      <c r="AB37" s="237" t="s">
        <v>499</v>
      </c>
      <c r="AV37" s="228"/>
    </row>
    <row r="38" spans="1:48" x14ac:dyDescent="0.15">
      <c r="A38" s="208" t="s">
        <v>59</v>
      </c>
      <c r="B38" s="237" t="s">
        <v>497</v>
      </c>
      <c r="C38" s="152">
        <v>2018</v>
      </c>
      <c r="D38" s="153" t="s">
        <v>498</v>
      </c>
      <c r="E38" s="208" t="s">
        <v>320</v>
      </c>
      <c r="F38" s="208" t="s">
        <v>313</v>
      </c>
      <c r="G38" s="208" t="s">
        <v>36</v>
      </c>
      <c r="H38" s="208" t="s">
        <v>160</v>
      </c>
      <c r="I38" s="208" t="s">
        <v>158</v>
      </c>
      <c r="J38" s="208" t="s">
        <v>38</v>
      </c>
      <c r="K38" s="208" t="s">
        <v>156</v>
      </c>
      <c r="L38" s="208">
        <v>1</v>
      </c>
      <c r="N38" s="208">
        <v>2</v>
      </c>
      <c r="O38" s="208">
        <v>0.35</v>
      </c>
      <c r="P38" s="208">
        <v>0.35</v>
      </c>
      <c r="Q38" s="245">
        <f t="shared" si="2"/>
        <v>0.35</v>
      </c>
      <c r="R38" s="208">
        <v>20.100000000000001</v>
      </c>
      <c r="S38" s="208">
        <v>126</v>
      </c>
      <c r="T38" s="217">
        <f t="shared" si="0"/>
        <v>27</v>
      </c>
      <c r="U38" s="208">
        <v>429</v>
      </c>
      <c r="V38" s="217">
        <f t="shared" si="1"/>
        <v>16</v>
      </c>
      <c r="W38" s="208">
        <v>1</v>
      </c>
      <c r="X38" s="208" t="s">
        <v>46</v>
      </c>
      <c r="Y38" s="208" t="s">
        <v>69</v>
      </c>
      <c r="Z38" s="208" t="s">
        <v>55</v>
      </c>
      <c r="AA38" s="208" t="s">
        <v>47</v>
      </c>
      <c r="AB38" s="237" t="s">
        <v>499</v>
      </c>
      <c r="AV38" s="229"/>
    </row>
    <row r="39" spans="1:48" x14ac:dyDescent="0.15">
      <c r="A39" s="208" t="s">
        <v>59</v>
      </c>
      <c r="B39" s="237" t="s">
        <v>497</v>
      </c>
      <c r="C39" s="152">
        <v>2018</v>
      </c>
      <c r="D39" s="153" t="s">
        <v>498</v>
      </c>
      <c r="E39" s="208" t="s">
        <v>320</v>
      </c>
      <c r="F39" s="208" t="s">
        <v>313</v>
      </c>
      <c r="G39" s="208" t="s">
        <v>36</v>
      </c>
      <c r="H39" s="208" t="s">
        <v>160</v>
      </c>
      <c r="I39" s="208" t="s">
        <v>158</v>
      </c>
      <c r="J39" s="208" t="s">
        <v>38</v>
      </c>
      <c r="K39" s="208" t="s">
        <v>156</v>
      </c>
      <c r="L39" s="208">
        <v>2</v>
      </c>
      <c r="N39" s="208">
        <v>2</v>
      </c>
      <c r="O39" s="208">
        <v>0.65</v>
      </c>
      <c r="P39" s="208">
        <v>0.5</v>
      </c>
      <c r="Q39" s="245">
        <f t="shared" si="2"/>
        <v>0.57499999999999996</v>
      </c>
      <c r="R39" s="208">
        <v>15.9</v>
      </c>
      <c r="S39" s="208">
        <v>130</v>
      </c>
      <c r="T39" s="217">
        <f t="shared" si="0"/>
        <v>25</v>
      </c>
      <c r="U39" s="208">
        <v>429</v>
      </c>
      <c r="V39" s="217">
        <f t="shared" si="1"/>
        <v>16</v>
      </c>
      <c r="W39" s="208">
        <v>1</v>
      </c>
      <c r="X39" s="208" t="s">
        <v>46</v>
      </c>
      <c r="Y39" s="208" t="s">
        <v>69</v>
      </c>
      <c r="Z39" s="208" t="s">
        <v>55</v>
      </c>
      <c r="AA39" s="208" t="s">
        <v>47</v>
      </c>
      <c r="AB39" s="237" t="s">
        <v>499</v>
      </c>
    </row>
    <row r="40" spans="1:48" x14ac:dyDescent="0.15">
      <c r="A40" s="208" t="s">
        <v>59</v>
      </c>
      <c r="B40" s="237" t="s">
        <v>497</v>
      </c>
      <c r="C40" s="152">
        <v>2018</v>
      </c>
      <c r="D40" s="153" t="s">
        <v>498</v>
      </c>
      <c r="E40" s="208" t="s">
        <v>320</v>
      </c>
      <c r="F40" s="208" t="s">
        <v>313</v>
      </c>
      <c r="G40" s="208" t="s">
        <v>36</v>
      </c>
      <c r="H40" s="208" t="s">
        <v>160</v>
      </c>
      <c r="I40" s="208" t="s">
        <v>158</v>
      </c>
      <c r="J40" s="208" t="s">
        <v>38</v>
      </c>
      <c r="K40" s="208" t="s">
        <v>156</v>
      </c>
      <c r="L40" s="208">
        <v>3</v>
      </c>
      <c r="N40" s="208">
        <v>2</v>
      </c>
      <c r="O40" s="208">
        <v>0.48</v>
      </c>
      <c r="P40" s="208">
        <v>0.44</v>
      </c>
      <c r="Q40" s="245">
        <f t="shared" si="2"/>
        <v>0.45999999999999996</v>
      </c>
      <c r="R40" s="208">
        <v>15.8</v>
      </c>
      <c r="S40" s="208">
        <v>136</v>
      </c>
      <c r="T40" s="217">
        <f t="shared" si="0"/>
        <v>25</v>
      </c>
      <c r="U40" s="208">
        <v>429</v>
      </c>
      <c r="V40" s="217">
        <f t="shared" si="1"/>
        <v>16</v>
      </c>
      <c r="W40" s="208">
        <v>1</v>
      </c>
      <c r="X40" s="208" t="s">
        <v>46</v>
      </c>
      <c r="Y40" s="208" t="s">
        <v>69</v>
      </c>
      <c r="Z40" s="208" t="s">
        <v>55</v>
      </c>
      <c r="AA40" s="208" t="s">
        <v>47</v>
      </c>
      <c r="AB40" s="237" t="s">
        <v>499</v>
      </c>
    </row>
    <row r="41" spans="1:48" x14ac:dyDescent="0.15">
      <c r="A41" s="208" t="s">
        <v>59</v>
      </c>
      <c r="B41" s="237" t="s">
        <v>497</v>
      </c>
      <c r="C41" s="152">
        <v>2018</v>
      </c>
      <c r="D41" s="153" t="s">
        <v>498</v>
      </c>
      <c r="E41" s="208" t="s">
        <v>319</v>
      </c>
      <c r="F41" s="208" t="s">
        <v>312</v>
      </c>
      <c r="G41" s="208" t="s">
        <v>36</v>
      </c>
      <c r="H41" s="208" t="s">
        <v>160</v>
      </c>
      <c r="I41" s="208" t="s">
        <v>155</v>
      </c>
      <c r="J41" s="208" t="s">
        <v>38</v>
      </c>
      <c r="K41" s="208" t="s">
        <v>156</v>
      </c>
      <c r="L41" s="208">
        <v>1</v>
      </c>
      <c r="N41" s="208">
        <v>2</v>
      </c>
      <c r="O41" s="208">
        <v>0.62</v>
      </c>
      <c r="P41" s="208">
        <v>0.57999999999999996</v>
      </c>
      <c r="Q41" s="245">
        <f t="shared" si="2"/>
        <v>0.6</v>
      </c>
      <c r="R41" s="208">
        <v>18.2</v>
      </c>
      <c r="S41" s="208">
        <v>164</v>
      </c>
      <c r="T41" s="217">
        <f t="shared" si="0"/>
        <v>18</v>
      </c>
      <c r="U41" s="208">
        <v>399</v>
      </c>
      <c r="V41" s="217">
        <f t="shared" si="1"/>
        <v>16</v>
      </c>
      <c r="W41" s="208">
        <v>15</v>
      </c>
      <c r="X41" s="208" t="s">
        <v>46</v>
      </c>
      <c r="Y41" s="208" t="s">
        <v>97</v>
      </c>
      <c r="Z41" s="208" t="s">
        <v>55</v>
      </c>
      <c r="AA41" s="208" t="s">
        <v>69</v>
      </c>
      <c r="AB41" s="237" t="s">
        <v>507</v>
      </c>
    </row>
    <row r="42" spans="1:48" x14ac:dyDescent="0.15">
      <c r="A42" s="208" t="s">
        <v>59</v>
      </c>
      <c r="B42" s="237" t="s">
        <v>485</v>
      </c>
      <c r="C42" s="152">
        <v>2018</v>
      </c>
      <c r="D42" s="153" t="s">
        <v>486</v>
      </c>
      <c r="E42" s="208" t="s">
        <v>319</v>
      </c>
      <c r="F42" s="208" t="s">
        <v>312</v>
      </c>
      <c r="G42" s="208" t="s">
        <v>36</v>
      </c>
      <c r="H42" s="208" t="s">
        <v>160</v>
      </c>
      <c r="I42" s="208" t="s">
        <v>155</v>
      </c>
      <c r="J42" s="208" t="s">
        <v>38</v>
      </c>
      <c r="K42" s="208" t="s">
        <v>156</v>
      </c>
      <c r="L42" s="208">
        <v>2</v>
      </c>
      <c r="N42" s="208">
        <v>2</v>
      </c>
      <c r="O42" s="208">
        <v>0.45</v>
      </c>
      <c r="P42" s="208">
        <v>0.5</v>
      </c>
      <c r="Q42" s="245">
        <f t="shared" si="2"/>
        <v>0.47499999999999998</v>
      </c>
      <c r="R42" s="208">
        <v>15.8</v>
      </c>
      <c r="S42" s="208">
        <v>161</v>
      </c>
      <c r="T42" s="217">
        <f t="shared" si="0"/>
        <v>18</v>
      </c>
      <c r="U42" s="208">
        <v>399</v>
      </c>
      <c r="V42" s="217">
        <f t="shared" si="1"/>
        <v>16</v>
      </c>
      <c r="W42" s="208">
        <v>15</v>
      </c>
      <c r="X42" s="208" t="s">
        <v>46</v>
      </c>
      <c r="Y42" s="208" t="s">
        <v>97</v>
      </c>
      <c r="Z42" s="208" t="s">
        <v>55</v>
      </c>
      <c r="AA42" s="208" t="s">
        <v>69</v>
      </c>
      <c r="AB42" s="237" t="s">
        <v>507</v>
      </c>
    </row>
    <row r="43" spans="1:48" x14ac:dyDescent="0.15">
      <c r="A43" s="208" t="s">
        <v>59</v>
      </c>
      <c r="B43" s="237" t="s">
        <v>485</v>
      </c>
      <c r="C43" s="152">
        <v>2018</v>
      </c>
      <c r="D43" s="153" t="s">
        <v>486</v>
      </c>
      <c r="E43" s="208" t="s">
        <v>319</v>
      </c>
      <c r="F43" s="208" t="s">
        <v>312</v>
      </c>
      <c r="G43" s="208" t="s">
        <v>36</v>
      </c>
      <c r="H43" s="208" t="s">
        <v>160</v>
      </c>
      <c r="I43" s="208" t="s">
        <v>155</v>
      </c>
      <c r="J43" s="208" t="s">
        <v>38</v>
      </c>
      <c r="K43" s="208" t="s">
        <v>156</v>
      </c>
      <c r="L43" s="208">
        <v>3</v>
      </c>
      <c r="N43" s="208">
        <v>2</v>
      </c>
      <c r="O43" s="208">
        <v>0.62</v>
      </c>
      <c r="P43" s="208">
        <v>0.7</v>
      </c>
      <c r="Q43" s="245">
        <f t="shared" si="2"/>
        <v>0.65999999999999992</v>
      </c>
      <c r="R43" s="208">
        <v>17.3</v>
      </c>
      <c r="S43" s="208">
        <v>154</v>
      </c>
      <c r="T43" s="217">
        <f t="shared" si="0"/>
        <v>18</v>
      </c>
      <c r="U43" s="208">
        <v>399</v>
      </c>
      <c r="V43" s="217">
        <f t="shared" si="1"/>
        <v>16</v>
      </c>
      <c r="W43" s="208">
        <v>15</v>
      </c>
      <c r="X43" s="208" t="s">
        <v>46</v>
      </c>
      <c r="Y43" s="208" t="s">
        <v>97</v>
      </c>
      <c r="Z43" s="208" t="s">
        <v>55</v>
      </c>
      <c r="AA43" s="208" t="s">
        <v>69</v>
      </c>
      <c r="AB43" s="237" t="s">
        <v>507</v>
      </c>
    </row>
    <row r="44" spans="1:48" x14ac:dyDescent="0.15">
      <c r="A44" s="208" t="s">
        <v>59</v>
      </c>
      <c r="B44" s="237" t="s">
        <v>485</v>
      </c>
      <c r="C44" s="152">
        <v>2018</v>
      </c>
      <c r="D44" s="153" t="s">
        <v>486</v>
      </c>
      <c r="E44" s="208" t="s">
        <v>319</v>
      </c>
      <c r="F44" s="208" t="s">
        <v>312</v>
      </c>
      <c r="G44" s="208" t="s">
        <v>36</v>
      </c>
      <c r="H44" s="208" t="s">
        <v>157</v>
      </c>
      <c r="I44" s="208" t="s">
        <v>155</v>
      </c>
      <c r="J44" s="208" t="s">
        <v>38</v>
      </c>
      <c r="K44" s="208" t="s">
        <v>156</v>
      </c>
      <c r="L44" s="208">
        <v>1</v>
      </c>
      <c r="N44" s="208">
        <v>3</v>
      </c>
      <c r="O44" s="208">
        <v>0.72</v>
      </c>
      <c r="P44" s="208">
        <v>0.83</v>
      </c>
      <c r="Q44" s="245">
        <f t="shared" si="2"/>
        <v>0.77499999999999991</v>
      </c>
      <c r="R44" s="208">
        <v>14.7</v>
      </c>
      <c r="S44" s="208">
        <v>133</v>
      </c>
      <c r="T44" s="217">
        <f t="shared" si="0"/>
        <v>25</v>
      </c>
      <c r="U44" s="208">
        <v>399</v>
      </c>
      <c r="V44" s="217">
        <f t="shared" si="1"/>
        <v>16</v>
      </c>
      <c r="W44" s="208">
        <v>12</v>
      </c>
      <c r="X44" s="208" t="s">
        <v>46</v>
      </c>
      <c r="Y44" s="208" t="s">
        <v>97</v>
      </c>
      <c r="Z44" s="208" t="s">
        <v>55</v>
      </c>
      <c r="AA44" s="208" t="s">
        <v>69</v>
      </c>
      <c r="AB44" s="237" t="s">
        <v>507</v>
      </c>
    </row>
    <row r="45" spans="1:48" x14ac:dyDescent="0.15">
      <c r="A45" s="208" t="s">
        <v>59</v>
      </c>
      <c r="B45" s="237" t="s">
        <v>485</v>
      </c>
      <c r="C45" s="152">
        <v>2018</v>
      </c>
      <c r="D45" s="153" t="s">
        <v>486</v>
      </c>
      <c r="E45" s="208" t="s">
        <v>319</v>
      </c>
      <c r="F45" s="208" t="s">
        <v>312</v>
      </c>
      <c r="G45" s="208" t="s">
        <v>36</v>
      </c>
      <c r="H45" s="208" t="s">
        <v>157</v>
      </c>
      <c r="I45" s="208" t="s">
        <v>155</v>
      </c>
      <c r="J45" s="208" t="s">
        <v>38</v>
      </c>
      <c r="K45" s="208" t="s">
        <v>156</v>
      </c>
      <c r="L45" s="208">
        <v>2</v>
      </c>
      <c r="N45" s="208">
        <v>3</v>
      </c>
      <c r="O45" s="208">
        <v>0.8</v>
      </c>
      <c r="P45" s="208">
        <v>0.75</v>
      </c>
      <c r="Q45" s="245">
        <f t="shared" si="2"/>
        <v>0.77500000000000002</v>
      </c>
      <c r="R45" s="208">
        <v>16.3</v>
      </c>
      <c r="S45" s="208">
        <v>135</v>
      </c>
      <c r="T45" s="217">
        <f t="shared" si="0"/>
        <v>25</v>
      </c>
      <c r="U45" s="208">
        <v>399</v>
      </c>
      <c r="V45" s="217">
        <f t="shared" si="1"/>
        <v>16</v>
      </c>
      <c r="W45" s="208">
        <v>12</v>
      </c>
      <c r="X45" s="208" t="s">
        <v>46</v>
      </c>
      <c r="Y45" s="208" t="s">
        <v>97</v>
      </c>
      <c r="Z45" s="208" t="s">
        <v>55</v>
      </c>
      <c r="AA45" s="208" t="s">
        <v>69</v>
      </c>
      <c r="AB45" s="237" t="s">
        <v>507</v>
      </c>
    </row>
    <row r="46" spans="1:48" x14ac:dyDescent="0.15">
      <c r="A46" s="208" t="s">
        <v>59</v>
      </c>
      <c r="B46" s="237" t="s">
        <v>485</v>
      </c>
      <c r="C46" s="152">
        <v>2018</v>
      </c>
      <c r="D46" s="153" t="s">
        <v>486</v>
      </c>
      <c r="E46" s="208" t="s">
        <v>319</v>
      </c>
      <c r="F46" s="208" t="s">
        <v>312</v>
      </c>
      <c r="G46" s="208" t="s">
        <v>36</v>
      </c>
      <c r="H46" s="208" t="s">
        <v>157</v>
      </c>
      <c r="I46" s="208" t="s">
        <v>155</v>
      </c>
      <c r="J46" s="208" t="s">
        <v>38</v>
      </c>
      <c r="K46" s="208" t="s">
        <v>156</v>
      </c>
      <c r="L46" s="208">
        <v>3</v>
      </c>
      <c r="N46" s="208">
        <v>3</v>
      </c>
      <c r="O46" s="208">
        <v>0.75</v>
      </c>
      <c r="P46" s="208">
        <v>0.83</v>
      </c>
      <c r="Q46" s="245">
        <f t="shared" si="2"/>
        <v>0.79</v>
      </c>
      <c r="R46" s="208">
        <v>14.2</v>
      </c>
      <c r="S46" s="208">
        <v>125</v>
      </c>
      <c r="T46" s="217">
        <f t="shared" si="0"/>
        <v>27</v>
      </c>
      <c r="U46" s="208">
        <v>399</v>
      </c>
      <c r="V46" s="217">
        <f t="shared" si="1"/>
        <v>16</v>
      </c>
      <c r="W46" s="208">
        <v>12</v>
      </c>
      <c r="X46" s="208" t="s">
        <v>46</v>
      </c>
      <c r="Y46" s="208" t="s">
        <v>97</v>
      </c>
      <c r="Z46" s="208" t="s">
        <v>55</v>
      </c>
      <c r="AA46" s="208" t="s">
        <v>69</v>
      </c>
      <c r="AB46" s="237" t="s">
        <v>507</v>
      </c>
    </row>
    <row r="47" spans="1:48" x14ac:dyDescent="0.15">
      <c r="A47" s="208" t="s">
        <v>59</v>
      </c>
      <c r="B47" s="237" t="s">
        <v>485</v>
      </c>
      <c r="C47" s="152">
        <v>2018</v>
      </c>
      <c r="D47" s="153" t="s">
        <v>486</v>
      </c>
      <c r="E47" s="208" t="s">
        <v>319</v>
      </c>
      <c r="F47" s="208" t="s">
        <v>312</v>
      </c>
      <c r="G47" s="208" t="s">
        <v>36</v>
      </c>
      <c r="H47" s="208" t="s">
        <v>205</v>
      </c>
      <c r="I47" s="208" t="s">
        <v>155</v>
      </c>
      <c r="J47" s="208" t="s">
        <v>38</v>
      </c>
      <c r="K47" s="208" t="s">
        <v>156</v>
      </c>
      <c r="L47" s="208">
        <v>1</v>
      </c>
      <c r="N47" s="208">
        <v>4</v>
      </c>
      <c r="O47" s="208">
        <v>0.38</v>
      </c>
      <c r="P47" s="208">
        <v>0.35</v>
      </c>
      <c r="Q47" s="245">
        <f t="shared" si="2"/>
        <v>0.36499999999999999</v>
      </c>
      <c r="R47" s="208">
        <v>18.399999999999999</v>
      </c>
      <c r="S47" s="208">
        <v>94</v>
      </c>
      <c r="T47" s="217">
        <f t="shared" si="0"/>
        <v>36</v>
      </c>
      <c r="U47" s="208">
        <v>380</v>
      </c>
      <c r="V47" s="217">
        <f t="shared" si="1"/>
        <v>16</v>
      </c>
      <c r="W47" s="208">
        <v>1</v>
      </c>
      <c r="X47" s="208" t="s">
        <v>39</v>
      </c>
      <c r="Y47" s="208" t="s">
        <v>97</v>
      </c>
      <c r="Z47" s="208" t="s">
        <v>55</v>
      </c>
      <c r="AA47" s="208" t="s">
        <v>69</v>
      </c>
      <c r="AB47" s="237" t="s">
        <v>507</v>
      </c>
    </row>
    <row r="48" spans="1:48" x14ac:dyDescent="0.15">
      <c r="A48" s="208" t="s">
        <v>59</v>
      </c>
      <c r="B48" s="237" t="s">
        <v>485</v>
      </c>
      <c r="C48" s="152">
        <v>2018</v>
      </c>
      <c r="D48" s="153" t="s">
        <v>486</v>
      </c>
      <c r="E48" s="208" t="s">
        <v>319</v>
      </c>
      <c r="F48" s="208" t="s">
        <v>312</v>
      </c>
      <c r="G48" s="208" t="s">
        <v>36</v>
      </c>
      <c r="H48" s="208" t="s">
        <v>205</v>
      </c>
      <c r="I48" s="208" t="s">
        <v>155</v>
      </c>
      <c r="J48" s="208" t="s">
        <v>38</v>
      </c>
      <c r="K48" s="208" t="s">
        <v>156</v>
      </c>
      <c r="L48" s="208">
        <v>2</v>
      </c>
      <c r="N48" s="208">
        <v>4</v>
      </c>
      <c r="O48" s="208">
        <v>0.46</v>
      </c>
      <c r="P48" s="208">
        <v>0.46</v>
      </c>
      <c r="Q48" s="245">
        <f t="shared" si="2"/>
        <v>0.46</v>
      </c>
      <c r="R48" s="208">
        <v>17</v>
      </c>
      <c r="S48" s="208">
        <v>90</v>
      </c>
      <c r="T48" s="217">
        <f t="shared" si="0"/>
        <v>36</v>
      </c>
      <c r="U48" s="208">
        <v>380</v>
      </c>
      <c r="V48" s="217">
        <f t="shared" si="1"/>
        <v>16</v>
      </c>
      <c r="W48" s="208">
        <v>1</v>
      </c>
      <c r="X48" s="208" t="s">
        <v>39</v>
      </c>
      <c r="Y48" s="208" t="s">
        <v>97</v>
      </c>
      <c r="Z48" s="208" t="s">
        <v>55</v>
      </c>
      <c r="AA48" s="208" t="s">
        <v>69</v>
      </c>
      <c r="AB48" s="237" t="s">
        <v>507</v>
      </c>
    </row>
    <row r="49" spans="1:28" x14ac:dyDescent="0.15">
      <c r="A49" s="208" t="s">
        <v>59</v>
      </c>
      <c r="B49" s="237" t="s">
        <v>485</v>
      </c>
      <c r="C49" s="152">
        <v>2018</v>
      </c>
      <c r="D49" s="153" t="s">
        <v>486</v>
      </c>
      <c r="E49" s="208" t="s">
        <v>319</v>
      </c>
      <c r="F49" s="208" t="s">
        <v>312</v>
      </c>
      <c r="G49" s="208" t="s">
        <v>36</v>
      </c>
      <c r="H49" s="208" t="s">
        <v>205</v>
      </c>
      <c r="I49" s="208" t="s">
        <v>155</v>
      </c>
      <c r="J49" s="208" t="s">
        <v>38</v>
      </c>
      <c r="K49" s="208" t="s">
        <v>156</v>
      </c>
      <c r="L49" s="208">
        <v>3</v>
      </c>
      <c r="N49" s="208">
        <v>4</v>
      </c>
      <c r="O49" s="208">
        <v>0.49</v>
      </c>
      <c r="P49" s="208">
        <v>0.52</v>
      </c>
      <c r="Q49" s="245">
        <f t="shared" si="2"/>
        <v>0.505</v>
      </c>
      <c r="R49" s="208">
        <v>17.3</v>
      </c>
      <c r="S49" s="208">
        <v>89</v>
      </c>
      <c r="T49" s="217">
        <f t="shared" si="0"/>
        <v>36</v>
      </c>
      <c r="U49" s="208">
        <v>380</v>
      </c>
      <c r="V49" s="217">
        <f t="shared" si="1"/>
        <v>16</v>
      </c>
      <c r="W49" s="208">
        <v>1</v>
      </c>
      <c r="X49" s="208" t="s">
        <v>39</v>
      </c>
      <c r="Y49" s="208" t="s">
        <v>97</v>
      </c>
      <c r="Z49" s="208" t="s">
        <v>55</v>
      </c>
      <c r="AA49" s="208" t="s">
        <v>69</v>
      </c>
      <c r="AB49" s="237" t="s">
        <v>507</v>
      </c>
    </row>
    <row r="50" spans="1:28" x14ac:dyDescent="0.15">
      <c r="A50" s="208" t="s">
        <v>59</v>
      </c>
      <c r="B50" s="237" t="s">
        <v>485</v>
      </c>
      <c r="C50" s="152">
        <v>2018</v>
      </c>
      <c r="D50" s="153" t="s">
        <v>486</v>
      </c>
      <c r="E50" s="208" t="s">
        <v>317</v>
      </c>
      <c r="F50" s="208" t="s">
        <v>309</v>
      </c>
      <c r="G50" s="208" t="s">
        <v>36</v>
      </c>
      <c r="H50" s="208" t="s">
        <v>160</v>
      </c>
      <c r="I50" s="208" t="s">
        <v>155</v>
      </c>
      <c r="J50" s="208" t="s">
        <v>38</v>
      </c>
      <c r="K50" s="208" t="s">
        <v>156</v>
      </c>
      <c r="L50" s="208">
        <v>1</v>
      </c>
      <c r="N50" s="208">
        <v>4</v>
      </c>
      <c r="O50" s="208">
        <v>0.35</v>
      </c>
      <c r="P50" s="208">
        <v>0.3</v>
      </c>
      <c r="Q50" s="245">
        <f t="shared" si="2"/>
        <v>0.32499999999999996</v>
      </c>
      <c r="R50" s="208">
        <v>16</v>
      </c>
      <c r="S50" s="208">
        <v>105</v>
      </c>
      <c r="T50" s="217">
        <f t="shared" si="0"/>
        <v>33</v>
      </c>
      <c r="U50" s="208">
        <v>518</v>
      </c>
      <c r="V50" s="217">
        <f t="shared" si="1"/>
        <v>16</v>
      </c>
      <c r="W50" s="208">
        <v>1</v>
      </c>
      <c r="X50" s="208" t="s">
        <v>46</v>
      </c>
      <c r="Y50" s="208" t="s">
        <v>97</v>
      </c>
      <c r="Z50" s="208" t="s">
        <v>78</v>
      </c>
      <c r="AA50" s="208" t="s">
        <v>88</v>
      </c>
      <c r="AB50" s="237" t="s">
        <v>507</v>
      </c>
    </row>
    <row r="51" spans="1:28" x14ac:dyDescent="0.15">
      <c r="A51" s="208" t="s">
        <v>59</v>
      </c>
      <c r="B51" s="237" t="s">
        <v>485</v>
      </c>
      <c r="C51" s="152">
        <v>2018</v>
      </c>
      <c r="D51" s="153" t="s">
        <v>486</v>
      </c>
      <c r="E51" s="208" t="s">
        <v>317</v>
      </c>
      <c r="F51" s="208" t="s">
        <v>309</v>
      </c>
      <c r="G51" s="208" t="s">
        <v>36</v>
      </c>
      <c r="H51" s="208" t="s">
        <v>160</v>
      </c>
      <c r="I51" s="208" t="s">
        <v>155</v>
      </c>
      <c r="J51" s="208" t="s">
        <v>38</v>
      </c>
      <c r="K51" s="208" t="s">
        <v>156</v>
      </c>
      <c r="L51" s="208">
        <v>2</v>
      </c>
      <c r="N51" s="208">
        <v>4</v>
      </c>
      <c r="O51" s="208">
        <v>0.48</v>
      </c>
      <c r="P51" s="208">
        <v>0.5</v>
      </c>
      <c r="Q51" s="245">
        <f t="shared" si="2"/>
        <v>0.49</v>
      </c>
      <c r="R51" s="208">
        <v>17</v>
      </c>
      <c r="S51" s="208">
        <v>106</v>
      </c>
      <c r="T51" s="217">
        <f t="shared" si="0"/>
        <v>33</v>
      </c>
      <c r="U51" s="208">
        <v>518</v>
      </c>
      <c r="V51" s="217">
        <f t="shared" si="1"/>
        <v>16</v>
      </c>
      <c r="W51" s="208">
        <v>1</v>
      </c>
      <c r="X51" s="208" t="s">
        <v>46</v>
      </c>
      <c r="Y51" s="208" t="s">
        <v>97</v>
      </c>
      <c r="Z51" s="208" t="s">
        <v>78</v>
      </c>
      <c r="AA51" s="208" t="s">
        <v>88</v>
      </c>
      <c r="AB51" s="237" t="s">
        <v>507</v>
      </c>
    </row>
    <row r="52" spans="1:28" x14ac:dyDescent="0.15">
      <c r="A52" s="208" t="s">
        <v>59</v>
      </c>
      <c r="B52" s="237" t="s">
        <v>485</v>
      </c>
      <c r="C52" s="152">
        <v>2018</v>
      </c>
      <c r="D52" s="153" t="s">
        <v>486</v>
      </c>
      <c r="E52" s="208" t="s">
        <v>317</v>
      </c>
      <c r="F52" s="208" t="s">
        <v>309</v>
      </c>
      <c r="G52" s="208" t="s">
        <v>36</v>
      </c>
      <c r="H52" s="208" t="s">
        <v>160</v>
      </c>
      <c r="I52" s="208" t="s">
        <v>155</v>
      </c>
      <c r="J52" s="208" t="s">
        <v>38</v>
      </c>
      <c r="K52" s="208" t="s">
        <v>156</v>
      </c>
      <c r="L52" s="208">
        <v>3</v>
      </c>
      <c r="N52" s="208">
        <v>4</v>
      </c>
      <c r="O52" s="208">
        <v>0.55000000000000004</v>
      </c>
      <c r="P52" s="208">
        <v>0.51</v>
      </c>
      <c r="Q52" s="245">
        <f t="shared" si="2"/>
        <v>0.53</v>
      </c>
      <c r="R52" s="208">
        <v>16.3</v>
      </c>
      <c r="S52" s="208">
        <v>110</v>
      </c>
      <c r="T52" s="217">
        <f t="shared" si="0"/>
        <v>33</v>
      </c>
      <c r="U52" s="208">
        <v>518</v>
      </c>
      <c r="V52" s="217">
        <f t="shared" si="1"/>
        <v>16</v>
      </c>
      <c r="W52" s="208">
        <v>1</v>
      </c>
      <c r="X52" s="208" t="s">
        <v>46</v>
      </c>
      <c r="Y52" s="208" t="s">
        <v>97</v>
      </c>
      <c r="Z52" s="208" t="s">
        <v>78</v>
      </c>
      <c r="AA52" s="208" t="s">
        <v>88</v>
      </c>
      <c r="AB52" s="237" t="s">
        <v>507</v>
      </c>
    </row>
    <row r="53" spans="1:28" x14ac:dyDescent="0.15">
      <c r="A53" s="208" t="s">
        <v>59</v>
      </c>
      <c r="B53" s="237" t="s">
        <v>485</v>
      </c>
      <c r="C53" s="152">
        <v>2018</v>
      </c>
      <c r="D53" s="153" t="s">
        <v>486</v>
      </c>
      <c r="E53" s="208" t="s">
        <v>317</v>
      </c>
      <c r="F53" s="208" t="s">
        <v>309</v>
      </c>
      <c r="G53" s="208" t="s">
        <v>36</v>
      </c>
      <c r="H53" s="208" t="s">
        <v>157</v>
      </c>
      <c r="I53" s="208" t="s">
        <v>155</v>
      </c>
      <c r="J53" s="208" t="s">
        <v>38</v>
      </c>
      <c r="K53" s="208" t="s">
        <v>156</v>
      </c>
      <c r="L53" s="208">
        <v>1</v>
      </c>
      <c r="N53" s="208">
        <v>1</v>
      </c>
      <c r="O53" s="208">
        <v>0.54</v>
      </c>
      <c r="P53" s="208">
        <v>0.52</v>
      </c>
      <c r="Q53" s="245">
        <f t="shared" si="2"/>
        <v>0.53</v>
      </c>
      <c r="R53" s="208">
        <v>14.4</v>
      </c>
      <c r="S53" s="208">
        <v>140</v>
      </c>
      <c r="T53" s="217">
        <f t="shared" si="0"/>
        <v>22</v>
      </c>
      <c r="U53" s="208">
        <v>138</v>
      </c>
      <c r="V53" s="217">
        <f t="shared" si="1"/>
        <v>22</v>
      </c>
      <c r="W53" s="208">
        <v>1</v>
      </c>
      <c r="X53" s="208" t="s">
        <v>46</v>
      </c>
      <c r="Y53" s="208" t="s">
        <v>97</v>
      </c>
      <c r="Z53" s="208" t="s">
        <v>78</v>
      </c>
      <c r="AA53" s="208" t="s">
        <v>88</v>
      </c>
      <c r="AB53" s="237" t="s">
        <v>507</v>
      </c>
    </row>
    <row r="54" spans="1:28" x14ac:dyDescent="0.15">
      <c r="A54" s="208" t="s">
        <v>59</v>
      </c>
      <c r="B54" s="237" t="s">
        <v>485</v>
      </c>
      <c r="C54" s="152">
        <v>2018</v>
      </c>
      <c r="D54" s="153" t="s">
        <v>486</v>
      </c>
      <c r="E54" s="208" t="s">
        <v>317</v>
      </c>
      <c r="F54" s="208" t="s">
        <v>309</v>
      </c>
      <c r="G54" s="208" t="s">
        <v>36</v>
      </c>
      <c r="H54" s="208" t="s">
        <v>157</v>
      </c>
      <c r="I54" s="208" t="s">
        <v>155</v>
      </c>
      <c r="J54" s="208" t="s">
        <v>38</v>
      </c>
      <c r="K54" s="208" t="s">
        <v>156</v>
      </c>
      <c r="L54" s="208">
        <v>2</v>
      </c>
      <c r="N54" s="208">
        <v>1</v>
      </c>
      <c r="O54" s="208">
        <v>0.32</v>
      </c>
      <c r="P54" s="208">
        <v>0.35</v>
      </c>
      <c r="Q54" s="245">
        <f t="shared" si="2"/>
        <v>0.33499999999999996</v>
      </c>
      <c r="R54" s="208">
        <v>13.1</v>
      </c>
      <c r="S54" s="208">
        <v>126</v>
      </c>
      <c r="T54" s="217">
        <f t="shared" si="0"/>
        <v>27</v>
      </c>
      <c r="U54" s="208">
        <v>138</v>
      </c>
      <c r="V54" s="217">
        <f t="shared" si="1"/>
        <v>22</v>
      </c>
      <c r="W54" s="208">
        <v>1</v>
      </c>
      <c r="X54" s="208" t="s">
        <v>46</v>
      </c>
      <c r="Y54" s="208" t="s">
        <v>97</v>
      </c>
      <c r="Z54" s="208" t="s">
        <v>78</v>
      </c>
      <c r="AA54" s="208" t="s">
        <v>88</v>
      </c>
      <c r="AB54" s="237" t="s">
        <v>507</v>
      </c>
    </row>
    <row r="55" spans="1:28" x14ac:dyDescent="0.15">
      <c r="A55" s="208" t="s">
        <v>59</v>
      </c>
      <c r="B55" s="237" t="s">
        <v>485</v>
      </c>
      <c r="C55" s="152">
        <v>2018</v>
      </c>
      <c r="D55" s="153" t="s">
        <v>486</v>
      </c>
      <c r="E55" s="208" t="s">
        <v>317</v>
      </c>
      <c r="F55" s="208" t="s">
        <v>309</v>
      </c>
      <c r="G55" s="208" t="s">
        <v>36</v>
      </c>
      <c r="H55" s="208" t="s">
        <v>157</v>
      </c>
      <c r="I55" s="208" t="s">
        <v>155</v>
      </c>
      <c r="J55" s="208" t="s">
        <v>38</v>
      </c>
      <c r="K55" s="208" t="s">
        <v>156</v>
      </c>
      <c r="L55" s="208">
        <v>3</v>
      </c>
      <c r="N55" s="208">
        <v>1</v>
      </c>
      <c r="O55" s="208">
        <v>0.54</v>
      </c>
      <c r="P55" s="208">
        <v>0.54</v>
      </c>
      <c r="Q55" s="245">
        <f t="shared" si="2"/>
        <v>0.54</v>
      </c>
      <c r="R55" s="208">
        <v>14.6</v>
      </c>
      <c r="S55" s="208">
        <v>125</v>
      </c>
      <c r="T55" s="217">
        <f t="shared" si="0"/>
        <v>27</v>
      </c>
      <c r="U55" s="208">
        <v>138</v>
      </c>
      <c r="V55" s="217">
        <f t="shared" si="1"/>
        <v>22</v>
      </c>
      <c r="W55" s="208">
        <v>1</v>
      </c>
      <c r="X55" s="208" t="s">
        <v>46</v>
      </c>
      <c r="Y55" s="208" t="s">
        <v>97</v>
      </c>
      <c r="Z55" s="208" t="s">
        <v>78</v>
      </c>
      <c r="AA55" s="208" t="s">
        <v>88</v>
      </c>
      <c r="AB55" s="237" t="s">
        <v>507</v>
      </c>
    </row>
    <row r="56" spans="1:28" x14ac:dyDescent="0.15">
      <c r="A56" s="208" t="s">
        <v>59</v>
      </c>
      <c r="B56" s="237" t="s">
        <v>485</v>
      </c>
      <c r="C56" s="152">
        <v>2018</v>
      </c>
      <c r="D56" s="153" t="s">
        <v>486</v>
      </c>
      <c r="E56" s="208" t="s">
        <v>323</v>
      </c>
      <c r="F56" s="208" t="s">
        <v>314</v>
      </c>
      <c r="G56" s="208" t="s">
        <v>36</v>
      </c>
      <c r="H56" s="208" t="s">
        <v>160</v>
      </c>
      <c r="I56" s="208" t="s">
        <v>155</v>
      </c>
      <c r="J56" s="208" t="s">
        <v>38</v>
      </c>
      <c r="K56" s="208" t="s">
        <v>156</v>
      </c>
      <c r="L56" s="208">
        <v>1</v>
      </c>
      <c r="N56" s="208">
        <v>4</v>
      </c>
      <c r="O56" s="208">
        <v>0.55000000000000004</v>
      </c>
      <c r="P56" s="208">
        <v>0.63</v>
      </c>
      <c r="Q56" s="245">
        <f t="shared" si="2"/>
        <v>0.59000000000000008</v>
      </c>
      <c r="R56" s="208">
        <v>16.7</v>
      </c>
      <c r="S56" s="208">
        <v>110</v>
      </c>
      <c r="T56" s="217">
        <f t="shared" si="0"/>
        <v>33</v>
      </c>
      <c r="U56" s="208">
        <v>480</v>
      </c>
      <c r="V56" s="217">
        <f t="shared" si="1"/>
        <v>16</v>
      </c>
      <c r="W56" s="208">
        <v>6</v>
      </c>
      <c r="X56" s="208" t="s">
        <v>46</v>
      </c>
      <c r="Y56" s="208" t="s">
        <v>97</v>
      </c>
      <c r="Z56" s="208" t="s">
        <v>55</v>
      </c>
      <c r="AA56" s="208" t="s">
        <v>69</v>
      </c>
      <c r="AB56" s="237" t="s">
        <v>507</v>
      </c>
    </row>
    <row r="57" spans="1:28" x14ac:dyDescent="0.15">
      <c r="A57" s="208" t="s">
        <v>59</v>
      </c>
      <c r="B57" s="237" t="s">
        <v>485</v>
      </c>
      <c r="C57" s="152">
        <v>2018</v>
      </c>
      <c r="D57" s="153" t="s">
        <v>486</v>
      </c>
      <c r="E57" s="208" t="s">
        <v>323</v>
      </c>
      <c r="F57" s="208" t="s">
        <v>314</v>
      </c>
      <c r="G57" s="208" t="s">
        <v>36</v>
      </c>
      <c r="H57" s="208" t="s">
        <v>160</v>
      </c>
      <c r="I57" s="208" t="s">
        <v>155</v>
      </c>
      <c r="J57" s="208" t="s">
        <v>38</v>
      </c>
      <c r="K57" s="208" t="s">
        <v>156</v>
      </c>
      <c r="L57" s="208">
        <v>2</v>
      </c>
      <c r="N57" s="208">
        <v>4</v>
      </c>
      <c r="O57" s="208">
        <v>0.7</v>
      </c>
      <c r="P57" s="208">
        <v>0.5</v>
      </c>
      <c r="Q57" s="245">
        <f t="shared" si="2"/>
        <v>0.6</v>
      </c>
      <c r="R57" s="208">
        <v>16</v>
      </c>
      <c r="S57" s="208">
        <v>110</v>
      </c>
      <c r="T57" s="217">
        <f t="shared" si="0"/>
        <v>33</v>
      </c>
      <c r="U57" s="208">
        <v>480</v>
      </c>
      <c r="V57" s="217">
        <f t="shared" si="1"/>
        <v>16</v>
      </c>
      <c r="W57" s="208">
        <v>6</v>
      </c>
      <c r="X57" s="208" t="s">
        <v>46</v>
      </c>
      <c r="Y57" s="208" t="s">
        <v>97</v>
      </c>
      <c r="Z57" s="208" t="s">
        <v>55</v>
      </c>
      <c r="AA57" s="208" t="s">
        <v>69</v>
      </c>
      <c r="AB57" s="237" t="s">
        <v>507</v>
      </c>
    </row>
    <row r="58" spans="1:28" x14ac:dyDescent="0.15">
      <c r="A58" s="208" t="s">
        <v>59</v>
      </c>
      <c r="B58" s="237" t="s">
        <v>485</v>
      </c>
      <c r="C58" s="152">
        <v>2018</v>
      </c>
      <c r="D58" s="153" t="s">
        <v>486</v>
      </c>
      <c r="E58" s="208" t="s">
        <v>323</v>
      </c>
      <c r="F58" s="208" t="s">
        <v>314</v>
      </c>
      <c r="G58" s="208" t="s">
        <v>36</v>
      </c>
      <c r="H58" s="208" t="s">
        <v>160</v>
      </c>
      <c r="I58" s="208" t="s">
        <v>155</v>
      </c>
      <c r="J58" s="208" t="s">
        <v>38</v>
      </c>
      <c r="K58" s="208" t="s">
        <v>156</v>
      </c>
      <c r="L58" s="208">
        <v>3</v>
      </c>
      <c r="N58" s="208">
        <v>4</v>
      </c>
      <c r="O58" s="208">
        <v>0.62</v>
      </c>
      <c r="P58" s="208">
        <v>0.68</v>
      </c>
      <c r="Q58" s="245">
        <f t="shared" si="2"/>
        <v>0.65</v>
      </c>
      <c r="R58" s="208">
        <v>16</v>
      </c>
      <c r="S58" s="208">
        <v>114</v>
      </c>
      <c r="T58" s="217">
        <f t="shared" si="0"/>
        <v>30</v>
      </c>
      <c r="U58" s="208">
        <v>480</v>
      </c>
      <c r="V58" s="217">
        <f t="shared" si="1"/>
        <v>16</v>
      </c>
      <c r="W58" s="208">
        <v>6</v>
      </c>
      <c r="X58" s="208" t="s">
        <v>46</v>
      </c>
      <c r="Y58" s="208" t="s">
        <v>97</v>
      </c>
      <c r="Z58" s="208" t="s">
        <v>55</v>
      </c>
      <c r="AA58" s="208" t="s">
        <v>69</v>
      </c>
      <c r="AB58" s="237" t="s">
        <v>507</v>
      </c>
    </row>
    <row r="59" spans="1:28" x14ac:dyDescent="0.15">
      <c r="A59" s="208" t="s">
        <v>59</v>
      </c>
      <c r="B59" s="237" t="s">
        <v>485</v>
      </c>
      <c r="C59" s="152">
        <v>2018</v>
      </c>
      <c r="D59" s="153" t="s">
        <v>486</v>
      </c>
      <c r="E59" s="208" t="s">
        <v>323</v>
      </c>
      <c r="F59" s="208" t="s">
        <v>314</v>
      </c>
      <c r="G59" s="208" t="s">
        <v>36</v>
      </c>
      <c r="H59" s="208" t="s">
        <v>157</v>
      </c>
      <c r="I59" s="208" t="s">
        <v>155</v>
      </c>
      <c r="J59" s="208" t="s">
        <v>38</v>
      </c>
      <c r="K59" s="208" t="s">
        <v>156</v>
      </c>
      <c r="L59" s="208">
        <v>1</v>
      </c>
      <c r="N59" s="208">
        <v>4</v>
      </c>
      <c r="O59" s="208">
        <v>0.55000000000000004</v>
      </c>
      <c r="P59" s="208">
        <v>0.5</v>
      </c>
      <c r="Q59" s="245">
        <f t="shared" si="2"/>
        <v>0.52500000000000002</v>
      </c>
      <c r="R59" s="208">
        <v>16.7</v>
      </c>
      <c r="S59" s="208">
        <v>144</v>
      </c>
      <c r="T59" s="217">
        <f t="shared" si="0"/>
        <v>22</v>
      </c>
      <c r="U59" s="208">
        <v>348</v>
      </c>
      <c r="V59" s="217">
        <f t="shared" si="1"/>
        <v>16</v>
      </c>
      <c r="W59" s="208">
        <v>8</v>
      </c>
      <c r="X59" s="208" t="s">
        <v>46</v>
      </c>
      <c r="Y59" s="208" t="s">
        <v>97</v>
      </c>
      <c r="Z59" s="208" t="s">
        <v>55</v>
      </c>
      <c r="AA59" s="208" t="s">
        <v>69</v>
      </c>
      <c r="AB59" s="237" t="s">
        <v>507</v>
      </c>
    </row>
    <row r="60" spans="1:28" x14ac:dyDescent="0.15">
      <c r="A60" s="208" t="s">
        <v>59</v>
      </c>
      <c r="B60" s="237" t="s">
        <v>485</v>
      </c>
      <c r="C60" s="152">
        <v>2018</v>
      </c>
      <c r="D60" s="153" t="s">
        <v>486</v>
      </c>
      <c r="E60" s="208" t="s">
        <v>323</v>
      </c>
      <c r="F60" s="208" t="s">
        <v>314</v>
      </c>
      <c r="G60" s="208" t="s">
        <v>36</v>
      </c>
      <c r="H60" s="208" t="s">
        <v>157</v>
      </c>
      <c r="I60" s="208" t="s">
        <v>155</v>
      </c>
      <c r="J60" s="208" t="s">
        <v>38</v>
      </c>
      <c r="K60" s="208" t="s">
        <v>156</v>
      </c>
      <c r="L60" s="208">
        <v>2</v>
      </c>
      <c r="N60" s="208">
        <v>4</v>
      </c>
      <c r="O60" s="208">
        <v>0.55000000000000004</v>
      </c>
      <c r="P60" s="208">
        <v>0.55000000000000004</v>
      </c>
      <c r="Q60" s="245">
        <f t="shared" si="2"/>
        <v>0.55000000000000004</v>
      </c>
      <c r="R60" s="208">
        <v>14.7</v>
      </c>
      <c r="S60" s="208">
        <v>140</v>
      </c>
      <c r="T60" s="217">
        <f t="shared" si="0"/>
        <v>22</v>
      </c>
      <c r="U60" s="208">
        <v>348</v>
      </c>
      <c r="V60" s="217">
        <f t="shared" si="1"/>
        <v>16</v>
      </c>
      <c r="W60" s="208">
        <v>8</v>
      </c>
      <c r="X60" s="208" t="s">
        <v>46</v>
      </c>
      <c r="Y60" s="208" t="s">
        <v>97</v>
      </c>
      <c r="Z60" s="208" t="s">
        <v>55</v>
      </c>
      <c r="AA60" s="208" t="s">
        <v>69</v>
      </c>
      <c r="AB60" s="237" t="s">
        <v>507</v>
      </c>
    </row>
    <row r="61" spans="1:28" x14ac:dyDescent="0.15">
      <c r="A61" s="208" t="s">
        <v>59</v>
      </c>
      <c r="B61" s="237" t="s">
        <v>485</v>
      </c>
      <c r="C61" s="152">
        <v>2018</v>
      </c>
      <c r="D61" s="153" t="s">
        <v>486</v>
      </c>
      <c r="E61" s="208" t="s">
        <v>323</v>
      </c>
      <c r="F61" s="208" t="s">
        <v>314</v>
      </c>
      <c r="G61" s="208" t="s">
        <v>36</v>
      </c>
      <c r="H61" s="208" t="s">
        <v>157</v>
      </c>
      <c r="I61" s="208" t="s">
        <v>155</v>
      </c>
      <c r="J61" s="208" t="s">
        <v>38</v>
      </c>
      <c r="K61" s="208" t="s">
        <v>156</v>
      </c>
      <c r="L61" s="208">
        <v>3</v>
      </c>
      <c r="N61" s="208">
        <v>4</v>
      </c>
      <c r="O61" s="208">
        <v>0.55000000000000004</v>
      </c>
      <c r="P61" s="208">
        <v>0.57999999999999996</v>
      </c>
      <c r="Q61" s="245">
        <f t="shared" si="2"/>
        <v>0.56499999999999995</v>
      </c>
      <c r="R61" s="208">
        <v>14.9</v>
      </c>
      <c r="S61" s="208">
        <v>145</v>
      </c>
      <c r="T61" s="217">
        <f t="shared" si="0"/>
        <v>22</v>
      </c>
      <c r="U61" s="208">
        <v>348</v>
      </c>
      <c r="V61" s="217">
        <f t="shared" si="1"/>
        <v>16</v>
      </c>
      <c r="W61" s="208">
        <v>8</v>
      </c>
      <c r="X61" s="208" t="s">
        <v>46</v>
      </c>
      <c r="Y61" s="208" t="s">
        <v>97</v>
      </c>
      <c r="Z61" s="208" t="s">
        <v>55</v>
      </c>
      <c r="AA61" s="208" t="s">
        <v>69</v>
      </c>
      <c r="AB61" s="237" t="s">
        <v>507</v>
      </c>
    </row>
    <row r="62" spans="1:28" x14ac:dyDescent="0.15">
      <c r="A62" s="208" t="s">
        <v>59</v>
      </c>
      <c r="B62" s="237" t="s">
        <v>485</v>
      </c>
      <c r="C62" s="152">
        <v>2018</v>
      </c>
      <c r="D62" s="153" t="s">
        <v>486</v>
      </c>
      <c r="E62" s="208" t="s">
        <v>318</v>
      </c>
      <c r="F62" s="208" t="s">
        <v>311</v>
      </c>
      <c r="G62" s="208" t="s">
        <v>36</v>
      </c>
      <c r="H62" s="208" t="s">
        <v>160</v>
      </c>
      <c r="I62" s="208" t="s">
        <v>155</v>
      </c>
      <c r="J62" s="208" t="s">
        <v>38</v>
      </c>
      <c r="K62" s="208" t="s">
        <v>156</v>
      </c>
      <c r="L62" s="208">
        <v>1</v>
      </c>
      <c r="N62" s="208">
        <v>4</v>
      </c>
      <c r="O62" s="208">
        <v>0.48</v>
      </c>
      <c r="P62" s="208">
        <v>0.45</v>
      </c>
      <c r="Q62" s="245">
        <f t="shared" si="2"/>
        <v>0.46499999999999997</v>
      </c>
      <c r="R62" s="208">
        <v>16.100000000000001</v>
      </c>
      <c r="S62" s="208">
        <v>104</v>
      </c>
      <c r="T62" s="217">
        <f t="shared" si="0"/>
        <v>33</v>
      </c>
      <c r="U62" s="208">
        <v>494</v>
      </c>
      <c r="V62" s="217">
        <f t="shared" si="1"/>
        <v>16</v>
      </c>
      <c r="W62" s="208">
        <v>10</v>
      </c>
      <c r="X62" s="208" t="s">
        <v>39</v>
      </c>
      <c r="Y62" s="208" t="s">
        <v>55</v>
      </c>
      <c r="Z62" s="208" t="s">
        <v>90</v>
      </c>
      <c r="AA62" s="208" t="s">
        <v>78</v>
      </c>
      <c r="AB62" s="237" t="s">
        <v>507</v>
      </c>
    </row>
    <row r="63" spans="1:28" x14ac:dyDescent="0.15">
      <c r="A63" s="208" t="s">
        <v>59</v>
      </c>
      <c r="B63" s="237" t="s">
        <v>485</v>
      </c>
      <c r="C63" s="152">
        <v>2018</v>
      </c>
      <c r="D63" s="153" t="s">
        <v>486</v>
      </c>
      <c r="E63" s="208" t="s">
        <v>318</v>
      </c>
      <c r="F63" s="208" t="s">
        <v>311</v>
      </c>
      <c r="G63" s="208" t="s">
        <v>36</v>
      </c>
      <c r="H63" s="208" t="s">
        <v>160</v>
      </c>
      <c r="I63" s="208" t="s">
        <v>155</v>
      </c>
      <c r="J63" s="208" t="s">
        <v>38</v>
      </c>
      <c r="K63" s="208" t="s">
        <v>156</v>
      </c>
      <c r="L63" s="208">
        <v>2</v>
      </c>
      <c r="N63" s="208">
        <v>4</v>
      </c>
      <c r="O63" s="208">
        <v>0.53</v>
      </c>
      <c r="P63" s="208">
        <v>0.5</v>
      </c>
      <c r="Q63" s="245">
        <f t="shared" si="2"/>
        <v>0.51500000000000001</v>
      </c>
      <c r="R63" s="208">
        <v>16.3</v>
      </c>
      <c r="S63" s="208">
        <v>112</v>
      </c>
      <c r="T63" s="217">
        <f t="shared" si="0"/>
        <v>33</v>
      </c>
      <c r="U63" s="208">
        <v>494</v>
      </c>
      <c r="V63" s="217">
        <f t="shared" si="1"/>
        <v>16</v>
      </c>
      <c r="W63" s="208">
        <v>10</v>
      </c>
      <c r="X63" s="208" t="s">
        <v>39</v>
      </c>
      <c r="Y63" s="208" t="s">
        <v>55</v>
      </c>
      <c r="Z63" s="208" t="s">
        <v>90</v>
      </c>
      <c r="AA63" s="208" t="s">
        <v>78</v>
      </c>
      <c r="AB63" s="237" t="s">
        <v>507</v>
      </c>
    </row>
    <row r="64" spans="1:28" x14ac:dyDescent="0.15">
      <c r="A64" s="208" t="s">
        <v>59</v>
      </c>
      <c r="B64" s="237" t="s">
        <v>485</v>
      </c>
      <c r="C64" s="152">
        <v>2018</v>
      </c>
      <c r="D64" s="153" t="s">
        <v>486</v>
      </c>
      <c r="E64" s="208" t="s">
        <v>318</v>
      </c>
      <c r="F64" s="208" t="s">
        <v>311</v>
      </c>
      <c r="G64" s="208" t="s">
        <v>36</v>
      </c>
      <c r="H64" s="208" t="s">
        <v>160</v>
      </c>
      <c r="I64" s="208" t="s">
        <v>155</v>
      </c>
      <c r="J64" s="208" t="s">
        <v>38</v>
      </c>
      <c r="K64" s="208" t="s">
        <v>156</v>
      </c>
      <c r="L64" s="208">
        <v>3</v>
      </c>
      <c r="N64" s="208">
        <v>4</v>
      </c>
      <c r="O64" s="208">
        <v>0.56000000000000005</v>
      </c>
      <c r="P64" s="208">
        <v>0.6</v>
      </c>
      <c r="Q64" s="245">
        <f t="shared" si="2"/>
        <v>0.58000000000000007</v>
      </c>
      <c r="R64" s="208">
        <v>15.8</v>
      </c>
      <c r="S64" s="208">
        <v>110</v>
      </c>
      <c r="T64" s="217">
        <f t="shared" si="0"/>
        <v>33</v>
      </c>
      <c r="U64" s="208">
        <v>494</v>
      </c>
      <c r="V64" s="217">
        <f t="shared" si="1"/>
        <v>16</v>
      </c>
      <c r="W64" s="208">
        <v>10</v>
      </c>
      <c r="X64" s="208" t="s">
        <v>39</v>
      </c>
      <c r="Y64" s="208" t="s">
        <v>55</v>
      </c>
      <c r="Z64" s="208" t="s">
        <v>90</v>
      </c>
      <c r="AA64" s="208" t="s">
        <v>78</v>
      </c>
      <c r="AB64" s="237" t="s">
        <v>507</v>
      </c>
    </row>
    <row r="65" spans="1:28" x14ac:dyDescent="0.15">
      <c r="A65" s="208" t="s">
        <v>59</v>
      </c>
      <c r="B65" s="237" t="s">
        <v>485</v>
      </c>
      <c r="C65" s="152">
        <v>2018</v>
      </c>
      <c r="D65" s="153" t="s">
        <v>486</v>
      </c>
      <c r="E65" s="208" t="s">
        <v>318</v>
      </c>
      <c r="F65" s="208" t="s">
        <v>311</v>
      </c>
      <c r="G65" s="208" t="s">
        <v>36</v>
      </c>
      <c r="H65" s="208" t="s">
        <v>157</v>
      </c>
      <c r="I65" s="208" t="s">
        <v>155</v>
      </c>
      <c r="J65" s="208" t="s">
        <v>38</v>
      </c>
      <c r="K65" s="208" t="s">
        <v>156</v>
      </c>
      <c r="L65" s="208">
        <v>1</v>
      </c>
      <c r="N65" s="208">
        <v>4</v>
      </c>
      <c r="O65" s="208">
        <v>0.5</v>
      </c>
      <c r="P65" s="208">
        <v>0.65</v>
      </c>
      <c r="Q65" s="245">
        <f t="shared" si="2"/>
        <v>0.57499999999999996</v>
      </c>
      <c r="R65" s="208">
        <v>13.3</v>
      </c>
      <c r="S65" s="208">
        <v>90</v>
      </c>
      <c r="T65" s="217">
        <f t="shared" si="0"/>
        <v>36</v>
      </c>
      <c r="U65" s="208">
        <v>321</v>
      </c>
      <c r="V65" s="217">
        <f t="shared" si="1"/>
        <v>16</v>
      </c>
      <c r="W65" s="208">
        <v>9</v>
      </c>
      <c r="X65" s="208" t="s">
        <v>39</v>
      </c>
      <c r="Y65" s="208" t="s">
        <v>55</v>
      </c>
      <c r="Z65" s="208" t="s">
        <v>90</v>
      </c>
      <c r="AA65" s="208" t="s">
        <v>78</v>
      </c>
      <c r="AB65" s="237" t="s">
        <v>507</v>
      </c>
    </row>
    <row r="66" spans="1:28" x14ac:dyDescent="0.15">
      <c r="A66" s="208" t="s">
        <v>59</v>
      </c>
      <c r="B66" s="237" t="s">
        <v>485</v>
      </c>
      <c r="C66" s="152">
        <v>2018</v>
      </c>
      <c r="D66" s="153" t="s">
        <v>486</v>
      </c>
      <c r="E66" s="208" t="s">
        <v>318</v>
      </c>
      <c r="F66" s="208" t="s">
        <v>311</v>
      </c>
      <c r="G66" s="208" t="s">
        <v>36</v>
      </c>
      <c r="H66" s="208" t="s">
        <v>157</v>
      </c>
      <c r="I66" s="208" t="s">
        <v>155</v>
      </c>
      <c r="J66" s="208" t="s">
        <v>38</v>
      </c>
      <c r="K66" s="208" t="s">
        <v>156</v>
      </c>
      <c r="L66" s="208">
        <v>2</v>
      </c>
      <c r="N66" s="208">
        <v>4</v>
      </c>
      <c r="O66" s="208">
        <v>0.65</v>
      </c>
      <c r="P66" s="208">
        <v>0.76</v>
      </c>
      <c r="Q66" s="245">
        <f t="shared" si="2"/>
        <v>0.70500000000000007</v>
      </c>
      <c r="R66" s="208">
        <v>14.7</v>
      </c>
      <c r="S66" s="208">
        <v>89</v>
      </c>
      <c r="T66" s="217">
        <f t="shared" si="0"/>
        <v>36</v>
      </c>
      <c r="U66" s="208">
        <v>321</v>
      </c>
      <c r="V66" s="217">
        <f t="shared" si="1"/>
        <v>16</v>
      </c>
      <c r="W66" s="208">
        <v>9</v>
      </c>
      <c r="X66" s="208" t="s">
        <v>39</v>
      </c>
      <c r="Y66" s="208" t="s">
        <v>55</v>
      </c>
      <c r="Z66" s="208" t="s">
        <v>90</v>
      </c>
      <c r="AA66" s="208" t="s">
        <v>78</v>
      </c>
      <c r="AB66" s="237" t="s">
        <v>507</v>
      </c>
    </row>
    <row r="67" spans="1:28" x14ac:dyDescent="0.15">
      <c r="A67" s="208" t="s">
        <v>59</v>
      </c>
      <c r="B67" s="237" t="s">
        <v>485</v>
      </c>
      <c r="C67" s="152">
        <v>2018</v>
      </c>
      <c r="D67" s="153" t="s">
        <v>486</v>
      </c>
      <c r="E67" s="208" t="s">
        <v>318</v>
      </c>
      <c r="F67" s="208" t="s">
        <v>311</v>
      </c>
      <c r="G67" s="208" t="s">
        <v>36</v>
      </c>
      <c r="H67" s="208" t="s">
        <v>157</v>
      </c>
      <c r="I67" s="208" t="s">
        <v>155</v>
      </c>
      <c r="J67" s="208" t="s">
        <v>38</v>
      </c>
      <c r="K67" s="208" t="s">
        <v>156</v>
      </c>
      <c r="L67" s="208">
        <v>3</v>
      </c>
      <c r="N67" s="208">
        <v>4</v>
      </c>
      <c r="O67" s="208">
        <v>0.56999999999999995</v>
      </c>
      <c r="P67" s="208">
        <v>0.68</v>
      </c>
      <c r="Q67" s="245">
        <f t="shared" si="2"/>
        <v>0.625</v>
      </c>
      <c r="R67" s="208">
        <v>13.4</v>
      </c>
      <c r="S67" s="208">
        <v>106</v>
      </c>
      <c r="T67" s="217">
        <f t="shared" si="0"/>
        <v>33</v>
      </c>
      <c r="U67" s="208">
        <v>321</v>
      </c>
      <c r="V67" s="217">
        <f t="shared" si="1"/>
        <v>16</v>
      </c>
      <c r="W67" s="208">
        <v>9</v>
      </c>
      <c r="X67" s="208" t="s">
        <v>39</v>
      </c>
      <c r="Y67" s="208" t="s">
        <v>55</v>
      </c>
      <c r="Z67" s="208" t="s">
        <v>90</v>
      </c>
      <c r="AA67" s="208" t="s">
        <v>78</v>
      </c>
      <c r="AB67" s="237" t="s">
        <v>507</v>
      </c>
    </row>
    <row r="68" spans="1:28" x14ac:dyDescent="0.15">
      <c r="B68" s="237"/>
      <c r="C68" s="152"/>
      <c r="D68" s="153"/>
      <c r="Q68" s="245" t="str">
        <f t="shared" si="2"/>
        <v/>
      </c>
      <c r="T68" s="217" t="str">
        <f t="shared" si="0"/>
        <v/>
      </c>
      <c r="V68" s="217" t="str">
        <f t="shared" si="1"/>
        <v/>
      </c>
      <c r="AB68" s="237"/>
    </row>
    <row r="69" spans="1:28" x14ac:dyDescent="0.15">
      <c r="B69" s="237"/>
      <c r="C69" s="152"/>
      <c r="D69" s="153"/>
      <c r="Q69" s="245" t="str">
        <f t="shared" si="2"/>
        <v/>
      </c>
      <c r="T69" s="217" t="str">
        <f t="shared" si="0"/>
        <v/>
      </c>
      <c r="V69" s="217" t="str">
        <f t="shared" si="1"/>
        <v/>
      </c>
      <c r="AB69" s="237"/>
    </row>
    <row r="70" spans="1:28" x14ac:dyDescent="0.15">
      <c r="B70" s="237"/>
      <c r="C70" s="152"/>
      <c r="D70" s="153"/>
      <c r="Q70" s="245" t="str">
        <f t="shared" si="2"/>
        <v/>
      </c>
      <c r="T70" s="217" t="str">
        <f t="shared" si="0"/>
        <v/>
      </c>
      <c r="V70" s="217" t="str">
        <f t="shared" si="1"/>
        <v/>
      </c>
      <c r="AB70" s="237"/>
    </row>
    <row r="71" spans="1:28" x14ac:dyDescent="0.15">
      <c r="B71" s="237"/>
      <c r="C71" s="152"/>
      <c r="D71" s="153"/>
      <c r="Q71" s="245" t="str">
        <f t="shared" si="2"/>
        <v/>
      </c>
      <c r="T71" s="217" t="str">
        <f t="shared" si="0"/>
        <v/>
      </c>
      <c r="AB71" s="237"/>
    </row>
    <row r="72" spans="1:28" x14ac:dyDescent="0.15">
      <c r="B72" s="237"/>
      <c r="C72" s="152"/>
      <c r="D72" s="153"/>
      <c r="Q72" s="245" t="str">
        <f t="shared" si="2"/>
        <v/>
      </c>
      <c r="T72" s="217" t="str">
        <f t="shared" si="0"/>
        <v/>
      </c>
      <c r="AB72" s="237"/>
    </row>
    <row r="73" spans="1:28" x14ac:dyDescent="0.15">
      <c r="B73" s="237"/>
      <c r="C73" s="152"/>
      <c r="D73" s="153"/>
      <c r="Q73" s="245" t="str">
        <f t="shared" si="2"/>
        <v/>
      </c>
      <c r="T73" s="217" t="str">
        <f t="shared" si="0"/>
        <v/>
      </c>
      <c r="AB73" s="237"/>
    </row>
    <row r="74" spans="1:28" x14ac:dyDescent="0.15">
      <c r="B74" s="237"/>
      <c r="C74" s="152"/>
      <c r="D74" s="153"/>
      <c r="Q74" s="245"/>
      <c r="AB74" s="237"/>
    </row>
    <row r="75" spans="1:28" x14ac:dyDescent="0.15">
      <c r="B75" s="237"/>
      <c r="C75" s="152"/>
      <c r="D75" s="153"/>
      <c r="Q75" s="245"/>
      <c r="AB75" s="237"/>
    </row>
    <row r="76" spans="1:28" x14ac:dyDescent="0.15">
      <c r="B76" s="237"/>
      <c r="C76" s="152"/>
      <c r="D76" s="153"/>
      <c r="Q76" s="245"/>
      <c r="AB76" s="237"/>
    </row>
    <row r="77" spans="1:28" x14ac:dyDescent="0.15">
      <c r="B77" s="237"/>
      <c r="C77" s="152"/>
      <c r="D77" s="153"/>
      <c r="Q77" s="245"/>
      <c r="AB77" s="237"/>
    </row>
    <row r="78" spans="1:28" x14ac:dyDescent="0.15">
      <c r="B78" s="237"/>
      <c r="C78" s="152"/>
      <c r="D78" s="153"/>
      <c r="Q78" s="245"/>
      <c r="AB78" s="237"/>
    </row>
    <row r="79" spans="1:28" x14ac:dyDescent="0.15">
      <c r="B79" s="237"/>
      <c r="C79" s="152"/>
      <c r="D79" s="153"/>
      <c r="Q79" s="245"/>
      <c r="AB79" s="237"/>
    </row>
    <row r="80" spans="1:28" x14ac:dyDescent="0.15">
      <c r="B80" s="237"/>
      <c r="C80" s="152"/>
      <c r="D80" s="153"/>
      <c r="Q80" s="245"/>
      <c r="AB80" s="237"/>
    </row>
    <row r="81" spans="2:28" x14ac:dyDescent="0.15">
      <c r="B81" s="237"/>
      <c r="C81" s="152"/>
      <c r="D81" s="153"/>
      <c r="Q81" s="245"/>
      <c r="AB81" s="237"/>
    </row>
    <row r="82" spans="2:28" x14ac:dyDescent="0.15">
      <c r="B82" s="237"/>
      <c r="C82" s="152"/>
      <c r="D82" s="153"/>
      <c r="Q82" s="245"/>
      <c r="AB82" s="237"/>
    </row>
    <row r="83" spans="2:28" x14ac:dyDescent="0.15">
      <c r="B83" s="237"/>
      <c r="C83" s="152"/>
      <c r="Q83" s="245"/>
      <c r="AB83" s="237"/>
    </row>
    <row r="84" spans="2:28" x14ac:dyDescent="0.15">
      <c r="B84" s="237"/>
      <c r="C84" s="152"/>
      <c r="Q84" s="245"/>
      <c r="AB84" s="237"/>
    </row>
    <row r="85" spans="2:28" x14ac:dyDescent="0.15">
      <c r="B85" s="237"/>
      <c r="C85" s="152"/>
      <c r="Q85" s="245"/>
      <c r="AB85" s="237"/>
    </row>
    <row r="86" spans="2:28" x14ac:dyDescent="0.15">
      <c r="B86" s="237"/>
      <c r="C86" s="152"/>
      <c r="Q86" s="245"/>
      <c r="AB86" s="237"/>
    </row>
    <row r="87" spans="2:28" x14ac:dyDescent="0.15">
      <c r="B87" s="237"/>
      <c r="C87" s="152"/>
      <c r="Q87" s="245"/>
      <c r="AB87" s="237"/>
    </row>
    <row r="88" spans="2:28" x14ac:dyDescent="0.15">
      <c r="B88" s="237"/>
      <c r="C88" s="152"/>
      <c r="Q88" s="245"/>
      <c r="AB88" s="237"/>
    </row>
    <row r="89" spans="2:28" x14ac:dyDescent="0.15">
      <c r="B89" s="237"/>
      <c r="C89" s="152"/>
      <c r="Q89" s="245"/>
      <c r="AB89" s="237"/>
    </row>
    <row r="90" spans="2:28" x14ac:dyDescent="0.15">
      <c r="B90" s="237"/>
      <c r="C90" s="152"/>
      <c r="Q90" s="245"/>
      <c r="AB90" s="237"/>
    </row>
    <row r="91" spans="2:28" x14ac:dyDescent="0.15">
      <c r="B91" s="237"/>
      <c r="C91" s="152"/>
      <c r="Q91" s="245"/>
      <c r="AB91" s="237"/>
    </row>
    <row r="92" spans="2:28" x14ac:dyDescent="0.15">
      <c r="B92" s="237"/>
      <c r="C92" s="152"/>
      <c r="Q92" s="245"/>
      <c r="AB92" s="237"/>
    </row>
    <row r="93" spans="2:28" x14ac:dyDescent="0.15">
      <c r="B93" s="237"/>
      <c r="C93" s="152"/>
      <c r="Q93" s="245"/>
      <c r="AB93" s="237"/>
    </row>
    <row r="94" spans="2:28" x14ac:dyDescent="0.15">
      <c r="B94" s="237"/>
      <c r="C94" s="152"/>
      <c r="Q94" s="245"/>
      <c r="AB94" s="237"/>
    </row>
    <row r="95" spans="2:28" x14ac:dyDescent="0.15">
      <c r="B95" s="237"/>
      <c r="C95" s="152"/>
      <c r="Q95" s="245"/>
      <c r="AB95" s="237"/>
    </row>
    <row r="96" spans="2:28" x14ac:dyDescent="0.15">
      <c r="B96" s="237"/>
      <c r="C96" s="152"/>
      <c r="Q96" s="245"/>
      <c r="AB96" s="237"/>
    </row>
    <row r="97" spans="2:28" x14ac:dyDescent="0.15">
      <c r="B97" s="237"/>
      <c r="C97" s="152"/>
      <c r="Q97" s="245"/>
      <c r="AB97" s="237"/>
    </row>
    <row r="98" spans="2:28" x14ac:dyDescent="0.15">
      <c r="B98" s="237"/>
      <c r="C98" s="152"/>
      <c r="Q98" s="245"/>
      <c r="AB98" s="237"/>
    </row>
    <row r="99" spans="2:28" x14ac:dyDescent="0.15">
      <c r="B99" s="237"/>
      <c r="C99" s="152"/>
      <c r="AB99" s="237"/>
    </row>
    <row r="100" spans="2:28" x14ac:dyDescent="0.15">
      <c r="B100" s="237"/>
      <c r="C100" s="152"/>
      <c r="AB100" s="237"/>
    </row>
    <row r="101" spans="2:28" x14ac:dyDescent="0.15">
      <c r="Q101" s="217" t="str">
        <f t="shared" ref="Q101:Q152" si="3">IF(OR(O101="",P101=""),"",AVERAGE(O101,P101))</f>
        <v/>
      </c>
      <c r="T101" s="217" t="str">
        <f t="shared" ref="T101:T152" si="4">IF(H101="","",IF(OR(H101="GREEN",H101="GK"),IF(S101&gt;=$AX$2,VLOOKUP(S101,$AX$2:$AY$12,2,1),""),IF(S101&gt;=$AZ$2,VLOOKUP(S101,$AZ$2:$BA$12,2,1),"")))</f>
        <v/>
      </c>
      <c r="V101" s="217" t="str">
        <f t="shared" ref="V101:V152" si="5">IF(J101="","",IF(OR(J101="GREEN",J101="GK"),IF(U101&gt;=$AX$2,VLOOKUP(U101,$AX$2:$AY$12,2,1),""),IF(U101&gt;=$AZ$2,VLOOKUP(U101,$AZ$2:$BA$12,2,1),"")))</f>
        <v/>
      </c>
      <c r="AB101" s="237"/>
    </row>
    <row r="102" spans="2:28" x14ac:dyDescent="0.15">
      <c r="Q102" s="217" t="str">
        <f t="shared" si="3"/>
        <v/>
      </c>
      <c r="T102" s="217" t="str">
        <f t="shared" si="4"/>
        <v/>
      </c>
      <c r="V102" s="217" t="str">
        <f t="shared" si="5"/>
        <v/>
      </c>
    </row>
    <row r="103" spans="2:28" x14ac:dyDescent="0.15">
      <c r="Q103" s="217" t="str">
        <f t="shared" si="3"/>
        <v/>
      </c>
      <c r="T103" s="217" t="str">
        <f t="shared" si="4"/>
        <v/>
      </c>
      <c r="V103" s="217" t="str">
        <f t="shared" si="5"/>
        <v/>
      </c>
    </row>
    <row r="104" spans="2:28" x14ac:dyDescent="0.15">
      <c r="Q104" s="217" t="str">
        <f t="shared" si="3"/>
        <v/>
      </c>
      <c r="T104" s="217" t="str">
        <f t="shared" si="4"/>
        <v/>
      </c>
      <c r="V104" s="217" t="str">
        <f t="shared" si="5"/>
        <v/>
      </c>
    </row>
    <row r="105" spans="2:28" x14ac:dyDescent="0.15">
      <c r="Q105" s="217" t="str">
        <f t="shared" si="3"/>
        <v/>
      </c>
      <c r="T105" s="217" t="str">
        <f t="shared" si="4"/>
        <v/>
      </c>
      <c r="V105" s="217" t="str">
        <f t="shared" si="5"/>
        <v/>
      </c>
    </row>
    <row r="106" spans="2:28" x14ac:dyDescent="0.15">
      <c r="Q106" s="217" t="str">
        <f t="shared" si="3"/>
        <v/>
      </c>
      <c r="T106" s="217" t="str">
        <f t="shared" si="4"/>
        <v/>
      </c>
      <c r="V106" s="217" t="str">
        <f t="shared" si="5"/>
        <v/>
      </c>
    </row>
    <row r="107" spans="2:28" x14ac:dyDescent="0.15">
      <c r="Q107" s="217" t="str">
        <f t="shared" si="3"/>
        <v/>
      </c>
      <c r="T107" s="217" t="str">
        <f t="shared" si="4"/>
        <v/>
      </c>
      <c r="V107" s="217" t="str">
        <f t="shared" si="5"/>
        <v/>
      </c>
    </row>
    <row r="108" spans="2:28" x14ac:dyDescent="0.15">
      <c r="Q108" s="217" t="str">
        <f t="shared" si="3"/>
        <v/>
      </c>
      <c r="T108" s="217" t="str">
        <f t="shared" si="4"/>
        <v/>
      </c>
      <c r="V108" s="217" t="str">
        <f t="shared" si="5"/>
        <v/>
      </c>
    </row>
    <row r="109" spans="2:28" x14ac:dyDescent="0.15">
      <c r="Q109" s="217" t="str">
        <f t="shared" si="3"/>
        <v/>
      </c>
      <c r="T109" s="217" t="str">
        <f t="shared" si="4"/>
        <v/>
      </c>
      <c r="V109" s="217" t="str">
        <f t="shared" si="5"/>
        <v/>
      </c>
    </row>
    <row r="110" spans="2:28" x14ac:dyDescent="0.15">
      <c r="Q110" s="217" t="str">
        <f t="shared" si="3"/>
        <v/>
      </c>
      <c r="T110" s="217" t="str">
        <f t="shared" si="4"/>
        <v/>
      </c>
      <c r="V110" s="217" t="str">
        <f t="shared" si="5"/>
        <v/>
      </c>
    </row>
    <row r="111" spans="2:28" x14ac:dyDescent="0.15">
      <c r="Q111" s="217" t="str">
        <f t="shared" si="3"/>
        <v/>
      </c>
      <c r="T111" s="217" t="str">
        <f t="shared" si="4"/>
        <v/>
      </c>
      <c r="V111" s="217" t="str">
        <f t="shared" si="5"/>
        <v/>
      </c>
    </row>
    <row r="112" spans="2:28" x14ac:dyDescent="0.15">
      <c r="Q112" s="217" t="str">
        <f t="shared" si="3"/>
        <v/>
      </c>
      <c r="T112" s="217" t="str">
        <f t="shared" si="4"/>
        <v/>
      </c>
      <c r="V112" s="217" t="str">
        <f t="shared" si="5"/>
        <v/>
      </c>
    </row>
    <row r="113" spans="17:22" x14ac:dyDescent="0.15">
      <c r="Q113" s="217" t="str">
        <f t="shared" si="3"/>
        <v/>
      </c>
      <c r="T113" s="217" t="str">
        <f t="shared" si="4"/>
        <v/>
      </c>
      <c r="V113" s="217" t="str">
        <f t="shared" si="5"/>
        <v/>
      </c>
    </row>
    <row r="114" spans="17:22" x14ac:dyDescent="0.15">
      <c r="Q114" s="217" t="str">
        <f t="shared" si="3"/>
        <v/>
      </c>
      <c r="T114" s="217" t="str">
        <f t="shared" si="4"/>
        <v/>
      </c>
      <c r="V114" s="217" t="str">
        <f t="shared" si="5"/>
        <v/>
      </c>
    </row>
    <row r="115" spans="17:22" x14ac:dyDescent="0.15">
      <c r="Q115" s="217" t="str">
        <f t="shared" si="3"/>
        <v/>
      </c>
      <c r="T115" s="217" t="str">
        <f t="shared" si="4"/>
        <v/>
      </c>
      <c r="V115" s="217" t="str">
        <f t="shared" si="5"/>
        <v/>
      </c>
    </row>
    <row r="116" spans="17:22" x14ac:dyDescent="0.15">
      <c r="Q116" s="217" t="str">
        <f t="shared" si="3"/>
        <v/>
      </c>
      <c r="T116" s="217" t="str">
        <f t="shared" si="4"/>
        <v/>
      </c>
      <c r="V116" s="217" t="str">
        <f t="shared" si="5"/>
        <v/>
      </c>
    </row>
    <row r="117" spans="17:22" x14ac:dyDescent="0.15">
      <c r="Q117" s="217" t="str">
        <f t="shared" si="3"/>
        <v/>
      </c>
      <c r="T117" s="217" t="str">
        <f t="shared" si="4"/>
        <v/>
      </c>
      <c r="V117" s="217" t="str">
        <f t="shared" si="5"/>
        <v/>
      </c>
    </row>
    <row r="118" spans="17:22" x14ac:dyDescent="0.15">
      <c r="Q118" s="217" t="str">
        <f t="shared" si="3"/>
        <v/>
      </c>
      <c r="T118" s="217" t="str">
        <f t="shared" si="4"/>
        <v/>
      </c>
      <c r="V118" s="217" t="str">
        <f t="shared" si="5"/>
        <v/>
      </c>
    </row>
    <row r="119" spans="17:22" x14ac:dyDescent="0.15">
      <c r="Q119" s="217" t="str">
        <f t="shared" si="3"/>
        <v/>
      </c>
      <c r="T119" s="217" t="str">
        <f t="shared" si="4"/>
        <v/>
      </c>
      <c r="V119" s="217" t="str">
        <f t="shared" si="5"/>
        <v/>
      </c>
    </row>
    <row r="120" spans="17:22" x14ac:dyDescent="0.15">
      <c r="Q120" s="217" t="str">
        <f t="shared" si="3"/>
        <v/>
      </c>
      <c r="T120" s="217" t="str">
        <f t="shared" si="4"/>
        <v/>
      </c>
      <c r="V120" s="217" t="str">
        <f t="shared" si="5"/>
        <v/>
      </c>
    </row>
    <row r="121" spans="17:22" x14ac:dyDescent="0.15">
      <c r="Q121" s="217" t="str">
        <f t="shared" si="3"/>
        <v/>
      </c>
      <c r="T121" s="217" t="str">
        <f t="shared" si="4"/>
        <v/>
      </c>
      <c r="V121" s="217" t="str">
        <f t="shared" si="5"/>
        <v/>
      </c>
    </row>
    <row r="122" spans="17:22" x14ac:dyDescent="0.15">
      <c r="Q122" s="217" t="str">
        <f t="shared" si="3"/>
        <v/>
      </c>
      <c r="T122" s="217" t="str">
        <f t="shared" si="4"/>
        <v/>
      </c>
      <c r="V122" s="217" t="str">
        <f t="shared" si="5"/>
        <v/>
      </c>
    </row>
    <row r="123" spans="17:22" x14ac:dyDescent="0.15">
      <c r="Q123" s="217" t="str">
        <f t="shared" si="3"/>
        <v/>
      </c>
      <c r="T123" s="217" t="str">
        <f t="shared" si="4"/>
        <v/>
      </c>
      <c r="V123" s="217" t="str">
        <f t="shared" si="5"/>
        <v/>
      </c>
    </row>
    <row r="124" spans="17:22" x14ac:dyDescent="0.15">
      <c r="Q124" s="217" t="str">
        <f t="shared" si="3"/>
        <v/>
      </c>
      <c r="T124" s="217" t="str">
        <f t="shared" si="4"/>
        <v/>
      </c>
      <c r="V124" s="217" t="str">
        <f t="shared" si="5"/>
        <v/>
      </c>
    </row>
    <row r="125" spans="17:22" x14ac:dyDescent="0.15">
      <c r="Q125" s="217" t="str">
        <f t="shared" si="3"/>
        <v/>
      </c>
      <c r="T125" s="217" t="str">
        <f t="shared" si="4"/>
        <v/>
      </c>
      <c r="V125" s="217" t="str">
        <f t="shared" si="5"/>
        <v/>
      </c>
    </row>
    <row r="126" spans="17:22" x14ac:dyDescent="0.15">
      <c r="Q126" s="217" t="str">
        <f t="shared" si="3"/>
        <v/>
      </c>
      <c r="T126" s="217" t="str">
        <f t="shared" si="4"/>
        <v/>
      </c>
      <c r="V126" s="217" t="str">
        <f t="shared" si="5"/>
        <v/>
      </c>
    </row>
    <row r="127" spans="17:22" x14ac:dyDescent="0.15">
      <c r="Q127" s="217" t="str">
        <f t="shared" si="3"/>
        <v/>
      </c>
      <c r="T127" s="217" t="str">
        <f t="shared" si="4"/>
        <v/>
      </c>
      <c r="V127" s="217" t="str">
        <f t="shared" si="5"/>
        <v/>
      </c>
    </row>
    <row r="128" spans="17:22" x14ac:dyDescent="0.15">
      <c r="Q128" s="217" t="str">
        <f t="shared" si="3"/>
        <v/>
      </c>
      <c r="T128" s="217" t="str">
        <f t="shared" si="4"/>
        <v/>
      </c>
      <c r="V128" s="217" t="str">
        <f t="shared" si="5"/>
        <v/>
      </c>
    </row>
    <row r="129" spans="17:22" x14ac:dyDescent="0.15">
      <c r="Q129" s="217" t="str">
        <f t="shared" si="3"/>
        <v/>
      </c>
      <c r="T129" s="217" t="str">
        <f t="shared" si="4"/>
        <v/>
      </c>
      <c r="V129" s="217" t="str">
        <f t="shared" si="5"/>
        <v/>
      </c>
    </row>
    <row r="130" spans="17:22" x14ac:dyDescent="0.15">
      <c r="Q130" s="217" t="str">
        <f t="shared" si="3"/>
        <v/>
      </c>
      <c r="T130" s="217" t="str">
        <f t="shared" si="4"/>
        <v/>
      </c>
      <c r="V130" s="217" t="str">
        <f t="shared" si="5"/>
        <v/>
      </c>
    </row>
    <row r="131" spans="17:22" x14ac:dyDescent="0.15">
      <c r="Q131" s="217" t="str">
        <f t="shared" si="3"/>
        <v/>
      </c>
      <c r="T131" s="217" t="str">
        <f t="shared" si="4"/>
        <v/>
      </c>
      <c r="V131" s="217" t="str">
        <f t="shared" si="5"/>
        <v/>
      </c>
    </row>
    <row r="132" spans="17:22" x14ac:dyDescent="0.15">
      <c r="Q132" s="217" t="str">
        <f t="shared" si="3"/>
        <v/>
      </c>
      <c r="T132" s="217" t="str">
        <f t="shared" si="4"/>
        <v/>
      </c>
      <c r="V132" s="217" t="str">
        <f t="shared" si="5"/>
        <v/>
      </c>
    </row>
    <row r="133" spans="17:22" x14ac:dyDescent="0.15">
      <c r="Q133" s="217" t="str">
        <f t="shared" si="3"/>
        <v/>
      </c>
      <c r="T133" s="217" t="str">
        <f t="shared" si="4"/>
        <v/>
      </c>
      <c r="V133" s="217" t="str">
        <f t="shared" si="5"/>
        <v/>
      </c>
    </row>
    <row r="134" spans="17:22" x14ac:dyDescent="0.15">
      <c r="Q134" s="217" t="str">
        <f t="shared" si="3"/>
        <v/>
      </c>
      <c r="T134" s="217" t="str">
        <f t="shared" si="4"/>
        <v/>
      </c>
      <c r="V134" s="217" t="str">
        <f t="shared" si="5"/>
        <v/>
      </c>
    </row>
    <row r="135" spans="17:22" x14ac:dyDescent="0.15">
      <c r="Q135" s="217" t="str">
        <f t="shared" si="3"/>
        <v/>
      </c>
      <c r="T135" s="217" t="str">
        <f t="shared" si="4"/>
        <v/>
      </c>
      <c r="V135" s="217" t="str">
        <f t="shared" si="5"/>
        <v/>
      </c>
    </row>
    <row r="136" spans="17:22" x14ac:dyDescent="0.15">
      <c r="Q136" s="217" t="str">
        <f t="shared" si="3"/>
        <v/>
      </c>
      <c r="T136" s="217" t="str">
        <f t="shared" si="4"/>
        <v/>
      </c>
      <c r="V136" s="217" t="str">
        <f t="shared" si="5"/>
        <v/>
      </c>
    </row>
    <row r="137" spans="17:22" x14ac:dyDescent="0.15">
      <c r="Q137" s="217" t="str">
        <f t="shared" si="3"/>
        <v/>
      </c>
      <c r="T137" s="217" t="str">
        <f t="shared" si="4"/>
        <v/>
      </c>
      <c r="V137" s="217" t="str">
        <f t="shared" si="5"/>
        <v/>
      </c>
    </row>
    <row r="138" spans="17:22" x14ac:dyDescent="0.15">
      <c r="Q138" s="217" t="str">
        <f t="shared" si="3"/>
        <v/>
      </c>
      <c r="T138" s="217" t="str">
        <f t="shared" si="4"/>
        <v/>
      </c>
      <c r="V138" s="217" t="str">
        <f t="shared" si="5"/>
        <v/>
      </c>
    </row>
    <row r="139" spans="17:22" x14ac:dyDescent="0.15">
      <c r="Q139" s="217" t="str">
        <f t="shared" si="3"/>
        <v/>
      </c>
      <c r="T139" s="217" t="str">
        <f t="shared" si="4"/>
        <v/>
      </c>
      <c r="V139" s="217" t="str">
        <f t="shared" si="5"/>
        <v/>
      </c>
    </row>
    <row r="140" spans="17:22" x14ac:dyDescent="0.15">
      <c r="Q140" s="217" t="str">
        <f t="shared" si="3"/>
        <v/>
      </c>
      <c r="T140" s="217" t="str">
        <f t="shared" si="4"/>
        <v/>
      </c>
      <c r="V140" s="217" t="str">
        <f t="shared" si="5"/>
        <v/>
      </c>
    </row>
    <row r="141" spans="17:22" x14ac:dyDescent="0.15">
      <c r="Q141" s="217" t="str">
        <f t="shared" si="3"/>
        <v/>
      </c>
      <c r="T141" s="217" t="str">
        <f t="shared" si="4"/>
        <v/>
      </c>
      <c r="V141" s="217" t="str">
        <f t="shared" si="5"/>
        <v/>
      </c>
    </row>
    <row r="142" spans="17:22" x14ac:dyDescent="0.15">
      <c r="Q142" s="217" t="str">
        <f t="shared" si="3"/>
        <v/>
      </c>
      <c r="T142" s="217" t="str">
        <f t="shared" si="4"/>
        <v/>
      </c>
      <c r="V142" s="217" t="str">
        <f t="shared" si="5"/>
        <v/>
      </c>
    </row>
    <row r="143" spans="17:22" x14ac:dyDescent="0.15">
      <c r="Q143" s="217" t="str">
        <f t="shared" si="3"/>
        <v/>
      </c>
      <c r="T143" s="217" t="str">
        <f t="shared" si="4"/>
        <v/>
      </c>
      <c r="V143" s="217" t="str">
        <f t="shared" si="5"/>
        <v/>
      </c>
    </row>
    <row r="144" spans="17:22" x14ac:dyDescent="0.15">
      <c r="Q144" s="217" t="str">
        <f t="shared" si="3"/>
        <v/>
      </c>
      <c r="T144" s="217" t="str">
        <f t="shared" si="4"/>
        <v/>
      </c>
      <c r="V144" s="217" t="str">
        <f t="shared" si="5"/>
        <v/>
      </c>
    </row>
    <row r="145" spans="17:22" x14ac:dyDescent="0.15">
      <c r="Q145" s="217" t="str">
        <f t="shared" si="3"/>
        <v/>
      </c>
      <c r="T145" s="217" t="str">
        <f t="shared" si="4"/>
        <v/>
      </c>
      <c r="V145" s="217" t="str">
        <f t="shared" si="5"/>
        <v/>
      </c>
    </row>
    <row r="146" spans="17:22" x14ac:dyDescent="0.15">
      <c r="Q146" s="217" t="str">
        <f t="shared" si="3"/>
        <v/>
      </c>
      <c r="T146" s="217" t="str">
        <f t="shared" si="4"/>
        <v/>
      </c>
      <c r="V146" s="217" t="str">
        <f t="shared" si="5"/>
        <v/>
      </c>
    </row>
    <row r="147" spans="17:22" x14ac:dyDescent="0.15">
      <c r="Q147" s="217" t="str">
        <f t="shared" si="3"/>
        <v/>
      </c>
      <c r="T147" s="217" t="str">
        <f t="shared" si="4"/>
        <v/>
      </c>
      <c r="V147" s="217" t="str">
        <f t="shared" si="5"/>
        <v/>
      </c>
    </row>
    <row r="148" spans="17:22" x14ac:dyDescent="0.15">
      <c r="Q148" s="217" t="str">
        <f t="shared" si="3"/>
        <v/>
      </c>
      <c r="T148" s="217" t="str">
        <f t="shared" si="4"/>
        <v/>
      </c>
      <c r="V148" s="217" t="str">
        <f t="shared" si="5"/>
        <v/>
      </c>
    </row>
    <row r="149" spans="17:22" x14ac:dyDescent="0.15">
      <c r="Q149" s="217" t="str">
        <f t="shared" si="3"/>
        <v/>
      </c>
      <c r="T149" s="217" t="str">
        <f t="shared" si="4"/>
        <v/>
      </c>
      <c r="V149" s="217" t="str">
        <f t="shared" si="5"/>
        <v/>
      </c>
    </row>
    <row r="150" spans="17:22" x14ac:dyDescent="0.15">
      <c r="Q150" s="217" t="str">
        <f t="shared" si="3"/>
        <v/>
      </c>
      <c r="T150" s="217" t="str">
        <f t="shared" si="4"/>
        <v/>
      </c>
      <c r="V150" s="217" t="str">
        <f t="shared" si="5"/>
        <v/>
      </c>
    </row>
    <row r="151" spans="17:22" x14ac:dyDescent="0.15">
      <c r="Q151" s="217" t="str">
        <f t="shared" si="3"/>
        <v/>
      </c>
      <c r="T151" s="217" t="str">
        <f t="shared" si="4"/>
        <v/>
      </c>
      <c r="V151" s="217" t="str">
        <f t="shared" si="5"/>
        <v/>
      </c>
    </row>
    <row r="152" spans="17:22" x14ac:dyDescent="0.15">
      <c r="Q152" s="217" t="str">
        <f t="shared" si="3"/>
        <v/>
      </c>
      <c r="T152" s="217" t="str">
        <f t="shared" si="4"/>
        <v/>
      </c>
      <c r="V152" s="217"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435:K492 TC2:TC59 ACY2:ACY59 AMU2:AMU59 AWQ2:AWQ59 BGM2:BGM59 BQI2:BQI59 CAE2:CAE59 CKA2:CKA59 CTW2:CTW59 DDS2:DDS59 DNO2:DNO59 DXK2:DXK59 EHG2:EHG59 ERC2:ERC59 FAY2:FAY59 FKU2:FKU59 FUQ2:FUQ59 GEM2:GEM59 GOI2:GOI59 GYE2:GYE59 HIA2:HIA59 HRW2:HRW59 IBS2:IBS59 ILO2:ILO59 IVK2:IVK59 JFG2:JFG59 JPC2:JPC59 JYY2:JYY59 KIU2:KIU59 KSQ2:KSQ59 LCM2:LCM59 LMI2:LMI59 LWE2:LWE59 MGA2:MGA59 MPW2:MPW59 MZS2:MZS59 NJO2:NJO59 NTK2:NTK59 ODG2:ODG59 ONC2:ONC59 OWY2:OWY59 PGU2:PGU59 PQQ2:PQQ59 QAM2:QAM59 QKI2:QKI59 QUE2:QUE59 REA2:REA59 RNW2:RNW59 RXS2:RXS59 SHO2:SHO59 SRK2:SRK59 TBG2:TBG59 TLC2:TLC59 TUY2:TUY59 UEU2:UEU59 UOQ2:UOQ59 UYM2:UYM59 VII2:VII59 VSE2:VSE59 WCA2:WCA59 WLW2:WLW59 WVS2:WVS59 JG2:JG59 WLW983034:WLW983099 WCA983034:WCA983099 VSE983034:VSE983099 VII983034:VII983099 UYM983034:UYM983099 UOQ983034:UOQ983099 UEU983034:UEU983099 TUY983034:TUY983099 TLC983034:TLC983099 TBG983034:TBG983099 SRK983034:SRK983099 SHO983034:SHO983099 RXS983034:RXS983099 RNW983034:RNW983099 REA983034:REA983099 QUE983034:QUE983099 QKI983034:QKI983099 QAM983034:QAM983099 PQQ983034:PQQ983099 PGU983034:PGU983099 OWY983034:OWY983099 ONC983034:ONC983099 ODG983034:ODG983099 NTK983034:NTK983099 NJO983034:NJO983099 MZS983034:MZS983099 MPW983034:MPW983099 MGA983034:MGA983099 LWE983034:LWE983099 LMI983034:LMI983099 LCM983034:LCM983099 KSQ983034:KSQ983099 KIU983034:KIU983099 JYY983034:JYY983099 JPC983034:JPC983099 JFG983034:JFG983099 IVK983034:IVK983099 ILO983034:ILO983099 IBS983034:IBS983099 HRW983034:HRW983099 HIA983034:HIA983099 GYE983034:GYE983099 GOI983034:GOI983099 GEM983034:GEM983099 FUQ983034:FUQ983099 FKU983034:FKU983099 FAY983034:FAY983099 ERC983034:ERC983099 EHG983034:EHG983099 DXK983034:DXK983099 DNO983034:DNO983099 DDS983034:DDS983099 CTW983034:CTW983099 CKA983034:CKA983099 CAE983034:CAE983099 BQI983034:BQI983099 BGM983034:BGM983099 AWQ983034:AWQ983099 AMU983034:AMU983099 ACY983034:ACY983099 TC983034:TC983099 JG983034:JG983099 K983034:K983099 WVS917498:WVS917563 WLW917498:WLW917563 WCA917498:WCA917563 VSE917498:VSE917563 VII917498:VII917563 UYM917498:UYM917563 UOQ917498:UOQ917563 UEU917498:UEU917563 TUY917498:TUY917563 TLC917498:TLC917563 TBG917498:TBG917563 SRK917498:SRK917563 SHO917498:SHO917563 RXS917498:RXS917563 RNW917498:RNW917563 REA917498:REA917563 QUE917498:QUE917563 QKI917498:QKI917563 QAM917498:QAM917563 PQQ917498:PQQ917563 PGU917498:PGU917563 OWY917498:OWY917563 ONC917498:ONC917563 ODG917498:ODG917563 NTK917498:NTK917563 NJO917498:NJO917563 MZS917498:MZS917563 MPW917498:MPW917563 MGA917498:MGA917563 LWE917498:LWE917563 LMI917498:LMI917563 LCM917498:LCM917563 KSQ917498:KSQ917563 KIU917498:KIU917563 JYY917498:JYY917563 JPC917498:JPC917563 JFG917498:JFG917563 IVK917498:IVK917563 ILO917498:ILO917563 IBS917498:IBS917563 HRW917498:HRW917563 HIA917498:HIA917563 GYE917498:GYE917563 GOI917498:GOI917563 GEM917498:GEM917563 FUQ917498:FUQ917563 FKU917498:FKU917563 FAY917498:FAY917563 ERC917498:ERC917563 EHG917498:EHG917563 DXK917498:DXK917563 DNO917498:DNO917563 DDS917498:DDS917563 CTW917498:CTW917563 CKA917498:CKA917563 CAE917498:CAE917563 BQI917498:BQI917563 BGM917498:BGM917563 AWQ917498:AWQ917563 AMU917498:AMU917563 ACY917498:ACY917563 TC917498:TC917563 JG917498:JG917563 K917498:K917563 WVS851962:WVS852027 WLW851962:WLW852027 WCA851962:WCA852027 VSE851962:VSE852027 VII851962:VII852027 UYM851962:UYM852027 UOQ851962:UOQ852027 UEU851962:UEU852027 TUY851962:TUY852027 TLC851962:TLC852027 TBG851962:TBG852027 SRK851962:SRK852027 SHO851962:SHO852027 RXS851962:RXS852027 RNW851962:RNW852027 REA851962:REA852027 QUE851962:QUE852027 QKI851962:QKI852027 QAM851962:QAM852027 PQQ851962:PQQ852027 PGU851962:PGU852027 OWY851962:OWY852027 ONC851962:ONC852027 ODG851962:ODG852027 NTK851962:NTK852027 NJO851962:NJO852027 MZS851962:MZS852027 MPW851962:MPW852027 MGA851962:MGA852027 LWE851962:LWE852027 LMI851962:LMI852027 LCM851962:LCM852027 KSQ851962:KSQ852027 KIU851962:KIU852027 JYY851962:JYY852027 JPC851962:JPC852027 JFG851962:JFG852027 IVK851962:IVK852027 ILO851962:ILO852027 IBS851962:IBS852027 HRW851962:HRW852027 HIA851962:HIA852027 GYE851962:GYE852027 GOI851962:GOI852027 GEM851962:GEM852027 FUQ851962:FUQ852027 FKU851962:FKU852027 FAY851962:FAY852027 ERC851962:ERC852027 EHG851962:EHG852027 DXK851962:DXK852027 DNO851962:DNO852027 DDS851962:DDS852027 CTW851962:CTW852027 CKA851962:CKA852027 CAE851962:CAE852027 BQI851962:BQI852027 BGM851962:BGM852027 AWQ851962:AWQ852027 AMU851962:AMU852027 ACY851962:ACY852027 TC851962:TC852027 JG851962:JG852027 K851962:K852027 WVS786426:WVS786491 WLW786426:WLW786491 WCA786426:WCA786491 VSE786426:VSE786491 VII786426:VII786491 UYM786426:UYM786491 UOQ786426:UOQ786491 UEU786426:UEU786491 TUY786426:TUY786491 TLC786426:TLC786491 TBG786426:TBG786491 SRK786426:SRK786491 SHO786426:SHO786491 RXS786426:RXS786491 RNW786426:RNW786491 REA786426:REA786491 QUE786426:QUE786491 QKI786426:QKI786491 QAM786426:QAM786491 PQQ786426:PQQ786491 PGU786426:PGU786491 OWY786426:OWY786491 ONC786426:ONC786491 ODG786426:ODG786491 NTK786426:NTK786491 NJO786426:NJO786491 MZS786426:MZS786491 MPW786426:MPW786491 MGA786426:MGA786491 LWE786426:LWE786491 LMI786426:LMI786491 LCM786426:LCM786491 KSQ786426:KSQ786491 KIU786426:KIU786491 JYY786426:JYY786491 JPC786426:JPC786491 JFG786426:JFG786491 IVK786426:IVK786491 ILO786426:ILO786491 IBS786426:IBS786491 HRW786426:HRW786491 HIA786426:HIA786491 GYE786426:GYE786491 GOI786426:GOI786491 GEM786426:GEM786491 FUQ786426:FUQ786491 FKU786426:FKU786491 FAY786426:FAY786491 ERC786426:ERC786491 EHG786426:EHG786491 DXK786426:DXK786491 DNO786426:DNO786491 DDS786426:DDS786491 CTW786426:CTW786491 CKA786426:CKA786491 CAE786426:CAE786491 BQI786426:BQI786491 BGM786426:BGM786491 AWQ786426:AWQ786491 AMU786426:AMU786491 ACY786426:ACY786491 TC786426:TC786491 JG786426:JG786491 K786426:K786491 WVS720890:WVS720955 WLW720890:WLW720955 WCA720890:WCA720955 VSE720890:VSE720955 VII720890:VII720955 UYM720890:UYM720955 UOQ720890:UOQ720955 UEU720890:UEU720955 TUY720890:TUY720955 TLC720890:TLC720955 TBG720890:TBG720955 SRK720890:SRK720955 SHO720890:SHO720955 RXS720890:RXS720955 RNW720890:RNW720955 REA720890:REA720955 QUE720890:QUE720955 QKI720890:QKI720955 QAM720890:QAM720955 PQQ720890:PQQ720955 PGU720890:PGU720955 OWY720890:OWY720955 ONC720890:ONC720955 ODG720890:ODG720955 NTK720890:NTK720955 NJO720890:NJO720955 MZS720890:MZS720955 MPW720890:MPW720955 MGA720890:MGA720955 LWE720890:LWE720955 LMI720890:LMI720955 LCM720890:LCM720955 KSQ720890:KSQ720955 KIU720890:KIU720955 JYY720890:JYY720955 JPC720890:JPC720955 JFG720890:JFG720955 IVK720890:IVK720955 ILO720890:ILO720955 IBS720890:IBS720955 HRW720890:HRW720955 HIA720890:HIA720955 GYE720890:GYE720955 GOI720890:GOI720955 GEM720890:GEM720955 FUQ720890:FUQ720955 FKU720890:FKU720955 FAY720890:FAY720955 ERC720890:ERC720955 EHG720890:EHG720955 DXK720890:DXK720955 DNO720890:DNO720955 DDS720890:DDS720955 CTW720890:CTW720955 CKA720890:CKA720955 CAE720890:CAE720955 BQI720890:BQI720955 BGM720890:BGM720955 AWQ720890:AWQ720955 AMU720890:AMU720955 ACY720890:ACY720955 TC720890:TC720955 JG720890:JG720955 K720890:K720955 WVS655354:WVS655419 WLW655354:WLW655419 WCA655354:WCA655419 VSE655354:VSE655419 VII655354:VII655419 UYM655354:UYM655419 UOQ655354:UOQ655419 UEU655354:UEU655419 TUY655354:TUY655419 TLC655354:TLC655419 TBG655354:TBG655419 SRK655354:SRK655419 SHO655354:SHO655419 RXS655354:RXS655419 RNW655354:RNW655419 REA655354:REA655419 QUE655354:QUE655419 QKI655354:QKI655419 QAM655354:QAM655419 PQQ655354:PQQ655419 PGU655354:PGU655419 OWY655354:OWY655419 ONC655354:ONC655419 ODG655354:ODG655419 NTK655354:NTK655419 NJO655354:NJO655419 MZS655354:MZS655419 MPW655354:MPW655419 MGA655354:MGA655419 LWE655354:LWE655419 LMI655354:LMI655419 LCM655354:LCM655419 KSQ655354:KSQ655419 KIU655354:KIU655419 JYY655354:JYY655419 JPC655354:JPC655419 JFG655354:JFG655419 IVK655354:IVK655419 ILO655354:ILO655419 IBS655354:IBS655419 HRW655354:HRW655419 HIA655354:HIA655419 GYE655354:GYE655419 GOI655354:GOI655419 GEM655354:GEM655419 FUQ655354:FUQ655419 FKU655354:FKU655419 FAY655354:FAY655419 ERC655354:ERC655419 EHG655354:EHG655419 DXK655354:DXK655419 DNO655354:DNO655419 DDS655354:DDS655419 CTW655354:CTW655419 CKA655354:CKA655419 CAE655354:CAE655419 BQI655354:BQI655419 BGM655354:BGM655419 AWQ655354:AWQ655419 AMU655354:AMU655419 ACY655354:ACY655419 TC655354:TC655419 JG655354:JG655419 K655354:K655419 WVS589818:WVS589883 WLW589818:WLW589883 WCA589818:WCA589883 VSE589818:VSE589883 VII589818:VII589883 UYM589818:UYM589883 UOQ589818:UOQ589883 UEU589818:UEU589883 TUY589818:TUY589883 TLC589818:TLC589883 TBG589818:TBG589883 SRK589818:SRK589883 SHO589818:SHO589883 RXS589818:RXS589883 RNW589818:RNW589883 REA589818:REA589883 QUE589818:QUE589883 QKI589818:QKI589883 QAM589818:QAM589883 PQQ589818:PQQ589883 PGU589818:PGU589883 OWY589818:OWY589883 ONC589818:ONC589883 ODG589818:ODG589883 NTK589818:NTK589883 NJO589818:NJO589883 MZS589818:MZS589883 MPW589818:MPW589883 MGA589818:MGA589883 LWE589818:LWE589883 LMI589818:LMI589883 LCM589818:LCM589883 KSQ589818:KSQ589883 KIU589818:KIU589883 JYY589818:JYY589883 JPC589818:JPC589883 JFG589818:JFG589883 IVK589818:IVK589883 ILO589818:ILO589883 IBS589818:IBS589883 HRW589818:HRW589883 HIA589818:HIA589883 GYE589818:GYE589883 GOI589818:GOI589883 GEM589818:GEM589883 FUQ589818:FUQ589883 FKU589818:FKU589883 FAY589818:FAY589883 ERC589818:ERC589883 EHG589818:EHG589883 DXK589818:DXK589883 DNO589818:DNO589883 DDS589818:DDS589883 CTW589818:CTW589883 CKA589818:CKA589883 CAE589818:CAE589883 BQI589818:BQI589883 BGM589818:BGM589883 AWQ589818:AWQ589883 AMU589818:AMU589883 ACY589818:ACY589883 TC589818:TC589883 JG589818:JG589883 K589818:K589883 WVS524282:WVS524347 WLW524282:WLW524347 WCA524282:WCA524347 VSE524282:VSE524347 VII524282:VII524347 UYM524282:UYM524347 UOQ524282:UOQ524347 UEU524282:UEU524347 TUY524282:TUY524347 TLC524282:TLC524347 TBG524282:TBG524347 SRK524282:SRK524347 SHO524282:SHO524347 RXS524282:RXS524347 RNW524282:RNW524347 REA524282:REA524347 QUE524282:QUE524347 QKI524282:QKI524347 QAM524282:QAM524347 PQQ524282:PQQ524347 PGU524282:PGU524347 OWY524282:OWY524347 ONC524282:ONC524347 ODG524282:ODG524347 NTK524282:NTK524347 NJO524282:NJO524347 MZS524282:MZS524347 MPW524282:MPW524347 MGA524282:MGA524347 LWE524282:LWE524347 LMI524282:LMI524347 LCM524282:LCM524347 KSQ524282:KSQ524347 KIU524282:KIU524347 JYY524282:JYY524347 JPC524282:JPC524347 JFG524282:JFG524347 IVK524282:IVK524347 ILO524282:ILO524347 IBS524282:IBS524347 HRW524282:HRW524347 HIA524282:HIA524347 GYE524282:GYE524347 GOI524282:GOI524347 GEM524282:GEM524347 FUQ524282:FUQ524347 FKU524282:FKU524347 FAY524282:FAY524347 ERC524282:ERC524347 EHG524282:EHG524347 DXK524282:DXK524347 DNO524282:DNO524347 DDS524282:DDS524347 CTW524282:CTW524347 CKA524282:CKA524347 CAE524282:CAE524347 BQI524282:BQI524347 BGM524282:BGM524347 AWQ524282:AWQ524347 AMU524282:AMU524347 ACY524282:ACY524347 TC524282:TC524347 JG524282:JG524347 K524282:K524347 WVS458746:WVS458811 WLW458746:WLW458811 WCA458746:WCA458811 VSE458746:VSE458811 VII458746:VII458811 UYM458746:UYM458811 UOQ458746:UOQ458811 UEU458746:UEU458811 TUY458746:TUY458811 TLC458746:TLC458811 TBG458746:TBG458811 SRK458746:SRK458811 SHO458746:SHO458811 RXS458746:RXS458811 RNW458746:RNW458811 REA458746:REA458811 QUE458746:QUE458811 QKI458746:QKI458811 QAM458746:QAM458811 PQQ458746:PQQ458811 PGU458746:PGU458811 OWY458746:OWY458811 ONC458746:ONC458811 ODG458746:ODG458811 NTK458746:NTK458811 NJO458746:NJO458811 MZS458746:MZS458811 MPW458746:MPW458811 MGA458746:MGA458811 LWE458746:LWE458811 LMI458746:LMI458811 LCM458746:LCM458811 KSQ458746:KSQ458811 KIU458746:KIU458811 JYY458746:JYY458811 JPC458746:JPC458811 JFG458746:JFG458811 IVK458746:IVK458811 ILO458746:ILO458811 IBS458746:IBS458811 HRW458746:HRW458811 HIA458746:HIA458811 GYE458746:GYE458811 GOI458746:GOI458811 GEM458746:GEM458811 FUQ458746:FUQ458811 FKU458746:FKU458811 FAY458746:FAY458811 ERC458746:ERC458811 EHG458746:EHG458811 DXK458746:DXK458811 DNO458746:DNO458811 DDS458746:DDS458811 CTW458746:CTW458811 CKA458746:CKA458811 CAE458746:CAE458811 BQI458746:BQI458811 BGM458746:BGM458811 AWQ458746:AWQ458811 AMU458746:AMU458811 ACY458746:ACY458811 TC458746:TC458811 JG458746:JG458811 K458746:K458811 WVS393210:WVS393275 WLW393210:WLW393275 WCA393210:WCA393275 VSE393210:VSE393275 VII393210:VII393275 UYM393210:UYM393275 UOQ393210:UOQ393275 UEU393210:UEU393275 TUY393210:TUY393275 TLC393210:TLC393275 TBG393210:TBG393275 SRK393210:SRK393275 SHO393210:SHO393275 RXS393210:RXS393275 RNW393210:RNW393275 REA393210:REA393275 QUE393210:QUE393275 QKI393210:QKI393275 QAM393210:QAM393275 PQQ393210:PQQ393275 PGU393210:PGU393275 OWY393210:OWY393275 ONC393210:ONC393275 ODG393210:ODG393275 NTK393210:NTK393275 NJO393210:NJO393275 MZS393210:MZS393275 MPW393210:MPW393275 MGA393210:MGA393275 LWE393210:LWE393275 LMI393210:LMI393275 LCM393210:LCM393275 KSQ393210:KSQ393275 KIU393210:KIU393275 JYY393210:JYY393275 JPC393210:JPC393275 JFG393210:JFG393275 IVK393210:IVK393275 ILO393210:ILO393275 IBS393210:IBS393275 HRW393210:HRW393275 HIA393210:HIA393275 GYE393210:GYE393275 GOI393210:GOI393275 GEM393210:GEM393275 FUQ393210:FUQ393275 FKU393210:FKU393275 FAY393210:FAY393275 ERC393210:ERC393275 EHG393210:EHG393275 DXK393210:DXK393275 DNO393210:DNO393275 DDS393210:DDS393275 CTW393210:CTW393275 CKA393210:CKA393275 CAE393210:CAE393275 BQI393210:BQI393275 BGM393210:BGM393275 AWQ393210:AWQ393275 AMU393210:AMU393275 ACY393210:ACY393275 TC393210:TC393275 JG393210:JG393275 K393210:K393275 WVS327674:WVS327739 WLW327674:WLW327739 WCA327674:WCA327739 VSE327674:VSE327739 VII327674:VII327739 UYM327674:UYM327739 UOQ327674:UOQ327739 UEU327674:UEU327739 TUY327674:TUY327739 TLC327674:TLC327739 TBG327674:TBG327739 SRK327674:SRK327739 SHO327674:SHO327739 RXS327674:RXS327739 RNW327674:RNW327739 REA327674:REA327739 QUE327674:QUE327739 QKI327674:QKI327739 QAM327674:QAM327739 PQQ327674:PQQ327739 PGU327674:PGU327739 OWY327674:OWY327739 ONC327674:ONC327739 ODG327674:ODG327739 NTK327674:NTK327739 NJO327674:NJO327739 MZS327674:MZS327739 MPW327674:MPW327739 MGA327674:MGA327739 LWE327674:LWE327739 LMI327674:LMI327739 LCM327674:LCM327739 KSQ327674:KSQ327739 KIU327674:KIU327739 JYY327674:JYY327739 JPC327674:JPC327739 JFG327674:JFG327739 IVK327674:IVK327739 ILO327674:ILO327739 IBS327674:IBS327739 HRW327674:HRW327739 HIA327674:HIA327739 GYE327674:GYE327739 GOI327674:GOI327739 GEM327674:GEM327739 FUQ327674:FUQ327739 FKU327674:FKU327739 FAY327674:FAY327739 ERC327674:ERC327739 EHG327674:EHG327739 DXK327674:DXK327739 DNO327674:DNO327739 DDS327674:DDS327739 CTW327674:CTW327739 CKA327674:CKA327739 CAE327674:CAE327739 BQI327674:BQI327739 BGM327674:BGM327739 AWQ327674:AWQ327739 AMU327674:AMU327739 ACY327674:ACY327739 TC327674:TC327739 JG327674:JG327739 K327674:K327739 WVS262138:WVS262203 WLW262138:WLW262203 WCA262138:WCA262203 VSE262138:VSE262203 VII262138:VII262203 UYM262138:UYM262203 UOQ262138:UOQ262203 UEU262138:UEU262203 TUY262138:TUY262203 TLC262138:TLC262203 TBG262138:TBG262203 SRK262138:SRK262203 SHO262138:SHO262203 RXS262138:RXS262203 RNW262138:RNW262203 REA262138:REA262203 QUE262138:QUE262203 QKI262138:QKI262203 QAM262138:QAM262203 PQQ262138:PQQ262203 PGU262138:PGU262203 OWY262138:OWY262203 ONC262138:ONC262203 ODG262138:ODG262203 NTK262138:NTK262203 NJO262138:NJO262203 MZS262138:MZS262203 MPW262138:MPW262203 MGA262138:MGA262203 LWE262138:LWE262203 LMI262138:LMI262203 LCM262138:LCM262203 KSQ262138:KSQ262203 KIU262138:KIU262203 JYY262138:JYY262203 JPC262138:JPC262203 JFG262138:JFG262203 IVK262138:IVK262203 ILO262138:ILO262203 IBS262138:IBS262203 HRW262138:HRW262203 HIA262138:HIA262203 GYE262138:GYE262203 GOI262138:GOI262203 GEM262138:GEM262203 FUQ262138:FUQ262203 FKU262138:FKU262203 FAY262138:FAY262203 ERC262138:ERC262203 EHG262138:EHG262203 DXK262138:DXK262203 DNO262138:DNO262203 DDS262138:DDS262203 CTW262138:CTW262203 CKA262138:CKA262203 CAE262138:CAE262203 BQI262138:BQI262203 BGM262138:BGM262203 AWQ262138:AWQ262203 AMU262138:AMU262203 ACY262138:ACY262203 TC262138:TC262203 JG262138:JG262203 K262138:K262203 WVS196602:WVS196667 WLW196602:WLW196667 WCA196602:WCA196667 VSE196602:VSE196667 VII196602:VII196667 UYM196602:UYM196667 UOQ196602:UOQ196667 UEU196602:UEU196667 TUY196602:TUY196667 TLC196602:TLC196667 TBG196602:TBG196667 SRK196602:SRK196667 SHO196602:SHO196667 RXS196602:RXS196667 RNW196602:RNW196667 REA196602:REA196667 QUE196602:QUE196667 QKI196602:QKI196667 QAM196602:QAM196667 PQQ196602:PQQ196667 PGU196602:PGU196667 OWY196602:OWY196667 ONC196602:ONC196667 ODG196602:ODG196667 NTK196602:NTK196667 NJO196602:NJO196667 MZS196602:MZS196667 MPW196602:MPW196667 MGA196602:MGA196667 LWE196602:LWE196667 LMI196602:LMI196667 LCM196602:LCM196667 KSQ196602:KSQ196667 KIU196602:KIU196667 JYY196602:JYY196667 JPC196602:JPC196667 JFG196602:JFG196667 IVK196602:IVK196667 ILO196602:ILO196667 IBS196602:IBS196667 HRW196602:HRW196667 HIA196602:HIA196667 GYE196602:GYE196667 GOI196602:GOI196667 GEM196602:GEM196667 FUQ196602:FUQ196667 FKU196602:FKU196667 FAY196602:FAY196667 ERC196602:ERC196667 EHG196602:EHG196667 DXK196602:DXK196667 DNO196602:DNO196667 DDS196602:DDS196667 CTW196602:CTW196667 CKA196602:CKA196667 CAE196602:CAE196667 BQI196602:BQI196667 BGM196602:BGM196667 AWQ196602:AWQ196667 AMU196602:AMU196667 ACY196602:ACY196667 TC196602:TC196667 JG196602:JG196667 K196602:K196667 WVS131066:WVS131131 WLW131066:WLW131131 WCA131066:WCA131131 VSE131066:VSE131131 VII131066:VII131131 UYM131066:UYM131131 UOQ131066:UOQ131131 UEU131066:UEU131131 TUY131066:TUY131131 TLC131066:TLC131131 TBG131066:TBG131131 SRK131066:SRK131131 SHO131066:SHO131131 RXS131066:RXS131131 RNW131066:RNW131131 REA131066:REA131131 QUE131066:QUE131131 QKI131066:QKI131131 QAM131066:QAM131131 PQQ131066:PQQ131131 PGU131066:PGU131131 OWY131066:OWY131131 ONC131066:ONC131131 ODG131066:ODG131131 NTK131066:NTK131131 NJO131066:NJO131131 MZS131066:MZS131131 MPW131066:MPW131131 MGA131066:MGA131131 LWE131066:LWE131131 LMI131066:LMI131131 LCM131066:LCM131131 KSQ131066:KSQ131131 KIU131066:KIU131131 JYY131066:JYY131131 JPC131066:JPC131131 JFG131066:JFG131131 IVK131066:IVK131131 ILO131066:ILO131131 IBS131066:IBS131131 HRW131066:HRW131131 HIA131066:HIA131131 GYE131066:GYE131131 GOI131066:GOI131131 GEM131066:GEM131131 FUQ131066:FUQ131131 FKU131066:FKU131131 FAY131066:FAY131131 ERC131066:ERC131131 EHG131066:EHG131131 DXK131066:DXK131131 DNO131066:DNO131131 DDS131066:DDS131131 CTW131066:CTW131131 CKA131066:CKA131131 CAE131066:CAE131131 BQI131066:BQI131131 BGM131066:BGM131131 AWQ131066:AWQ131131 AMU131066:AMU131131 ACY131066:ACY131131 TC131066:TC131131 JG131066:JG131131 K131066:K131131 WVS65530:WVS65595 WLW65530:WLW65595 WCA65530:WCA65595 VSE65530:VSE65595 VII65530:VII65595 UYM65530:UYM65595 UOQ65530:UOQ65595 UEU65530:UEU65595 TUY65530:TUY65595 TLC65530:TLC65595 TBG65530:TBG65595 SRK65530:SRK65595 SHO65530:SHO65595 RXS65530:RXS65595 RNW65530:RNW65595 REA65530:REA65595 QUE65530:QUE65595 QKI65530:QKI65595 QAM65530:QAM65595 PQQ65530:PQQ65595 PGU65530:PGU65595 OWY65530:OWY65595 ONC65530:ONC65595 ODG65530:ODG65595 NTK65530:NTK65595 NJO65530:NJO65595 MZS65530:MZS65595 MPW65530:MPW65595 MGA65530:MGA65595 LWE65530:LWE65595 LMI65530:LMI65595 LCM65530:LCM65595 KSQ65530:KSQ65595 KIU65530:KIU65595 JYY65530:JYY65595 JPC65530:JPC65595 JFG65530:JFG65595 IVK65530:IVK65595 ILO65530:ILO65595 IBS65530:IBS65595 HRW65530:HRW65595 HIA65530:HIA65595 GYE65530:GYE65595 GOI65530:GOI65595 GEM65530:GEM65595 FUQ65530:FUQ65595 FKU65530:FKU65595 FAY65530:FAY65595 ERC65530:ERC65595 EHG65530:EHG65595 DXK65530:DXK65595 DNO65530:DNO65595 DDS65530:DDS65595 CTW65530:CTW65595 CKA65530:CKA65595 CAE65530:CAE65595 BQI65530:BQI65595 BGM65530:BGM65595 AWQ65530:AWQ65595 AMU65530:AMU65595 ACY65530:ACY65595 TC65530:TC65595 JG65530:JG65595 K65530:K65595">
      <formula1>$AR$2:$AR$25</formula1>
    </dataValidation>
    <dataValidation type="list" allowBlank="1" showInputMessage="1" showErrorMessage="1" sqref="WVR983034:WVR983099 J44:J492 JF2:JF59 TB2:TB59 ACX2:ACX59 AMT2:AMT59 AWP2:AWP59 BGL2:BGL59 BQH2:BQH59 CAD2:CAD59 CJZ2:CJZ59 CTV2:CTV59 DDR2:DDR59 DNN2:DNN59 DXJ2:DXJ59 EHF2:EHF59 ERB2:ERB59 FAX2:FAX59 FKT2:FKT59 FUP2:FUP59 GEL2:GEL59 GOH2:GOH59 GYD2:GYD59 HHZ2:HHZ59 HRV2:HRV59 IBR2:IBR59 ILN2:ILN59 IVJ2:IVJ59 JFF2:JFF59 JPB2:JPB59 JYX2:JYX59 KIT2:KIT59 KSP2:KSP59 LCL2:LCL59 LMH2:LMH59 LWD2:LWD59 MFZ2:MFZ59 MPV2:MPV59 MZR2:MZR59 NJN2:NJN59 NTJ2:NTJ59 ODF2:ODF59 ONB2:ONB59 OWX2:OWX59 PGT2:PGT59 PQP2:PQP59 QAL2:QAL59 QKH2:QKH59 QUD2:QUD59 RDZ2:RDZ59 RNV2:RNV59 RXR2:RXR59 SHN2:SHN59 SRJ2:SRJ59 TBF2:TBF59 TLB2:TLB59 TUX2:TUX59 UET2:UET59 UOP2:UOP59 UYL2:UYL59 VIH2:VIH59 VSD2:VSD59 WBZ2:WBZ59 WLV2:WLV59 WVR2:WVR59 WLV983034:WLV983099 WBZ983034:WBZ983099 VSD983034:VSD983099 VIH983034:VIH983099 UYL983034:UYL983099 UOP983034:UOP983099 UET983034:UET983099 TUX983034:TUX983099 TLB983034:TLB983099 TBF983034:TBF983099 SRJ983034:SRJ983099 SHN983034:SHN983099 RXR983034:RXR983099 RNV983034:RNV983099 RDZ983034:RDZ983099 QUD983034:QUD983099 QKH983034:QKH983099 QAL983034:QAL983099 PQP983034:PQP983099 PGT983034:PGT983099 OWX983034:OWX983099 ONB983034:ONB983099 ODF983034:ODF983099 NTJ983034:NTJ983099 NJN983034:NJN983099 MZR983034:MZR983099 MPV983034:MPV983099 MFZ983034:MFZ983099 LWD983034:LWD983099 LMH983034:LMH983099 LCL983034:LCL983099 KSP983034:KSP983099 KIT983034:KIT983099 JYX983034:JYX983099 JPB983034:JPB983099 JFF983034:JFF983099 IVJ983034:IVJ983099 ILN983034:ILN983099 IBR983034:IBR983099 HRV983034:HRV983099 HHZ983034:HHZ983099 GYD983034:GYD983099 GOH983034:GOH983099 GEL983034:GEL983099 FUP983034:FUP983099 FKT983034:FKT983099 FAX983034:FAX983099 ERB983034:ERB983099 EHF983034:EHF983099 DXJ983034:DXJ983099 DNN983034:DNN983099 DDR983034:DDR983099 CTV983034:CTV983099 CJZ983034:CJZ983099 CAD983034:CAD983099 BQH983034:BQH983099 BGL983034:BGL983099 AWP983034:AWP983099 AMT983034:AMT983099 ACX983034:ACX983099 TB983034:TB983099 JF983034:JF983099 J983034:J983099 WVR917498:WVR917563 WLV917498:WLV917563 WBZ917498:WBZ917563 VSD917498:VSD917563 VIH917498:VIH917563 UYL917498:UYL917563 UOP917498:UOP917563 UET917498:UET917563 TUX917498:TUX917563 TLB917498:TLB917563 TBF917498:TBF917563 SRJ917498:SRJ917563 SHN917498:SHN917563 RXR917498:RXR917563 RNV917498:RNV917563 RDZ917498:RDZ917563 QUD917498:QUD917563 QKH917498:QKH917563 QAL917498:QAL917563 PQP917498:PQP917563 PGT917498:PGT917563 OWX917498:OWX917563 ONB917498:ONB917563 ODF917498:ODF917563 NTJ917498:NTJ917563 NJN917498:NJN917563 MZR917498:MZR917563 MPV917498:MPV917563 MFZ917498:MFZ917563 LWD917498:LWD917563 LMH917498:LMH917563 LCL917498:LCL917563 KSP917498:KSP917563 KIT917498:KIT917563 JYX917498:JYX917563 JPB917498:JPB917563 JFF917498:JFF917563 IVJ917498:IVJ917563 ILN917498:ILN917563 IBR917498:IBR917563 HRV917498:HRV917563 HHZ917498:HHZ917563 GYD917498:GYD917563 GOH917498:GOH917563 GEL917498:GEL917563 FUP917498:FUP917563 FKT917498:FKT917563 FAX917498:FAX917563 ERB917498:ERB917563 EHF917498:EHF917563 DXJ917498:DXJ917563 DNN917498:DNN917563 DDR917498:DDR917563 CTV917498:CTV917563 CJZ917498:CJZ917563 CAD917498:CAD917563 BQH917498:BQH917563 BGL917498:BGL917563 AWP917498:AWP917563 AMT917498:AMT917563 ACX917498:ACX917563 TB917498:TB917563 JF917498:JF917563 J917498:J917563 WVR851962:WVR852027 WLV851962:WLV852027 WBZ851962:WBZ852027 VSD851962:VSD852027 VIH851962:VIH852027 UYL851962:UYL852027 UOP851962:UOP852027 UET851962:UET852027 TUX851962:TUX852027 TLB851962:TLB852027 TBF851962:TBF852027 SRJ851962:SRJ852027 SHN851962:SHN852027 RXR851962:RXR852027 RNV851962:RNV852027 RDZ851962:RDZ852027 QUD851962:QUD852027 QKH851962:QKH852027 QAL851962:QAL852027 PQP851962:PQP852027 PGT851962:PGT852027 OWX851962:OWX852027 ONB851962:ONB852027 ODF851962:ODF852027 NTJ851962:NTJ852027 NJN851962:NJN852027 MZR851962:MZR852027 MPV851962:MPV852027 MFZ851962:MFZ852027 LWD851962:LWD852027 LMH851962:LMH852027 LCL851962:LCL852027 KSP851962:KSP852027 KIT851962:KIT852027 JYX851962:JYX852027 JPB851962:JPB852027 JFF851962:JFF852027 IVJ851962:IVJ852027 ILN851962:ILN852027 IBR851962:IBR852027 HRV851962:HRV852027 HHZ851962:HHZ852027 GYD851962:GYD852027 GOH851962:GOH852027 GEL851962:GEL852027 FUP851962:FUP852027 FKT851962:FKT852027 FAX851962:FAX852027 ERB851962:ERB852027 EHF851962:EHF852027 DXJ851962:DXJ852027 DNN851962:DNN852027 DDR851962:DDR852027 CTV851962:CTV852027 CJZ851962:CJZ852027 CAD851962:CAD852027 BQH851962:BQH852027 BGL851962:BGL852027 AWP851962:AWP852027 AMT851962:AMT852027 ACX851962:ACX852027 TB851962:TB852027 JF851962:JF852027 J851962:J852027 WVR786426:WVR786491 WLV786426:WLV786491 WBZ786426:WBZ786491 VSD786426:VSD786491 VIH786426:VIH786491 UYL786426:UYL786491 UOP786426:UOP786491 UET786426:UET786491 TUX786426:TUX786491 TLB786426:TLB786491 TBF786426:TBF786491 SRJ786426:SRJ786491 SHN786426:SHN786491 RXR786426:RXR786491 RNV786426:RNV786491 RDZ786426:RDZ786491 QUD786426:QUD786491 QKH786426:QKH786491 QAL786426:QAL786491 PQP786426:PQP786491 PGT786426:PGT786491 OWX786426:OWX786491 ONB786426:ONB786491 ODF786426:ODF786491 NTJ786426:NTJ786491 NJN786426:NJN786491 MZR786426:MZR786491 MPV786426:MPV786491 MFZ786426:MFZ786491 LWD786426:LWD786491 LMH786426:LMH786491 LCL786426:LCL786491 KSP786426:KSP786491 KIT786426:KIT786491 JYX786426:JYX786491 JPB786426:JPB786491 JFF786426:JFF786491 IVJ786426:IVJ786491 ILN786426:ILN786491 IBR786426:IBR786491 HRV786426:HRV786491 HHZ786426:HHZ786491 GYD786426:GYD786491 GOH786426:GOH786491 GEL786426:GEL786491 FUP786426:FUP786491 FKT786426:FKT786491 FAX786426:FAX786491 ERB786426:ERB786491 EHF786426:EHF786491 DXJ786426:DXJ786491 DNN786426:DNN786491 DDR786426:DDR786491 CTV786426:CTV786491 CJZ786426:CJZ786491 CAD786426:CAD786491 BQH786426:BQH786491 BGL786426:BGL786491 AWP786426:AWP786491 AMT786426:AMT786491 ACX786426:ACX786491 TB786426:TB786491 JF786426:JF786491 J786426:J786491 WVR720890:WVR720955 WLV720890:WLV720955 WBZ720890:WBZ720955 VSD720890:VSD720955 VIH720890:VIH720955 UYL720890:UYL720955 UOP720890:UOP720955 UET720890:UET720955 TUX720890:TUX720955 TLB720890:TLB720955 TBF720890:TBF720955 SRJ720890:SRJ720955 SHN720890:SHN720955 RXR720890:RXR720955 RNV720890:RNV720955 RDZ720890:RDZ720955 QUD720890:QUD720955 QKH720890:QKH720955 QAL720890:QAL720955 PQP720890:PQP720955 PGT720890:PGT720955 OWX720890:OWX720955 ONB720890:ONB720955 ODF720890:ODF720955 NTJ720890:NTJ720955 NJN720890:NJN720955 MZR720890:MZR720955 MPV720890:MPV720955 MFZ720890:MFZ720955 LWD720890:LWD720955 LMH720890:LMH720955 LCL720890:LCL720955 KSP720890:KSP720955 KIT720890:KIT720955 JYX720890:JYX720955 JPB720890:JPB720955 JFF720890:JFF720955 IVJ720890:IVJ720955 ILN720890:ILN720955 IBR720890:IBR720955 HRV720890:HRV720955 HHZ720890:HHZ720955 GYD720890:GYD720955 GOH720890:GOH720955 GEL720890:GEL720955 FUP720890:FUP720955 FKT720890:FKT720955 FAX720890:FAX720955 ERB720890:ERB720955 EHF720890:EHF720955 DXJ720890:DXJ720955 DNN720890:DNN720955 DDR720890:DDR720955 CTV720890:CTV720955 CJZ720890:CJZ720955 CAD720890:CAD720955 BQH720890:BQH720955 BGL720890:BGL720955 AWP720890:AWP720955 AMT720890:AMT720955 ACX720890:ACX720955 TB720890:TB720955 JF720890:JF720955 J720890:J720955 WVR655354:WVR655419 WLV655354:WLV655419 WBZ655354:WBZ655419 VSD655354:VSD655419 VIH655354:VIH655419 UYL655354:UYL655419 UOP655354:UOP655419 UET655354:UET655419 TUX655354:TUX655419 TLB655354:TLB655419 TBF655354:TBF655419 SRJ655354:SRJ655419 SHN655354:SHN655419 RXR655354:RXR655419 RNV655354:RNV655419 RDZ655354:RDZ655419 QUD655354:QUD655419 QKH655354:QKH655419 QAL655354:QAL655419 PQP655354:PQP655419 PGT655354:PGT655419 OWX655354:OWX655419 ONB655354:ONB655419 ODF655354:ODF655419 NTJ655354:NTJ655419 NJN655354:NJN655419 MZR655354:MZR655419 MPV655354:MPV655419 MFZ655354:MFZ655419 LWD655354:LWD655419 LMH655354:LMH655419 LCL655354:LCL655419 KSP655354:KSP655419 KIT655354:KIT655419 JYX655354:JYX655419 JPB655354:JPB655419 JFF655354:JFF655419 IVJ655354:IVJ655419 ILN655354:ILN655419 IBR655354:IBR655419 HRV655354:HRV655419 HHZ655354:HHZ655419 GYD655354:GYD655419 GOH655354:GOH655419 GEL655354:GEL655419 FUP655354:FUP655419 FKT655354:FKT655419 FAX655354:FAX655419 ERB655354:ERB655419 EHF655354:EHF655419 DXJ655354:DXJ655419 DNN655354:DNN655419 DDR655354:DDR655419 CTV655354:CTV655419 CJZ655354:CJZ655419 CAD655354:CAD655419 BQH655354:BQH655419 BGL655354:BGL655419 AWP655354:AWP655419 AMT655354:AMT655419 ACX655354:ACX655419 TB655354:TB655419 JF655354:JF655419 J655354:J655419 WVR589818:WVR589883 WLV589818:WLV589883 WBZ589818:WBZ589883 VSD589818:VSD589883 VIH589818:VIH589883 UYL589818:UYL589883 UOP589818:UOP589883 UET589818:UET589883 TUX589818:TUX589883 TLB589818:TLB589883 TBF589818:TBF589883 SRJ589818:SRJ589883 SHN589818:SHN589883 RXR589818:RXR589883 RNV589818:RNV589883 RDZ589818:RDZ589883 QUD589818:QUD589883 QKH589818:QKH589883 QAL589818:QAL589883 PQP589818:PQP589883 PGT589818:PGT589883 OWX589818:OWX589883 ONB589818:ONB589883 ODF589818:ODF589883 NTJ589818:NTJ589883 NJN589818:NJN589883 MZR589818:MZR589883 MPV589818:MPV589883 MFZ589818:MFZ589883 LWD589818:LWD589883 LMH589818:LMH589883 LCL589818:LCL589883 KSP589818:KSP589883 KIT589818:KIT589883 JYX589818:JYX589883 JPB589818:JPB589883 JFF589818:JFF589883 IVJ589818:IVJ589883 ILN589818:ILN589883 IBR589818:IBR589883 HRV589818:HRV589883 HHZ589818:HHZ589883 GYD589818:GYD589883 GOH589818:GOH589883 GEL589818:GEL589883 FUP589818:FUP589883 FKT589818:FKT589883 FAX589818:FAX589883 ERB589818:ERB589883 EHF589818:EHF589883 DXJ589818:DXJ589883 DNN589818:DNN589883 DDR589818:DDR589883 CTV589818:CTV589883 CJZ589818:CJZ589883 CAD589818:CAD589883 BQH589818:BQH589883 BGL589818:BGL589883 AWP589818:AWP589883 AMT589818:AMT589883 ACX589818:ACX589883 TB589818:TB589883 JF589818:JF589883 J589818:J589883 WVR524282:WVR524347 WLV524282:WLV524347 WBZ524282:WBZ524347 VSD524282:VSD524347 VIH524282:VIH524347 UYL524282:UYL524347 UOP524282:UOP524347 UET524282:UET524347 TUX524282:TUX524347 TLB524282:TLB524347 TBF524282:TBF524347 SRJ524282:SRJ524347 SHN524282:SHN524347 RXR524282:RXR524347 RNV524282:RNV524347 RDZ524282:RDZ524347 QUD524282:QUD524347 QKH524282:QKH524347 QAL524282:QAL524347 PQP524282:PQP524347 PGT524282:PGT524347 OWX524282:OWX524347 ONB524282:ONB524347 ODF524282:ODF524347 NTJ524282:NTJ524347 NJN524282:NJN524347 MZR524282:MZR524347 MPV524282:MPV524347 MFZ524282:MFZ524347 LWD524282:LWD524347 LMH524282:LMH524347 LCL524282:LCL524347 KSP524282:KSP524347 KIT524282:KIT524347 JYX524282:JYX524347 JPB524282:JPB524347 JFF524282:JFF524347 IVJ524282:IVJ524347 ILN524282:ILN524347 IBR524282:IBR524347 HRV524282:HRV524347 HHZ524282:HHZ524347 GYD524282:GYD524347 GOH524282:GOH524347 GEL524282:GEL524347 FUP524282:FUP524347 FKT524282:FKT524347 FAX524282:FAX524347 ERB524282:ERB524347 EHF524282:EHF524347 DXJ524282:DXJ524347 DNN524282:DNN524347 DDR524282:DDR524347 CTV524282:CTV524347 CJZ524282:CJZ524347 CAD524282:CAD524347 BQH524282:BQH524347 BGL524282:BGL524347 AWP524282:AWP524347 AMT524282:AMT524347 ACX524282:ACX524347 TB524282:TB524347 JF524282:JF524347 J524282:J524347 WVR458746:WVR458811 WLV458746:WLV458811 WBZ458746:WBZ458811 VSD458746:VSD458811 VIH458746:VIH458811 UYL458746:UYL458811 UOP458746:UOP458811 UET458746:UET458811 TUX458746:TUX458811 TLB458746:TLB458811 TBF458746:TBF458811 SRJ458746:SRJ458811 SHN458746:SHN458811 RXR458746:RXR458811 RNV458746:RNV458811 RDZ458746:RDZ458811 QUD458746:QUD458811 QKH458746:QKH458811 QAL458746:QAL458811 PQP458746:PQP458811 PGT458746:PGT458811 OWX458746:OWX458811 ONB458746:ONB458811 ODF458746:ODF458811 NTJ458746:NTJ458811 NJN458746:NJN458811 MZR458746:MZR458811 MPV458746:MPV458811 MFZ458746:MFZ458811 LWD458746:LWD458811 LMH458746:LMH458811 LCL458746:LCL458811 KSP458746:KSP458811 KIT458746:KIT458811 JYX458746:JYX458811 JPB458746:JPB458811 JFF458746:JFF458811 IVJ458746:IVJ458811 ILN458746:ILN458811 IBR458746:IBR458811 HRV458746:HRV458811 HHZ458746:HHZ458811 GYD458746:GYD458811 GOH458746:GOH458811 GEL458746:GEL458811 FUP458746:FUP458811 FKT458746:FKT458811 FAX458746:FAX458811 ERB458746:ERB458811 EHF458746:EHF458811 DXJ458746:DXJ458811 DNN458746:DNN458811 DDR458746:DDR458811 CTV458746:CTV458811 CJZ458746:CJZ458811 CAD458746:CAD458811 BQH458746:BQH458811 BGL458746:BGL458811 AWP458746:AWP458811 AMT458746:AMT458811 ACX458746:ACX458811 TB458746:TB458811 JF458746:JF458811 J458746:J458811 WVR393210:WVR393275 WLV393210:WLV393275 WBZ393210:WBZ393275 VSD393210:VSD393275 VIH393210:VIH393275 UYL393210:UYL393275 UOP393210:UOP393275 UET393210:UET393275 TUX393210:TUX393275 TLB393210:TLB393275 TBF393210:TBF393275 SRJ393210:SRJ393275 SHN393210:SHN393275 RXR393210:RXR393275 RNV393210:RNV393275 RDZ393210:RDZ393275 QUD393210:QUD393275 QKH393210:QKH393275 QAL393210:QAL393275 PQP393210:PQP393275 PGT393210:PGT393275 OWX393210:OWX393275 ONB393210:ONB393275 ODF393210:ODF393275 NTJ393210:NTJ393275 NJN393210:NJN393275 MZR393210:MZR393275 MPV393210:MPV393275 MFZ393210:MFZ393275 LWD393210:LWD393275 LMH393210:LMH393275 LCL393210:LCL393275 KSP393210:KSP393275 KIT393210:KIT393275 JYX393210:JYX393275 JPB393210:JPB393275 JFF393210:JFF393275 IVJ393210:IVJ393275 ILN393210:ILN393275 IBR393210:IBR393275 HRV393210:HRV393275 HHZ393210:HHZ393275 GYD393210:GYD393275 GOH393210:GOH393275 GEL393210:GEL393275 FUP393210:FUP393275 FKT393210:FKT393275 FAX393210:FAX393275 ERB393210:ERB393275 EHF393210:EHF393275 DXJ393210:DXJ393275 DNN393210:DNN393275 DDR393210:DDR393275 CTV393210:CTV393275 CJZ393210:CJZ393275 CAD393210:CAD393275 BQH393210:BQH393275 BGL393210:BGL393275 AWP393210:AWP393275 AMT393210:AMT393275 ACX393210:ACX393275 TB393210:TB393275 JF393210:JF393275 J393210:J393275 WVR327674:WVR327739 WLV327674:WLV327739 WBZ327674:WBZ327739 VSD327674:VSD327739 VIH327674:VIH327739 UYL327674:UYL327739 UOP327674:UOP327739 UET327674:UET327739 TUX327674:TUX327739 TLB327674:TLB327739 TBF327674:TBF327739 SRJ327674:SRJ327739 SHN327674:SHN327739 RXR327674:RXR327739 RNV327674:RNV327739 RDZ327674:RDZ327739 QUD327674:QUD327739 QKH327674:QKH327739 QAL327674:QAL327739 PQP327674:PQP327739 PGT327674:PGT327739 OWX327674:OWX327739 ONB327674:ONB327739 ODF327674:ODF327739 NTJ327674:NTJ327739 NJN327674:NJN327739 MZR327674:MZR327739 MPV327674:MPV327739 MFZ327674:MFZ327739 LWD327674:LWD327739 LMH327674:LMH327739 LCL327674:LCL327739 KSP327674:KSP327739 KIT327674:KIT327739 JYX327674:JYX327739 JPB327674:JPB327739 JFF327674:JFF327739 IVJ327674:IVJ327739 ILN327674:ILN327739 IBR327674:IBR327739 HRV327674:HRV327739 HHZ327674:HHZ327739 GYD327674:GYD327739 GOH327674:GOH327739 GEL327674:GEL327739 FUP327674:FUP327739 FKT327674:FKT327739 FAX327674:FAX327739 ERB327674:ERB327739 EHF327674:EHF327739 DXJ327674:DXJ327739 DNN327674:DNN327739 DDR327674:DDR327739 CTV327674:CTV327739 CJZ327674:CJZ327739 CAD327674:CAD327739 BQH327674:BQH327739 BGL327674:BGL327739 AWP327674:AWP327739 AMT327674:AMT327739 ACX327674:ACX327739 TB327674:TB327739 JF327674:JF327739 J327674:J327739 WVR262138:WVR262203 WLV262138:WLV262203 WBZ262138:WBZ262203 VSD262138:VSD262203 VIH262138:VIH262203 UYL262138:UYL262203 UOP262138:UOP262203 UET262138:UET262203 TUX262138:TUX262203 TLB262138:TLB262203 TBF262138:TBF262203 SRJ262138:SRJ262203 SHN262138:SHN262203 RXR262138:RXR262203 RNV262138:RNV262203 RDZ262138:RDZ262203 QUD262138:QUD262203 QKH262138:QKH262203 QAL262138:QAL262203 PQP262138:PQP262203 PGT262138:PGT262203 OWX262138:OWX262203 ONB262138:ONB262203 ODF262138:ODF262203 NTJ262138:NTJ262203 NJN262138:NJN262203 MZR262138:MZR262203 MPV262138:MPV262203 MFZ262138:MFZ262203 LWD262138:LWD262203 LMH262138:LMH262203 LCL262138:LCL262203 KSP262138:KSP262203 KIT262138:KIT262203 JYX262138:JYX262203 JPB262138:JPB262203 JFF262138:JFF262203 IVJ262138:IVJ262203 ILN262138:ILN262203 IBR262138:IBR262203 HRV262138:HRV262203 HHZ262138:HHZ262203 GYD262138:GYD262203 GOH262138:GOH262203 GEL262138:GEL262203 FUP262138:FUP262203 FKT262138:FKT262203 FAX262138:FAX262203 ERB262138:ERB262203 EHF262138:EHF262203 DXJ262138:DXJ262203 DNN262138:DNN262203 DDR262138:DDR262203 CTV262138:CTV262203 CJZ262138:CJZ262203 CAD262138:CAD262203 BQH262138:BQH262203 BGL262138:BGL262203 AWP262138:AWP262203 AMT262138:AMT262203 ACX262138:ACX262203 TB262138:TB262203 JF262138:JF262203 J262138:J262203 WVR196602:WVR196667 WLV196602:WLV196667 WBZ196602:WBZ196667 VSD196602:VSD196667 VIH196602:VIH196667 UYL196602:UYL196667 UOP196602:UOP196667 UET196602:UET196667 TUX196602:TUX196667 TLB196602:TLB196667 TBF196602:TBF196667 SRJ196602:SRJ196667 SHN196602:SHN196667 RXR196602:RXR196667 RNV196602:RNV196667 RDZ196602:RDZ196667 QUD196602:QUD196667 QKH196602:QKH196667 QAL196602:QAL196667 PQP196602:PQP196667 PGT196602:PGT196667 OWX196602:OWX196667 ONB196602:ONB196667 ODF196602:ODF196667 NTJ196602:NTJ196667 NJN196602:NJN196667 MZR196602:MZR196667 MPV196602:MPV196667 MFZ196602:MFZ196667 LWD196602:LWD196667 LMH196602:LMH196667 LCL196602:LCL196667 KSP196602:KSP196667 KIT196602:KIT196667 JYX196602:JYX196667 JPB196602:JPB196667 JFF196602:JFF196667 IVJ196602:IVJ196667 ILN196602:ILN196667 IBR196602:IBR196667 HRV196602:HRV196667 HHZ196602:HHZ196667 GYD196602:GYD196667 GOH196602:GOH196667 GEL196602:GEL196667 FUP196602:FUP196667 FKT196602:FKT196667 FAX196602:FAX196667 ERB196602:ERB196667 EHF196602:EHF196667 DXJ196602:DXJ196667 DNN196602:DNN196667 DDR196602:DDR196667 CTV196602:CTV196667 CJZ196602:CJZ196667 CAD196602:CAD196667 BQH196602:BQH196667 BGL196602:BGL196667 AWP196602:AWP196667 AMT196602:AMT196667 ACX196602:ACX196667 TB196602:TB196667 JF196602:JF196667 J196602:J196667 WVR131066:WVR131131 WLV131066:WLV131131 WBZ131066:WBZ131131 VSD131066:VSD131131 VIH131066:VIH131131 UYL131066:UYL131131 UOP131066:UOP131131 UET131066:UET131131 TUX131066:TUX131131 TLB131066:TLB131131 TBF131066:TBF131131 SRJ131066:SRJ131131 SHN131066:SHN131131 RXR131066:RXR131131 RNV131066:RNV131131 RDZ131066:RDZ131131 QUD131066:QUD131131 QKH131066:QKH131131 QAL131066:QAL131131 PQP131066:PQP131131 PGT131066:PGT131131 OWX131066:OWX131131 ONB131066:ONB131131 ODF131066:ODF131131 NTJ131066:NTJ131131 NJN131066:NJN131131 MZR131066:MZR131131 MPV131066:MPV131131 MFZ131066:MFZ131131 LWD131066:LWD131131 LMH131066:LMH131131 LCL131066:LCL131131 KSP131066:KSP131131 KIT131066:KIT131131 JYX131066:JYX131131 JPB131066:JPB131131 JFF131066:JFF131131 IVJ131066:IVJ131131 ILN131066:ILN131131 IBR131066:IBR131131 HRV131066:HRV131131 HHZ131066:HHZ131131 GYD131066:GYD131131 GOH131066:GOH131131 GEL131066:GEL131131 FUP131066:FUP131131 FKT131066:FKT131131 FAX131066:FAX131131 ERB131066:ERB131131 EHF131066:EHF131131 DXJ131066:DXJ131131 DNN131066:DNN131131 DDR131066:DDR131131 CTV131066:CTV131131 CJZ131066:CJZ131131 CAD131066:CAD131131 BQH131066:BQH131131 BGL131066:BGL131131 AWP131066:AWP131131 AMT131066:AMT131131 ACX131066:ACX131131 TB131066:TB131131 JF131066:JF131131 J131066:J131131 WVR65530:WVR65595 WLV65530:WLV65595 WBZ65530:WBZ65595 VSD65530:VSD65595 VIH65530:VIH65595 UYL65530:UYL65595 UOP65530:UOP65595 UET65530:UET65595 TUX65530:TUX65595 TLB65530:TLB65595 TBF65530:TBF65595 SRJ65530:SRJ65595 SHN65530:SHN65595 RXR65530:RXR65595 RNV65530:RNV65595 RDZ65530:RDZ65595 QUD65530:QUD65595 QKH65530:QKH65595 QAL65530:QAL65595 PQP65530:PQP65595 PGT65530:PGT65595 OWX65530:OWX65595 ONB65530:ONB65595 ODF65530:ODF65595 NTJ65530:NTJ65595 NJN65530:NJN65595 MZR65530:MZR65595 MPV65530:MPV65595 MFZ65530:MFZ65595 LWD65530:LWD65595 LMH65530:LMH65595 LCL65530:LCL65595 KSP65530:KSP65595 KIT65530:KIT65595 JYX65530:JYX65595 JPB65530:JPB65595 JFF65530:JFF65595 IVJ65530:IVJ65595 ILN65530:ILN65595 IBR65530:IBR65595 HRV65530:HRV65595 HHZ65530:HHZ65595 GYD65530:GYD65595 GOH65530:GOH65595 GEL65530:GEL65595 FUP65530:FUP65595 FKT65530:FKT65595 FAX65530:FAX65595 ERB65530:ERB65595 EHF65530:EHF65595 DXJ65530:DXJ65595 DNN65530:DNN65595 DDR65530:DDR65595 CTV65530:CTV65595 CJZ65530:CJZ65595 CAD65530:CAD65595 BQH65530:BQH65595 BGL65530:BGL65595 AWP65530:AWP65595 AMT65530:AMT65595 ACX65530:ACX65595 TB65530:TB65595 JF65530:JF65595 J65530:J65595">
      <formula1>$AP$2:$AP$27</formula1>
    </dataValidation>
    <dataValidation type="list" allowBlank="1" showInputMessage="1" showErrorMessage="1" sqref="WVP983034:WVP983099 JD2:JD59 SZ2:SZ59 ACV2:ACV59 AMR2:AMR59 AWN2:AWN59 BGJ2:BGJ59 BQF2:BQF59 CAB2:CAB59 CJX2:CJX59 CTT2:CTT59 DDP2:DDP59 DNL2:DNL59 DXH2:DXH59 EHD2:EHD59 EQZ2:EQZ59 FAV2:FAV59 FKR2:FKR59 FUN2:FUN59 GEJ2:GEJ59 GOF2:GOF59 GYB2:GYB59 HHX2:HHX59 HRT2:HRT59 IBP2:IBP59 ILL2:ILL59 IVH2:IVH59 JFD2:JFD59 JOZ2:JOZ59 JYV2:JYV59 KIR2:KIR59 KSN2:KSN59 LCJ2:LCJ59 LMF2:LMF59 LWB2:LWB59 MFX2:MFX59 MPT2:MPT59 MZP2:MZP59 NJL2:NJL59 NTH2:NTH59 ODD2:ODD59 OMZ2:OMZ59 OWV2:OWV59 PGR2:PGR59 PQN2:PQN59 QAJ2:QAJ59 QKF2:QKF59 QUB2:QUB59 RDX2:RDX59 RNT2:RNT59 RXP2:RXP59 SHL2:SHL59 SRH2:SRH59 TBD2:TBD59 TKZ2:TKZ59 TUV2:TUV59 UER2:UER59 UON2:UON59 UYJ2:UYJ59 VIF2:VIF59 VSB2:VSB59 WBX2:WBX59 WLT2:WLT59 WVP2:WVP59 WLT983034:WLT983099 WBX983034:WBX983099 VSB983034:VSB983099 VIF983034:VIF983099 UYJ983034:UYJ983099 UON983034:UON983099 UER983034:UER983099 TUV983034:TUV983099 TKZ983034:TKZ983099 TBD983034:TBD983099 SRH983034:SRH983099 SHL983034:SHL983099 RXP983034:RXP983099 RNT983034:RNT983099 RDX983034:RDX983099 QUB983034:QUB983099 QKF983034:QKF983099 QAJ983034:QAJ983099 PQN983034:PQN983099 PGR983034:PGR983099 OWV983034:OWV983099 OMZ983034:OMZ983099 ODD983034:ODD983099 NTH983034:NTH983099 NJL983034:NJL983099 MZP983034:MZP983099 MPT983034:MPT983099 MFX983034:MFX983099 LWB983034:LWB983099 LMF983034:LMF983099 LCJ983034:LCJ983099 KSN983034:KSN983099 KIR983034:KIR983099 JYV983034:JYV983099 JOZ983034:JOZ983099 JFD983034:JFD983099 IVH983034:IVH983099 ILL983034:ILL983099 IBP983034:IBP983099 HRT983034:HRT983099 HHX983034:HHX983099 GYB983034:GYB983099 GOF983034:GOF983099 GEJ983034:GEJ983099 FUN983034:FUN983099 FKR983034:FKR983099 FAV983034:FAV983099 EQZ983034:EQZ983099 EHD983034:EHD983099 DXH983034:DXH983099 DNL983034:DNL983099 DDP983034:DDP983099 CTT983034:CTT983099 CJX983034:CJX983099 CAB983034:CAB983099 BQF983034:BQF983099 BGJ983034:BGJ983099 AWN983034:AWN983099 AMR983034:AMR983099 ACV983034:ACV983099 SZ983034:SZ983099 JD983034:JD983099 H983034:H983099 WVP917498:WVP917563 WLT917498:WLT917563 WBX917498:WBX917563 VSB917498:VSB917563 VIF917498:VIF917563 UYJ917498:UYJ917563 UON917498:UON917563 UER917498:UER917563 TUV917498:TUV917563 TKZ917498:TKZ917563 TBD917498:TBD917563 SRH917498:SRH917563 SHL917498:SHL917563 RXP917498:RXP917563 RNT917498:RNT917563 RDX917498:RDX917563 QUB917498:QUB917563 QKF917498:QKF917563 QAJ917498:QAJ917563 PQN917498:PQN917563 PGR917498:PGR917563 OWV917498:OWV917563 OMZ917498:OMZ917563 ODD917498:ODD917563 NTH917498:NTH917563 NJL917498:NJL917563 MZP917498:MZP917563 MPT917498:MPT917563 MFX917498:MFX917563 LWB917498:LWB917563 LMF917498:LMF917563 LCJ917498:LCJ917563 KSN917498:KSN917563 KIR917498:KIR917563 JYV917498:JYV917563 JOZ917498:JOZ917563 JFD917498:JFD917563 IVH917498:IVH917563 ILL917498:ILL917563 IBP917498:IBP917563 HRT917498:HRT917563 HHX917498:HHX917563 GYB917498:GYB917563 GOF917498:GOF917563 GEJ917498:GEJ917563 FUN917498:FUN917563 FKR917498:FKR917563 FAV917498:FAV917563 EQZ917498:EQZ917563 EHD917498:EHD917563 DXH917498:DXH917563 DNL917498:DNL917563 DDP917498:DDP917563 CTT917498:CTT917563 CJX917498:CJX917563 CAB917498:CAB917563 BQF917498:BQF917563 BGJ917498:BGJ917563 AWN917498:AWN917563 AMR917498:AMR917563 ACV917498:ACV917563 SZ917498:SZ917563 JD917498:JD917563 H917498:H917563 WVP851962:WVP852027 WLT851962:WLT852027 WBX851962:WBX852027 VSB851962:VSB852027 VIF851962:VIF852027 UYJ851962:UYJ852027 UON851962:UON852027 UER851962:UER852027 TUV851962:TUV852027 TKZ851962:TKZ852027 TBD851962:TBD852027 SRH851962:SRH852027 SHL851962:SHL852027 RXP851962:RXP852027 RNT851962:RNT852027 RDX851962:RDX852027 QUB851962:QUB852027 QKF851962:QKF852027 QAJ851962:QAJ852027 PQN851962:PQN852027 PGR851962:PGR852027 OWV851962:OWV852027 OMZ851962:OMZ852027 ODD851962:ODD852027 NTH851962:NTH852027 NJL851962:NJL852027 MZP851962:MZP852027 MPT851962:MPT852027 MFX851962:MFX852027 LWB851962:LWB852027 LMF851962:LMF852027 LCJ851962:LCJ852027 KSN851962:KSN852027 KIR851962:KIR852027 JYV851962:JYV852027 JOZ851962:JOZ852027 JFD851962:JFD852027 IVH851962:IVH852027 ILL851962:ILL852027 IBP851962:IBP852027 HRT851962:HRT852027 HHX851962:HHX852027 GYB851962:GYB852027 GOF851962:GOF852027 GEJ851962:GEJ852027 FUN851962:FUN852027 FKR851962:FKR852027 FAV851962:FAV852027 EQZ851962:EQZ852027 EHD851962:EHD852027 DXH851962:DXH852027 DNL851962:DNL852027 DDP851962:DDP852027 CTT851962:CTT852027 CJX851962:CJX852027 CAB851962:CAB852027 BQF851962:BQF852027 BGJ851962:BGJ852027 AWN851962:AWN852027 AMR851962:AMR852027 ACV851962:ACV852027 SZ851962:SZ852027 JD851962:JD852027 H851962:H852027 WVP786426:WVP786491 WLT786426:WLT786491 WBX786426:WBX786491 VSB786426:VSB786491 VIF786426:VIF786491 UYJ786426:UYJ786491 UON786426:UON786491 UER786426:UER786491 TUV786426:TUV786491 TKZ786426:TKZ786491 TBD786426:TBD786491 SRH786426:SRH786491 SHL786426:SHL786491 RXP786426:RXP786491 RNT786426:RNT786491 RDX786426:RDX786491 QUB786426:QUB786491 QKF786426:QKF786491 QAJ786426:QAJ786491 PQN786426:PQN786491 PGR786426:PGR786491 OWV786426:OWV786491 OMZ786426:OMZ786491 ODD786426:ODD786491 NTH786426:NTH786491 NJL786426:NJL786491 MZP786426:MZP786491 MPT786426:MPT786491 MFX786426:MFX786491 LWB786426:LWB786491 LMF786426:LMF786491 LCJ786426:LCJ786491 KSN786426:KSN786491 KIR786426:KIR786491 JYV786426:JYV786491 JOZ786426:JOZ786491 JFD786426:JFD786491 IVH786426:IVH786491 ILL786426:ILL786491 IBP786426:IBP786491 HRT786426:HRT786491 HHX786426:HHX786491 GYB786426:GYB786491 GOF786426:GOF786491 GEJ786426:GEJ786491 FUN786426:FUN786491 FKR786426:FKR786491 FAV786426:FAV786491 EQZ786426:EQZ786491 EHD786426:EHD786491 DXH786426:DXH786491 DNL786426:DNL786491 DDP786426:DDP786491 CTT786426:CTT786491 CJX786426:CJX786491 CAB786426:CAB786491 BQF786426:BQF786491 BGJ786426:BGJ786491 AWN786426:AWN786491 AMR786426:AMR786491 ACV786426:ACV786491 SZ786426:SZ786491 JD786426:JD786491 H786426:H786491 WVP720890:WVP720955 WLT720890:WLT720955 WBX720890:WBX720955 VSB720890:VSB720955 VIF720890:VIF720955 UYJ720890:UYJ720955 UON720890:UON720955 UER720890:UER720955 TUV720890:TUV720955 TKZ720890:TKZ720955 TBD720890:TBD720955 SRH720890:SRH720955 SHL720890:SHL720955 RXP720890:RXP720955 RNT720890:RNT720955 RDX720890:RDX720955 QUB720890:QUB720955 QKF720890:QKF720955 QAJ720890:QAJ720955 PQN720890:PQN720955 PGR720890:PGR720955 OWV720890:OWV720955 OMZ720890:OMZ720955 ODD720890:ODD720955 NTH720890:NTH720955 NJL720890:NJL720955 MZP720890:MZP720955 MPT720890:MPT720955 MFX720890:MFX720955 LWB720890:LWB720955 LMF720890:LMF720955 LCJ720890:LCJ720955 KSN720890:KSN720955 KIR720890:KIR720955 JYV720890:JYV720955 JOZ720890:JOZ720955 JFD720890:JFD720955 IVH720890:IVH720955 ILL720890:ILL720955 IBP720890:IBP720955 HRT720890:HRT720955 HHX720890:HHX720955 GYB720890:GYB720955 GOF720890:GOF720955 GEJ720890:GEJ720955 FUN720890:FUN720955 FKR720890:FKR720955 FAV720890:FAV720955 EQZ720890:EQZ720955 EHD720890:EHD720955 DXH720890:DXH720955 DNL720890:DNL720955 DDP720890:DDP720955 CTT720890:CTT720955 CJX720890:CJX720955 CAB720890:CAB720955 BQF720890:BQF720955 BGJ720890:BGJ720955 AWN720890:AWN720955 AMR720890:AMR720955 ACV720890:ACV720955 SZ720890:SZ720955 JD720890:JD720955 H720890:H720955 WVP655354:WVP655419 WLT655354:WLT655419 WBX655354:WBX655419 VSB655354:VSB655419 VIF655354:VIF655419 UYJ655354:UYJ655419 UON655354:UON655419 UER655354:UER655419 TUV655354:TUV655419 TKZ655354:TKZ655419 TBD655354:TBD655419 SRH655354:SRH655419 SHL655354:SHL655419 RXP655354:RXP655419 RNT655354:RNT655419 RDX655354:RDX655419 QUB655354:QUB655419 QKF655354:QKF655419 QAJ655354:QAJ655419 PQN655354:PQN655419 PGR655354:PGR655419 OWV655354:OWV655419 OMZ655354:OMZ655419 ODD655354:ODD655419 NTH655354:NTH655419 NJL655354:NJL655419 MZP655354:MZP655419 MPT655354:MPT655419 MFX655354:MFX655419 LWB655354:LWB655419 LMF655354:LMF655419 LCJ655354:LCJ655419 KSN655354:KSN655419 KIR655354:KIR655419 JYV655354:JYV655419 JOZ655354:JOZ655419 JFD655354:JFD655419 IVH655354:IVH655419 ILL655354:ILL655419 IBP655354:IBP655419 HRT655354:HRT655419 HHX655354:HHX655419 GYB655354:GYB655419 GOF655354:GOF655419 GEJ655354:GEJ655419 FUN655354:FUN655419 FKR655354:FKR655419 FAV655354:FAV655419 EQZ655354:EQZ655419 EHD655354:EHD655419 DXH655354:DXH655419 DNL655354:DNL655419 DDP655354:DDP655419 CTT655354:CTT655419 CJX655354:CJX655419 CAB655354:CAB655419 BQF655354:BQF655419 BGJ655354:BGJ655419 AWN655354:AWN655419 AMR655354:AMR655419 ACV655354:ACV655419 SZ655354:SZ655419 JD655354:JD655419 H655354:H655419 WVP589818:WVP589883 WLT589818:WLT589883 WBX589818:WBX589883 VSB589818:VSB589883 VIF589818:VIF589883 UYJ589818:UYJ589883 UON589818:UON589883 UER589818:UER589883 TUV589818:TUV589883 TKZ589818:TKZ589883 TBD589818:TBD589883 SRH589818:SRH589883 SHL589818:SHL589883 RXP589818:RXP589883 RNT589818:RNT589883 RDX589818:RDX589883 QUB589818:QUB589883 QKF589818:QKF589883 QAJ589818:QAJ589883 PQN589818:PQN589883 PGR589818:PGR589883 OWV589818:OWV589883 OMZ589818:OMZ589883 ODD589818:ODD589883 NTH589818:NTH589883 NJL589818:NJL589883 MZP589818:MZP589883 MPT589818:MPT589883 MFX589818:MFX589883 LWB589818:LWB589883 LMF589818:LMF589883 LCJ589818:LCJ589883 KSN589818:KSN589883 KIR589818:KIR589883 JYV589818:JYV589883 JOZ589818:JOZ589883 JFD589818:JFD589883 IVH589818:IVH589883 ILL589818:ILL589883 IBP589818:IBP589883 HRT589818:HRT589883 HHX589818:HHX589883 GYB589818:GYB589883 GOF589818:GOF589883 GEJ589818:GEJ589883 FUN589818:FUN589883 FKR589818:FKR589883 FAV589818:FAV589883 EQZ589818:EQZ589883 EHD589818:EHD589883 DXH589818:DXH589883 DNL589818:DNL589883 DDP589818:DDP589883 CTT589818:CTT589883 CJX589818:CJX589883 CAB589818:CAB589883 BQF589818:BQF589883 BGJ589818:BGJ589883 AWN589818:AWN589883 AMR589818:AMR589883 ACV589818:ACV589883 SZ589818:SZ589883 JD589818:JD589883 H589818:H589883 WVP524282:WVP524347 WLT524282:WLT524347 WBX524282:WBX524347 VSB524282:VSB524347 VIF524282:VIF524347 UYJ524282:UYJ524347 UON524282:UON524347 UER524282:UER524347 TUV524282:TUV524347 TKZ524282:TKZ524347 TBD524282:TBD524347 SRH524282:SRH524347 SHL524282:SHL524347 RXP524282:RXP524347 RNT524282:RNT524347 RDX524282:RDX524347 QUB524282:QUB524347 QKF524282:QKF524347 QAJ524282:QAJ524347 PQN524282:PQN524347 PGR524282:PGR524347 OWV524282:OWV524347 OMZ524282:OMZ524347 ODD524282:ODD524347 NTH524282:NTH524347 NJL524282:NJL524347 MZP524282:MZP524347 MPT524282:MPT524347 MFX524282:MFX524347 LWB524282:LWB524347 LMF524282:LMF524347 LCJ524282:LCJ524347 KSN524282:KSN524347 KIR524282:KIR524347 JYV524282:JYV524347 JOZ524282:JOZ524347 JFD524282:JFD524347 IVH524282:IVH524347 ILL524282:ILL524347 IBP524282:IBP524347 HRT524282:HRT524347 HHX524282:HHX524347 GYB524282:GYB524347 GOF524282:GOF524347 GEJ524282:GEJ524347 FUN524282:FUN524347 FKR524282:FKR524347 FAV524282:FAV524347 EQZ524282:EQZ524347 EHD524282:EHD524347 DXH524282:DXH524347 DNL524282:DNL524347 DDP524282:DDP524347 CTT524282:CTT524347 CJX524282:CJX524347 CAB524282:CAB524347 BQF524282:BQF524347 BGJ524282:BGJ524347 AWN524282:AWN524347 AMR524282:AMR524347 ACV524282:ACV524347 SZ524282:SZ524347 JD524282:JD524347 H524282:H524347 WVP458746:WVP458811 WLT458746:WLT458811 WBX458746:WBX458811 VSB458746:VSB458811 VIF458746:VIF458811 UYJ458746:UYJ458811 UON458746:UON458811 UER458746:UER458811 TUV458746:TUV458811 TKZ458746:TKZ458811 TBD458746:TBD458811 SRH458746:SRH458811 SHL458746:SHL458811 RXP458746:RXP458811 RNT458746:RNT458811 RDX458746:RDX458811 QUB458746:QUB458811 QKF458746:QKF458811 QAJ458746:QAJ458811 PQN458746:PQN458811 PGR458746:PGR458811 OWV458746:OWV458811 OMZ458746:OMZ458811 ODD458746:ODD458811 NTH458746:NTH458811 NJL458746:NJL458811 MZP458746:MZP458811 MPT458746:MPT458811 MFX458746:MFX458811 LWB458746:LWB458811 LMF458746:LMF458811 LCJ458746:LCJ458811 KSN458746:KSN458811 KIR458746:KIR458811 JYV458746:JYV458811 JOZ458746:JOZ458811 JFD458746:JFD458811 IVH458746:IVH458811 ILL458746:ILL458811 IBP458746:IBP458811 HRT458746:HRT458811 HHX458746:HHX458811 GYB458746:GYB458811 GOF458746:GOF458811 GEJ458746:GEJ458811 FUN458746:FUN458811 FKR458746:FKR458811 FAV458746:FAV458811 EQZ458746:EQZ458811 EHD458746:EHD458811 DXH458746:DXH458811 DNL458746:DNL458811 DDP458746:DDP458811 CTT458746:CTT458811 CJX458746:CJX458811 CAB458746:CAB458811 BQF458746:BQF458811 BGJ458746:BGJ458811 AWN458746:AWN458811 AMR458746:AMR458811 ACV458746:ACV458811 SZ458746:SZ458811 JD458746:JD458811 H458746:H458811 WVP393210:WVP393275 WLT393210:WLT393275 WBX393210:WBX393275 VSB393210:VSB393275 VIF393210:VIF393275 UYJ393210:UYJ393275 UON393210:UON393275 UER393210:UER393275 TUV393210:TUV393275 TKZ393210:TKZ393275 TBD393210:TBD393275 SRH393210:SRH393275 SHL393210:SHL393275 RXP393210:RXP393275 RNT393210:RNT393275 RDX393210:RDX393275 QUB393210:QUB393275 QKF393210:QKF393275 QAJ393210:QAJ393275 PQN393210:PQN393275 PGR393210:PGR393275 OWV393210:OWV393275 OMZ393210:OMZ393275 ODD393210:ODD393275 NTH393210:NTH393275 NJL393210:NJL393275 MZP393210:MZP393275 MPT393210:MPT393275 MFX393210:MFX393275 LWB393210:LWB393275 LMF393210:LMF393275 LCJ393210:LCJ393275 KSN393210:KSN393275 KIR393210:KIR393275 JYV393210:JYV393275 JOZ393210:JOZ393275 JFD393210:JFD393275 IVH393210:IVH393275 ILL393210:ILL393275 IBP393210:IBP393275 HRT393210:HRT393275 HHX393210:HHX393275 GYB393210:GYB393275 GOF393210:GOF393275 GEJ393210:GEJ393275 FUN393210:FUN393275 FKR393210:FKR393275 FAV393210:FAV393275 EQZ393210:EQZ393275 EHD393210:EHD393275 DXH393210:DXH393275 DNL393210:DNL393275 DDP393210:DDP393275 CTT393210:CTT393275 CJX393210:CJX393275 CAB393210:CAB393275 BQF393210:BQF393275 BGJ393210:BGJ393275 AWN393210:AWN393275 AMR393210:AMR393275 ACV393210:ACV393275 SZ393210:SZ393275 JD393210:JD393275 H393210:H393275 WVP327674:WVP327739 WLT327674:WLT327739 WBX327674:WBX327739 VSB327674:VSB327739 VIF327674:VIF327739 UYJ327674:UYJ327739 UON327674:UON327739 UER327674:UER327739 TUV327674:TUV327739 TKZ327674:TKZ327739 TBD327674:TBD327739 SRH327674:SRH327739 SHL327674:SHL327739 RXP327674:RXP327739 RNT327674:RNT327739 RDX327674:RDX327739 QUB327674:QUB327739 QKF327674:QKF327739 QAJ327674:QAJ327739 PQN327674:PQN327739 PGR327674:PGR327739 OWV327674:OWV327739 OMZ327674:OMZ327739 ODD327674:ODD327739 NTH327674:NTH327739 NJL327674:NJL327739 MZP327674:MZP327739 MPT327674:MPT327739 MFX327674:MFX327739 LWB327674:LWB327739 LMF327674:LMF327739 LCJ327674:LCJ327739 KSN327674:KSN327739 KIR327674:KIR327739 JYV327674:JYV327739 JOZ327674:JOZ327739 JFD327674:JFD327739 IVH327674:IVH327739 ILL327674:ILL327739 IBP327674:IBP327739 HRT327674:HRT327739 HHX327674:HHX327739 GYB327674:GYB327739 GOF327674:GOF327739 GEJ327674:GEJ327739 FUN327674:FUN327739 FKR327674:FKR327739 FAV327674:FAV327739 EQZ327674:EQZ327739 EHD327674:EHD327739 DXH327674:DXH327739 DNL327674:DNL327739 DDP327674:DDP327739 CTT327674:CTT327739 CJX327674:CJX327739 CAB327674:CAB327739 BQF327674:BQF327739 BGJ327674:BGJ327739 AWN327674:AWN327739 AMR327674:AMR327739 ACV327674:ACV327739 SZ327674:SZ327739 JD327674:JD327739 H327674:H327739 WVP262138:WVP262203 WLT262138:WLT262203 WBX262138:WBX262203 VSB262138:VSB262203 VIF262138:VIF262203 UYJ262138:UYJ262203 UON262138:UON262203 UER262138:UER262203 TUV262138:TUV262203 TKZ262138:TKZ262203 TBD262138:TBD262203 SRH262138:SRH262203 SHL262138:SHL262203 RXP262138:RXP262203 RNT262138:RNT262203 RDX262138:RDX262203 QUB262138:QUB262203 QKF262138:QKF262203 QAJ262138:QAJ262203 PQN262138:PQN262203 PGR262138:PGR262203 OWV262138:OWV262203 OMZ262138:OMZ262203 ODD262138:ODD262203 NTH262138:NTH262203 NJL262138:NJL262203 MZP262138:MZP262203 MPT262138:MPT262203 MFX262138:MFX262203 LWB262138:LWB262203 LMF262138:LMF262203 LCJ262138:LCJ262203 KSN262138:KSN262203 KIR262138:KIR262203 JYV262138:JYV262203 JOZ262138:JOZ262203 JFD262138:JFD262203 IVH262138:IVH262203 ILL262138:ILL262203 IBP262138:IBP262203 HRT262138:HRT262203 HHX262138:HHX262203 GYB262138:GYB262203 GOF262138:GOF262203 GEJ262138:GEJ262203 FUN262138:FUN262203 FKR262138:FKR262203 FAV262138:FAV262203 EQZ262138:EQZ262203 EHD262138:EHD262203 DXH262138:DXH262203 DNL262138:DNL262203 DDP262138:DDP262203 CTT262138:CTT262203 CJX262138:CJX262203 CAB262138:CAB262203 BQF262138:BQF262203 BGJ262138:BGJ262203 AWN262138:AWN262203 AMR262138:AMR262203 ACV262138:ACV262203 SZ262138:SZ262203 JD262138:JD262203 H262138:H262203 WVP196602:WVP196667 WLT196602:WLT196667 WBX196602:WBX196667 VSB196602:VSB196667 VIF196602:VIF196667 UYJ196602:UYJ196667 UON196602:UON196667 UER196602:UER196667 TUV196602:TUV196667 TKZ196602:TKZ196667 TBD196602:TBD196667 SRH196602:SRH196667 SHL196602:SHL196667 RXP196602:RXP196667 RNT196602:RNT196667 RDX196602:RDX196667 QUB196602:QUB196667 QKF196602:QKF196667 QAJ196602:QAJ196667 PQN196602:PQN196667 PGR196602:PGR196667 OWV196602:OWV196667 OMZ196602:OMZ196667 ODD196602:ODD196667 NTH196602:NTH196667 NJL196602:NJL196667 MZP196602:MZP196667 MPT196602:MPT196667 MFX196602:MFX196667 LWB196602:LWB196667 LMF196602:LMF196667 LCJ196602:LCJ196667 KSN196602:KSN196667 KIR196602:KIR196667 JYV196602:JYV196667 JOZ196602:JOZ196667 JFD196602:JFD196667 IVH196602:IVH196667 ILL196602:ILL196667 IBP196602:IBP196667 HRT196602:HRT196667 HHX196602:HHX196667 GYB196602:GYB196667 GOF196602:GOF196667 GEJ196602:GEJ196667 FUN196602:FUN196667 FKR196602:FKR196667 FAV196602:FAV196667 EQZ196602:EQZ196667 EHD196602:EHD196667 DXH196602:DXH196667 DNL196602:DNL196667 DDP196602:DDP196667 CTT196602:CTT196667 CJX196602:CJX196667 CAB196602:CAB196667 BQF196602:BQF196667 BGJ196602:BGJ196667 AWN196602:AWN196667 AMR196602:AMR196667 ACV196602:ACV196667 SZ196602:SZ196667 JD196602:JD196667 H196602:H196667 WVP131066:WVP131131 WLT131066:WLT131131 WBX131066:WBX131131 VSB131066:VSB131131 VIF131066:VIF131131 UYJ131066:UYJ131131 UON131066:UON131131 UER131066:UER131131 TUV131066:TUV131131 TKZ131066:TKZ131131 TBD131066:TBD131131 SRH131066:SRH131131 SHL131066:SHL131131 RXP131066:RXP131131 RNT131066:RNT131131 RDX131066:RDX131131 QUB131066:QUB131131 QKF131066:QKF131131 QAJ131066:QAJ131131 PQN131066:PQN131131 PGR131066:PGR131131 OWV131066:OWV131131 OMZ131066:OMZ131131 ODD131066:ODD131131 NTH131066:NTH131131 NJL131066:NJL131131 MZP131066:MZP131131 MPT131066:MPT131131 MFX131066:MFX131131 LWB131066:LWB131131 LMF131066:LMF131131 LCJ131066:LCJ131131 KSN131066:KSN131131 KIR131066:KIR131131 JYV131066:JYV131131 JOZ131066:JOZ131131 JFD131066:JFD131131 IVH131066:IVH131131 ILL131066:ILL131131 IBP131066:IBP131131 HRT131066:HRT131131 HHX131066:HHX131131 GYB131066:GYB131131 GOF131066:GOF131131 GEJ131066:GEJ131131 FUN131066:FUN131131 FKR131066:FKR131131 FAV131066:FAV131131 EQZ131066:EQZ131131 EHD131066:EHD131131 DXH131066:DXH131131 DNL131066:DNL131131 DDP131066:DDP131131 CTT131066:CTT131131 CJX131066:CJX131131 CAB131066:CAB131131 BQF131066:BQF131131 BGJ131066:BGJ131131 AWN131066:AWN131131 AMR131066:AMR131131 ACV131066:ACV131131 SZ131066:SZ131131 JD131066:JD131131 H131066:H131131 WVP65530:WVP65595 WLT65530:WLT65595 WBX65530:WBX65595 VSB65530:VSB65595 VIF65530:VIF65595 UYJ65530:UYJ65595 UON65530:UON65595 UER65530:UER65595 TUV65530:TUV65595 TKZ65530:TKZ65595 TBD65530:TBD65595 SRH65530:SRH65595 SHL65530:SHL65595 RXP65530:RXP65595 RNT65530:RNT65595 RDX65530:RDX65595 QUB65530:QUB65595 QKF65530:QKF65595 QAJ65530:QAJ65595 PQN65530:PQN65595 PGR65530:PGR65595 OWV65530:OWV65595 OMZ65530:OMZ65595 ODD65530:ODD65595 NTH65530:NTH65595 NJL65530:NJL65595 MZP65530:MZP65595 MPT65530:MPT65595 MFX65530:MFX65595 LWB65530:LWB65595 LMF65530:LMF65595 LCJ65530:LCJ65595 KSN65530:KSN65595 KIR65530:KIR65595 JYV65530:JYV65595 JOZ65530:JOZ65595 JFD65530:JFD65595 IVH65530:IVH65595 ILL65530:ILL65595 IBP65530:IBP65595 HRT65530:HRT65595 HHX65530:HHX65595 GYB65530:GYB65595 GOF65530:GOF65595 GEJ65530:GEJ65595 FUN65530:FUN65595 FKR65530:FKR65595 FAV65530:FAV65595 EQZ65530:EQZ65595 EHD65530:EHD65595 DXH65530:DXH65595 DNL65530:DNL65595 DDP65530:DDP65595 CTT65530:CTT65595 CJX65530:CJX65595 CAB65530:CAB65595 BQF65530:BQF65595 BGJ65530:BGJ65595 AWN65530:AWN65595 AMR65530:AMR65595 ACV65530:ACV65595 SZ65530:SZ65595 JD65530:JD65595 H65530:H65595">
      <formula1>$AL$4:$AL$12</formula1>
    </dataValidation>
    <dataValidation type="list" allowBlank="1" showInputMessage="1" showErrorMessage="1" sqref="A64355:A64420 A2:A492 SS2:SS65 ACO2:ACO65 AMK2:AMK65 AWG2:AWG65 BGC2:BGC65 BPY2:BPY65 BZU2:BZU65 CJQ2:CJQ65 CTM2:CTM65 DDI2:DDI65 DNE2:DNE65 DXA2:DXA65 EGW2:EGW65 EQS2:EQS65 FAO2:FAO65 FKK2:FKK65 FUG2:FUG65 GEC2:GEC65 GNY2:GNY65 GXU2:GXU65 HHQ2:HHQ65 HRM2:HRM65 IBI2:IBI65 ILE2:ILE65 IVA2:IVA65 JEW2:JEW65 JOS2:JOS65 JYO2:JYO65 KIK2:KIK65 KSG2:KSG65 LCC2:LCC65 LLY2:LLY65 LVU2:LVU65 MFQ2:MFQ65 MPM2:MPM65 MZI2:MZI65 NJE2:NJE65 NTA2:NTA65 OCW2:OCW65 OMS2:OMS65 OWO2:OWO65 PGK2:PGK65 PQG2:PQG65 QAC2:QAC65 QJY2:QJY65 QTU2:QTU65 RDQ2:RDQ65 RNM2:RNM65 RXI2:RXI65 SHE2:SHE65 SRA2:SRA65 TAW2:TAW65 TKS2:TKS65 TUO2:TUO65 UEK2:UEK65 UOG2:UOG65 UYC2:UYC65 VHY2:VHY65 VRU2:VRU65 WBQ2:WBQ65 WLM2:WLM65 WVI2:WVI65 IW2:IW65 WLM983034:WLM983105 WBQ983034:WBQ983105 VRU983034:VRU983105 VHY983034:VHY983105 UYC983034:UYC983105 UOG983034:UOG983105 UEK983034:UEK983105 TUO983034:TUO983105 TKS983034:TKS983105 TAW983034:TAW983105 SRA983034:SRA983105 SHE983034:SHE983105 RXI983034:RXI983105 RNM983034:RNM983105 RDQ983034:RDQ983105 QTU983034:QTU983105 QJY983034:QJY983105 QAC983034:QAC983105 PQG983034:PQG983105 PGK983034:PGK983105 OWO983034:OWO983105 OMS983034:OMS983105 OCW983034:OCW983105 NTA983034:NTA983105 NJE983034:NJE983105 MZI983034:MZI983105 MPM983034:MPM983105 MFQ983034:MFQ983105 LVU983034:LVU983105 LLY983034:LLY983105 LCC983034:LCC983105 KSG983034:KSG983105 KIK983034:KIK983105 JYO983034:JYO983105 JOS983034:JOS983105 JEW983034:JEW983105 IVA983034:IVA983105 ILE983034:ILE983105 IBI983034:IBI983105 HRM983034:HRM983105 HHQ983034:HHQ983105 GXU983034:GXU983105 GNY983034:GNY983105 GEC983034:GEC983105 FUG983034:FUG983105 FKK983034:FKK983105 FAO983034:FAO983105 EQS983034:EQS983105 EGW983034:EGW983105 DXA983034:DXA983105 DNE983034:DNE983105 DDI983034:DDI983105 CTM983034:CTM983105 CJQ983034:CJQ983105 BZU983034:BZU983105 BPY983034:BPY983105 BGC983034:BGC983105 AWG983034:AWG983105 AMK983034:AMK983105 ACO983034:ACO983105 SS983034:SS983105 IW983034:IW983105 A983034:A983105 WVI917498:WVI917569 WLM917498:WLM917569 WBQ917498:WBQ917569 VRU917498:VRU917569 VHY917498:VHY917569 UYC917498:UYC917569 UOG917498:UOG917569 UEK917498:UEK917569 TUO917498:TUO917569 TKS917498:TKS917569 TAW917498:TAW917569 SRA917498:SRA917569 SHE917498:SHE917569 RXI917498:RXI917569 RNM917498:RNM917569 RDQ917498:RDQ917569 QTU917498:QTU917569 QJY917498:QJY917569 QAC917498:QAC917569 PQG917498:PQG917569 PGK917498:PGK917569 OWO917498:OWO917569 OMS917498:OMS917569 OCW917498:OCW917569 NTA917498:NTA917569 NJE917498:NJE917569 MZI917498:MZI917569 MPM917498:MPM917569 MFQ917498:MFQ917569 LVU917498:LVU917569 LLY917498:LLY917569 LCC917498:LCC917569 KSG917498:KSG917569 KIK917498:KIK917569 JYO917498:JYO917569 JOS917498:JOS917569 JEW917498:JEW917569 IVA917498:IVA917569 ILE917498:ILE917569 IBI917498:IBI917569 HRM917498:HRM917569 HHQ917498:HHQ917569 GXU917498:GXU917569 GNY917498:GNY917569 GEC917498:GEC917569 FUG917498:FUG917569 FKK917498:FKK917569 FAO917498:FAO917569 EQS917498:EQS917569 EGW917498:EGW917569 DXA917498:DXA917569 DNE917498:DNE917569 DDI917498:DDI917569 CTM917498:CTM917569 CJQ917498:CJQ917569 BZU917498:BZU917569 BPY917498:BPY917569 BGC917498:BGC917569 AWG917498:AWG917569 AMK917498:AMK917569 ACO917498:ACO917569 SS917498:SS917569 IW917498:IW917569 A917498:A917569 WVI851962:WVI852033 WLM851962:WLM852033 WBQ851962:WBQ852033 VRU851962:VRU852033 VHY851962:VHY852033 UYC851962:UYC852033 UOG851962:UOG852033 UEK851962:UEK852033 TUO851962:TUO852033 TKS851962:TKS852033 TAW851962:TAW852033 SRA851962:SRA852033 SHE851962:SHE852033 RXI851962:RXI852033 RNM851962:RNM852033 RDQ851962:RDQ852033 QTU851962:QTU852033 QJY851962:QJY852033 QAC851962:QAC852033 PQG851962:PQG852033 PGK851962:PGK852033 OWO851962:OWO852033 OMS851962:OMS852033 OCW851962:OCW852033 NTA851962:NTA852033 NJE851962:NJE852033 MZI851962:MZI852033 MPM851962:MPM852033 MFQ851962:MFQ852033 LVU851962:LVU852033 LLY851962:LLY852033 LCC851962:LCC852033 KSG851962:KSG852033 KIK851962:KIK852033 JYO851962:JYO852033 JOS851962:JOS852033 JEW851962:JEW852033 IVA851962:IVA852033 ILE851962:ILE852033 IBI851962:IBI852033 HRM851962:HRM852033 HHQ851962:HHQ852033 GXU851962:GXU852033 GNY851962:GNY852033 GEC851962:GEC852033 FUG851962:FUG852033 FKK851962:FKK852033 FAO851962:FAO852033 EQS851962:EQS852033 EGW851962:EGW852033 DXA851962:DXA852033 DNE851962:DNE852033 DDI851962:DDI852033 CTM851962:CTM852033 CJQ851962:CJQ852033 BZU851962:BZU852033 BPY851962:BPY852033 BGC851962:BGC852033 AWG851962:AWG852033 AMK851962:AMK852033 ACO851962:ACO852033 SS851962:SS852033 IW851962:IW852033 A851962:A852033 WVI786426:WVI786497 WLM786426:WLM786497 WBQ786426:WBQ786497 VRU786426:VRU786497 VHY786426:VHY786497 UYC786426:UYC786497 UOG786426:UOG786497 UEK786426:UEK786497 TUO786426:TUO786497 TKS786426:TKS786497 TAW786426:TAW786497 SRA786426:SRA786497 SHE786426:SHE786497 RXI786426:RXI786497 RNM786426:RNM786497 RDQ786426:RDQ786497 QTU786426:QTU786497 QJY786426:QJY786497 QAC786426:QAC786497 PQG786426:PQG786497 PGK786426:PGK786497 OWO786426:OWO786497 OMS786426:OMS786497 OCW786426:OCW786497 NTA786426:NTA786497 NJE786426:NJE786497 MZI786426:MZI786497 MPM786426:MPM786497 MFQ786426:MFQ786497 LVU786426:LVU786497 LLY786426:LLY786497 LCC786426:LCC786497 KSG786426:KSG786497 KIK786426:KIK786497 JYO786426:JYO786497 JOS786426:JOS786497 JEW786426:JEW786497 IVA786426:IVA786497 ILE786426:ILE786497 IBI786426:IBI786497 HRM786426:HRM786497 HHQ786426:HHQ786497 GXU786426:GXU786497 GNY786426:GNY786497 GEC786426:GEC786497 FUG786426:FUG786497 FKK786426:FKK786497 FAO786426:FAO786497 EQS786426:EQS786497 EGW786426:EGW786497 DXA786426:DXA786497 DNE786426:DNE786497 DDI786426:DDI786497 CTM786426:CTM786497 CJQ786426:CJQ786497 BZU786426:BZU786497 BPY786426:BPY786497 BGC786426:BGC786497 AWG786426:AWG786497 AMK786426:AMK786497 ACO786426:ACO786497 SS786426:SS786497 IW786426:IW786497 A786426:A786497 WVI720890:WVI720961 WLM720890:WLM720961 WBQ720890:WBQ720961 VRU720890:VRU720961 VHY720890:VHY720961 UYC720890:UYC720961 UOG720890:UOG720961 UEK720890:UEK720961 TUO720890:TUO720961 TKS720890:TKS720961 TAW720890:TAW720961 SRA720890:SRA720961 SHE720890:SHE720961 RXI720890:RXI720961 RNM720890:RNM720961 RDQ720890:RDQ720961 QTU720890:QTU720961 QJY720890:QJY720961 QAC720890:QAC720961 PQG720890:PQG720961 PGK720890:PGK720961 OWO720890:OWO720961 OMS720890:OMS720961 OCW720890:OCW720961 NTA720890:NTA720961 NJE720890:NJE720961 MZI720890:MZI720961 MPM720890:MPM720961 MFQ720890:MFQ720961 LVU720890:LVU720961 LLY720890:LLY720961 LCC720890:LCC720961 KSG720890:KSG720961 KIK720890:KIK720961 JYO720890:JYO720961 JOS720890:JOS720961 JEW720890:JEW720961 IVA720890:IVA720961 ILE720890:ILE720961 IBI720890:IBI720961 HRM720890:HRM720961 HHQ720890:HHQ720961 GXU720890:GXU720961 GNY720890:GNY720961 GEC720890:GEC720961 FUG720890:FUG720961 FKK720890:FKK720961 FAO720890:FAO720961 EQS720890:EQS720961 EGW720890:EGW720961 DXA720890:DXA720961 DNE720890:DNE720961 DDI720890:DDI720961 CTM720890:CTM720961 CJQ720890:CJQ720961 BZU720890:BZU720961 BPY720890:BPY720961 BGC720890:BGC720961 AWG720890:AWG720961 AMK720890:AMK720961 ACO720890:ACO720961 SS720890:SS720961 IW720890:IW720961 A720890:A720961 WVI655354:WVI655425 WLM655354:WLM655425 WBQ655354:WBQ655425 VRU655354:VRU655425 VHY655354:VHY655425 UYC655354:UYC655425 UOG655354:UOG655425 UEK655354:UEK655425 TUO655354:TUO655425 TKS655354:TKS655425 TAW655354:TAW655425 SRA655354:SRA655425 SHE655354:SHE655425 RXI655354:RXI655425 RNM655354:RNM655425 RDQ655354:RDQ655425 QTU655354:QTU655425 QJY655354:QJY655425 QAC655354:QAC655425 PQG655354:PQG655425 PGK655354:PGK655425 OWO655354:OWO655425 OMS655354:OMS655425 OCW655354:OCW655425 NTA655354:NTA655425 NJE655354:NJE655425 MZI655354:MZI655425 MPM655354:MPM655425 MFQ655354:MFQ655425 LVU655354:LVU655425 LLY655354:LLY655425 LCC655354:LCC655425 KSG655354:KSG655425 KIK655354:KIK655425 JYO655354:JYO655425 JOS655354:JOS655425 JEW655354:JEW655425 IVA655354:IVA655425 ILE655354:ILE655425 IBI655354:IBI655425 HRM655354:HRM655425 HHQ655354:HHQ655425 GXU655354:GXU655425 GNY655354:GNY655425 GEC655354:GEC655425 FUG655354:FUG655425 FKK655354:FKK655425 FAO655354:FAO655425 EQS655354:EQS655425 EGW655354:EGW655425 DXA655354:DXA655425 DNE655354:DNE655425 DDI655354:DDI655425 CTM655354:CTM655425 CJQ655354:CJQ655425 BZU655354:BZU655425 BPY655354:BPY655425 BGC655354:BGC655425 AWG655354:AWG655425 AMK655354:AMK655425 ACO655354:ACO655425 SS655354:SS655425 IW655354:IW655425 A655354:A655425 WVI589818:WVI589889 WLM589818:WLM589889 WBQ589818:WBQ589889 VRU589818:VRU589889 VHY589818:VHY589889 UYC589818:UYC589889 UOG589818:UOG589889 UEK589818:UEK589889 TUO589818:TUO589889 TKS589818:TKS589889 TAW589818:TAW589889 SRA589818:SRA589889 SHE589818:SHE589889 RXI589818:RXI589889 RNM589818:RNM589889 RDQ589818:RDQ589889 QTU589818:QTU589889 QJY589818:QJY589889 QAC589818:QAC589889 PQG589818:PQG589889 PGK589818:PGK589889 OWO589818:OWO589889 OMS589818:OMS589889 OCW589818:OCW589889 NTA589818:NTA589889 NJE589818:NJE589889 MZI589818:MZI589889 MPM589818:MPM589889 MFQ589818:MFQ589889 LVU589818:LVU589889 LLY589818:LLY589889 LCC589818:LCC589889 KSG589818:KSG589889 KIK589818:KIK589889 JYO589818:JYO589889 JOS589818:JOS589889 JEW589818:JEW589889 IVA589818:IVA589889 ILE589818:ILE589889 IBI589818:IBI589889 HRM589818:HRM589889 HHQ589818:HHQ589889 GXU589818:GXU589889 GNY589818:GNY589889 GEC589818:GEC589889 FUG589818:FUG589889 FKK589818:FKK589889 FAO589818:FAO589889 EQS589818:EQS589889 EGW589818:EGW589889 DXA589818:DXA589889 DNE589818:DNE589889 DDI589818:DDI589889 CTM589818:CTM589889 CJQ589818:CJQ589889 BZU589818:BZU589889 BPY589818:BPY589889 BGC589818:BGC589889 AWG589818:AWG589889 AMK589818:AMK589889 ACO589818:ACO589889 SS589818:SS589889 IW589818:IW589889 A589818:A589889 WVI524282:WVI524353 WLM524282:WLM524353 WBQ524282:WBQ524353 VRU524282:VRU524353 VHY524282:VHY524353 UYC524282:UYC524353 UOG524282:UOG524353 UEK524282:UEK524353 TUO524282:TUO524353 TKS524282:TKS524353 TAW524282:TAW524353 SRA524282:SRA524353 SHE524282:SHE524353 RXI524282:RXI524353 RNM524282:RNM524353 RDQ524282:RDQ524353 QTU524282:QTU524353 QJY524282:QJY524353 QAC524282:QAC524353 PQG524282:PQG524353 PGK524282:PGK524353 OWO524282:OWO524353 OMS524282:OMS524353 OCW524282:OCW524353 NTA524282:NTA524353 NJE524282:NJE524353 MZI524282:MZI524353 MPM524282:MPM524353 MFQ524282:MFQ524353 LVU524282:LVU524353 LLY524282:LLY524353 LCC524282:LCC524353 KSG524282:KSG524353 KIK524282:KIK524353 JYO524282:JYO524353 JOS524282:JOS524353 JEW524282:JEW524353 IVA524282:IVA524353 ILE524282:ILE524353 IBI524282:IBI524353 HRM524282:HRM524353 HHQ524282:HHQ524353 GXU524282:GXU524353 GNY524282:GNY524353 GEC524282:GEC524353 FUG524282:FUG524353 FKK524282:FKK524353 FAO524282:FAO524353 EQS524282:EQS524353 EGW524282:EGW524353 DXA524282:DXA524353 DNE524282:DNE524353 DDI524282:DDI524353 CTM524282:CTM524353 CJQ524282:CJQ524353 BZU524282:BZU524353 BPY524282:BPY524353 BGC524282:BGC524353 AWG524282:AWG524353 AMK524282:AMK524353 ACO524282:ACO524353 SS524282:SS524353 IW524282:IW524353 A524282:A524353 WVI458746:WVI458817 WLM458746:WLM458817 WBQ458746:WBQ458817 VRU458746:VRU458817 VHY458746:VHY458817 UYC458746:UYC458817 UOG458746:UOG458817 UEK458746:UEK458817 TUO458746:TUO458817 TKS458746:TKS458817 TAW458746:TAW458817 SRA458746:SRA458817 SHE458746:SHE458817 RXI458746:RXI458817 RNM458746:RNM458817 RDQ458746:RDQ458817 QTU458746:QTU458817 QJY458746:QJY458817 QAC458746:QAC458817 PQG458746:PQG458817 PGK458746:PGK458817 OWO458746:OWO458817 OMS458746:OMS458817 OCW458746:OCW458817 NTA458746:NTA458817 NJE458746:NJE458817 MZI458746:MZI458817 MPM458746:MPM458817 MFQ458746:MFQ458817 LVU458746:LVU458817 LLY458746:LLY458817 LCC458746:LCC458817 KSG458746:KSG458817 KIK458746:KIK458817 JYO458746:JYO458817 JOS458746:JOS458817 JEW458746:JEW458817 IVA458746:IVA458817 ILE458746:ILE458817 IBI458746:IBI458817 HRM458746:HRM458817 HHQ458746:HHQ458817 GXU458746:GXU458817 GNY458746:GNY458817 GEC458746:GEC458817 FUG458746:FUG458817 FKK458746:FKK458817 FAO458746:FAO458817 EQS458746:EQS458817 EGW458746:EGW458817 DXA458746:DXA458817 DNE458746:DNE458817 DDI458746:DDI458817 CTM458746:CTM458817 CJQ458746:CJQ458817 BZU458746:BZU458817 BPY458746:BPY458817 BGC458746:BGC458817 AWG458746:AWG458817 AMK458746:AMK458817 ACO458746:ACO458817 SS458746:SS458817 IW458746:IW458817 A458746:A458817 WVI393210:WVI393281 WLM393210:WLM393281 WBQ393210:WBQ393281 VRU393210:VRU393281 VHY393210:VHY393281 UYC393210:UYC393281 UOG393210:UOG393281 UEK393210:UEK393281 TUO393210:TUO393281 TKS393210:TKS393281 TAW393210:TAW393281 SRA393210:SRA393281 SHE393210:SHE393281 RXI393210:RXI393281 RNM393210:RNM393281 RDQ393210:RDQ393281 QTU393210:QTU393281 QJY393210:QJY393281 QAC393210:QAC393281 PQG393210:PQG393281 PGK393210:PGK393281 OWO393210:OWO393281 OMS393210:OMS393281 OCW393210:OCW393281 NTA393210:NTA393281 NJE393210:NJE393281 MZI393210:MZI393281 MPM393210:MPM393281 MFQ393210:MFQ393281 LVU393210:LVU393281 LLY393210:LLY393281 LCC393210:LCC393281 KSG393210:KSG393281 KIK393210:KIK393281 JYO393210:JYO393281 JOS393210:JOS393281 JEW393210:JEW393281 IVA393210:IVA393281 ILE393210:ILE393281 IBI393210:IBI393281 HRM393210:HRM393281 HHQ393210:HHQ393281 GXU393210:GXU393281 GNY393210:GNY393281 GEC393210:GEC393281 FUG393210:FUG393281 FKK393210:FKK393281 FAO393210:FAO393281 EQS393210:EQS393281 EGW393210:EGW393281 DXA393210:DXA393281 DNE393210:DNE393281 DDI393210:DDI393281 CTM393210:CTM393281 CJQ393210:CJQ393281 BZU393210:BZU393281 BPY393210:BPY393281 BGC393210:BGC393281 AWG393210:AWG393281 AMK393210:AMK393281 ACO393210:ACO393281 SS393210:SS393281 IW393210:IW393281 A393210:A393281 WVI327674:WVI327745 WLM327674:WLM327745 WBQ327674:WBQ327745 VRU327674:VRU327745 VHY327674:VHY327745 UYC327674:UYC327745 UOG327674:UOG327745 UEK327674:UEK327745 TUO327674:TUO327745 TKS327674:TKS327745 TAW327674:TAW327745 SRA327674:SRA327745 SHE327674:SHE327745 RXI327674:RXI327745 RNM327674:RNM327745 RDQ327674:RDQ327745 QTU327674:QTU327745 QJY327674:QJY327745 QAC327674:QAC327745 PQG327674:PQG327745 PGK327674:PGK327745 OWO327674:OWO327745 OMS327674:OMS327745 OCW327674:OCW327745 NTA327674:NTA327745 NJE327674:NJE327745 MZI327674:MZI327745 MPM327674:MPM327745 MFQ327674:MFQ327745 LVU327674:LVU327745 LLY327674:LLY327745 LCC327674:LCC327745 KSG327674:KSG327745 KIK327674:KIK327745 JYO327674:JYO327745 JOS327674:JOS327745 JEW327674:JEW327745 IVA327674:IVA327745 ILE327674:ILE327745 IBI327674:IBI327745 HRM327674:HRM327745 HHQ327674:HHQ327745 GXU327674:GXU327745 GNY327674:GNY327745 GEC327674:GEC327745 FUG327674:FUG327745 FKK327674:FKK327745 FAO327674:FAO327745 EQS327674:EQS327745 EGW327674:EGW327745 DXA327674:DXA327745 DNE327674:DNE327745 DDI327674:DDI327745 CTM327674:CTM327745 CJQ327674:CJQ327745 BZU327674:BZU327745 BPY327674:BPY327745 BGC327674:BGC327745 AWG327674:AWG327745 AMK327674:AMK327745 ACO327674:ACO327745 SS327674:SS327745 IW327674:IW327745 A327674:A327745 WVI262138:WVI262209 WLM262138:WLM262209 WBQ262138:WBQ262209 VRU262138:VRU262209 VHY262138:VHY262209 UYC262138:UYC262209 UOG262138:UOG262209 UEK262138:UEK262209 TUO262138:TUO262209 TKS262138:TKS262209 TAW262138:TAW262209 SRA262138:SRA262209 SHE262138:SHE262209 RXI262138:RXI262209 RNM262138:RNM262209 RDQ262138:RDQ262209 QTU262138:QTU262209 QJY262138:QJY262209 QAC262138:QAC262209 PQG262138:PQG262209 PGK262138:PGK262209 OWO262138:OWO262209 OMS262138:OMS262209 OCW262138:OCW262209 NTA262138:NTA262209 NJE262138:NJE262209 MZI262138:MZI262209 MPM262138:MPM262209 MFQ262138:MFQ262209 LVU262138:LVU262209 LLY262138:LLY262209 LCC262138:LCC262209 KSG262138:KSG262209 KIK262138:KIK262209 JYO262138:JYO262209 JOS262138:JOS262209 JEW262138:JEW262209 IVA262138:IVA262209 ILE262138:ILE262209 IBI262138:IBI262209 HRM262138:HRM262209 HHQ262138:HHQ262209 GXU262138:GXU262209 GNY262138:GNY262209 GEC262138:GEC262209 FUG262138:FUG262209 FKK262138:FKK262209 FAO262138:FAO262209 EQS262138:EQS262209 EGW262138:EGW262209 DXA262138:DXA262209 DNE262138:DNE262209 DDI262138:DDI262209 CTM262138:CTM262209 CJQ262138:CJQ262209 BZU262138:BZU262209 BPY262138:BPY262209 BGC262138:BGC262209 AWG262138:AWG262209 AMK262138:AMK262209 ACO262138:ACO262209 SS262138:SS262209 IW262138:IW262209 A262138:A262209 WVI196602:WVI196673 WLM196602:WLM196673 WBQ196602:WBQ196673 VRU196602:VRU196673 VHY196602:VHY196673 UYC196602:UYC196673 UOG196602:UOG196673 UEK196602:UEK196673 TUO196602:TUO196673 TKS196602:TKS196673 TAW196602:TAW196673 SRA196602:SRA196673 SHE196602:SHE196673 RXI196602:RXI196673 RNM196602:RNM196673 RDQ196602:RDQ196673 QTU196602:QTU196673 QJY196602:QJY196673 QAC196602:QAC196673 PQG196602:PQG196673 PGK196602:PGK196673 OWO196602:OWO196673 OMS196602:OMS196673 OCW196602:OCW196673 NTA196602:NTA196673 NJE196602:NJE196673 MZI196602:MZI196673 MPM196602:MPM196673 MFQ196602:MFQ196673 LVU196602:LVU196673 LLY196602:LLY196673 LCC196602:LCC196673 KSG196602:KSG196673 KIK196602:KIK196673 JYO196602:JYO196673 JOS196602:JOS196673 JEW196602:JEW196673 IVA196602:IVA196673 ILE196602:ILE196673 IBI196602:IBI196673 HRM196602:HRM196673 HHQ196602:HHQ196673 GXU196602:GXU196673 GNY196602:GNY196673 GEC196602:GEC196673 FUG196602:FUG196673 FKK196602:FKK196673 FAO196602:FAO196673 EQS196602:EQS196673 EGW196602:EGW196673 DXA196602:DXA196673 DNE196602:DNE196673 DDI196602:DDI196673 CTM196602:CTM196673 CJQ196602:CJQ196673 BZU196602:BZU196673 BPY196602:BPY196673 BGC196602:BGC196673 AWG196602:AWG196673 AMK196602:AMK196673 ACO196602:ACO196673 SS196602:SS196673 IW196602:IW196673 A196602:A196673 WVI131066:WVI131137 WLM131066:WLM131137 WBQ131066:WBQ131137 VRU131066:VRU131137 VHY131066:VHY131137 UYC131066:UYC131137 UOG131066:UOG131137 UEK131066:UEK131137 TUO131066:TUO131137 TKS131066:TKS131137 TAW131066:TAW131137 SRA131066:SRA131137 SHE131066:SHE131137 RXI131066:RXI131137 RNM131066:RNM131137 RDQ131066:RDQ131137 QTU131066:QTU131137 QJY131066:QJY131137 QAC131066:QAC131137 PQG131066:PQG131137 PGK131066:PGK131137 OWO131066:OWO131137 OMS131066:OMS131137 OCW131066:OCW131137 NTA131066:NTA131137 NJE131066:NJE131137 MZI131066:MZI131137 MPM131066:MPM131137 MFQ131066:MFQ131137 LVU131066:LVU131137 LLY131066:LLY131137 LCC131066:LCC131137 KSG131066:KSG131137 KIK131066:KIK131137 JYO131066:JYO131137 JOS131066:JOS131137 JEW131066:JEW131137 IVA131066:IVA131137 ILE131066:ILE131137 IBI131066:IBI131137 HRM131066:HRM131137 HHQ131066:HHQ131137 GXU131066:GXU131137 GNY131066:GNY131137 GEC131066:GEC131137 FUG131066:FUG131137 FKK131066:FKK131137 FAO131066:FAO131137 EQS131066:EQS131137 EGW131066:EGW131137 DXA131066:DXA131137 DNE131066:DNE131137 DDI131066:DDI131137 CTM131066:CTM131137 CJQ131066:CJQ131137 BZU131066:BZU131137 BPY131066:BPY131137 BGC131066:BGC131137 AWG131066:AWG131137 AMK131066:AMK131137 ACO131066:ACO131137 SS131066:SS131137 IW131066:IW131137 A131066:A131137 WVI65530:WVI65601 WLM65530:WLM65601 WBQ65530:WBQ65601 VRU65530:VRU65601 VHY65530:VHY65601 UYC65530:UYC65601 UOG65530:UOG65601 UEK65530:UEK65601 TUO65530:TUO65601 TKS65530:TKS65601 TAW65530:TAW65601 SRA65530:SRA65601 SHE65530:SHE65601 RXI65530:RXI65601 RNM65530:RNM65601 RDQ65530:RDQ65601 QTU65530:QTU65601 QJY65530:QJY65601 QAC65530:QAC65601 PQG65530:PQG65601 PGK65530:PGK65601 OWO65530:OWO65601 OMS65530:OMS65601 OCW65530:OCW65601 NTA65530:NTA65601 NJE65530:NJE65601 MZI65530:MZI65601 MPM65530:MPM65601 MFQ65530:MFQ65601 LVU65530:LVU65601 LLY65530:LLY65601 LCC65530:LCC65601 KSG65530:KSG65601 KIK65530:KIK65601 JYO65530:JYO65601 JOS65530:JOS65601 JEW65530:JEW65601 IVA65530:IVA65601 ILE65530:ILE65601 IBI65530:IBI65601 HRM65530:HRM65601 HHQ65530:HHQ65601 GXU65530:GXU65601 GNY65530:GNY65601 GEC65530:GEC65601 FUG65530:FUG65601 FKK65530:FKK65601 FAO65530:FAO65601 EQS65530:EQS65601 EGW65530:EGW65601 DXA65530:DXA65601 DNE65530:DNE65601 DDI65530:DDI65601 CTM65530:CTM65601 CJQ65530:CJQ65601 BZU65530:BZU65601 BPY65530:BPY65601 BGC65530:BGC65601 AWG65530:AWG65601 AMK65530:AMK65601 ACO65530:ACO65601 SS65530:SS65601 IW65530:IW65601 A65530:A65601 WVI983034:WVI983105 WVI1047395:WVI1047460 WLM1047395:WLM1047460 WBQ1047395:WBQ1047460 VRU1047395:VRU1047460 VHY1047395:VHY1047460 UYC1047395:UYC1047460 UOG1047395:UOG1047460 UEK1047395:UEK1047460 TUO1047395:TUO1047460 TKS1047395:TKS1047460 TAW1047395:TAW1047460 SRA1047395:SRA1047460 SHE1047395:SHE1047460 RXI1047395:RXI1047460 RNM1047395:RNM1047460 RDQ1047395:RDQ1047460 QTU1047395:QTU1047460 QJY1047395:QJY1047460 QAC1047395:QAC1047460 PQG1047395:PQG1047460 PGK1047395:PGK1047460 OWO1047395:OWO1047460 OMS1047395:OMS1047460 OCW1047395:OCW1047460 NTA1047395:NTA1047460 NJE1047395:NJE1047460 MZI1047395:MZI1047460 MPM1047395:MPM1047460 MFQ1047395:MFQ1047460 LVU1047395:LVU1047460 LLY1047395:LLY1047460 LCC1047395:LCC1047460 KSG1047395:KSG1047460 KIK1047395:KIK1047460 JYO1047395:JYO1047460 JOS1047395:JOS1047460 JEW1047395:JEW1047460 IVA1047395:IVA1047460 ILE1047395:ILE1047460 IBI1047395:IBI1047460 HRM1047395:HRM1047460 HHQ1047395:HHQ1047460 GXU1047395:GXU1047460 GNY1047395:GNY1047460 GEC1047395:GEC1047460 FUG1047395:FUG1047460 FKK1047395:FKK1047460 FAO1047395:FAO1047460 EQS1047395:EQS1047460 EGW1047395:EGW1047460 DXA1047395:DXA1047460 DNE1047395:DNE1047460 DDI1047395:DDI1047460 CTM1047395:CTM1047460 CJQ1047395:CJQ1047460 BZU1047395:BZU1047460 BPY1047395:BPY1047460 BGC1047395:BGC1047460 AWG1047395:AWG1047460 AMK1047395:AMK1047460 ACO1047395:ACO1047460 SS1047395:SS1047460 IW1047395:IW1047460 A1047395:A1047460 WVI981859:WVI981924 WLM981859:WLM981924 WBQ981859:WBQ981924 VRU981859:VRU981924 VHY981859:VHY981924 UYC981859:UYC981924 UOG981859:UOG981924 UEK981859:UEK981924 TUO981859:TUO981924 TKS981859:TKS981924 TAW981859:TAW981924 SRA981859:SRA981924 SHE981859:SHE981924 RXI981859:RXI981924 RNM981859:RNM981924 RDQ981859:RDQ981924 QTU981859:QTU981924 QJY981859:QJY981924 QAC981859:QAC981924 PQG981859:PQG981924 PGK981859:PGK981924 OWO981859:OWO981924 OMS981859:OMS981924 OCW981859:OCW981924 NTA981859:NTA981924 NJE981859:NJE981924 MZI981859:MZI981924 MPM981859:MPM981924 MFQ981859:MFQ981924 LVU981859:LVU981924 LLY981859:LLY981924 LCC981859:LCC981924 KSG981859:KSG981924 KIK981859:KIK981924 JYO981859:JYO981924 JOS981859:JOS981924 JEW981859:JEW981924 IVA981859:IVA981924 ILE981859:ILE981924 IBI981859:IBI981924 HRM981859:HRM981924 HHQ981859:HHQ981924 GXU981859:GXU981924 GNY981859:GNY981924 GEC981859:GEC981924 FUG981859:FUG981924 FKK981859:FKK981924 FAO981859:FAO981924 EQS981859:EQS981924 EGW981859:EGW981924 DXA981859:DXA981924 DNE981859:DNE981924 DDI981859:DDI981924 CTM981859:CTM981924 CJQ981859:CJQ981924 BZU981859:BZU981924 BPY981859:BPY981924 BGC981859:BGC981924 AWG981859:AWG981924 AMK981859:AMK981924 ACO981859:ACO981924 SS981859:SS981924 IW981859:IW981924 A981859:A981924 WVI916323:WVI916388 WLM916323:WLM916388 WBQ916323:WBQ916388 VRU916323:VRU916388 VHY916323:VHY916388 UYC916323:UYC916388 UOG916323:UOG916388 UEK916323:UEK916388 TUO916323:TUO916388 TKS916323:TKS916388 TAW916323:TAW916388 SRA916323:SRA916388 SHE916323:SHE916388 RXI916323:RXI916388 RNM916323:RNM916388 RDQ916323:RDQ916388 QTU916323:QTU916388 QJY916323:QJY916388 QAC916323:QAC916388 PQG916323:PQG916388 PGK916323:PGK916388 OWO916323:OWO916388 OMS916323:OMS916388 OCW916323:OCW916388 NTA916323:NTA916388 NJE916323:NJE916388 MZI916323:MZI916388 MPM916323:MPM916388 MFQ916323:MFQ916388 LVU916323:LVU916388 LLY916323:LLY916388 LCC916323:LCC916388 KSG916323:KSG916388 KIK916323:KIK916388 JYO916323:JYO916388 JOS916323:JOS916388 JEW916323:JEW916388 IVA916323:IVA916388 ILE916323:ILE916388 IBI916323:IBI916388 HRM916323:HRM916388 HHQ916323:HHQ916388 GXU916323:GXU916388 GNY916323:GNY916388 GEC916323:GEC916388 FUG916323:FUG916388 FKK916323:FKK916388 FAO916323:FAO916388 EQS916323:EQS916388 EGW916323:EGW916388 DXA916323:DXA916388 DNE916323:DNE916388 DDI916323:DDI916388 CTM916323:CTM916388 CJQ916323:CJQ916388 BZU916323:BZU916388 BPY916323:BPY916388 BGC916323:BGC916388 AWG916323:AWG916388 AMK916323:AMK916388 ACO916323:ACO916388 SS916323:SS916388 IW916323:IW916388 A916323:A916388 WVI850787:WVI850852 WLM850787:WLM850852 WBQ850787:WBQ850852 VRU850787:VRU850852 VHY850787:VHY850852 UYC850787:UYC850852 UOG850787:UOG850852 UEK850787:UEK850852 TUO850787:TUO850852 TKS850787:TKS850852 TAW850787:TAW850852 SRA850787:SRA850852 SHE850787:SHE850852 RXI850787:RXI850852 RNM850787:RNM850852 RDQ850787:RDQ850852 QTU850787:QTU850852 QJY850787:QJY850852 QAC850787:QAC850852 PQG850787:PQG850852 PGK850787:PGK850852 OWO850787:OWO850852 OMS850787:OMS850852 OCW850787:OCW850852 NTA850787:NTA850852 NJE850787:NJE850852 MZI850787:MZI850852 MPM850787:MPM850852 MFQ850787:MFQ850852 LVU850787:LVU850852 LLY850787:LLY850852 LCC850787:LCC850852 KSG850787:KSG850852 KIK850787:KIK850852 JYO850787:JYO850852 JOS850787:JOS850852 JEW850787:JEW850852 IVA850787:IVA850852 ILE850787:ILE850852 IBI850787:IBI850852 HRM850787:HRM850852 HHQ850787:HHQ850852 GXU850787:GXU850852 GNY850787:GNY850852 GEC850787:GEC850852 FUG850787:FUG850852 FKK850787:FKK850852 FAO850787:FAO850852 EQS850787:EQS850852 EGW850787:EGW850852 DXA850787:DXA850852 DNE850787:DNE850852 DDI850787:DDI850852 CTM850787:CTM850852 CJQ850787:CJQ850852 BZU850787:BZU850852 BPY850787:BPY850852 BGC850787:BGC850852 AWG850787:AWG850852 AMK850787:AMK850852 ACO850787:ACO850852 SS850787:SS850852 IW850787:IW850852 A850787:A850852 WVI785251:WVI785316 WLM785251:WLM785316 WBQ785251:WBQ785316 VRU785251:VRU785316 VHY785251:VHY785316 UYC785251:UYC785316 UOG785251:UOG785316 UEK785251:UEK785316 TUO785251:TUO785316 TKS785251:TKS785316 TAW785251:TAW785316 SRA785251:SRA785316 SHE785251:SHE785316 RXI785251:RXI785316 RNM785251:RNM785316 RDQ785251:RDQ785316 QTU785251:QTU785316 QJY785251:QJY785316 QAC785251:QAC785316 PQG785251:PQG785316 PGK785251:PGK785316 OWO785251:OWO785316 OMS785251:OMS785316 OCW785251:OCW785316 NTA785251:NTA785316 NJE785251:NJE785316 MZI785251:MZI785316 MPM785251:MPM785316 MFQ785251:MFQ785316 LVU785251:LVU785316 LLY785251:LLY785316 LCC785251:LCC785316 KSG785251:KSG785316 KIK785251:KIK785316 JYO785251:JYO785316 JOS785251:JOS785316 JEW785251:JEW785316 IVA785251:IVA785316 ILE785251:ILE785316 IBI785251:IBI785316 HRM785251:HRM785316 HHQ785251:HHQ785316 GXU785251:GXU785316 GNY785251:GNY785316 GEC785251:GEC785316 FUG785251:FUG785316 FKK785251:FKK785316 FAO785251:FAO785316 EQS785251:EQS785316 EGW785251:EGW785316 DXA785251:DXA785316 DNE785251:DNE785316 DDI785251:DDI785316 CTM785251:CTM785316 CJQ785251:CJQ785316 BZU785251:BZU785316 BPY785251:BPY785316 BGC785251:BGC785316 AWG785251:AWG785316 AMK785251:AMK785316 ACO785251:ACO785316 SS785251:SS785316 IW785251:IW785316 A785251:A785316 WVI719715:WVI719780 WLM719715:WLM719780 WBQ719715:WBQ719780 VRU719715:VRU719780 VHY719715:VHY719780 UYC719715:UYC719780 UOG719715:UOG719780 UEK719715:UEK719780 TUO719715:TUO719780 TKS719715:TKS719780 TAW719715:TAW719780 SRA719715:SRA719780 SHE719715:SHE719780 RXI719715:RXI719780 RNM719715:RNM719780 RDQ719715:RDQ719780 QTU719715:QTU719780 QJY719715:QJY719780 QAC719715:QAC719780 PQG719715:PQG719780 PGK719715:PGK719780 OWO719715:OWO719780 OMS719715:OMS719780 OCW719715:OCW719780 NTA719715:NTA719780 NJE719715:NJE719780 MZI719715:MZI719780 MPM719715:MPM719780 MFQ719715:MFQ719780 LVU719715:LVU719780 LLY719715:LLY719780 LCC719715:LCC719780 KSG719715:KSG719780 KIK719715:KIK719780 JYO719715:JYO719780 JOS719715:JOS719780 JEW719715:JEW719780 IVA719715:IVA719780 ILE719715:ILE719780 IBI719715:IBI719780 HRM719715:HRM719780 HHQ719715:HHQ719780 GXU719715:GXU719780 GNY719715:GNY719780 GEC719715:GEC719780 FUG719715:FUG719780 FKK719715:FKK719780 FAO719715:FAO719780 EQS719715:EQS719780 EGW719715:EGW719780 DXA719715:DXA719780 DNE719715:DNE719780 DDI719715:DDI719780 CTM719715:CTM719780 CJQ719715:CJQ719780 BZU719715:BZU719780 BPY719715:BPY719780 BGC719715:BGC719780 AWG719715:AWG719780 AMK719715:AMK719780 ACO719715:ACO719780 SS719715:SS719780 IW719715:IW719780 A719715:A719780 WVI654179:WVI654244 WLM654179:WLM654244 WBQ654179:WBQ654244 VRU654179:VRU654244 VHY654179:VHY654244 UYC654179:UYC654244 UOG654179:UOG654244 UEK654179:UEK654244 TUO654179:TUO654244 TKS654179:TKS654244 TAW654179:TAW654244 SRA654179:SRA654244 SHE654179:SHE654244 RXI654179:RXI654244 RNM654179:RNM654244 RDQ654179:RDQ654244 QTU654179:QTU654244 QJY654179:QJY654244 QAC654179:QAC654244 PQG654179:PQG654244 PGK654179:PGK654244 OWO654179:OWO654244 OMS654179:OMS654244 OCW654179:OCW654244 NTA654179:NTA654244 NJE654179:NJE654244 MZI654179:MZI654244 MPM654179:MPM654244 MFQ654179:MFQ654244 LVU654179:LVU654244 LLY654179:LLY654244 LCC654179:LCC654244 KSG654179:KSG654244 KIK654179:KIK654244 JYO654179:JYO654244 JOS654179:JOS654244 JEW654179:JEW654244 IVA654179:IVA654244 ILE654179:ILE654244 IBI654179:IBI654244 HRM654179:HRM654244 HHQ654179:HHQ654244 GXU654179:GXU654244 GNY654179:GNY654244 GEC654179:GEC654244 FUG654179:FUG654244 FKK654179:FKK654244 FAO654179:FAO654244 EQS654179:EQS654244 EGW654179:EGW654244 DXA654179:DXA654244 DNE654179:DNE654244 DDI654179:DDI654244 CTM654179:CTM654244 CJQ654179:CJQ654244 BZU654179:BZU654244 BPY654179:BPY654244 BGC654179:BGC654244 AWG654179:AWG654244 AMK654179:AMK654244 ACO654179:ACO654244 SS654179:SS654244 IW654179:IW654244 A654179:A654244 WVI588643:WVI588708 WLM588643:WLM588708 WBQ588643:WBQ588708 VRU588643:VRU588708 VHY588643:VHY588708 UYC588643:UYC588708 UOG588643:UOG588708 UEK588643:UEK588708 TUO588643:TUO588708 TKS588643:TKS588708 TAW588643:TAW588708 SRA588643:SRA588708 SHE588643:SHE588708 RXI588643:RXI588708 RNM588643:RNM588708 RDQ588643:RDQ588708 QTU588643:QTU588708 QJY588643:QJY588708 QAC588643:QAC588708 PQG588643:PQG588708 PGK588643:PGK588708 OWO588643:OWO588708 OMS588643:OMS588708 OCW588643:OCW588708 NTA588643:NTA588708 NJE588643:NJE588708 MZI588643:MZI588708 MPM588643:MPM588708 MFQ588643:MFQ588708 LVU588643:LVU588708 LLY588643:LLY588708 LCC588643:LCC588708 KSG588643:KSG588708 KIK588643:KIK588708 JYO588643:JYO588708 JOS588643:JOS588708 JEW588643:JEW588708 IVA588643:IVA588708 ILE588643:ILE588708 IBI588643:IBI588708 HRM588643:HRM588708 HHQ588643:HHQ588708 GXU588643:GXU588708 GNY588643:GNY588708 GEC588643:GEC588708 FUG588643:FUG588708 FKK588643:FKK588708 FAO588643:FAO588708 EQS588643:EQS588708 EGW588643:EGW588708 DXA588643:DXA588708 DNE588643:DNE588708 DDI588643:DDI588708 CTM588643:CTM588708 CJQ588643:CJQ588708 BZU588643:BZU588708 BPY588643:BPY588708 BGC588643:BGC588708 AWG588643:AWG588708 AMK588643:AMK588708 ACO588643:ACO588708 SS588643:SS588708 IW588643:IW588708 A588643:A588708 WVI523107:WVI523172 WLM523107:WLM523172 WBQ523107:WBQ523172 VRU523107:VRU523172 VHY523107:VHY523172 UYC523107:UYC523172 UOG523107:UOG523172 UEK523107:UEK523172 TUO523107:TUO523172 TKS523107:TKS523172 TAW523107:TAW523172 SRA523107:SRA523172 SHE523107:SHE523172 RXI523107:RXI523172 RNM523107:RNM523172 RDQ523107:RDQ523172 QTU523107:QTU523172 QJY523107:QJY523172 QAC523107:QAC523172 PQG523107:PQG523172 PGK523107:PGK523172 OWO523107:OWO523172 OMS523107:OMS523172 OCW523107:OCW523172 NTA523107:NTA523172 NJE523107:NJE523172 MZI523107:MZI523172 MPM523107:MPM523172 MFQ523107:MFQ523172 LVU523107:LVU523172 LLY523107:LLY523172 LCC523107:LCC523172 KSG523107:KSG523172 KIK523107:KIK523172 JYO523107:JYO523172 JOS523107:JOS523172 JEW523107:JEW523172 IVA523107:IVA523172 ILE523107:ILE523172 IBI523107:IBI523172 HRM523107:HRM523172 HHQ523107:HHQ523172 GXU523107:GXU523172 GNY523107:GNY523172 GEC523107:GEC523172 FUG523107:FUG523172 FKK523107:FKK523172 FAO523107:FAO523172 EQS523107:EQS523172 EGW523107:EGW523172 DXA523107:DXA523172 DNE523107:DNE523172 DDI523107:DDI523172 CTM523107:CTM523172 CJQ523107:CJQ523172 BZU523107:BZU523172 BPY523107:BPY523172 BGC523107:BGC523172 AWG523107:AWG523172 AMK523107:AMK523172 ACO523107:ACO523172 SS523107:SS523172 IW523107:IW523172 A523107:A523172 WVI457571:WVI457636 WLM457571:WLM457636 WBQ457571:WBQ457636 VRU457571:VRU457636 VHY457571:VHY457636 UYC457571:UYC457636 UOG457571:UOG457636 UEK457571:UEK457636 TUO457571:TUO457636 TKS457571:TKS457636 TAW457571:TAW457636 SRA457571:SRA457636 SHE457571:SHE457636 RXI457571:RXI457636 RNM457571:RNM457636 RDQ457571:RDQ457636 QTU457571:QTU457636 QJY457571:QJY457636 QAC457571:QAC457636 PQG457571:PQG457636 PGK457571:PGK457636 OWO457571:OWO457636 OMS457571:OMS457636 OCW457571:OCW457636 NTA457571:NTA457636 NJE457571:NJE457636 MZI457571:MZI457636 MPM457571:MPM457636 MFQ457571:MFQ457636 LVU457571:LVU457636 LLY457571:LLY457636 LCC457571:LCC457636 KSG457571:KSG457636 KIK457571:KIK457636 JYO457571:JYO457636 JOS457571:JOS457636 JEW457571:JEW457636 IVA457571:IVA457636 ILE457571:ILE457636 IBI457571:IBI457636 HRM457571:HRM457636 HHQ457571:HHQ457636 GXU457571:GXU457636 GNY457571:GNY457636 GEC457571:GEC457636 FUG457571:FUG457636 FKK457571:FKK457636 FAO457571:FAO457636 EQS457571:EQS457636 EGW457571:EGW457636 DXA457571:DXA457636 DNE457571:DNE457636 DDI457571:DDI457636 CTM457571:CTM457636 CJQ457571:CJQ457636 BZU457571:BZU457636 BPY457571:BPY457636 BGC457571:BGC457636 AWG457571:AWG457636 AMK457571:AMK457636 ACO457571:ACO457636 SS457571:SS457636 IW457571:IW457636 A457571:A457636 WVI392035:WVI392100 WLM392035:WLM392100 WBQ392035:WBQ392100 VRU392035:VRU392100 VHY392035:VHY392100 UYC392035:UYC392100 UOG392035:UOG392100 UEK392035:UEK392100 TUO392035:TUO392100 TKS392035:TKS392100 TAW392035:TAW392100 SRA392035:SRA392100 SHE392035:SHE392100 RXI392035:RXI392100 RNM392035:RNM392100 RDQ392035:RDQ392100 QTU392035:QTU392100 QJY392035:QJY392100 QAC392035:QAC392100 PQG392035:PQG392100 PGK392035:PGK392100 OWO392035:OWO392100 OMS392035:OMS392100 OCW392035:OCW392100 NTA392035:NTA392100 NJE392035:NJE392100 MZI392035:MZI392100 MPM392035:MPM392100 MFQ392035:MFQ392100 LVU392035:LVU392100 LLY392035:LLY392100 LCC392035:LCC392100 KSG392035:KSG392100 KIK392035:KIK392100 JYO392035:JYO392100 JOS392035:JOS392100 JEW392035:JEW392100 IVA392035:IVA392100 ILE392035:ILE392100 IBI392035:IBI392100 HRM392035:HRM392100 HHQ392035:HHQ392100 GXU392035:GXU392100 GNY392035:GNY392100 GEC392035:GEC392100 FUG392035:FUG392100 FKK392035:FKK392100 FAO392035:FAO392100 EQS392035:EQS392100 EGW392035:EGW392100 DXA392035:DXA392100 DNE392035:DNE392100 DDI392035:DDI392100 CTM392035:CTM392100 CJQ392035:CJQ392100 BZU392035:BZU392100 BPY392035:BPY392100 BGC392035:BGC392100 AWG392035:AWG392100 AMK392035:AMK392100 ACO392035:ACO392100 SS392035:SS392100 IW392035:IW392100 A392035:A392100 WVI326499:WVI326564 WLM326499:WLM326564 WBQ326499:WBQ326564 VRU326499:VRU326564 VHY326499:VHY326564 UYC326499:UYC326564 UOG326499:UOG326564 UEK326499:UEK326564 TUO326499:TUO326564 TKS326499:TKS326564 TAW326499:TAW326564 SRA326499:SRA326564 SHE326499:SHE326564 RXI326499:RXI326564 RNM326499:RNM326564 RDQ326499:RDQ326564 QTU326499:QTU326564 QJY326499:QJY326564 QAC326499:QAC326564 PQG326499:PQG326564 PGK326499:PGK326564 OWO326499:OWO326564 OMS326499:OMS326564 OCW326499:OCW326564 NTA326499:NTA326564 NJE326499:NJE326564 MZI326499:MZI326564 MPM326499:MPM326564 MFQ326499:MFQ326564 LVU326499:LVU326564 LLY326499:LLY326564 LCC326499:LCC326564 KSG326499:KSG326564 KIK326499:KIK326564 JYO326499:JYO326564 JOS326499:JOS326564 JEW326499:JEW326564 IVA326499:IVA326564 ILE326499:ILE326564 IBI326499:IBI326564 HRM326499:HRM326564 HHQ326499:HHQ326564 GXU326499:GXU326564 GNY326499:GNY326564 GEC326499:GEC326564 FUG326499:FUG326564 FKK326499:FKK326564 FAO326499:FAO326564 EQS326499:EQS326564 EGW326499:EGW326564 DXA326499:DXA326564 DNE326499:DNE326564 DDI326499:DDI326564 CTM326499:CTM326564 CJQ326499:CJQ326564 BZU326499:BZU326564 BPY326499:BPY326564 BGC326499:BGC326564 AWG326499:AWG326564 AMK326499:AMK326564 ACO326499:ACO326564 SS326499:SS326564 IW326499:IW326564 A326499:A326564 WVI260963:WVI261028 WLM260963:WLM261028 WBQ260963:WBQ261028 VRU260963:VRU261028 VHY260963:VHY261028 UYC260963:UYC261028 UOG260963:UOG261028 UEK260963:UEK261028 TUO260963:TUO261028 TKS260963:TKS261028 TAW260963:TAW261028 SRA260963:SRA261028 SHE260963:SHE261028 RXI260963:RXI261028 RNM260963:RNM261028 RDQ260963:RDQ261028 QTU260963:QTU261028 QJY260963:QJY261028 QAC260963:QAC261028 PQG260963:PQG261028 PGK260963:PGK261028 OWO260963:OWO261028 OMS260963:OMS261028 OCW260963:OCW261028 NTA260963:NTA261028 NJE260963:NJE261028 MZI260963:MZI261028 MPM260963:MPM261028 MFQ260963:MFQ261028 LVU260963:LVU261028 LLY260963:LLY261028 LCC260963:LCC261028 KSG260963:KSG261028 KIK260963:KIK261028 JYO260963:JYO261028 JOS260963:JOS261028 JEW260963:JEW261028 IVA260963:IVA261028 ILE260963:ILE261028 IBI260963:IBI261028 HRM260963:HRM261028 HHQ260963:HHQ261028 GXU260963:GXU261028 GNY260963:GNY261028 GEC260963:GEC261028 FUG260963:FUG261028 FKK260963:FKK261028 FAO260963:FAO261028 EQS260963:EQS261028 EGW260963:EGW261028 DXA260963:DXA261028 DNE260963:DNE261028 DDI260963:DDI261028 CTM260963:CTM261028 CJQ260963:CJQ261028 BZU260963:BZU261028 BPY260963:BPY261028 BGC260963:BGC261028 AWG260963:AWG261028 AMK260963:AMK261028 ACO260963:ACO261028 SS260963:SS261028 IW260963:IW261028 A260963:A261028 WVI195427:WVI195492 WLM195427:WLM195492 WBQ195427:WBQ195492 VRU195427:VRU195492 VHY195427:VHY195492 UYC195427:UYC195492 UOG195427:UOG195492 UEK195427:UEK195492 TUO195427:TUO195492 TKS195427:TKS195492 TAW195427:TAW195492 SRA195427:SRA195492 SHE195427:SHE195492 RXI195427:RXI195492 RNM195427:RNM195492 RDQ195427:RDQ195492 QTU195427:QTU195492 QJY195427:QJY195492 QAC195427:QAC195492 PQG195427:PQG195492 PGK195427:PGK195492 OWO195427:OWO195492 OMS195427:OMS195492 OCW195427:OCW195492 NTA195427:NTA195492 NJE195427:NJE195492 MZI195427:MZI195492 MPM195427:MPM195492 MFQ195427:MFQ195492 LVU195427:LVU195492 LLY195427:LLY195492 LCC195427:LCC195492 KSG195427:KSG195492 KIK195427:KIK195492 JYO195427:JYO195492 JOS195427:JOS195492 JEW195427:JEW195492 IVA195427:IVA195492 ILE195427:ILE195492 IBI195427:IBI195492 HRM195427:HRM195492 HHQ195427:HHQ195492 GXU195427:GXU195492 GNY195427:GNY195492 GEC195427:GEC195492 FUG195427:FUG195492 FKK195427:FKK195492 FAO195427:FAO195492 EQS195427:EQS195492 EGW195427:EGW195492 DXA195427:DXA195492 DNE195427:DNE195492 DDI195427:DDI195492 CTM195427:CTM195492 CJQ195427:CJQ195492 BZU195427:BZU195492 BPY195427:BPY195492 BGC195427:BGC195492 AWG195427:AWG195492 AMK195427:AMK195492 ACO195427:ACO195492 SS195427:SS195492 IW195427:IW195492 A195427:A195492 WVI129891:WVI129956 WLM129891:WLM129956 WBQ129891:WBQ129956 VRU129891:VRU129956 VHY129891:VHY129956 UYC129891:UYC129956 UOG129891:UOG129956 UEK129891:UEK129956 TUO129891:TUO129956 TKS129891:TKS129956 TAW129891:TAW129956 SRA129891:SRA129956 SHE129891:SHE129956 RXI129891:RXI129956 RNM129891:RNM129956 RDQ129891:RDQ129956 QTU129891:QTU129956 QJY129891:QJY129956 QAC129891:QAC129956 PQG129891:PQG129956 PGK129891:PGK129956 OWO129891:OWO129956 OMS129891:OMS129956 OCW129891:OCW129956 NTA129891:NTA129956 NJE129891:NJE129956 MZI129891:MZI129956 MPM129891:MPM129956 MFQ129891:MFQ129956 LVU129891:LVU129956 LLY129891:LLY129956 LCC129891:LCC129956 KSG129891:KSG129956 KIK129891:KIK129956 JYO129891:JYO129956 JOS129891:JOS129956 JEW129891:JEW129956 IVA129891:IVA129956 ILE129891:ILE129956 IBI129891:IBI129956 HRM129891:HRM129956 HHQ129891:HHQ129956 GXU129891:GXU129956 GNY129891:GNY129956 GEC129891:GEC129956 FUG129891:FUG129956 FKK129891:FKK129956 FAO129891:FAO129956 EQS129891:EQS129956 EGW129891:EGW129956 DXA129891:DXA129956 DNE129891:DNE129956 DDI129891:DDI129956 CTM129891:CTM129956 CJQ129891:CJQ129956 BZU129891:BZU129956 BPY129891:BPY129956 BGC129891:BGC129956 AWG129891:AWG129956 AMK129891:AMK129956 ACO129891:ACO129956 SS129891:SS129956 IW129891:IW129956 A129891:A129956 WVI64355:WVI64420 WLM64355:WLM64420 WBQ64355:WBQ64420 VRU64355:VRU64420 VHY64355:VHY64420 UYC64355:UYC64420 UOG64355:UOG64420 UEK64355:UEK64420 TUO64355:TUO64420 TKS64355:TKS64420 TAW64355:TAW64420 SRA64355:SRA64420 SHE64355:SHE64420 RXI64355:RXI64420 RNM64355:RNM64420 RDQ64355:RDQ64420 QTU64355:QTU64420 QJY64355:QJY64420 QAC64355:QAC64420 PQG64355:PQG64420 PGK64355:PGK64420 OWO64355:OWO64420 OMS64355:OMS64420 OCW64355:OCW64420 NTA64355:NTA64420 NJE64355:NJE64420 MZI64355:MZI64420 MPM64355:MPM64420 MFQ64355:MFQ64420 LVU64355:LVU64420 LLY64355:LLY64420 LCC64355:LCC64420 KSG64355:KSG64420 KIK64355:KIK64420 JYO64355:JYO64420 JOS64355:JOS64420 JEW64355:JEW64420 IVA64355:IVA64420 ILE64355:ILE64420 IBI64355:IBI64420 HRM64355:HRM64420 HHQ64355:HHQ64420 GXU64355:GXU64420 GNY64355:GNY64420 GEC64355:GEC64420 FUG64355:FUG64420 FKK64355:FKK64420 FAO64355:FAO64420 EQS64355:EQS64420 EGW64355:EGW64420 DXA64355:DXA64420 DNE64355:DNE64420 DDI64355:DDI64420 CTM64355:CTM64420 CJQ64355:CJQ64420 BZU64355:BZU64420 BPY64355:BPY64420 BGC64355:BGC64420 AWG64355:AWG64420 AMK64355:AMK64420 ACO64355:ACO64420 SS64355:SS64420 IW64355:IW64420">
      <formula1>$AE$2:$AE$19</formula1>
    </dataValidation>
    <dataValidation type="list" allowBlank="1" showInputMessage="1" showErrorMessage="1" sqref="X64355:X64420 JT64355:JT64420 TP2:TP59 ADL2:ADL59 ANH2:ANH59 AXD2:AXD59 BGZ2:BGZ59 BQV2:BQV59 CAR2:CAR59 CKN2:CKN59 CUJ2:CUJ59 DEF2:DEF59 DOB2:DOB59 DXX2:DXX59 EHT2:EHT59 ERP2:ERP59 FBL2:FBL59 FLH2:FLH59 FVD2:FVD59 GEZ2:GEZ59 GOV2:GOV59 GYR2:GYR59 HIN2:HIN59 HSJ2:HSJ59 ICF2:ICF59 IMB2:IMB59 IVX2:IVX59 JFT2:JFT59 JPP2:JPP59 JZL2:JZL59 KJH2:KJH59 KTD2:KTD59 LCZ2:LCZ59 LMV2:LMV59 LWR2:LWR59 MGN2:MGN59 MQJ2:MQJ59 NAF2:NAF59 NKB2:NKB59 NTX2:NTX59 ODT2:ODT59 ONP2:ONP59 OXL2:OXL59 PHH2:PHH59 PRD2:PRD59 QAZ2:QAZ59 QKV2:QKV59 QUR2:QUR59 REN2:REN59 ROJ2:ROJ59 RYF2:RYF59 SIB2:SIB59 SRX2:SRX59 TBT2:TBT59 TLP2:TLP59 TVL2:TVL59 UFH2:UFH59 UPD2:UPD59 UYZ2:UYZ59 VIV2:VIV59 VSR2:VSR59 WCN2:WCN59 WMJ2:WMJ59 WWF2:WWF59 JT2:JT59 WMJ983034:WMJ983099 WCN983034:WCN983099 VSR983034:VSR983099 VIV983034:VIV983099 UYZ983034:UYZ983099 UPD983034:UPD983099 UFH983034:UFH983099 TVL983034:TVL983099 TLP983034:TLP983099 TBT983034:TBT983099 SRX983034:SRX983099 SIB983034:SIB983099 RYF983034:RYF983099 ROJ983034:ROJ983099 REN983034:REN983099 QUR983034:QUR983099 QKV983034:QKV983099 QAZ983034:QAZ983099 PRD983034:PRD983099 PHH983034:PHH983099 OXL983034:OXL983099 ONP983034:ONP983099 ODT983034:ODT983099 NTX983034:NTX983099 NKB983034:NKB983099 NAF983034:NAF983099 MQJ983034:MQJ983099 MGN983034:MGN983099 LWR983034:LWR983099 LMV983034:LMV983099 LCZ983034:LCZ983099 KTD983034:KTD983099 KJH983034:KJH983099 JZL983034:JZL983099 JPP983034:JPP983099 JFT983034:JFT983099 IVX983034:IVX983099 IMB983034:IMB983099 ICF983034:ICF983099 HSJ983034:HSJ983099 HIN983034:HIN983099 GYR983034:GYR983099 GOV983034:GOV983099 GEZ983034:GEZ983099 FVD983034:FVD983099 FLH983034:FLH983099 FBL983034:FBL983099 ERP983034:ERP983099 EHT983034:EHT983099 DXX983034:DXX983099 DOB983034:DOB983099 DEF983034:DEF983099 CUJ983034:CUJ983099 CKN983034:CKN983099 CAR983034:CAR983099 BQV983034:BQV983099 BGZ983034:BGZ983099 AXD983034:AXD983099 ANH983034:ANH983099 ADL983034:ADL983099 TP983034:TP983099 JT983034:JT983099 X983034:X983099 WWF917498:WWF917563 WMJ917498:WMJ917563 WCN917498:WCN917563 VSR917498:VSR917563 VIV917498:VIV917563 UYZ917498:UYZ917563 UPD917498:UPD917563 UFH917498:UFH917563 TVL917498:TVL917563 TLP917498:TLP917563 TBT917498:TBT917563 SRX917498:SRX917563 SIB917498:SIB917563 RYF917498:RYF917563 ROJ917498:ROJ917563 REN917498:REN917563 QUR917498:QUR917563 QKV917498:QKV917563 QAZ917498:QAZ917563 PRD917498:PRD917563 PHH917498:PHH917563 OXL917498:OXL917563 ONP917498:ONP917563 ODT917498:ODT917563 NTX917498:NTX917563 NKB917498:NKB917563 NAF917498:NAF917563 MQJ917498:MQJ917563 MGN917498:MGN917563 LWR917498:LWR917563 LMV917498:LMV917563 LCZ917498:LCZ917563 KTD917498:KTD917563 KJH917498:KJH917563 JZL917498:JZL917563 JPP917498:JPP917563 JFT917498:JFT917563 IVX917498:IVX917563 IMB917498:IMB917563 ICF917498:ICF917563 HSJ917498:HSJ917563 HIN917498:HIN917563 GYR917498:GYR917563 GOV917498:GOV917563 GEZ917498:GEZ917563 FVD917498:FVD917563 FLH917498:FLH917563 FBL917498:FBL917563 ERP917498:ERP917563 EHT917498:EHT917563 DXX917498:DXX917563 DOB917498:DOB917563 DEF917498:DEF917563 CUJ917498:CUJ917563 CKN917498:CKN917563 CAR917498:CAR917563 BQV917498:BQV917563 BGZ917498:BGZ917563 AXD917498:AXD917563 ANH917498:ANH917563 ADL917498:ADL917563 TP917498:TP917563 JT917498:JT917563 X917498:X917563 WWF851962:WWF852027 WMJ851962:WMJ852027 WCN851962:WCN852027 VSR851962:VSR852027 VIV851962:VIV852027 UYZ851962:UYZ852027 UPD851962:UPD852027 UFH851962:UFH852027 TVL851962:TVL852027 TLP851962:TLP852027 TBT851962:TBT852027 SRX851962:SRX852027 SIB851962:SIB852027 RYF851962:RYF852027 ROJ851962:ROJ852027 REN851962:REN852027 QUR851962:QUR852027 QKV851962:QKV852027 QAZ851962:QAZ852027 PRD851962:PRD852027 PHH851962:PHH852027 OXL851962:OXL852027 ONP851962:ONP852027 ODT851962:ODT852027 NTX851962:NTX852027 NKB851962:NKB852027 NAF851962:NAF852027 MQJ851962:MQJ852027 MGN851962:MGN852027 LWR851962:LWR852027 LMV851962:LMV852027 LCZ851962:LCZ852027 KTD851962:KTD852027 KJH851962:KJH852027 JZL851962:JZL852027 JPP851962:JPP852027 JFT851962:JFT852027 IVX851962:IVX852027 IMB851962:IMB852027 ICF851962:ICF852027 HSJ851962:HSJ852027 HIN851962:HIN852027 GYR851962:GYR852027 GOV851962:GOV852027 GEZ851962:GEZ852027 FVD851962:FVD852027 FLH851962:FLH852027 FBL851962:FBL852027 ERP851962:ERP852027 EHT851962:EHT852027 DXX851962:DXX852027 DOB851962:DOB852027 DEF851962:DEF852027 CUJ851962:CUJ852027 CKN851962:CKN852027 CAR851962:CAR852027 BQV851962:BQV852027 BGZ851962:BGZ852027 AXD851962:AXD852027 ANH851962:ANH852027 ADL851962:ADL852027 TP851962:TP852027 JT851962:JT852027 X851962:X852027 WWF786426:WWF786491 WMJ786426:WMJ786491 WCN786426:WCN786491 VSR786426:VSR786491 VIV786426:VIV786491 UYZ786426:UYZ786491 UPD786426:UPD786491 UFH786426:UFH786491 TVL786426:TVL786491 TLP786426:TLP786491 TBT786426:TBT786491 SRX786426:SRX786491 SIB786426:SIB786491 RYF786426:RYF786491 ROJ786426:ROJ786491 REN786426:REN786491 QUR786426:QUR786491 QKV786426:QKV786491 QAZ786426:QAZ786491 PRD786426:PRD786491 PHH786426:PHH786491 OXL786426:OXL786491 ONP786426:ONP786491 ODT786426:ODT786491 NTX786426:NTX786491 NKB786426:NKB786491 NAF786426:NAF786491 MQJ786426:MQJ786491 MGN786426:MGN786491 LWR786426:LWR786491 LMV786426:LMV786491 LCZ786426:LCZ786491 KTD786426:KTD786491 KJH786426:KJH786491 JZL786426:JZL786491 JPP786426:JPP786491 JFT786426:JFT786491 IVX786426:IVX786491 IMB786426:IMB786491 ICF786426:ICF786491 HSJ786426:HSJ786491 HIN786426:HIN786491 GYR786426:GYR786491 GOV786426:GOV786491 GEZ786426:GEZ786491 FVD786426:FVD786491 FLH786426:FLH786491 FBL786426:FBL786491 ERP786426:ERP786491 EHT786426:EHT786491 DXX786426:DXX786491 DOB786426:DOB786491 DEF786426:DEF786491 CUJ786426:CUJ786491 CKN786426:CKN786491 CAR786426:CAR786491 BQV786426:BQV786491 BGZ786426:BGZ786491 AXD786426:AXD786491 ANH786426:ANH786491 ADL786426:ADL786491 TP786426:TP786491 JT786426:JT786491 X786426:X786491 WWF720890:WWF720955 WMJ720890:WMJ720955 WCN720890:WCN720955 VSR720890:VSR720955 VIV720890:VIV720955 UYZ720890:UYZ720955 UPD720890:UPD720955 UFH720890:UFH720955 TVL720890:TVL720955 TLP720890:TLP720955 TBT720890:TBT720955 SRX720890:SRX720955 SIB720890:SIB720955 RYF720890:RYF720955 ROJ720890:ROJ720955 REN720890:REN720955 QUR720890:QUR720955 QKV720890:QKV720955 QAZ720890:QAZ720955 PRD720890:PRD720955 PHH720890:PHH720955 OXL720890:OXL720955 ONP720890:ONP720955 ODT720890:ODT720955 NTX720890:NTX720955 NKB720890:NKB720955 NAF720890:NAF720955 MQJ720890:MQJ720955 MGN720890:MGN720955 LWR720890:LWR720955 LMV720890:LMV720955 LCZ720890:LCZ720955 KTD720890:KTD720955 KJH720890:KJH720955 JZL720890:JZL720955 JPP720890:JPP720955 JFT720890:JFT720955 IVX720890:IVX720955 IMB720890:IMB720955 ICF720890:ICF720955 HSJ720890:HSJ720955 HIN720890:HIN720955 GYR720890:GYR720955 GOV720890:GOV720955 GEZ720890:GEZ720955 FVD720890:FVD720955 FLH720890:FLH720955 FBL720890:FBL720955 ERP720890:ERP720955 EHT720890:EHT720955 DXX720890:DXX720955 DOB720890:DOB720955 DEF720890:DEF720955 CUJ720890:CUJ720955 CKN720890:CKN720955 CAR720890:CAR720955 BQV720890:BQV720955 BGZ720890:BGZ720955 AXD720890:AXD720955 ANH720890:ANH720955 ADL720890:ADL720955 TP720890:TP720955 JT720890:JT720955 X720890:X720955 WWF655354:WWF655419 WMJ655354:WMJ655419 WCN655354:WCN655419 VSR655354:VSR655419 VIV655354:VIV655419 UYZ655354:UYZ655419 UPD655354:UPD655419 UFH655354:UFH655419 TVL655354:TVL655419 TLP655354:TLP655419 TBT655354:TBT655419 SRX655354:SRX655419 SIB655354:SIB655419 RYF655354:RYF655419 ROJ655354:ROJ655419 REN655354:REN655419 QUR655354:QUR655419 QKV655354:QKV655419 QAZ655354:QAZ655419 PRD655354:PRD655419 PHH655354:PHH655419 OXL655354:OXL655419 ONP655354:ONP655419 ODT655354:ODT655419 NTX655354:NTX655419 NKB655354:NKB655419 NAF655354:NAF655419 MQJ655354:MQJ655419 MGN655354:MGN655419 LWR655354:LWR655419 LMV655354:LMV655419 LCZ655354:LCZ655419 KTD655354:KTD655419 KJH655354:KJH655419 JZL655354:JZL655419 JPP655354:JPP655419 JFT655354:JFT655419 IVX655354:IVX655419 IMB655354:IMB655419 ICF655354:ICF655419 HSJ655354:HSJ655419 HIN655354:HIN655419 GYR655354:GYR655419 GOV655354:GOV655419 GEZ655354:GEZ655419 FVD655354:FVD655419 FLH655354:FLH655419 FBL655354:FBL655419 ERP655354:ERP655419 EHT655354:EHT655419 DXX655354:DXX655419 DOB655354:DOB655419 DEF655354:DEF655419 CUJ655354:CUJ655419 CKN655354:CKN655419 CAR655354:CAR655419 BQV655354:BQV655419 BGZ655354:BGZ655419 AXD655354:AXD655419 ANH655354:ANH655419 ADL655354:ADL655419 TP655354:TP655419 JT655354:JT655419 X655354:X655419 WWF589818:WWF589883 WMJ589818:WMJ589883 WCN589818:WCN589883 VSR589818:VSR589883 VIV589818:VIV589883 UYZ589818:UYZ589883 UPD589818:UPD589883 UFH589818:UFH589883 TVL589818:TVL589883 TLP589818:TLP589883 TBT589818:TBT589883 SRX589818:SRX589883 SIB589818:SIB589883 RYF589818:RYF589883 ROJ589818:ROJ589883 REN589818:REN589883 QUR589818:QUR589883 QKV589818:QKV589883 QAZ589818:QAZ589883 PRD589818:PRD589883 PHH589818:PHH589883 OXL589818:OXL589883 ONP589818:ONP589883 ODT589818:ODT589883 NTX589818:NTX589883 NKB589818:NKB589883 NAF589818:NAF589883 MQJ589818:MQJ589883 MGN589818:MGN589883 LWR589818:LWR589883 LMV589818:LMV589883 LCZ589818:LCZ589883 KTD589818:KTD589883 KJH589818:KJH589883 JZL589818:JZL589883 JPP589818:JPP589883 JFT589818:JFT589883 IVX589818:IVX589883 IMB589818:IMB589883 ICF589818:ICF589883 HSJ589818:HSJ589883 HIN589818:HIN589883 GYR589818:GYR589883 GOV589818:GOV589883 GEZ589818:GEZ589883 FVD589818:FVD589883 FLH589818:FLH589883 FBL589818:FBL589883 ERP589818:ERP589883 EHT589818:EHT589883 DXX589818:DXX589883 DOB589818:DOB589883 DEF589818:DEF589883 CUJ589818:CUJ589883 CKN589818:CKN589883 CAR589818:CAR589883 BQV589818:BQV589883 BGZ589818:BGZ589883 AXD589818:AXD589883 ANH589818:ANH589883 ADL589818:ADL589883 TP589818:TP589883 JT589818:JT589883 X589818:X589883 WWF524282:WWF524347 WMJ524282:WMJ524347 WCN524282:WCN524347 VSR524282:VSR524347 VIV524282:VIV524347 UYZ524282:UYZ524347 UPD524282:UPD524347 UFH524282:UFH524347 TVL524282:TVL524347 TLP524282:TLP524347 TBT524282:TBT524347 SRX524282:SRX524347 SIB524282:SIB524347 RYF524282:RYF524347 ROJ524282:ROJ524347 REN524282:REN524347 QUR524282:QUR524347 QKV524282:QKV524347 QAZ524282:QAZ524347 PRD524282:PRD524347 PHH524282:PHH524347 OXL524282:OXL524347 ONP524282:ONP524347 ODT524282:ODT524347 NTX524282:NTX524347 NKB524282:NKB524347 NAF524282:NAF524347 MQJ524282:MQJ524347 MGN524282:MGN524347 LWR524282:LWR524347 LMV524282:LMV524347 LCZ524282:LCZ524347 KTD524282:KTD524347 KJH524282:KJH524347 JZL524282:JZL524347 JPP524282:JPP524347 JFT524282:JFT524347 IVX524282:IVX524347 IMB524282:IMB524347 ICF524282:ICF524347 HSJ524282:HSJ524347 HIN524282:HIN524347 GYR524282:GYR524347 GOV524282:GOV524347 GEZ524282:GEZ524347 FVD524282:FVD524347 FLH524282:FLH524347 FBL524282:FBL524347 ERP524282:ERP524347 EHT524282:EHT524347 DXX524282:DXX524347 DOB524282:DOB524347 DEF524282:DEF524347 CUJ524282:CUJ524347 CKN524282:CKN524347 CAR524282:CAR524347 BQV524282:BQV524347 BGZ524282:BGZ524347 AXD524282:AXD524347 ANH524282:ANH524347 ADL524282:ADL524347 TP524282:TP524347 JT524282:JT524347 X524282:X524347 WWF458746:WWF458811 WMJ458746:WMJ458811 WCN458746:WCN458811 VSR458746:VSR458811 VIV458746:VIV458811 UYZ458746:UYZ458811 UPD458746:UPD458811 UFH458746:UFH458811 TVL458746:TVL458811 TLP458746:TLP458811 TBT458746:TBT458811 SRX458746:SRX458811 SIB458746:SIB458811 RYF458746:RYF458811 ROJ458746:ROJ458811 REN458746:REN458811 QUR458746:QUR458811 QKV458746:QKV458811 QAZ458746:QAZ458811 PRD458746:PRD458811 PHH458746:PHH458811 OXL458746:OXL458811 ONP458746:ONP458811 ODT458746:ODT458811 NTX458746:NTX458811 NKB458746:NKB458811 NAF458746:NAF458811 MQJ458746:MQJ458811 MGN458746:MGN458811 LWR458746:LWR458811 LMV458746:LMV458811 LCZ458746:LCZ458811 KTD458746:KTD458811 KJH458746:KJH458811 JZL458746:JZL458811 JPP458746:JPP458811 JFT458746:JFT458811 IVX458746:IVX458811 IMB458746:IMB458811 ICF458746:ICF458811 HSJ458746:HSJ458811 HIN458746:HIN458811 GYR458746:GYR458811 GOV458746:GOV458811 GEZ458746:GEZ458811 FVD458746:FVD458811 FLH458746:FLH458811 FBL458746:FBL458811 ERP458746:ERP458811 EHT458746:EHT458811 DXX458746:DXX458811 DOB458746:DOB458811 DEF458746:DEF458811 CUJ458746:CUJ458811 CKN458746:CKN458811 CAR458746:CAR458811 BQV458746:BQV458811 BGZ458746:BGZ458811 AXD458746:AXD458811 ANH458746:ANH458811 ADL458746:ADL458811 TP458746:TP458811 JT458746:JT458811 X458746:X458811 WWF393210:WWF393275 WMJ393210:WMJ393275 WCN393210:WCN393275 VSR393210:VSR393275 VIV393210:VIV393275 UYZ393210:UYZ393275 UPD393210:UPD393275 UFH393210:UFH393275 TVL393210:TVL393275 TLP393210:TLP393275 TBT393210:TBT393275 SRX393210:SRX393275 SIB393210:SIB393275 RYF393210:RYF393275 ROJ393210:ROJ393275 REN393210:REN393275 QUR393210:QUR393275 QKV393210:QKV393275 QAZ393210:QAZ393275 PRD393210:PRD393275 PHH393210:PHH393275 OXL393210:OXL393275 ONP393210:ONP393275 ODT393210:ODT393275 NTX393210:NTX393275 NKB393210:NKB393275 NAF393210:NAF393275 MQJ393210:MQJ393275 MGN393210:MGN393275 LWR393210:LWR393275 LMV393210:LMV393275 LCZ393210:LCZ393275 KTD393210:KTD393275 KJH393210:KJH393275 JZL393210:JZL393275 JPP393210:JPP393275 JFT393210:JFT393275 IVX393210:IVX393275 IMB393210:IMB393275 ICF393210:ICF393275 HSJ393210:HSJ393275 HIN393210:HIN393275 GYR393210:GYR393275 GOV393210:GOV393275 GEZ393210:GEZ393275 FVD393210:FVD393275 FLH393210:FLH393275 FBL393210:FBL393275 ERP393210:ERP393275 EHT393210:EHT393275 DXX393210:DXX393275 DOB393210:DOB393275 DEF393210:DEF393275 CUJ393210:CUJ393275 CKN393210:CKN393275 CAR393210:CAR393275 BQV393210:BQV393275 BGZ393210:BGZ393275 AXD393210:AXD393275 ANH393210:ANH393275 ADL393210:ADL393275 TP393210:TP393275 JT393210:JT393275 X393210:X393275 WWF327674:WWF327739 WMJ327674:WMJ327739 WCN327674:WCN327739 VSR327674:VSR327739 VIV327674:VIV327739 UYZ327674:UYZ327739 UPD327674:UPD327739 UFH327674:UFH327739 TVL327674:TVL327739 TLP327674:TLP327739 TBT327674:TBT327739 SRX327674:SRX327739 SIB327674:SIB327739 RYF327674:RYF327739 ROJ327674:ROJ327739 REN327674:REN327739 QUR327674:QUR327739 QKV327674:QKV327739 QAZ327674:QAZ327739 PRD327674:PRD327739 PHH327674:PHH327739 OXL327674:OXL327739 ONP327674:ONP327739 ODT327674:ODT327739 NTX327674:NTX327739 NKB327674:NKB327739 NAF327674:NAF327739 MQJ327674:MQJ327739 MGN327674:MGN327739 LWR327674:LWR327739 LMV327674:LMV327739 LCZ327674:LCZ327739 KTD327674:KTD327739 KJH327674:KJH327739 JZL327674:JZL327739 JPP327674:JPP327739 JFT327674:JFT327739 IVX327674:IVX327739 IMB327674:IMB327739 ICF327674:ICF327739 HSJ327674:HSJ327739 HIN327674:HIN327739 GYR327674:GYR327739 GOV327674:GOV327739 GEZ327674:GEZ327739 FVD327674:FVD327739 FLH327674:FLH327739 FBL327674:FBL327739 ERP327674:ERP327739 EHT327674:EHT327739 DXX327674:DXX327739 DOB327674:DOB327739 DEF327674:DEF327739 CUJ327674:CUJ327739 CKN327674:CKN327739 CAR327674:CAR327739 BQV327674:BQV327739 BGZ327674:BGZ327739 AXD327674:AXD327739 ANH327674:ANH327739 ADL327674:ADL327739 TP327674:TP327739 JT327674:JT327739 X327674:X327739 WWF262138:WWF262203 WMJ262138:WMJ262203 WCN262138:WCN262203 VSR262138:VSR262203 VIV262138:VIV262203 UYZ262138:UYZ262203 UPD262138:UPD262203 UFH262138:UFH262203 TVL262138:TVL262203 TLP262138:TLP262203 TBT262138:TBT262203 SRX262138:SRX262203 SIB262138:SIB262203 RYF262138:RYF262203 ROJ262138:ROJ262203 REN262138:REN262203 QUR262138:QUR262203 QKV262138:QKV262203 QAZ262138:QAZ262203 PRD262138:PRD262203 PHH262138:PHH262203 OXL262138:OXL262203 ONP262138:ONP262203 ODT262138:ODT262203 NTX262138:NTX262203 NKB262138:NKB262203 NAF262138:NAF262203 MQJ262138:MQJ262203 MGN262138:MGN262203 LWR262138:LWR262203 LMV262138:LMV262203 LCZ262138:LCZ262203 KTD262138:KTD262203 KJH262138:KJH262203 JZL262138:JZL262203 JPP262138:JPP262203 JFT262138:JFT262203 IVX262138:IVX262203 IMB262138:IMB262203 ICF262138:ICF262203 HSJ262138:HSJ262203 HIN262138:HIN262203 GYR262138:GYR262203 GOV262138:GOV262203 GEZ262138:GEZ262203 FVD262138:FVD262203 FLH262138:FLH262203 FBL262138:FBL262203 ERP262138:ERP262203 EHT262138:EHT262203 DXX262138:DXX262203 DOB262138:DOB262203 DEF262138:DEF262203 CUJ262138:CUJ262203 CKN262138:CKN262203 CAR262138:CAR262203 BQV262138:BQV262203 BGZ262138:BGZ262203 AXD262138:AXD262203 ANH262138:ANH262203 ADL262138:ADL262203 TP262138:TP262203 JT262138:JT262203 X262138:X262203 WWF196602:WWF196667 WMJ196602:WMJ196667 WCN196602:WCN196667 VSR196602:VSR196667 VIV196602:VIV196667 UYZ196602:UYZ196667 UPD196602:UPD196667 UFH196602:UFH196667 TVL196602:TVL196667 TLP196602:TLP196667 TBT196602:TBT196667 SRX196602:SRX196667 SIB196602:SIB196667 RYF196602:RYF196667 ROJ196602:ROJ196667 REN196602:REN196667 QUR196602:QUR196667 QKV196602:QKV196667 QAZ196602:QAZ196667 PRD196602:PRD196667 PHH196602:PHH196667 OXL196602:OXL196667 ONP196602:ONP196667 ODT196602:ODT196667 NTX196602:NTX196667 NKB196602:NKB196667 NAF196602:NAF196667 MQJ196602:MQJ196667 MGN196602:MGN196667 LWR196602:LWR196667 LMV196602:LMV196667 LCZ196602:LCZ196667 KTD196602:KTD196667 KJH196602:KJH196667 JZL196602:JZL196667 JPP196602:JPP196667 JFT196602:JFT196667 IVX196602:IVX196667 IMB196602:IMB196667 ICF196602:ICF196667 HSJ196602:HSJ196667 HIN196602:HIN196667 GYR196602:GYR196667 GOV196602:GOV196667 GEZ196602:GEZ196667 FVD196602:FVD196667 FLH196602:FLH196667 FBL196602:FBL196667 ERP196602:ERP196667 EHT196602:EHT196667 DXX196602:DXX196667 DOB196602:DOB196667 DEF196602:DEF196667 CUJ196602:CUJ196667 CKN196602:CKN196667 CAR196602:CAR196667 BQV196602:BQV196667 BGZ196602:BGZ196667 AXD196602:AXD196667 ANH196602:ANH196667 ADL196602:ADL196667 TP196602:TP196667 JT196602:JT196667 X196602:X196667 WWF131066:WWF131131 WMJ131066:WMJ131131 WCN131066:WCN131131 VSR131066:VSR131131 VIV131066:VIV131131 UYZ131066:UYZ131131 UPD131066:UPD131131 UFH131066:UFH131131 TVL131066:TVL131131 TLP131066:TLP131131 TBT131066:TBT131131 SRX131066:SRX131131 SIB131066:SIB131131 RYF131066:RYF131131 ROJ131066:ROJ131131 REN131066:REN131131 QUR131066:QUR131131 QKV131066:QKV131131 QAZ131066:QAZ131131 PRD131066:PRD131131 PHH131066:PHH131131 OXL131066:OXL131131 ONP131066:ONP131131 ODT131066:ODT131131 NTX131066:NTX131131 NKB131066:NKB131131 NAF131066:NAF131131 MQJ131066:MQJ131131 MGN131066:MGN131131 LWR131066:LWR131131 LMV131066:LMV131131 LCZ131066:LCZ131131 KTD131066:KTD131131 KJH131066:KJH131131 JZL131066:JZL131131 JPP131066:JPP131131 JFT131066:JFT131131 IVX131066:IVX131131 IMB131066:IMB131131 ICF131066:ICF131131 HSJ131066:HSJ131131 HIN131066:HIN131131 GYR131066:GYR131131 GOV131066:GOV131131 GEZ131066:GEZ131131 FVD131066:FVD131131 FLH131066:FLH131131 FBL131066:FBL131131 ERP131066:ERP131131 EHT131066:EHT131131 DXX131066:DXX131131 DOB131066:DOB131131 DEF131066:DEF131131 CUJ131066:CUJ131131 CKN131066:CKN131131 CAR131066:CAR131131 BQV131066:BQV131131 BGZ131066:BGZ131131 AXD131066:AXD131131 ANH131066:ANH131131 ADL131066:ADL131131 TP131066:TP131131 JT131066:JT131131 X131066:X131131 WWF65530:WWF65595 WMJ65530:WMJ65595 WCN65530:WCN65595 VSR65530:VSR65595 VIV65530:VIV65595 UYZ65530:UYZ65595 UPD65530:UPD65595 UFH65530:UFH65595 TVL65530:TVL65595 TLP65530:TLP65595 TBT65530:TBT65595 SRX65530:SRX65595 SIB65530:SIB65595 RYF65530:RYF65595 ROJ65530:ROJ65595 REN65530:REN65595 QUR65530:QUR65595 QKV65530:QKV65595 QAZ65530:QAZ65595 PRD65530:PRD65595 PHH65530:PHH65595 OXL65530:OXL65595 ONP65530:ONP65595 ODT65530:ODT65595 NTX65530:NTX65595 NKB65530:NKB65595 NAF65530:NAF65595 MQJ65530:MQJ65595 MGN65530:MGN65595 LWR65530:LWR65595 LMV65530:LMV65595 LCZ65530:LCZ65595 KTD65530:KTD65595 KJH65530:KJH65595 JZL65530:JZL65595 JPP65530:JPP65595 JFT65530:JFT65595 IVX65530:IVX65595 IMB65530:IMB65595 ICF65530:ICF65595 HSJ65530:HSJ65595 HIN65530:HIN65595 GYR65530:GYR65595 GOV65530:GOV65595 GEZ65530:GEZ65595 FVD65530:FVD65595 FLH65530:FLH65595 FBL65530:FBL65595 ERP65530:ERP65595 EHT65530:EHT65595 DXX65530:DXX65595 DOB65530:DOB65595 DEF65530:DEF65595 CUJ65530:CUJ65595 CKN65530:CKN65595 CAR65530:CAR65595 BQV65530:BQV65595 BGZ65530:BGZ65595 AXD65530:AXD65595 ANH65530:ANH65595 ADL65530:ADL65595 TP65530:TP65595 JT65530:JT65595 X65530:X65595 WWF983034:WWF983099 WWF1047395:WWF1047460 WMJ1047395:WMJ1047460 WCN1047395:WCN1047460 VSR1047395:VSR1047460 VIV1047395:VIV1047460 UYZ1047395:UYZ1047460 UPD1047395:UPD1047460 UFH1047395:UFH1047460 TVL1047395:TVL1047460 TLP1047395:TLP1047460 TBT1047395:TBT1047460 SRX1047395:SRX1047460 SIB1047395:SIB1047460 RYF1047395:RYF1047460 ROJ1047395:ROJ1047460 REN1047395:REN1047460 QUR1047395:QUR1047460 QKV1047395:QKV1047460 QAZ1047395:QAZ1047460 PRD1047395:PRD1047460 PHH1047395:PHH1047460 OXL1047395:OXL1047460 ONP1047395:ONP1047460 ODT1047395:ODT1047460 NTX1047395:NTX1047460 NKB1047395:NKB1047460 NAF1047395:NAF1047460 MQJ1047395:MQJ1047460 MGN1047395:MGN1047460 LWR1047395:LWR1047460 LMV1047395:LMV1047460 LCZ1047395:LCZ1047460 KTD1047395:KTD1047460 KJH1047395:KJH1047460 JZL1047395:JZL1047460 JPP1047395:JPP1047460 JFT1047395:JFT1047460 IVX1047395:IVX1047460 IMB1047395:IMB1047460 ICF1047395:ICF1047460 HSJ1047395:HSJ1047460 HIN1047395:HIN1047460 GYR1047395:GYR1047460 GOV1047395:GOV1047460 GEZ1047395:GEZ1047460 FVD1047395:FVD1047460 FLH1047395:FLH1047460 FBL1047395:FBL1047460 ERP1047395:ERP1047460 EHT1047395:EHT1047460 DXX1047395:DXX1047460 DOB1047395:DOB1047460 DEF1047395:DEF1047460 CUJ1047395:CUJ1047460 CKN1047395:CKN1047460 CAR1047395:CAR1047460 BQV1047395:BQV1047460 BGZ1047395:BGZ1047460 AXD1047395:AXD1047460 ANH1047395:ANH1047460 ADL1047395:ADL1047460 TP1047395:TP1047460 JT1047395:JT1047460 X1047395:X1047460 WWF981859:WWF981924 WMJ981859:WMJ981924 WCN981859:WCN981924 VSR981859:VSR981924 VIV981859:VIV981924 UYZ981859:UYZ981924 UPD981859:UPD981924 UFH981859:UFH981924 TVL981859:TVL981924 TLP981859:TLP981924 TBT981859:TBT981924 SRX981859:SRX981924 SIB981859:SIB981924 RYF981859:RYF981924 ROJ981859:ROJ981924 REN981859:REN981924 QUR981859:QUR981924 QKV981859:QKV981924 QAZ981859:QAZ981924 PRD981859:PRD981924 PHH981859:PHH981924 OXL981859:OXL981924 ONP981859:ONP981924 ODT981859:ODT981924 NTX981859:NTX981924 NKB981859:NKB981924 NAF981859:NAF981924 MQJ981859:MQJ981924 MGN981859:MGN981924 LWR981859:LWR981924 LMV981859:LMV981924 LCZ981859:LCZ981924 KTD981859:KTD981924 KJH981859:KJH981924 JZL981859:JZL981924 JPP981859:JPP981924 JFT981859:JFT981924 IVX981859:IVX981924 IMB981859:IMB981924 ICF981859:ICF981924 HSJ981859:HSJ981924 HIN981859:HIN981924 GYR981859:GYR981924 GOV981859:GOV981924 GEZ981859:GEZ981924 FVD981859:FVD981924 FLH981859:FLH981924 FBL981859:FBL981924 ERP981859:ERP981924 EHT981859:EHT981924 DXX981859:DXX981924 DOB981859:DOB981924 DEF981859:DEF981924 CUJ981859:CUJ981924 CKN981859:CKN981924 CAR981859:CAR981924 BQV981859:BQV981924 BGZ981859:BGZ981924 AXD981859:AXD981924 ANH981859:ANH981924 ADL981859:ADL981924 TP981859:TP981924 JT981859:JT981924 X981859:X981924 WWF916323:WWF916388 WMJ916323:WMJ916388 WCN916323:WCN916388 VSR916323:VSR916388 VIV916323:VIV916388 UYZ916323:UYZ916388 UPD916323:UPD916388 UFH916323:UFH916388 TVL916323:TVL916388 TLP916323:TLP916388 TBT916323:TBT916388 SRX916323:SRX916388 SIB916323:SIB916388 RYF916323:RYF916388 ROJ916323:ROJ916388 REN916323:REN916388 QUR916323:QUR916388 QKV916323:QKV916388 QAZ916323:QAZ916388 PRD916323:PRD916388 PHH916323:PHH916388 OXL916323:OXL916388 ONP916323:ONP916388 ODT916323:ODT916388 NTX916323:NTX916388 NKB916323:NKB916388 NAF916323:NAF916388 MQJ916323:MQJ916388 MGN916323:MGN916388 LWR916323:LWR916388 LMV916323:LMV916388 LCZ916323:LCZ916388 KTD916323:KTD916388 KJH916323:KJH916388 JZL916323:JZL916388 JPP916323:JPP916388 JFT916323:JFT916388 IVX916323:IVX916388 IMB916323:IMB916388 ICF916323:ICF916388 HSJ916323:HSJ916388 HIN916323:HIN916388 GYR916323:GYR916388 GOV916323:GOV916388 GEZ916323:GEZ916388 FVD916323:FVD916388 FLH916323:FLH916388 FBL916323:FBL916388 ERP916323:ERP916388 EHT916323:EHT916388 DXX916323:DXX916388 DOB916323:DOB916388 DEF916323:DEF916388 CUJ916323:CUJ916388 CKN916323:CKN916388 CAR916323:CAR916388 BQV916323:BQV916388 BGZ916323:BGZ916388 AXD916323:AXD916388 ANH916323:ANH916388 ADL916323:ADL916388 TP916323:TP916388 JT916323:JT916388 X916323:X916388 WWF850787:WWF850852 WMJ850787:WMJ850852 WCN850787:WCN850852 VSR850787:VSR850852 VIV850787:VIV850852 UYZ850787:UYZ850852 UPD850787:UPD850852 UFH850787:UFH850852 TVL850787:TVL850852 TLP850787:TLP850852 TBT850787:TBT850852 SRX850787:SRX850852 SIB850787:SIB850852 RYF850787:RYF850852 ROJ850787:ROJ850852 REN850787:REN850852 QUR850787:QUR850852 QKV850787:QKV850852 QAZ850787:QAZ850852 PRD850787:PRD850852 PHH850787:PHH850852 OXL850787:OXL850852 ONP850787:ONP850852 ODT850787:ODT850852 NTX850787:NTX850852 NKB850787:NKB850852 NAF850787:NAF850852 MQJ850787:MQJ850852 MGN850787:MGN850852 LWR850787:LWR850852 LMV850787:LMV850852 LCZ850787:LCZ850852 KTD850787:KTD850852 KJH850787:KJH850852 JZL850787:JZL850852 JPP850787:JPP850852 JFT850787:JFT850852 IVX850787:IVX850852 IMB850787:IMB850852 ICF850787:ICF850852 HSJ850787:HSJ850852 HIN850787:HIN850852 GYR850787:GYR850852 GOV850787:GOV850852 GEZ850787:GEZ850852 FVD850787:FVD850852 FLH850787:FLH850852 FBL850787:FBL850852 ERP850787:ERP850852 EHT850787:EHT850852 DXX850787:DXX850852 DOB850787:DOB850852 DEF850787:DEF850852 CUJ850787:CUJ850852 CKN850787:CKN850852 CAR850787:CAR850852 BQV850787:BQV850852 BGZ850787:BGZ850852 AXD850787:AXD850852 ANH850787:ANH850852 ADL850787:ADL850852 TP850787:TP850852 JT850787:JT850852 X850787:X850852 WWF785251:WWF785316 WMJ785251:WMJ785316 WCN785251:WCN785316 VSR785251:VSR785316 VIV785251:VIV785316 UYZ785251:UYZ785316 UPD785251:UPD785316 UFH785251:UFH785316 TVL785251:TVL785316 TLP785251:TLP785316 TBT785251:TBT785316 SRX785251:SRX785316 SIB785251:SIB785316 RYF785251:RYF785316 ROJ785251:ROJ785316 REN785251:REN785316 QUR785251:QUR785316 QKV785251:QKV785316 QAZ785251:QAZ785316 PRD785251:PRD785316 PHH785251:PHH785316 OXL785251:OXL785316 ONP785251:ONP785316 ODT785251:ODT785316 NTX785251:NTX785316 NKB785251:NKB785316 NAF785251:NAF785316 MQJ785251:MQJ785316 MGN785251:MGN785316 LWR785251:LWR785316 LMV785251:LMV785316 LCZ785251:LCZ785316 KTD785251:KTD785316 KJH785251:KJH785316 JZL785251:JZL785316 JPP785251:JPP785316 JFT785251:JFT785316 IVX785251:IVX785316 IMB785251:IMB785316 ICF785251:ICF785316 HSJ785251:HSJ785316 HIN785251:HIN785316 GYR785251:GYR785316 GOV785251:GOV785316 GEZ785251:GEZ785316 FVD785251:FVD785316 FLH785251:FLH785316 FBL785251:FBL785316 ERP785251:ERP785316 EHT785251:EHT785316 DXX785251:DXX785316 DOB785251:DOB785316 DEF785251:DEF785316 CUJ785251:CUJ785316 CKN785251:CKN785316 CAR785251:CAR785316 BQV785251:BQV785316 BGZ785251:BGZ785316 AXD785251:AXD785316 ANH785251:ANH785316 ADL785251:ADL785316 TP785251:TP785316 JT785251:JT785316 X785251:X785316 WWF719715:WWF719780 WMJ719715:WMJ719780 WCN719715:WCN719780 VSR719715:VSR719780 VIV719715:VIV719780 UYZ719715:UYZ719780 UPD719715:UPD719780 UFH719715:UFH719780 TVL719715:TVL719780 TLP719715:TLP719780 TBT719715:TBT719780 SRX719715:SRX719780 SIB719715:SIB719780 RYF719715:RYF719780 ROJ719715:ROJ719780 REN719715:REN719780 QUR719715:QUR719780 QKV719715:QKV719780 QAZ719715:QAZ719780 PRD719715:PRD719780 PHH719715:PHH719780 OXL719715:OXL719780 ONP719715:ONP719780 ODT719715:ODT719780 NTX719715:NTX719780 NKB719715:NKB719780 NAF719715:NAF719780 MQJ719715:MQJ719780 MGN719715:MGN719780 LWR719715:LWR719780 LMV719715:LMV719780 LCZ719715:LCZ719780 KTD719715:KTD719780 KJH719715:KJH719780 JZL719715:JZL719780 JPP719715:JPP719780 JFT719715:JFT719780 IVX719715:IVX719780 IMB719715:IMB719780 ICF719715:ICF719780 HSJ719715:HSJ719780 HIN719715:HIN719780 GYR719715:GYR719780 GOV719715:GOV719780 GEZ719715:GEZ719780 FVD719715:FVD719780 FLH719715:FLH719780 FBL719715:FBL719780 ERP719715:ERP719780 EHT719715:EHT719780 DXX719715:DXX719780 DOB719715:DOB719780 DEF719715:DEF719780 CUJ719715:CUJ719780 CKN719715:CKN719780 CAR719715:CAR719780 BQV719715:BQV719780 BGZ719715:BGZ719780 AXD719715:AXD719780 ANH719715:ANH719780 ADL719715:ADL719780 TP719715:TP719780 JT719715:JT719780 X719715:X719780 WWF654179:WWF654244 WMJ654179:WMJ654244 WCN654179:WCN654244 VSR654179:VSR654244 VIV654179:VIV654244 UYZ654179:UYZ654244 UPD654179:UPD654244 UFH654179:UFH654244 TVL654179:TVL654244 TLP654179:TLP654244 TBT654179:TBT654244 SRX654179:SRX654244 SIB654179:SIB654244 RYF654179:RYF654244 ROJ654179:ROJ654244 REN654179:REN654244 QUR654179:QUR654244 QKV654179:QKV654244 QAZ654179:QAZ654244 PRD654179:PRD654244 PHH654179:PHH654244 OXL654179:OXL654244 ONP654179:ONP654244 ODT654179:ODT654244 NTX654179:NTX654244 NKB654179:NKB654244 NAF654179:NAF654244 MQJ654179:MQJ654244 MGN654179:MGN654244 LWR654179:LWR654244 LMV654179:LMV654244 LCZ654179:LCZ654244 KTD654179:KTD654244 KJH654179:KJH654244 JZL654179:JZL654244 JPP654179:JPP654244 JFT654179:JFT654244 IVX654179:IVX654244 IMB654179:IMB654244 ICF654179:ICF654244 HSJ654179:HSJ654244 HIN654179:HIN654244 GYR654179:GYR654244 GOV654179:GOV654244 GEZ654179:GEZ654244 FVD654179:FVD654244 FLH654179:FLH654244 FBL654179:FBL654244 ERP654179:ERP654244 EHT654179:EHT654244 DXX654179:DXX654244 DOB654179:DOB654244 DEF654179:DEF654244 CUJ654179:CUJ654244 CKN654179:CKN654244 CAR654179:CAR654244 BQV654179:BQV654244 BGZ654179:BGZ654244 AXD654179:AXD654244 ANH654179:ANH654244 ADL654179:ADL654244 TP654179:TP654244 JT654179:JT654244 X654179:X654244 WWF588643:WWF588708 WMJ588643:WMJ588708 WCN588643:WCN588708 VSR588643:VSR588708 VIV588643:VIV588708 UYZ588643:UYZ588708 UPD588643:UPD588708 UFH588643:UFH588708 TVL588643:TVL588708 TLP588643:TLP588708 TBT588643:TBT588708 SRX588643:SRX588708 SIB588643:SIB588708 RYF588643:RYF588708 ROJ588643:ROJ588708 REN588643:REN588708 QUR588643:QUR588708 QKV588643:QKV588708 QAZ588643:QAZ588708 PRD588643:PRD588708 PHH588643:PHH588708 OXL588643:OXL588708 ONP588643:ONP588708 ODT588643:ODT588708 NTX588643:NTX588708 NKB588643:NKB588708 NAF588643:NAF588708 MQJ588643:MQJ588708 MGN588643:MGN588708 LWR588643:LWR588708 LMV588643:LMV588708 LCZ588643:LCZ588708 KTD588643:KTD588708 KJH588643:KJH588708 JZL588643:JZL588708 JPP588643:JPP588708 JFT588643:JFT588708 IVX588643:IVX588708 IMB588643:IMB588708 ICF588643:ICF588708 HSJ588643:HSJ588708 HIN588643:HIN588708 GYR588643:GYR588708 GOV588643:GOV588708 GEZ588643:GEZ588708 FVD588643:FVD588708 FLH588643:FLH588708 FBL588643:FBL588708 ERP588643:ERP588708 EHT588643:EHT588708 DXX588643:DXX588708 DOB588643:DOB588708 DEF588643:DEF588708 CUJ588643:CUJ588708 CKN588643:CKN588708 CAR588643:CAR588708 BQV588643:BQV588708 BGZ588643:BGZ588708 AXD588643:AXD588708 ANH588643:ANH588708 ADL588643:ADL588708 TP588643:TP588708 JT588643:JT588708 X588643:X588708 WWF523107:WWF523172 WMJ523107:WMJ523172 WCN523107:WCN523172 VSR523107:VSR523172 VIV523107:VIV523172 UYZ523107:UYZ523172 UPD523107:UPD523172 UFH523107:UFH523172 TVL523107:TVL523172 TLP523107:TLP523172 TBT523107:TBT523172 SRX523107:SRX523172 SIB523107:SIB523172 RYF523107:RYF523172 ROJ523107:ROJ523172 REN523107:REN523172 QUR523107:QUR523172 QKV523107:QKV523172 QAZ523107:QAZ523172 PRD523107:PRD523172 PHH523107:PHH523172 OXL523107:OXL523172 ONP523107:ONP523172 ODT523107:ODT523172 NTX523107:NTX523172 NKB523107:NKB523172 NAF523107:NAF523172 MQJ523107:MQJ523172 MGN523107:MGN523172 LWR523107:LWR523172 LMV523107:LMV523172 LCZ523107:LCZ523172 KTD523107:KTD523172 KJH523107:KJH523172 JZL523107:JZL523172 JPP523107:JPP523172 JFT523107:JFT523172 IVX523107:IVX523172 IMB523107:IMB523172 ICF523107:ICF523172 HSJ523107:HSJ523172 HIN523107:HIN523172 GYR523107:GYR523172 GOV523107:GOV523172 GEZ523107:GEZ523172 FVD523107:FVD523172 FLH523107:FLH523172 FBL523107:FBL523172 ERP523107:ERP523172 EHT523107:EHT523172 DXX523107:DXX523172 DOB523107:DOB523172 DEF523107:DEF523172 CUJ523107:CUJ523172 CKN523107:CKN523172 CAR523107:CAR523172 BQV523107:BQV523172 BGZ523107:BGZ523172 AXD523107:AXD523172 ANH523107:ANH523172 ADL523107:ADL523172 TP523107:TP523172 JT523107:JT523172 X523107:X523172 WWF457571:WWF457636 WMJ457571:WMJ457636 WCN457571:WCN457636 VSR457571:VSR457636 VIV457571:VIV457636 UYZ457571:UYZ457636 UPD457571:UPD457636 UFH457571:UFH457636 TVL457571:TVL457636 TLP457571:TLP457636 TBT457571:TBT457636 SRX457571:SRX457636 SIB457571:SIB457636 RYF457571:RYF457636 ROJ457571:ROJ457636 REN457571:REN457636 QUR457571:QUR457636 QKV457571:QKV457636 QAZ457571:QAZ457636 PRD457571:PRD457636 PHH457571:PHH457636 OXL457571:OXL457636 ONP457571:ONP457636 ODT457571:ODT457636 NTX457571:NTX457636 NKB457571:NKB457636 NAF457571:NAF457636 MQJ457571:MQJ457636 MGN457571:MGN457636 LWR457571:LWR457636 LMV457571:LMV457636 LCZ457571:LCZ457636 KTD457571:KTD457636 KJH457571:KJH457636 JZL457571:JZL457636 JPP457571:JPP457636 JFT457571:JFT457636 IVX457571:IVX457636 IMB457571:IMB457636 ICF457571:ICF457636 HSJ457571:HSJ457636 HIN457571:HIN457636 GYR457571:GYR457636 GOV457571:GOV457636 GEZ457571:GEZ457636 FVD457571:FVD457636 FLH457571:FLH457636 FBL457571:FBL457636 ERP457571:ERP457636 EHT457571:EHT457636 DXX457571:DXX457636 DOB457571:DOB457636 DEF457571:DEF457636 CUJ457571:CUJ457636 CKN457571:CKN457636 CAR457571:CAR457636 BQV457571:BQV457636 BGZ457571:BGZ457636 AXD457571:AXD457636 ANH457571:ANH457636 ADL457571:ADL457636 TP457571:TP457636 JT457571:JT457636 X457571:X457636 WWF392035:WWF392100 WMJ392035:WMJ392100 WCN392035:WCN392100 VSR392035:VSR392100 VIV392035:VIV392100 UYZ392035:UYZ392100 UPD392035:UPD392100 UFH392035:UFH392100 TVL392035:TVL392100 TLP392035:TLP392100 TBT392035:TBT392100 SRX392035:SRX392100 SIB392035:SIB392100 RYF392035:RYF392100 ROJ392035:ROJ392100 REN392035:REN392100 QUR392035:QUR392100 QKV392035:QKV392100 QAZ392035:QAZ392100 PRD392035:PRD392100 PHH392035:PHH392100 OXL392035:OXL392100 ONP392035:ONP392100 ODT392035:ODT392100 NTX392035:NTX392100 NKB392035:NKB392100 NAF392035:NAF392100 MQJ392035:MQJ392100 MGN392035:MGN392100 LWR392035:LWR392100 LMV392035:LMV392100 LCZ392035:LCZ392100 KTD392035:KTD392100 KJH392035:KJH392100 JZL392035:JZL392100 JPP392035:JPP392100 JFT392035:JFT392100 IVX392035:IVX392100 IMB392035:IMB392100 ICF392035:ICF392100 HSJ392035:HSJ392100 HIN392035:HIN392100 GYR392035:GYR392100 GOV392035:GOV392100 GEZ392035:GEZ392100 FVD392035:FVD392100 FLH392035:FLH392100 FBL392035:FBL392100 ERP392035:ERP392100 EHT392035:EHT392100 DXX392035:DXX392100 DOB392035:DOB392100 DEF392035:DEF392100 CUJ392035:CUJ392100 CKN392035:CKN392100 CAR392035:CAR392100 BQV392035:BQV392100 BGZ392035:BGZ392100 AXD392035:AXD392100 ANH392035:ANH392100 ADL392035:ADL392100 TP392035:TP392100 JT392035:JT392100 X392035:X392100 WWF326499:WWF326564 WMJ326499:WMJ326564 WCN326499:WCN326564 VSR326499:VSR326564 VIV326499:VIV326564 UYZ326499:UYZ326564 UPD326499:UPD326564 UFH326499:UFH326564 TVL326499:TVL326564 TLP326499:TLP326564 TBT326499:TBT326564 SRX326499:SRX326564 SIB326499:SIB326564 RYF326499:RYF326564 ROJ326499:ROJ326564 REN326499:REN326564 QUR326499:QUR326564 QKV326499:QKV326564 QAZ326499:QAZ326564 PRD326499:PRD326564 PHH326499:PHH326564 OXL326499:OXL326564 ONP326499:ONP326564 ODT326499:ODT326564 NTX326499:NTX326564 NKB326499:NKB326564 NAF326499:NAF326564 MQJ326499:MQJ326564 MGN326499:MGN326564 LWR326499:LWR326564 LMV326499:LMV326564 LCZ326499:LCZ326564 KTD326499:KTD326564 KJH326499:KJH326564 JZL326499:JZL326564 JPP326499:JPP326564 JFT326499:JFT326564 IVX326499:IVX326564 IMB326499:IMB326564 ICF326499:ICF326564 HSJ326499:HSJ326564 HIN326499:HIN326564 GYR326499:GYR326564 GOV326499:GOV326564 GEZ326499:GEZ326564 FVD326499:FVD326564 FLH326499:FLH326564 FBL326499:FBL326564 ERP326499:ERP326564 EHT326499:EHT326564 DXX326499:DXX326564 DOB326499:DOB326564 DEF326499:DEF326564 CUJ326499:CUJ326564 CKN326499:CKN326564 CAR326499:CAR326564 BQV326499:BQV326564 BGZ326499:BGZ326564 AXD326499:AXD326564 ANH326499:ANH326564 ADL326499:ADL326564 TP326499:TP326564 JT326499:JT326564 X326499:X326564 WWF260963:WWF261028 WMJ260963:WMJ261028 WCN260963:WCN261028 VSR260963:VSR261028 VIV260963:VIV261028 UYZ260963:UYZ261028 UPD260963:UPD261028 UFH260963:UFH261028 TVL260963:TVL261028 TLP260963:TLP261028 TBT260963:TBT261028 SRX260963:SRX261028 SIB260963:SIB261028 RYF260963:RYF261028 ROJ260963:ROJ261028 REN260963:REN261028 QUR260963:QUR261028 QKV260963:QKV261028 QAZ260963:QAZ261028 PRD260963:PRD261028 PHH260963:PHH261028 OXL260963:OXL261028 ONP260963:ONP261028 ODT260963:ODT261028 NTX260963:NTX261028 NKB260963:NKB261028 NAF260963:NAF261028 MQJ260963:MQJ261028 MGN260963:MGN261028 LWR260963:LWR261028 LMV260963:LMV261028 LCZ260963:LCZ261028 KTD260963:KTD261028 KJH260963:KJH261028 JZL260963:JZL261028 JPP260963:JPP261028 JFT260963:JFT261028 IVX260963:IVX261028 IMB260963:IMB261028 ICF260963:ICF261028 HSJ260963:HSJ261028 HIN260963:HIN261028 GYR260963:GYR261028 GOV260963:GOV261028 GEZ260963:GEZ261028 FVD260963:FVD261028 FLH260963:FLH261028 FBL260963:FBL261028 ERP260963:ERP261028 EHT260963:EHT261028 DXX260963:DXX261028 DOB260963:DOB261028 DEF260963:DEF261028 CUJ260963:CUJ261028 CKN260963:CKN261028 CAR260963:CAR261028 BQV260963:BQV261028 BGZ260963:BGZ261028 AXD260963:AXD261028 ANH260963:ANH261028 ADL260963:ADL261028 TP260963:TP261028 JT260963:JT261028 X260963:X261028 WWF195427:WWF195492 WMJ195427:WMJ195492 WCN195427:WCN195492 VSR195427:VSR195492 VIV195427:VIV195492 UYZ195427:UYZ195492 UPD195427:UPD195492 UFH195427:UFH195492 TVL195427:TVL195492 TLP195427:TLP195492 TBT195427:TBT195492 SRX195427:SRX195492 SIB195427:SIB195492 RYF195427:RYF195492 ROJ195427:ROJ195492 REN195427:REN195492 QUR195427:QUR195492 QKV195427:QKV195492 QAZ195427:QAZ195492 PRD195427:PRD195492 PHH195427:PHH195492 OXL195427:OXL195492 ONP195427:ONP195492 ODT195427:ODT195492 NTX195427:NTX195492 NKB195427:NKB195492 NAF195427:NAF195492 MQJ195427:MQJ195492 MGN195427:MGN195492 LWR195427:LWR195492 LMV195427:LMV195492 LCZ195427:LCZ195492 KTD195427:KTD195492 KJH195427:KJH195492 JZL195427:JZL195492 JPP195427:JPP195492 JFT195427:JFT195492 IVX195427:IVX195492 IMB195427:IMB195492 ICF195427:ICF195492 HSJ195427:HSJ195492 HIN195427:HIN195492 GYR195427:GYR195492 GOV195427:GOV195492 GEZ195427:GEZ195492 FVD195427:FVD195492 FLH195427:FLH195492 FBL195427:FBL195492 ERP195427:ERP195492 EHT195427:EHT195492 DXX195427:DXX195492 DOB195427:DOB195492 DEF195427:DEF195492 CUJ195427:CUJ195492 CKN195427:CKN195492 CAR195427:CAR195492 BQV195427:BQV195492 BGZ195427:BGZ195492 AXD195427:AXD195492 ANH195427:ANH195492 ADL195427:ADL195492 TP195427:TP195492 JT195427:JT195492 X195427:X195492 WWF129891:WWF129956 WMJ129891:WMJ129956 WCN129891:WCN129956 VSR129891:VSR129956 VIV129891:VIV129956 UYZ129891:UYZ129956 UPD129891:UPD129956 UFH129891:UFH129956 TVL129891:TVL129956 TLP129891:TLP129956 TBT129891:TBT129956 SRX129891:SRX129956 SIB129891:SIB129956 RYF129891:RYF129956 ROJ129891:ROJ129956 REN129891:REN129956 QUR129891:QUR129956 QKV129891:QKV129956 QAZ129891:QAZ129956 PRD129891:PRD129956 PHH129891:PHH129956 OXL129891:OXL129956 ONP129891:ONP129956 ODT129891:ODT129956 NTX129891:NTX129956 NKB129891:NKB129956 NAF129891:NAF129956 MQJ129891:MQJ129956 MGN129891:MGN129956 LWR129891:LWR129956 LMV129891:LMV129956 LCZ129891:LCZ129956 KTD129891:KTD129956 KJH129891:KJH129956 JZL129891:JZL129956 JPP129891:JPP129956 JFT129891:JFT129956 IVX129891:IVX129956 IMB129891:IMB129956 ICF129891:ICF129956 HSJ129891:HSJ129956 HIN129891:HIN129956 GYR129891:GYR129956 GOV129891:GOV129956 GEZ129891:GEZ129956 FVD129891:FVD129956 FLH129891:FLH129956 FBL129891:FBL129956 ERP129891:ERP129956 EHT129891:EHT129956 DXX129891:DXX129956 DOB129891:DOB129956 DEF129891:DEF129956 CUJ129891:CUJ129956 CKN129891:CKN129956 CAR129891:CAR129956 BQV129891:BQV129956 BGZ129891:BGZ129956 AXD129891:AXD129956 ANH129891:ANH129956 ADL129891:ADL129956 TP129891:TP129956 JT129891:JT129956 X129891:X129956 WWF64355:WWF64420 WMJ64355:WMJ64420 WCN64355:WCN64420 VSR64355:VSR64420 VIV64355:VIV64420 UYZ64355:UYZ64420 UPD64355:UPD64420 UFH64355:UFH64420 TVL64355:TVL64420 TLP64355:TLP64420 TBT64355:TBT64420 SRX64355:SRX64420 SIB64355:SIB64420 RYF64355:RYF64420 ROJ64355:ROJ64420 REN64355:REN64420 QUR64355:QUR64420 QKV64355:QKV64420 QAZ64355:QAZ64420 PRD64355:PRD64420 PHH64355:PHH64420 OXL64355:OXL64420 ONP64355:ONP64420 ODT64355:ODT64420 NTX64355:NTX64420 NKB64355:NKB64420 NAF64355:NAF64420 MQJ64355:MQJ64420 MGN64355:MGN64420 LWR64355:LWR64420 LMV64355:LMV64420 LCZ64355:LCZ64420 KTD64355:KTD64420 KJH64355:KJH64420 JZL64355:JZL64420 JPP64355:JPP64420 JFT64355:JFT64420 IVX64355:IVX64420 IMB64355:IMB64420 ICF64355:ICF64420 HSJ64355:HSJ64420 HIN64355:HIN64420 GYR64355:GYR64420 GOV64355:GOV64420 GEZ64355:GEZ64420 FVD64355:FVD64420 FLH64355:FLH64420 FBL64355:FBL64420 ERP64355:ERP64420 EHT64355:EHT64420 DXX64355:DXX64420 DOB64355:DOB64420 DEF64355:DEF64420 CUJ64355:CUJ64420 CKN64355:CKN64420 CAR64355:CAR64420 BQV64355:BQV64420 BGZ64355:BGZ64420 AXD64355:AXD64420 ANH64355:ANH64420 ADL64355:ADL64420 TP64355:TP64420 X2:X492">
      <formula1>$AT$2:$AT$3</formula1>
    </dataValidation>
    <dataValidation type="list" allowBlank="1" showInputMessage="1" showErrorMessage="1" sqref="G64355:G64422 G2:G492 SY2:SY65 ACU2:ACU65 AMQ2:AMQ65 AWM2:AWM65 BGI2:BGI65 BQE2:BQE65 CAA2:CAA65 CJW2:CJW65 CTS2:CTS65 DDO2:DDO65 DNK2:DNK65 DXG2:DXG65 EHC2:EHC65 EQY2:EQY65 FAU2:FAU65 FKQ2:FKQ65 FUM2:FUM65 GEI2:GEI65 GOE2:GOE65 GYA2:GYA65 HHW2:HHW65 HRS2:HRS65 IBO2:IBO65 ILK2:ILK65 IVG2:IVG65 JFC2:JFC65 JOY2:JOY65 JYU2:JYU65 KIQ2:KIQ65 KSM2:KSM65 LCI2:LCI65 LME2:LME65 LWA2:LWA65 MFW2:MFW65 MPS2:MPS65 MZO2:MZO65 NJK2:NJK65 NTG2:NTG65 ODC2:ODC65 OMY2:OMY65 OWU2:OWU65 PGQ2:PGQ65 PQM2:PQM65 QAI2:QAI65 QKE2:QKE65 QUA2:QUA65 RDW2:RDW65 RNS2:RNS65 RXO2:RXO65 SHK2:SHK65 SRG2:SRG65 TBC2:TBC65 TKY2:TKY65 TUU2:TUU65 UEQ2:UEQ65 UOM2:UOM65 UYI2:UYI65 VIE2:VIE65 VSA2:VSA65 WBW2:WBW65 WLS2:WLS65 WVO2:WVO65 JC2:JC65 WLS983034:WLS983105 WBW983034:WBW983105 VSA983034:VSA983105 VIE983034:VIE983105 UYI983034:UYI983105 UOM983034:UOM983105 UEQ983034:UEQ983105 TUU983034:TUU983105 TKY983034:TKY983105 TBC983034:TBC983105 SRG983034:SRG983105 SHK983034:SHK983105 RXO983034:RXO983105 RNS983034:RNS983105 RDW983034:RDW983105 QUA983034:QUA983105 QKE983034:QKE983105 QAI983034:QAI983105 PQM983034:PQM983105 PGQ983034:PGQ983105 OWU983034:OWU983105 OMY983034:OMY983105 ODC983034:ODC983105 NTG983034:NTG983105 NJK983034:NJK983105 MZO983034:MZO983105 MPS983034:MPS983105 MFW983034:MFW983105 LWA983034:LWA983105 LME983034:LME983105 LCI983034:LCI983105 KSM983034:KSM983105 KIQ983034:KIQ983105 JYU983034:JYU983105 JOY983034:JOY983105 JFC983034:JFC983105 IVG983034:IVG983105 ILK983034:ILK983105 IBO983034:IBO983105 HRS983034:HRS983105 HHW983034:HHW983105 GYA983034:GYA983105 GOE983034:GOE983105 GEI983034:GEI983105 FUM983034:FUM983105 FKQ983034:FKQ983105 FAU983034:FAU983105 EQY983034:EQY983105 EHC983034:EHC983105 DXG983034:DXG983105 DNK983034:DNK983105 DDO983034:DDO983105 CTS983034:CTS983105 CJW983034:CJW983105 CAA983034:CAA983105 BQE983034:BQE983105 BGI983034:BGI983105 AWM983034:AWM983105 AMQ983034:AMQ983105 ACU983034:ACU983105 SY983034:SY983105 JC983034:JC983105 G983034:G983105 WVO917498:WVO917569 WLS917498:WLS917569 WBW917498:WBW917569 VSA917498:VSA917569 VIE917498:VIE917569 UYI917498:UYI917569 UOM917498:UOM917569 UEQ917498:UEQ917569 TUU917498:TUU917569 TKY917498:TKY917569 TBC917498:TBC917569 SRG917498:SRG917569 SHK917498:SHK917569 RXO917498:RXO917569 RNS917498:RNS917569 RDW917498:RDW917569 QUA917498:QUA917569 QKE917498:QKE917569 QAI917498:QAI917569 PQM917498:PQM917569 PGQ917498:PGQ917569 OWU917498:OWU917569 OMY917498:OMY917569 ODC917498:ODC917569 NTG917498:NTG917569 NJK917498:NJK917569 MZO917498:MZO917569 MPS917498:MPS917569 MFW917498:MFW917569 LWA917498:LWA917569 LME917498:LME917569 LCI917498:LCI917569 KSM917498:KSM917569 KIQ917498:KIQ917569 JYU917498:JYU917569 JOY917498:JOY917569 JFC917498:JFC917569 IVG917498:IVG917569 ILK917498:ILK917569 IBO917498:IBO917569 HRS917498:HRS917569 HHW917498:HHW917569 GYA917498:GYA917569 GOE917498:GOE917569 GEI917498:GEI917569 FUM917498:FUM917569 FKQ917498:FKQ917569 FAU917498:FAU917569 EQY917498:EQY917569 EHC917498:EHC917569 DXG917498:DXG917569 DNK917498:DNK917569 DDO917498:DDO917569 CTS917498:CTS917569 CJW917498:CJW917569 CAA917498:CAA917569 BQE917498:BQE917569 BGI917498:BGI917569 AWM917498:AWM917569 AMQ917498:AMQ917569 ACU917498:ACU917569 SY917498:SY917569 JC917498:JC917569 G917498:G917569 WVO851962:WVO852033 WLS851962:WLS852033 WBW851962:WBW852033 VSA851962:VSA852033 VIE851962:VIE852033 UYI851962:UYI852033 UOM851962:UOM852033 UEQ851962:UEQ852033 TUU851962:TUU852033 TKY851962:TKY852033 TBC851962:TBC852033 SRG851962:SRG852033 SHK851962:SHK852033 RXO851962:RXO852033 RNS851962:RNS852033 RDW851962:RDW852033 QUA851962:QUA852033 QKE851962:QKE852033 QAI851962:QAI852033 PQM851962:PQM852033 PGQ851962:PGQ852033 OWU851962:OWU852033 OMY851962:OMY852033 ODC851962:ODC852033 NTG851962:NTG852033 NJK851962:NJK852033 MZO851962:MZO852033 MPS851962:MPS852033 MFW851962:MFW852033 LWA851962:LWA852033 LME851962:LME852033 LCI851962:LCI852033 KSM851962:KSM852033 KIQ851962:KIQ852033 JYU851962:JYU852033 JOY851962:JOY852033 JFC851962:JFC852033 IVG851962:IVG852033 ILK851962:ILK852033 IBO851962:IBO852033 HRS851962:HRS852033 HHW851962:HHW852033 GYA851962:GYA852033 GOE851962:GOE852033 GEI851962:GEI852033 FUM851962:FUM852033 FKQ851962:FKQ852033 FAU851962:FAU852033 EQY851962:EQY852033 EHC851962:EHC852033 DXG851962:DXG852033 DNK851962:DNK852033 DDO851962:DDO852033 CTS851962:CTS852033 CJW851962:CJW852033 CAA851962:CAA852033 BQE851962:BQE852033 BGI851962:BGI852033 AWM851962:AWM852033 AMQ851962:AMQ852033 ACU851962:ACU852033 SY851962:SY852033 JC851962:JC852033 G851962:G852033 WVO786426:WVO786497 WLS786426:WLS786497 WBW786426:WBW786497 VSA786426:VSA786497 VIE786426:VIE786497 UYI786426:UYI786497 UOM786426:UOM786497 UEQ786426:UEQ786497 TUU786426:TUU786497 TKY786426:TKY786497 TBC786426:TBC786497 SRG786426:SRG786497 SHK786426:SHK786497 RXO786426:RXO786497 RNS786426:RNS786497 RDW786426:RDW786497 QUA786426:QUA786497 QKE786426:QKE786497 QAI786426:QAI786497 PQM786426:PQM786497 PGQ786426:PGQ786497 OWU786426:OWU786497 OMY786426:OMY786497 ODC786426:ODC786497 NTG786426:NTG786497 NJK786426:NJK786497 MZO786426:MZO786497 MPS786426:MPS786497 MFW786426:MFW786497 LWA786426:LWA786497 LME786426:LME786497 LCI786426:LCI786497 KSM786426:KSM786497 KIQ786426:KIQ786497 JYU786426:JYU786497 JOY786426:JOY786497 JFC786426:JFC786497 IVG786426:IVG786497 ILK786426:ILK786497 IBO786426:IBO786497 HRS786426:HRS786497 HHW786426:HHW786497 GYA786426:GYA786497 GOE786426:GOE786497 GEI786426:GEI786497 FUM786426:FUM786497 FKQ786426:FKQ786497 FAU786426:FAU786497 EQY786426:EQY786497 EHC786426:EHC786497 DXG786426:DXG786497 DNK786426:DNK786497 DDO786426:DDO786497 CTS786426:CTS786497 CJW786426:CJW786497 CAA786426:CAA786497 BQE786426:BQE786497 BGI786426:BGI786497 AWM786426:AWM786497 AMQ786426:AMQ786497 ACU786426:ACU786497 SY786426:SY786497 JC786426:JC786497 G786426:G786497 WVO720890:WVO720961 WLS720890:WLS720961 WBW720890:WBW720961 VSA720890:VSA720961 VIE720890:VIE720961 UYI720890:UYI720961 UOM720890:UOM720961 UEQ720890:UEQ720961 TUU720890:TUU720961 TKY720890:TKY720961 TBC720890:TBC720961 SRG720890:SRG720961 SHK720890:SHK720961 RXO720890:RXO720961 RNS720890:RNS720961 RDW720890:RDW720961 QUA720890:QUA720961 QKE720890:QKE720961 QAI720890:QAI720961 PQM720890:PQM720961 PGQ720890:PGQ720961 OWU720890:OWU720961 OMY720890:OMY720961 ODC720890:ODC720961 NTG720890:NTG720961 NJK720890:NJK720961 MZO720890:MZO720961 MPS720890:MPS720961 MFW720890:MFW720961 LWA720890:LWA720961 LME720890:LME720961 LCI720890:LCI720961 KSM720890:KSM720961 KIQ720890:KIQ720961 JYU720890:JYU720961 JOY720890:JOY720961 JFC720890:JFC720961 IVG720890:IVG720961 ILK720890:ILK720961 IBO720890:IBO720961 HRS720890:HRS720961 HHW720890:HHW720961 GYA720890:GYA720961 GOE720890:GOE720961 GEI720890:GEI720961 FUM720890:FUM720961 FKQ720890:FKQ720961 FAU720890:FAU720961 EQY720890:EQY720961 EHC720890:EHC720961 DXG720890:DXG720961 DNK720890:DNK720961 DDO720890:DDO720961 CTS720890:CTS720961 CJW720890:CJW720961 CAA720890:CAA720961 BQE720890:BQE720961 BGI720890:BGI720961 AWM720890:AWM720961 AMQ720890:AMQ720961 ACU720890:ACU720961 SY720890:SY720961 JC720890:JC720961 G720890:G720961 WVO655354:WVO655425 WLS655354:WLS655425 WBW655354:WBW655425 VSA655354:VSA655425 VIE655354:VIE655425 UYI655354:UYI655425 UOM655354:UOM655425 UEQ655354:UEQ655425 TUU655354:TUU655425 TKY655354:TKY655425 TBC655354:TBC655425 SRG655354:SRG655425 SHK655354:SHK655425 RXO655354:RXO655425 RNS655354:RNS655425 RDW655354:RDW655425 QUA655354:QUA655425 QKE655354:QKE655425 QAI655354:QAI655425 PQM655354:PQM655425 PGQ655354:PGQ655425 OWU655354:OWU655425 OMY655354:OMY655425 ODC655354:ODC655425 NTG655354:NTG655425 NJK655354:NJK655425 MZO655354:MZO655425 MPS655354:MPS655425 MFW655354:MFW655425 LWA655354:LWA655425 LME655354:LME655425 LCI655354:LCI655425 KSM655354:KSM655425 KIQ655354:KIQ655425 JYU655354:JYU655425 JOY655354:JOY655425 JFC655354:JFC655425 IVG655354:IVG655425 ILK655354:ILK655425 IBO655354:IBO655425 HRS655354:HRS655425 HHW655354:HHW655425 GYA655354:GYA655425 GOE655354:GOE655425 GEI655354:GEI655425 FUM655354:FUM655425 FKQ655354:FKQ655425 FAU655354:FAU655425 EQY655354:EQY655425 EHC655354:EHC655425 DXG655354:DXG655425 DNK655354:DNK655425 DDO655354:DDO655425 CTS655354:CTS655425 CJW655354:CJW655425 CAA655354:CAA655425 BQE655354:BQE655425 BGI655354:BGI655425 AWM655354:AWM655425 AMQ655354:AMQ655425 ACU655354:ACU655425 SY655354:SY655425 JC655354:JC655425 G655354:G655425 WVO589818:WVO589889 WLS589818:WLS589889 WBW589818:WBW589889 VSA589818:VSA589889 VIE589818:VIE589889 UYI589818:UYI589889 UOM589818:UOM589889 UEQ589818:UEQ589889 TUU589818:TUU589889 TKY589818:TKY589889 TBC589818:TBC589889 SRG589818:SRG589889 SHK589818:SHK589889 RXO589818:RXO589889 RNS589818:RNS589889 RDW589818:RDW589889 QUA589818:QUA589889 QKE589818:QKE589889 QAI589818:QAI589889 PQM589818:PQM589889 PGQ589818:PGQ589889 OWU589818:OWU589889 OMY589818:OMY589889 ODC589818:ODC589889 NTG589818:NTG589889 NJK589818:NJK589889 MZO589818:MZO589889 MPS589818:MPS589889 MFW589818:MFW589889 LWA589818:LWA589889 LME589818:LME589889 LCI589818:LCI589889 KSM589818:KSM589889 KIQ589818:KIQ589889 JYU589818:JYU589889 JOY589818:JOY589889 JFC589818:JFC589889 IVG589818:IVG589889 ILK589818:ILK589889 IBO589818:IBO589889 HRS589818:HRS589889 HHW589818:HHW589889 GYA589818:GYA589889 GOE589818:GOE589889 GEI589818:GEI589889 FUM589818:FUM589889 FKQ589818:FKQ589889 FAU589818:FAU589889 EQY589818:EQY589889 EHC589818:EHC589889 DXG589818:DXG589889 DNK589818:DNK589889 DDO589818:DDO589889 CTS589818:CTS589889 CJW589818:CJW589889 CAA589818:CAA589889 BQE589818:BQE589889 BGI589818:BGI589889 AWM589818:AWM589889 AMQ589818:AMQ589889 ACU589818:ACU589889 SY589818:SY589889 JC589818:JC589889 G589818:G589889 WVO524282:WVO524353 WLS524282:WLS524353 WBW524282:WBW524353 VSA524282:VSA524353 VIE524282:VIE524353 UYI524282:UYI524353 UOM524282:UOM524353 UEQ524282:UEQ524353 TUU524282:TUU524353 TKY524282:TKY524353 TBC524282:TBC524353 SRG524282:SRG524353 SHK524282:SHK524353 RXO524282:RXO524353 RNS524282:RNS524353 RDW524282:RDW524353 QUA524282:QUA524353 QKE524282:QKE524353 QAI524282:QAI524353 PQM524282:PQM524353 PGQ524282:PGQ524353 OWU524282:OWU524353 OMY524282:OMY524353 ODC524282:ODC524353 NTG524282:NTG524353 NJK524282:NJK524353 MZO524282:MZO524353 MPS524282:MPS524353 MFW524282:MFW524353 LWA524282:LWA524353 LME524282:LME524353 LCI524282:LCI524353 KSM524282:KSM524353 KIQ524282:KIQ524353 JYU524282:JYU524353 JOY524282:JOY524353 JFC524282:JFC524353 IVG524282:IVG524353 ILK524282:ILK524353 IBO524282:IBO524353 HRS524282:HRS524353 HHW524282:HHW524353 GYA524282:GYA524353 GOE524282:GOE524353 GEI524282:GEI524353 FUM524282:FUM524353 FKQ524282:FKQ524353 FAU524282:FAU524353 EQY524282:EQY524353 EHC524282:EHC524353 DXG524282:DXG524353 DNK524282:DNK524353 DDO524282:DDO524353 CTS524282:CTS524353 CJW524282:CJW524353 CAA524282:CAA524353 BQE524282:BQE524353 BGI524282:BGI524353 AWM524282:AWM524353 AMQ524282:AMQ524353 ACU524282:ACU524353 SY524282:SY524353 JC524282:JC524353 G524282:G524353 WVO458746:WVO458817 WLS458746:WLS458817 WBW458746:WBW458817 VSA458746:VSA458817 VIE458746:VIE458817 UYI458746:UYI458817 UOM458746:UOM458817 UEQ458746:UEQ458817 TUU458746:TUU458817 TKY458746:TKY458817 TBC458746:TBC458817 SRG458746:SRG458817 SHK458746:SHK458817 RXO458746:RXO458817 RNS458746:RNS458817 RDW458746:RDW458817 QUA458746:QUA458817 QKE458746:QKE458817 QAI458746:QAI458817 PQM458746:PQM458817 PGQ458746:PGQ458817 OWU458746:OWU458817 OMY458746:OMY458817 ODC458746:ODC458817 NTG458746:NTG458817 NJK458746:NJK458817 MZO458746:MZO458817 MPS458746:MPS458817 MFW458746:MFW458817 LWA458746:LWA458817 LME458746:LME458817 LCI458746:LCI458817 KSM458746:KSM458817 KIQ458746:KIQ458817 JYU458746:JYU458817 JOY458746:JOY458817 JFC458746:JFC458817 IVG458746:IVG458817 ILK458746:ILK458817 IBO458746:IBO458817 HRS458746:HRS458817 HHW458746:HHW458817 GYA458746:GYA458817 GOE458746:GOE458817 GEI458746:GEI458817 FUM458746:FUM458817 FKQ458746:FKQ458817 FAU458746:FAU458817 EQY458746:EQY458817 EHC458746:EHC458817 DXG458746:DXG458817 DNK458746:DNK458817 DDO458746:DDO458817 CTS458746:CTS458817 CJW458746:CJW458817 CAA458746:CAA458817 BQE458746:BQE458817 BGI458746:BGI458817 AWM458746:AWM458817 AMQ458746:AMQ458817 ACU458746:ACU458817 SY458746:SY458817 JC458746:JC458817 G458746:G458817 WVO393210:WVO393281 WLS393210:WLS393281 WBW393210:WBW393281 VSA393210:VSA393281 VIE393210:VIE393281 UYI393210:UYI393281 UOM393210:UOM393281 UEQ393210:UEQ393281 TUU393210:TUU393281 TKY393210:TKY393281 TBC393210:TBC393281 SRG393210:SRG393281 SHK393210:SHK393281 RXO393210:RXO393281 RNS393210:RNS393281 RDW393210:RDW393281 QUA393210:QUA393281 QKE393210:QKE393281 QAI393210:QAI393281 PQM393210:PQM393281 PGQ393210:PGQ393281 OWU393210:OWU393281 OMY393210:OMY393281 ODC393210:ODC393281 NTG393210:NTG393281 NJK393210:NJK393281 MZO393210:MZO393281 MPS393210:MPS393281 MFW393210:MFW393281 LWA393210:LWA393281 LME393210:LME393281 LCI393210:LCI393281 KSM393210:KSM393281 KIQ393210:KIQ393281 JYU393210:JYU393281 JOY393210:JOY393281 JFC393210:JFC393281 IVG393210:IVG393281 ILK393210:ILK393281 IBO393210:IBO393281 HRS393210:HRS393281 HHW393210:HHW393281 GYA393210:GYA393281 GOE393210:GOE393281 GEI393210:GEI393281 FUM393210:FUM393281 FKQ393210:FKQ393281 FAU393210:FAU393281 EQY393210:EQY393281 EHC393210:EHC393281 DXG393210:DXG393281 DNK393210:DNK393281 DDO393210:DDO393281 CTS393210:CTS393281 CJW393210:CJW393281 CAA393210:CAA393281 BQE393210:BQE393281 BGI393210:BGI393281 AWM393210:AWM393281 AMQ393210:AMQ393281 ACU393210:ACU393281 SY393210:SY393281 JC393210:JC393281 G393210:G393281 WVO327674:WVO327745 WLS327674:WLS327745 WBW327674:WBW327745 VSA327674:VSA327745 VIE327674:VIE327745 UYI327674:UYI327745 UOM327674:UOM327745 UEQ327674:UEQ327745 TUU327674:TUU327745 TKY327674:TKY327745 TBC327674:TBC327745 SRG327674:SRG327745 SHK327674:SHK327745 RXO327674:RXO327745 RNS327674:RNS327745 RDW327674:RDW327745 QUA327674:QUA327745 QKE327674:QKE327745 QAI327674:QAI327745 PQM327674:PQM327745 PGQ327674:PGQ327745 OWU327674:OWU327745 OMY327674:OMY327745 ODC327674:ODC327745 NTG327674:NTG327745 NJK327674:NJK327745 MZO327674:MZO327745 MPS327674:MPS327745 MFW327674:MFW327745 LWA327674:LWA327745 LME327674:LME327745 LCI327674:LCI327745 KSM327674:KSM327745 KIQ327674:KIQ327745 JYU327674:JYU327745 JOY327674:JOY327745 JFC327674:JFC327745 IVG327674:IVG327745 ILK327674:ILK327745 IBO327674:IBO327745 HRS327674:HRS327745 HHW327674:HHW327745 GYA327674:GYA327745 GOE327674:GOE327745 GEI327674:GEI327745 FUM327674:FUM327745 FKQ327674:FKQ327745 FAU327674:FAU327745 EQY327674:EQY327745 EHC327674:EHC327745 DXG327674:DXG327745 DNK327674:DNK327745 DDO327674:DDO327745 CTS327674:CTS327745 CJW327674:CJW327745 CAA327674:CAA327745 BQE327674:BQE327745 BGI327674:BGI327745 AWM327674:AWM327745 AMQ327674:AMQ327745 ACU327674:ACU327745 SY327674:SY327745 JC327674:JC327745 G327674:G327745 WVO262138:WVO262209 WLS262138:WLS262209 WBW262138:WBW262209 VSA262138:VSA262209 VIE262138:VIE262209 UYI262138:UYI262209 UOM262138:UOM262209 UEQ262138:UEQ262209 TUU262138:TUU262209 TKY262138:TKY262209 TBC262138:TBC262209 SRG262138:SRG262209 SHK262138:SHK262209 RXO262138:RXO262209 RNS262138:RNS262209 RDW262138:RDW262209 QUA262138:QUA262209 QKE262138:QKE262209 QAI262138:QAI262209 PQM262138:PQM262209 PGQ262138:PGQ262209 OWU262138:OWU262209 OMY262138:OMY262209 ODC262138:ODC262209 NTG262138:NTG262209 NJK262138:NJK262209 MZO262138:MZO262209 MPS262138:MPS262209 MFW262138:MFW262209 LWA262138:LWA262209 LME262138:LME262209 LCI262138:LCI262209 KSM262138:KSM262209 KIQ262138:KIQ262209 JYU262138:JYU262209 JOY262138:JOY262209 JFC262138:JFC262209 IVG262138:IVG262209 ILK262138:ILK262209 IBO262138:IBO262209 HRS262138:HRS262209 HHW262138:HHW262209 GYA262138:GYA262209 GOE262138:GOE262209 GEI262138:GEI262209 FUM262138:FUM262209 FKQ262138:FKQ262209 FAU262138:FAU262209 EQY262138:EQY262209 EHC262138:EHC262209 DXG262138:DXG262209 DNK262138:DNK262209 DDO262138:DDO262209 CTS262138:CTS262209 CJW262138:CJW262209 CAA262138:CAA262209 BQE262138:BQE262209 BGI262138:BGI262209 AWM262138:AWM262209 AMQ262138:AMQ262209 ACU262138:ACU262209 SY262138:SY262209 JC262138:JC262209 G262138:G262209 WVO196602:WVO196673 WLS196602:WLS196673 WBW196602:WBW196673 VSA196602:VSA196673 VIE196602:VIE196673 UYI196602:UYI196673 UOM196602:UOM196673 UEQ196602:UEQ196673 TUU196602:TUU196673 TKY196602:TKY196673 TBC196602:TBC196673 SRG196602:SRG196673 SHK196602:SHK196673 RXO196602:RXO196673 RNS196602:RNS196673 RDW196602:RDW196673 QUA196602:QUA196673 QKE196602:QKE196673 QAI196602:QAI196673 PQM196602:PQM196673 PGQ196602:PGQ196673 OWU196602:OWU196673 OMY196602:OMY196673 ODC196602:ODC196673 NTG196602:NTG196673 NJK196602:NJK196673 MZO196602:MZO196673 MPS196602:MPS196673 MFW196602:MFW196673 LWA196602:LWA196673 LME196602:LME196673 LCI196602:LCI196673 KSM196602:KSM196673 KIQ196602:KIQ196673 JYU196602:JYU196673 JOY196602:JOY196673 JFC196602:JFC196673 IVG196602:IVG196673 ILK196602:ILK196673 IBO196602:IBO196673 HRS196602:HRS196673 HHW196602:HHW196673 GYA196602:GYA196673 GOE196602:GOE196673 GEI196602:GEI196673 FUM196602:FUM196673 FKQ196602:FKQ196673 FAU196602:FAU196673 EQY196602:EQY196673 EHC196602:EHC196673 DXG196602:DXG196673 DNK196602:DNK196673 DDO196602:DDO196673 CTS196602:CTS196673 CJW196602:CJW196673 CAA196602:CAA196673 BQE196602:BQE196673 BGI196602:BGI196673 AWM196602:AWM196673 AMQ196602:AMQ196673 ACU196602:ACU196673 SY196602:SY196673 JC196602:JC196673 G196602:G196673 WVO131066:WVO131137 WLS131066:WLS131137 WBW131066:WBW131137 VSA131066:VSA131137 VIE131066:VIE131137 UYI131066:UYI131137 UOM131066:UOM131137 UEQ131066:UEQ131137 TUU131066:TUU131137 TKY131066:TKY131137 TBC131066:TBC131137 SRG131066:SRG131137 SHK131066:SHK131137 RXO131066:RXO131137 RNS131066:RNS131137 RDW131066:RDW131137 QUA131066:QUA131137 QKE131066:QKE131137 QAI131066:QAI131137 PQM131066:PQM131137 PGQ131066:PGQ131137 OWU131066:OWU131137 OMY131066:OMY131137 ODC131066:ODC131137 NTG131066:NTG131137 NJK131066:NJK131137 MZO131066:MZO131137 MPS131066:MPS131137 MFW131066:MFW131137 LWA131066:LWA131137 LME131066:LME131137 LCI131066:LCI131137 KSM131066:KSM131137 KIQ131066:KIQ131137 JYU131066:JYU131137 JOY131066:JOY131137 JFC131066:JFC131137 IVG131066:IVG131137 ILK131066:ILK131137 IBO131066:IBO131137 HRS131066:HRS131137 HHW131066:HHW131137 GYA131066:GYA131137 GOE131066:GOE131137 GEI131066:GEI131137 FUM131066:FUM131137 FKQ131066:FKQ131137 FAU131066:FAU131137 EQY131066:EQY131137 EHC131066:EHC131137 DXG131066:DXG131137 DNK131066:DNK131137 DDO131066:DDO131137 CTS131066:CTS131137 CJW131066:CJW131137 CAA131066:CAA131137 BQE131066:BQE131137 BGI131066:BGI131137 AWM131066:AWM131137 AMQ131066:AMQ131137 ACU131066:ACU131137 SY131066:SY131137 JC131066:JC131137 G131066:G131137 WVO65530:WVO65601 WLS65530:WLS65601 WBW65530:WBW65601 VSA65530:VSA65601 VIE65530:VIE65601 UYI65530:UYI65601 UOM65530:UOM65601 UEQ65530:UEQ65601 TUU65530:TUU65601 TKY65530:TKY65601 TBC65530:TBC65601 SRG65530:SRG65601 SHK65530:SHK65601 RXO65530:RXO65601 RNS65530:RNS65601 RDW65530:RDW65601 QUA65530:QUA65601 QKE65530:QKE65601 QAI65530:QAI65601 PQM65530:PQM65601 PGQ65530:PGQ65601 OWU65530:OWU65601 OMY65530:OMY65601 ODC65530:ODC65601 NTG65530:NTG65601 NJK65530:NJK65601 MZO65530:MZO65601 MPS65530:MPS65601 MFW65530:MFW65601 LWA65530:LWA65601 LME65530:LME65601 LCI65530:LCI65601 KSM65530:KSM65601 KIQ65530:KIQ65601 JYU65530:JYU65601 JOY65530:JOY65601 JFC65530:JFC65601 IVG65530:IVG65601 ILK65530:ILK65601 IBO65530:IBO65601 HRS65530:HRS65601 HHW65530:HHW65601 GYA65530:GYA65601 GOE65530:GOE65601 GEI65530:GEI65601 FUM65530:FUM65601 FKQ65530:FKQ65601 FAU65530:FAU65601 EQY65530:EQY65601 EHC65530:EHC65601 DXG65530:DXG65601 DNK65530:DNK65601 DDO65530:DDO65601 CTS65530:CTS65601 CJW65530:CJW65601 CAA65530:CAA65601 BQE65530:BQE65601 BGI65530:BGI65601 AWM65530:AWM65601 AMQ65530:AMQ65601 ACU65530:ACU65601 SY65530:SY65601 JC65530:JC65601 G65530:G65601 WVO983034:WVO983105 WVO1047395:WVO1047462 WLS1047395:WLS1047462 WBW1047395:WBW1047462 VSA1047395:VSA1047462 VIE1047395:VIE1047462 UYI1047395:UYI1047462 UOM1047395:UOM1047462 UEQ1047395:UEQ1047462 TUU1047395:TUU1047462 TKY1047395:TKY1047462 TBC1047395:TBC1047462 SRG1047395:SRG1047462 SHK1047395:SHK1047462 RXO1047395:RXO1047462 RNS1047395:RNS1047462 RDW1047395:RDW1047462 QUA1047395:QUA1047462 QKE1047395:QKE1047462 QAI1047395:QAI1047462 PQM1047395:PQM1047462 PGQ1047395:PGQ1047462 OWU1047395:OWU1047462 OMY1047395:OMY1047462 ODC1047395:ODC1047462 NTG1047395:NTG1047462 NJK1047395:NJK1047462 MZO1047395:MZO1047462 MPS1047395:MPS1047462 MFW1047395:MFW1047462 LWA1047395:LWA1047462 LME1047395:LME1047462 LCI1047395:LCI1047462 KSM1047395:KSM1047462 KIQ1047395:KIQ1047462 JYU1047395:JYU1047462 JOY1047395:JOY1047462 JFC1047395:JFC1047462 IVG1047395:IVG1047462 ILK1047395:ILK1047462 IBO1047395:IBO1047462 HRS1047395:HRS1047462 HHW1047395:HHW1047462 GYA1047395:GYA1047462 GOE1047395:GOE1047462 GEI1047395:GEI1047462 FUM1047395:FUM1047462 FKQ1047395:FKQ1047462 FAU1047395:FAU1047462 EQY1047395:EQY1047462 EHC1047395:EHC1047462 DXG1047395:DXG1047462 DNK1047395:DNK1047462 DDO1047395:DDO1047462 CTS1047395:CTS1047462 CJW1047395:CJW1047462 CAA1047395:CAA1047462 BQE1047395:BQE1047462 BGI1047395:BGI1047462 AWM1047395:AWM1047462 AMQ1047395:AMQ1047462 ACU1047395:ACU1047462 SY1047395:SY1047462 JC1047395:JC1047462 G1047395:G1047462 WVO981859:WVO981926 WLS981859:WLS981926 WBW981859:WBW981926 VSA981859:VSA981926 VIE981859:VIE981926 UYI981859:UYI981926 UOM981859:UOM981926 UEQ981859:UEQ981926 TUU981859:TUU981926 TKY981859:TKY981926 TBC981859:TBC981926 SRG981859:SRG981926 SHK981859:SHK981926 RXO981859:RXO981926 RNS981859:RNS981926 RDW981859:RDW981926 QUA981859:QUA981926 QKE981859:QKE981926 QAI981859:QAI981926 PQM981859:PQM981926 PGQ981859:PGQ981926 OWU981859:OWU981926 OMY981859:OMY981926 ODC981859:ODC981926 NTG981859:NTG981926 NJK981859:NJK981926 MZO981859:MZO981926 MPS981859:MPS981926 MFW981859:MFW981926 LWA981859:LWA981926 LME981859:LME981926 LCI981859:LCI981926 KSM981859:KSM981926 KIQ981859:KIQ981926 JYU981859:JYU981926 JOY981859:JOY981926 JFC981859:JFC981926 IVG981859:IVG981926 ILK981859:ILK981926 IBO981859:IBO981926 HRS981859:HRS981926 HHW981859:HHW981926 GYA981859:GYA981926 GOE981859:GOE981926 GEI981859:GEI981926 FUM981859:FUM981926 FKQ981859:FKQ981926 FAU981859:FAU981926 EQY981859:EQY981926 EHC981859:EHC981926 DXG981859:DXG981926 DNK981859:DNK981926 DDO981859:DDO981926 CTS981859:CTS981926 CJW981859:CJW981926 CAA981859:CAA981926 BQE981859:BQE981926 BGI981859:BGI981926 AWM981859:AWM981926 AMQ981859:AMQ981926 ACU981859:ACU981926 SY981859:SY981926 JC981859:JC981926 G981859:G981926 WVO916323:WVO916390 WLS916323:WLS916390 WBW916323:WBW916390 VSA916323:VSA916390 VIE916323:VIE916390 UYI916323:UYI916390 UOM916323:UOM916390 UEQ916323:UEQ916390 TUU916323:TUU916390 TKY916323:TKY916390 TBC916323:TBC916390 SRG916323:SRG916390 SHK916323:SHK916390 RXO916323:RXO916390 RNS916323:RNS916390 RDW916323:RDW916390 QUA916323:QUA916390 QKE916323:QKE916390 QAI916323:QAI916390 PQM916323:PQM916390 PGQ916323:PGQ916390 OWU916323:OWU916390 OMY916323:OMY916390 ODC916323:ODC916390 NTG916323:NTG916390 NJK916323:NJK916390 MZO916323:MZO916390 MPS916323:MPS916390 MFW916323:MFW916390 LWA916323:LWA916390 LME916323:LME916390 LCI916323:LCI916390 KSM916323:KSM916390 KIQ916323:KIQ916390 JYU916323:JYU916390 JOY916323:JOY916390 JFC916323:JFC916390 IVG916323:IVG916390 ILK916323:ILK916390 IBO916323:IBO916390 HRS916323:HRS916390 HHW916323:HHW916390 GYA916323:GYA916390 GOE916323:GOE916390 GEI916323:GEI916390 FUM916323:FUM916390 FKQ916323:FKQ916390 FAU916323:FAU916390 EQY916323:EQY916390 EHC916323:EHC916390 DXG916323:DXG916390 DNK916323:DNK916390 DDO916323:DDO916390 CTS916323:CTS916390 CJW916323:CJW916390 CAA916323:CAA916390 BQE916323:BQE916390 BGI916323:BGI916390 AWM916323:AWM916390 AMQ916323:AMQ916390 ACU916323:ACU916390 SY916323:SY916390 JC916323:JC916390 G916323:G916390 WVO850787:WVO850854 WLS850787:WLS850854 WBW850787:WBW850854 VSA850787:VSA850854 VIE850787:VIE850854 UYI850787:UYI850854 UOM850787:UOM850854 UEQ850787:UEQ850854 TUU850787:TUU850854 TKY850787:TKY850854 TBC850787:TBC850854 SRG850787:SRG850854 SHK850787:SHK850854 RXO850787:RXO850854 RNS850787:RNS850854 RDW850787:RDW850854 QUA850787:QUA850854 QKE850787:QKE850854 QAI850787:QAI850854 PQM850787:PQM850854 PGQ850787:PGQ850854 OWU850787:OWU850854 OMY850787:OMY850854 ODC850787:ODC850854 NTG850787:NTG850854 NJK850787:NJK850854 MZO850787:MZO850854 MPS850787:MPS850854 MFW850787:MFW850854 LWA850787:LWA850854 LME850787:LME850854 LCI850787:LCI850854 KSM850787:KSM850854 KIQ850787:KIQ850854 JYU850787:JYU850854 JOY850787:JOY850854 JFC850787:JFC850854 IVG850787:IVG850854 ILK850787:ILK850854 IBO850787:IBO850854 HRS850787:HRS850854 HHW850787:HHW850854 GYA850787:GYA850854 GOE850787:GOE850854 GEI850787:GEI850854 FUM850787:FUM850854 FKQ850787:FKQ850854 FAU850787:FAU850854 EQY850787:EQY850854 EHC850787:EHC850854 DXG850787:DXG850854 DNK850787:DNK850854 DDO850787:DDO850854 CTS850787:CTS850854 CJW850787:CJW850854 CAA850787:CAA850854 BQE850787:BQE850854 BGI850787:BGI850854 AWM850787:AWM850854 AMQ850787:AMQ850854 ACU850787:ACU850854 SY850787:SY850854 JC850787:JC850854 G850787:G850854 WVO785251:WVO785318 WLS785251:WLS785318 WBW785251:WBW785318 VSA785251:VSA785318 VIE785251:VIE785318 UYI785251:UYI785318 UOM785251:UOM785318 UEQ785251:UEQ785318 TUU785251:TUU785318 TKY785251:TKY785318 TBC785251:TBC785318 SRG785251:SRG785318 SHK785251:SHK785318 RXO785251:RXO785318 RNS785251:RNS785318 RDW785251:RDW785318 QUA785251:QUA785318 QKE785251:QKE785318 QAI785251:QAI785318 PQM785251:PQM785318 PGQ785251:PGQ785318 OWU785251:OWU785318 OMY785251:OMY785318 ODC785251:ODC785318 NTG785251:NTG785318 NJK785251:NJK785318 MZO785251:MZO785318 MPS785251:MPS785318 MFW785251:MFW785318 LWA785251:LWA785318 LME785251:LME785318 LCI785251:LCI785318 KSM785251:KSM785318 KIQ785251:KIQ785318 JYU785251:JYU785318 JOY785251:JOY785318 JFC785251:JFC785318 IVG785251:IVG785318 ILK785251:ILK785318 IBO785251:IBO785318 HRS785251:HRS785318 HHW785251:HHW785318 GYA785251:GYA785318 GOE785251:GOE785318 GEI785251:GEI785318 FUM785251:FUM785318 FKQ785251:FKQ785318 FAU785251:FAU785318 EQY785251:EQY785318 EHC785251:EHC785318 DXG785251:DXG785318 DNK785251:DNK785318 DDO785251:DDO785318 CTS785251:CTS785318 CJW785251:CJW785318 CAA785251:CAA785318 BQE785251:BQE785318 BGI785251:BGI785318 AWM785251:AWM785318 AMQ785251:AMQ785318 ACU785251:ACU785318 SY785251:SY785318 JC785251:JC785318 G785251:G785318 WVO719715:WVO719782 WLS719715:WLS719782 WBW719715:WBW719782 VSA719715:VSA719782 VIE719715:VIE719782 UYI719715:UYI719782 UOM719715:UOM719782 UEQ719715:UEQ719782 TUU719715:TUU719782 TKY719715:TKY719782 TBC719715:TBC719782 SRG719715:SRG719782 SHK719715:SHK719782 RXO719715:RXO719782 RNS719715:RNS719782 RDW719715:RDW719782 QUA719715:QUA719782 QKE719715:QKE719782 QAI719715:QAI719782 PQM719715:PQM719782 PGQ719715:PGQ719782 OWU719715:OWU719782 OMY719715:OMY719782 ODC719715:ODC719782 NTG719715:NTG719782 NJK719715:NJK719782 MZO719715:MZO719782 MPS719715:MPS719782 MFW719715:MFW719782 LWA719715:LWA719782 LME719715:LME719782 LCI719715:LCI719782 KSM719715:KSM719782 KIQ719715:KIQ719782 JYU719715:JYU719782 JOY719715:JOY719782 JFC719715:JFC719782 IVG719715:IVG719782 ILK719715:ILK719782 IBO719715:IBO719782 HRS719715:HRS719782 HHW719715:HHW719782 GYA719715:GYA719782 GOE719715:GOE719782 GEI719715:GEI719782 FUM719715:FUM719782 FKQ719715:FKQ719782 FAU719715:FAU719782 EQY719715:EQY719782 EHC719715:EHC719782 DXG719715:DXG719782 DNK719715:DNK719782 DDO719715:DDO719782 CTS719715:CTS719782 CJW719715:CJW719782 CAA719715:CAA719782 BQE719715:BQE719782 BGI719715:BGI719782 AWM719715:AWM719782 AMQ719715:AMQ719782 ACU719715:ACU719782 SY719715:SY719782 JC719715:JC719782 G719715:G719782 WVO654179:WVO654246 WLS654179:WLS654246 WBW654179:WBW654246 VSA654179:VSA654246 VIE654179:VIE654246 UYI654179:UYI654246 UOM654179:UOM654246 UEQ654179:UEQ654246 TUU654179:TUU654246 TKY654179:TKY654246 TBC654179:TBC654246 SRG654179:SRG654246 SHK654179:SHK654246 RXO654179:RXO654246 RNS654179:RNS654246 RDW654179:RDW654246 QUA654179:QUA654246 QKE654179:QKE654246 QAI654179:QAI654246 PQM654179:PQM654246 PGQ654179:PGQ654246 OWU654179:OWU654246 OMY654179:OMY654246 ODC654179:ODC654246 NTG654179:NTG654246 NJK654179:NJK654246 MZO654179:MZO654246 MPS654179:MPS654246 MFW654179:MFW654246 LWA654179:LWA654246 LME654179:LME654246 LCI654179:LCI654246 KSM654179:KSM654246 KIQ654179:KIQ654246 JYU654179:JYU654246 JOY654179:JOY654246 JFC654179:JFC654246 IVG654179:IVG654246 ILK654179:ILK654246 IBO654179:IBO654246 HRS654179:HRS654246 HHW654179:HHW654246 GYA654179:GYA654246 GOE654179:GOE654246 GEI654179:GEI654246 FUM654179:FUM654246 FKQ654179:FKQ654246 FAU654179:FAU654246 EQY654179:EQY654246 EHC654179:EHC654246 DXG654179:DXG654246 DNK654179:DNK654246 DDO654179:DDO654246 CTS654179:CTS654246 CJW654179:CJW654246 CAA654179:CAA654246 BQE654179:BQE654246 BGI654179:BGI654246 AWM654179:AWM654246 AMQ654179:AMQ654246 ACU654179:ACU654246 SY654179:SY654246 JC654179:JC654246 G654179:G654246 WVO588643:WVO588710 WLS588643:WLS588710 WBW588643:WBW588710 VSA588643:VSA588710 VIE588643:VIE588710 UYI588643:UYI588710 UOM588643:UOM588710 UEQ588643:UEQ588710 TUU588643:TUU588710 TKY588643:TKY588710 TBC588643:TBC588710 SRG588643:SRG588710 SHK588643:SHK588710 RXO588643:RXO588710 RNS588643:RNS588710 RDW588643:RDW588710 QUA588643:QUA588710 QKE588643:QKE588710 QAI588643:QAI588710 PQM588643:PQM588710 PGQ588643:PGQ588710 OWU588643:OWU588710 OMY588643:OMY588710 ODC588643:ODC588710 NTG588643:NTG588710 NJK588643:NJK588710 MZO588643:MZO588710 MPS588643:MPS588710 MFW588643:MFW588710 LWA588643:LWA588710 LME588643:LME588710 LCI588643:LCI588710 KSM588643:KSM588710 KIQ588643:KIQ588710 JYU588643:JYU588710 JOY588643:JOY588710 JFC588643:JFC588710 IVG588643:IVG588710 ILK588643:ILK588710 IBO588643:IBO588710 HRS588643:HRS588710 HHW588643:HHW588710 GYA588643:GYA588710 GOE588643:GOE588710 GEI588643:GEI588710 FUM588643:FUM588710 FKQ588643:FKQ588710 FAU588643:FAU588710 EQY588643:EQY588710 EHC588643:EHC588710 DXG588643:DXG588710 DNK588643:DNK588710 DDO588643:DDO588710 CTS588643:CTS588710 CJW588643:CJW588710 CAA588643:CAA588710 BQE588643:BQE588710 BGI588643:BGI588710 AWM588643:AWM588710 AMQ588643:AMQ588710 ACU588643:ACU588710 SY588643:SY588710 JC588643:JC588710 G588643:G588710 WVO523107:WVO523174 WLS523107:WLS523174 WBW523107:WBW523174 VSA523107:VSA523174 VIE523107:VIE523174 UYI523107:UYI523174 UOM523107:UOM523174 UEQ523107:UEQ523174 TUU523107:TUU523174 TKY523107:TKY523174 TBC523107:TBC523174 SRG523107:SRG523174 SHK523107:SHK523174 RXO523107:RXO523174 RNS523107:RNS523174 RDW523107:RDW523174 QUA523107:QUA523174 QKE523107:QKE523174 QAI523107:QAI523174 PQM523107:PQM523174 PGQ523107:PGQ523174 OWU523107:OWU523174 OMY523107:OMY523174 ODC523107:ODC523174 NTG523107:NTG523174 NJK523107:NJK523174 MZO523107:MZO523174 MPS523107:MPS523174 MFW523107:MFW523174 LWA523107:LWA523174 LME523107:LME523174 LCI523107:LCI523174 KSM523107:KSM523174 KIQ523107:KIQ523174 JYU523107:JYU523174 JOY523107:JOY523174 JFC523107:JFC523174 IVG523107:IVG523174 ILK523107:ILK523174 IBO523107:IBO523174 HRS523107:HRS523174 HHW523107:HHW523174 GYA523107:GYA523174 GOE523107:GOE523174 GEI523107:GEI523174 FUM523107:FUM523174 FKQ523107:FKQ523174 FAU523107:FAU523174 EQY523107:EQY523174 EHC523107:EHC523174 DXG523107:DXG523174 DNK523107:DNK523174 DDO523107:DDO523174 CTS523107:CTS523174 CJW523107:CJW523174 CAA523107:CAA523174 BQE523107:BQE523174 BGI523107:BGI523174 AWM523107:AWM523174 AMQ523107:AMQ523174 ACU523107:ACU523174 SY523107:SY523174 JC523107:JC523174 G523107:G523174 WVO457571:WVO457638 WLS457571:WLS457638 WBW457571:WBW457638 VSA457571:VSA457638 VIE457571:VIE457638 UYI457571:UYI457638 UOM457571:UOM457638 UEQ457571:UEQ457638 TUU457571:TUU457638 TKY457571:TKY457638 TBC457571:TBC457638 SRG457571:SRG457638 SHK457571:SHK457638 RXO457571:RXO457638 RNS457571:RNS457638 RDW457571:RDW457638 QUA457571:QUA457638 QKE457571:QKE457638 QAI457571:QAI457638 PQM457571:PQM457638 PGQ457571:PGQ457638 OWU457571:OWU457638 OMY457571:OMY457638 ODC457571:ODC457638 NTG457571:NTG457638 NJK457571:NJK457638 MZO457571:MZO457638 MPS457571:MPS457638 MFW457571:MFW457638 LWA457571:LWA457638 LME457571:LME457638 LCI457571:LCI457638 KSM457571:KSM457638 KIQ457571:KIQ457638 JYU457571:JYU457638 JOY457571:JOY457638 JFC457571:JFC457638 IVG457571:IVG457638 ILK457571:ILK457638 IBO457571:IBO457638 HRS457571:HRS457638 HHW457571:HHW457638 GYA457571:GYA457638 GOE457571:GOE457638 GEI457571:GEI457638 FUM457571:FUM457638 FKQ457571:FKQ457638 FAU457571:FAU457638 EQY457571:EQY457638 EHC457571:EHC457638 DXG457571:DXG457638 DNK457571:DNK457638 DDO457571:DDO457638 CTS457571:CTS457638 CJW457571:CJW457638 CAA457571:CAA457638 BQE457571:BQE457638 BGI457571:BGI457638 AWM457571:AWM457638 AMQ457571:AMQ457638 ACU457571:ACU457638 SY457571:SY457638 JC457571:JC457638 G457571:G457638 WVO392035:WVO392102 WLS392035:WLS392102 WBW392035:WBW392102 VSA392035:VSA392102 VIE392035:VIE392102 UYI392035:UYI392102 UOM392035:UOM392102 UEQ392035:UEQ392102 TUU392035:TUU392102 TKY392035:TKY392102 TBC392035:TBC392102 SRG392035:SRG392102 SHK392035:SHK392102 RXO392035:RXO392102 RNS392035:RNS392102 RDW392035:RDW392102 QUA392035:QUA392102 QKE392035:QKE392102 QAI392035:QAI392102 PQM392035:PQM392102 PGQ392035:PGQ392102 OWU392035:OWU392102 OMY392035:OMY392102 ODC392035:ODC392102 NTG392035:NTG392102 NJK392035:NJK392102 MZO392035:MZO392102 MPS392035:MPS392102 MFW392035:MFW392102 LWA392035:LWA392102 LME392035:LME392102 LCI392035:LCI392102 KSM392035:KSM392102 KIQ392035:KIQ392102 JYU392035:JYU392102 JOY392035:JOY392102 JFC392035:JFC392102 IVG392035:IVG392102 ILK392035:ILK392102 IBO392035:IBO392102 HRS392035:HRS392102 HHW392035:HHW392102 GYA392035:GYA392102 GOE392035:GOE392102 GEI392035:GEI392102 FUM392035:FUM392102 FKQ392035:FKQ392102 FAU392035:FAU392102 EQY392035:EQY392102 EHC392035:EHC392102 DXG392035:DXG392102 DNK392035:DNK392102 DDO392035:DDO392102 CTS392035:CTS392102 CJW392035:CJW392102 CAA392035:CAA392102 BQE392035:BQE392102 BGI392035:BGI392102 AWM392035:AWM392102 AMQ392035:AMQ392102 ACU392035:ACU392102 SY392035:SY392102 JC392035:JC392102 G392035:G392102 WVO326499:WVO326566 WLS326499:WLS326566 WBW326499:WBW326566 VSA326499:VSA326566 VIE326499:VIE326566 UYI326499:UYI326566 UOM326499:UOM326566 UEQ326499:UEQ326566 TUU326499:TUU326566 TKY326499:TKY326566 TBC326499:TBC326566 SRG326499:SRG326566 SHK326499:SHK326566 RXO326499:RXO326566 RNS326499:RNS326566 RDW326499:RDW326566 QUA326499:QUA326566 QKE326499:QKE326566 QAI326499:QAI326566 PQM326499:PQM326566 PGQ326499:PGQ326566 OWU326499:OWU326566 OMY326499:OMY326566 ODC326499:ODC326566 NTG326499:NTG326566 NJK326499:NJK326566 MZO326499:MZO326566 MPS326499:MPS326566 MFW326499:MFW326566 LWA326499:LWA326566 LME326499:LME326566 LCI326499:LCI326566 KSM326499:KSM326566 KIQ326499:KIQ326566 JYU326499:JYU326566 JOY326499:JOY326566 JFC326499:JFC326566 IVG326499:IVG326566 ILK326499:ILK326566 IBO326499:IBO326566 HRS326499:HRS326566 HHW326499:HHW326566 GYA326499:GYA326566 GOE326499:GOE326566 GEI326499:GEI326566 FUM326499:FUM326566 FKQ326499:FKQ326566 FAU326499:FAU326566 EQY326499:EQY326566 EHC326499:EHC326566 DXG326499:DXG326566 DNK326499:DNK326566 DDO326499:DDO326566 CTS326499:CTS326566 CJW326499:CJW326566 CAA326499:CAA326566 BQE326499:BQE326566 BGI326499:BGI326566 AWM326499:AWM326566 AMQ326499:AMQ326566 ACU326499:ACU326566 SY326499:SY326566 JC326499:JC326566 G326499:G326566 WVO260963:WVO261030 WLS260963:WLS261030 WBW260963:WBW261030 VSA260963:VSA261030 VIE260963:VIE261030 UYI260963:UYI261030 UOM260963:UOM261030 UEQ260963:UEQ261030 TUU260963:TUU261030 TKY260963:TKY261030 TBC260963:TBC261030 SRG260963:SRG261030 SHK260963:SHK261030 RXO260963:RXO261030 RNS260963:RNS261030 RDW260963:RDW261030 QUA260963:QUA261030 QKE260963:QKE261030 QAI260963:QAI261030 PQM260963:PQM261030 PGQ260963:PGQ261030 OWU260963:OWU261030 OMY260963:OMY261030 ODC260963:ODC261030 NTG260963:NTG261030 NJK260963:NJK261030 MZO260963:MZO261030 MPS260963:MPS261030 MFW260963:MFW261030 LWA260963:LWA261030 LME260963:LME261030 LCI260963:LCI261030 KSM260963:KSM261030 KIQ260963:KIQ261030 JYU260963:JYU261030 JOY260963:JOY261030 JFC260963:JFC261030 IVG260963:IVG261030 ILK260963:ILK261030 IBO260963:IBO261030 HRS260963:HRS261030 HHW260963:HHW261030 GYA260963:GYA261030 GOE260963:GOE261030 GEI260963:GEI261030 FUM260963:FUM261030 FKQ260963:FKQ261030 FAU260963:FAU261030 EQY260963:EQY261030 EHC260963:EHC261030 DXG260963:DXG261030 DNK260963:DNK261030 DDO260963:DDO261030 CTS260963:CTS261030 CJW260963:CJW261030 CAA260963:CAA261030 BQE260963:BQE261030 BGI260963:BGI261030 AWM260963:AWM261030 AMQ260963:AMQ261030 ACU260963:ACU261030 SY260963:SY261030 JC260963:JC261030 G260963:G261030 WVO195427:WVO195494 WLS195427:WLS195494 WBW195427:WBW195494 VSA195427:VSA195494 VIE195427:VIE195494 UYI195427:UYI195494 UOM195427:UOM195494 UEQ195427:UEQ195494 TUU195427:TUU195494 TKY195427:TKY195494 TBC195427:TBC195494 SRG195427:SRG195494 SHK195427:SHK195494 RXO195427:RXO195494 RNS195427:RNS195494 RDW195427:RDW195494 QUA195427:QUA195494 QKE195427:QKE195494 QAI195427:QAI195494 PQM195427:PQM195494 PGQ195427:PGQ195494 OWU195427:OWU195494 OMY195427:OMY195494 ODC195427:ODC195494 NTG195427:NTG195494 NJK195427:NJK195494 MZO195427:MZO195494 MPS195427:MPS195494 MFW195427:MFW195494 LWA195427:LWA195494 LME195427:LME195494 LCI195427:LCI195494 KSM195427:KSM195494 KIQ195427:KIQ195494 JYU195427:JYU195494 JOY195427:JOY195494 JFC195427:JFC195494 IVG195427:IVG195494 ILK195427:ILK195494 IBO195427:IBO195494 HRS195427:HRS195494 HHW195427:HHW195494 GYA195427:GYA195494 GOE195427:GOE195494 GEI195427:GEI195494 FUM195427:FUM195494 FKQ195427:FKQ195494 FAU195427:FAU195494 EQY195427:EQY195494 EHC195427:EHC195494 DXG195427:DXG195494 DNK195427:DNK195494 DDO195427:DDO195494 CTS195427:CTS195494 CJW195427:CJW195494 CAA195427:CAA195494 BQE195427:BQE195494 BGI195427:BGI195494 AWM195427:AWM195494 AMQ195427:AMQ195494 ACU195427:ACU195494 SY195427:SY195494 JC195427:JC195494 G195427:G195494 WVO129891:WVO129958 WLS129891:WLS129958 WBW129891:WBW129958 VSA129891:VSA129958 VIE129891:VIE129958 UYI129891:UYI129958 UOM129891:UOM129958 UEQ129891:UEQ129958 TUU129891:TUU129958 TKY129891:TKY129958 TBC129891:TBC129958 SRG129891:SRG129958 SHK129891:SHK129958 RXO129891:RXO129958 RNS129891:RNS129958 RDW129891:RDW129958 QUA129891:QUA129958 QKE129891:QKE129958 QAI129891:QAI129958 PQM129891:PQM129958 PGQ129891:PGQ129958 OWU129891:OWU129958 OMY129891:OMY129958 ODC129891:ODC129958 NTG129891:NTG129958 NJK129891:NJK129958 MZO129891:MZO129958 MPS129891:MPS129958 MFW129891:MFW129958 LWA129891:LWA129958 LME129891:LME129958 LCI129891:LCI129958 KSM129891:KSM129958 KIQ129891:KIQ129958 JYU129891:JYU129958 JOY129891:JOY129958 JFC129891:JFC129958 IVG129891:IVG129958 ILK129891:ILK129958 IBO129891:IBO129958 HRS129891:HRS129958 HHW129891:HHW129958 GYA129891:GYA129958 GOE129891:GOE129958 GEI129891:GEI129958 FUM129891:FUM129958 FKQ129891:FKQ129958 FAU129891:FAU129958 EQY129891:EQY129958 EHC129891:EHC129958 DXG129891:DXG129958 DNK129891:DNK129958 DDO129891:DDO129958 CTS129891:CTS129958 CJW129891:CJW129958 CAA129891:CAA129958 BQE129891:BQE129958 BGI129891:BGI129958 AWM129891:AWM129958 AMQ129891:AMQ129958 ACU129891:ACU129958 SY129891:SY129958 JC129891:JC129958 G129891:G129958 WVO64355:WVO64422 WLS64355:WLS64422 WBW64355:WBW64422 VSA64355:VSA64422 VIE64355:VIE64422 UYI64355:UYI64422 UOM64355:UOM64422 UEQ64355:UEQ64422 TUU64355:TUU64422 TKY64355:TKY64422 TBC64355:TBC64422 SRG64355:SRG64422 SHK64355:SHK64422 RXO64355:RXO64422 RNS64355:RNS64422 RDW64355:RDW64422 QUA64355:QUA64422 QKE64355:QKE64422 QAI64355:QAI64422 PQM64355:PQM64422 PGQ64355:PGQ64422 OWU64355:OWU64422 OMY64355:OMY64422 ODC64355:ODC64422 NTG64355:NTG64422 NJK64355:NJK64422 MZO64355:MZO64422 MPS64355:MPS64422 MFW64355:MFW64422 LWA64355:LWA64422 LME64355:LME64422 LCI64355:LCI64422 KSM64355:KSM64422 KIQ64355:KIQ64422 JYU64355:JYU64422 JOY64355:JOY64422 JFC64355:JFC64422 IVG64355:IVG64422 ILK64355:ILK64422 IBO64355:IBO64422 HRS64355:HRS64422 HHW64355:HHW64422 GYA64355:GYA64422 GOE64355:GOE64422 GEI64355:GEI64422 FUM64355:FUM64422 FKQ64355:FKQ64422 FAU64355:FAU64422 EQY64355:EQY64422 EHC64355:EHC64422 DXG64355:DXG64422 DNK64355:DNK64422 DDO64355:DDO64422 CTS64355:CTS64422 CJW64355:CJW64422 CAA64355:CAA64422 BQE64355:BQE64422 BGI64355:BGI64422 AWM64355:AWM64422 AMQ64355:AMQ64422 ACU64355:ACU64422 SY64355:SY64422 JC64355:JC64422">
      <formula1>$AJ$2:$AJ$4</formula1>
    </dataValidation>
    <dataValidation type="list" allowBlank="1" showInputMessage="1" showErrorMessage="1" sqref="I64355:I64420 JE64355:JE64420 TA2:TA59 ACW2:ACW59 AMS2:AMS59 AWO2:AWO59 BGK2:BGK59 BQG2:BQG59 CAC2:CAC59 CJY2:CJY59 CTU2:CTU59 DDQ2:DDQ59 DNM2:DNM59 DXI2:DXI59 EHE2:EHE59 ERA2:ERA59 FAW2:FAW59 FKS2:FKS59 FUO2:FUO59 GEK2:GEK59 GOG2:GOG59 GYC2:GYC59 HHY2:HHY59 HRU2:HRU59 IBQ2:IBQ59 ILM2:ILM59 IVI2:IVI59 JFE2:JFE59 JPA2:JPA59 JYW2:JYW59 KIS2:KIS59 KSO2:KSO59 LCK2:LCK59 LMG2:LMG59 LWC2:LWC59 MFY2:MFY59 MPU2:MPU59 MZQ2:MZQ59 NJM2:NJM59 NTI2:NTI59 ODE2:ODE59 ONA2:ONA59 OWW2:OWW59 PGS2:PGS59 PQO2:PQO59 QAK2:QAK59 QKG2:QKG59 QUC2:QUC59 RDY2:RDY59 RNU2:RNU59 RXQ2:RXQ59 SHM2:SHM59 SRI2:SRI59 TBE2:TBE59 TLA2:TLA59 TUW2:TUW59 UES2:UES59 UOO2:UOO59 UYK2:UYK59 VIG2:VIG59 VSC2:VSC59 WBY2:WBY59 WLU2:WLU59 WVQ2:WVQ59 JE2:JE59 WLU983034:WLU983099 WBY983034:WBY983099 VSC983034:VSC983099 VIG983034:VIG983099 UYK983034:UYK983099 UOO983034:UOO983099 UES983034:UES983099 TUW983034:TUW983099 TLA983034:TLA983099 TBE983034:TBE983099 SRI983034:SRI983099 SHM983034:SHM983099 RXQ983034:RXQ983099 RNU983034:RNU983099 RDY983034:RDY983099 QUC983034:QUC983099 QKG983034:QKG983099 QAK983034:QAK983099 PQO983034:PQO983099 PGS983034:PGS983099 OWW983034:OWW983099 ONA983034:ONA983099 ODE983034:ODE983099 NTI983034:NTI983099 NJM983034:NJM983099 MZQ983034:MZQ983099 MPU983034:MPU983099 MFY983034:MFY983099 LWC983034:LWC983099 LMG983034:LMG983099 LCK983034:LCK983099 KSO983034:KSO983099 KIS983034:KIS983099 JYW983034:JYW983099 JPA983034:JPA983099 JFE983034:JFE983099 IVI983034:IVI983099 ILM983034:ILM983099 IBQ983034:IBQ983099 HRU983034:HRU983099 HHY983034:HHY983099 GYC983034:GYC983099 GOG983034:GOG983099 GEK983034:GEK983099 FUO983034:FUO983099 FKS983034:FKS983099 FAW983034:FAW983099 ERA983034:ERA983099 EHE983034:EHE983099 DXI983034:DXI983099 DNM983034:DNM983099 DDQ983034:DDQ983099 CTU983034:CTU983099 CJY983034:CJY983099 CAC983034:CAC983099 BQG983034:BQG983099 BGK983034:BGK983099 AWO983034:AWO983099 AMS983034:AMS983099 ACW983034:ACW983099 TA983034:TA983099 JE983034:JE983099 I983034:I983099 WVQ917498:WVQ917563 WLU917498:WLU917563 WBY917498:WBY917563 VSC917498:VSC917563 VIG917498:VIG917563 UYK917498:UYK917563 UOO917498:UOO917563 UES917498:UES917563 TUW917498:TUW917563 TLA917498:TLA917563 TBE917498:TBE917563 SRI917498:SRI917563 SHM917498:SHM917563 RXQ917498:RXQ917563 RNU917498:RNU917563 RDY917498:RDY917563 QUC917498:QUC917563 QKG917498:QKG917563 QAK917498:QAK917563 PQO917498:PQO917563 PGS917498:PGS917563 OWW917498:OWW917563 ONA917498:ONA917563 ODE917498:ODE917563 NTI917498:NTI917563 NJM917498:NJM917563 MZQ917498:MZQ917563 MPU917498:MPU917563 MFY917498:MFY917563 LWC917498:LWC917563 LMG917498:LMG917563 LCK917498:LCK917563 KSO917498:KSO917563 KIS917498:KIS917563 JYW917498:JYW917563 JPA917498:JPA917563 JFE917498:JFE917563 IVI917498:IVI917563 ILM917498:ILM917563 IBQ917498:IBQ917563 HRU917498:HRU917563 HHY917498:HHY917563 GYC917498:GYC917563 GOG917498:GOG917563 GEK917498:GEK917563 FUO917498:FUO917563 FKS917498:FKS917563 FAW917498:FAW917563 ERA917498:ERA917563 EHE917498:EHE917563 DXI917498:DXI917563 DNM917498:DNM917563 DDQ917498:DDQ917563 CTU917498:CTU917563 CJY917498:CJY917563 CAC917498:CAC917563 BQG917498:BQG917563 BGK917498:BGK917563 AWO917498:AWO917563 AMS917498:AMS917563 ACW917498:ACW917563 TA917498:TA917563 JE917498:JE917563 I917498:I917563 WVQ851962:WVQ852027 WLU851962:WLU852027 WBY851962:WBY852027 VSC851962:VSC852027 VIG851962:VIG852027 UYK851962:UYK852027 UOO851962:UOO852027 UES851962:UES852027 TUW851962:TUW852027 TLA851962:TLA852027 TBE851962:TBE852027 SRI851962:SRI852027 SHM851962:SHM852027 RXQ851962:RXQ852027 RNU851962:RNU852027 RDY851962:RDY852027 QUC851962:QUC852027 QKG851962:QKG852027 QAK851962:QAK852027 PQO851962:PQO852027 PGS851962:PGS852027 OWW851962:OWW852027 ONA851962:ONA852027 ODE851962:ODE852027 NTI851962:NTI852027 NJM851962:NJM852027 MZQ851962:MZQ852027 MPU851962:MPU852027 MFY851962:MFY852027 LWC851962:LWC852027 LMG851962:LMG852027 LCK851962:LCK852027 KSO851962:KSO852027 KIS851962:KIS852027 JYW851962:JYW852027 JPA851962:JPA852027 JFE851962:JFE852027 IVI851962:IVI852027 ILM851962:ILM852027 IBQ851962:IBQ852027 HRU851962:HRU852027 HHY851962:HHY852027 GYC851962:GYC852027 GOG851962:GOG852027 GEK851962:GEK852027 FUO851962:FUO852027 FKS851962:FKS852027 FAW851962:FAW852027 ERA851962:ERA852027 EHE851962:EHE852027 DXI851962:DXI852027 DNM851962:DNM852027 DDQ851962:DDQ852027 CTU851962:CTU852027 CJY851962:CJY852027 CAC851962:CAC852027 BQG851962:BQG852027 BGK851962:BGK852027 AWO851962:AWO852027 AMS851962:AMS852027 ACW851962:ACW852027 TA851962:TA852027 JE851962:JE852027 I851962:I852027 WVQ786426:WVQ786491 WLU786426:WLU786491 WBY786426:WBY786491 VSC786426:VSC786491 VIG786426:VIG786491 UYK786426:UYK786491 UOO786426:UOO786491 UES786426:UES786491 TUW786426:TUW786491 TLA786426:TLA786491 TBE786426:TBE786491 SRI786426:SRI786491 SHM786426:SHM786491 RXQ786426:RXQ786491 RNU786426:RNU786491 RDY786426:RDY786491 QUC786426:QUC786491 QKG786426:QKG786491 QAK786426:QAK786491 PQO786426:PQO786491 PGS786426:PGS786491 OWW786426:OWW786491 ONA786426:ONA786491 ODE786426:ODE786491 NTI786426:NTI786491 NJM786426:NJM786491 MZQ786426:MZQ786491 MPU786426:MPU786491 MFY786426:MFY786491 LWC786426:LWC786491 LMG786426:LMG786491 LCK786426:LCK786491 KSO786426:KSO786491 KIS786426:KIS786491 JYW786426:JYW786491 JPA786426:JPA786491 JFE786426:JFE786491 IVI786426:IVI786491 ILM786426:ILM786491 IBQ786426:IBQ786491 HRU786426:HRU786491 HHY786426:HHY786491 GYC786426:GYC786491 GOG786426:GOG786491 GEK786426:GEK786491 FUO786426:FUO786491 FKS786426:FKS786491 FAW786426:FAW786491 ERA786426:ERA786491 EHE786426:EHE786491 DXI786426:DXI786491 DNM786426:DNM786491 DDQ786426:DDQ786491 CTU786426:CTU786491 CJY786426:CJY786491 CAC786426:CAC786491 BQG786426:BQG786491 BGK786426:BGK786491 AWO786426:AWO786491 AMS786426:AMS786491 ACW786426:ACW786491 TA786426:TA786491 JE786426:JE786491 I786426:I786491 WVQ720890:WVQ720955 WLU720890:WLU720955 WBY720890:WBY720955 VSC720890:VSC720955 VIG720890:VIG720955 UYK720890:UYK720955 UOO720890:UOO720955 UES720890:UES720955 TUW720890:TUW720955 TLA720890:TLA720955 TBE720890:TBE720955 SRI720890:SRI720955 SHM720890:SHM720955 RXQ720890:RXQ720955 RNU720890:RNU720955 RDY720890:RDY720955 QUC720890:QUC720955 QKG720890:QKG720955 QAK720890:QAK720955 PQO720890:PQO720955 PGS720890:PGS720955 OWW720890:OWW720955 ONA720890:ONA720955 ODE720890:ODE720955 NTI720890:NTI720955 NJM720890:NJM720955 MZQ720890:MZQ720955 MPU720890:MPU720955 MFY720890:MFY720955 LWC720890:LWC720955 LMG720890:LMG720955 LCK720890:LCK720955 KSO720890:KSO720955 KIS720890:KIS720955 JYW720890:JYW720955 JPA720890:JPA720955 JFE720890:JFE720955 IVI720890:IVI720955 ILM720890:ILM720955 IBQ720890:IBQ720955 HRU720890:HRU720955 HHY720890:HHY720955 GYC720890:GYC720955 GOG720890:GOG720955 GEK720890:GEK720955 FUO720890:FUO720955 FKS720890:FKS720955 FAW720890:FAW720955 ERA720890:ERA720955 EHE720890:EHE720955 DXI720890:DXI720955 DNM720890:DNM720955 DDQ720890:DDQ720955 CTU720890:CTU720955 CJY720890:CJY720955 CAC720890:CAC720955 BQG720890:BQG720955 BGK720890:BGK720955 AWO720890:AWO720955 AMS720890:AMS720955 ACW720890:ACW720955 TA720890:TA720955 JE720890:JE720955 I720890:I720955 WVQ655354:WVQ655419 WLU655354:WLU655419 WBY655354:WBY655419 VSC655354:VSC655419 VIG655354:VIG655419 UYK655354:UYK655419 UOO655354:UOO655419 UES655354:UES655419 TUW655354:TUW655419 TLA655354:TLA655419 TBE655354:TBE655419 SRI655354:SRI655419 SHM655354:SHM655419 RXQ655354:RXQ655419 RNU655354:RNU655419 RDY655354:RDY655419 QUC655354:QUC655419 QKG655354:QKG655419 QAK655354:QAK655419 PQO655354:PQO655419 PGS655354:PGS655419 OWW655354:OWW655419 ONA655354:ONA655419 ODE655354:ODE655419 NTI655354:NTI655419 NJM655354:NJM655419 MZQ655354:MZQ655419 MPU655354:MPU655419 MFY655354:MFY655419 LWC655354:LWC655419 LMG655354:LMG655419 LCK655354:LCK655419 KSO655354:KSO655419 KIS655354:KIS655419 JYW655354:JYW655419 JPA655354:JPA655419 JFE655354:JFE655419 IVI655354:IVI655419 ILM655354:ILM655419 IBQ655354:IBQ655419 HRU655354:HRU655419 HHY655354:HHY655419 GYC655354:GYC655419 GOG655354:GOG655419 GEK655354:GEK655419 FUO655354:FUO655419 FKS655354:FKS655419 FAW655354:FAW655419 ERA655354:ERA655419 EHE655354:EHE655419 DXI655354:DXI655419 DNM655354:DNM655419 DDQ655354:DDQ655419 CTU655354:CTU655419 CJY655354:CJY655419 CAC655354:CAC655419 BQG655354:BQG655419 BGK655354:BGK655419 AWO655354:AWO655419 AMS655354:AMS655419 ACW655354:ACW655419 TA655354:TA655419 JE655354:JE655419 I655354:I655419 WVQ589818:WVQ589883 WLU589818:WLU589883 WBY589818:WBY589883 VSC589818:VSC589883 VIG589818:VIG589883 UYK589818:UYK589883 UOO589818:UOO589883 UES589818:UES589883 TUW589818:TUW589883 TLA589818:TLA589883 TBE589818:TBE589883 SRI589818:SRI589883 SHM589818:SHM589883 RXQ589818:RXQ589883 RNU589818:RNU589883 RDY589818:RDY589883 QUC589818:QUC589883 QKG589818:QKG589883 QAK589818:QAK589883 PQO589818:PQO589883 PGS589818:PGS589883 OWW589818:OWW589883 ONA589818:ONA589883 ODE589818:ODE589883 NTI589818:NTI589883 NJM589818:NJM589883 MZQ589818:MZQ589883 MPU589818:MPU589883 MFY589818:MFY589883 LWC589818:LWC589883 LMG589818:LMG589883 LCK589818:LCK589883 KSO589818:KSO589883 KIS589818:KIS589883 JYW589818:JYW589883 JPA589818:JPA589883 JFE589818:JFE589883 IVI589818:IVI589883 ILM589818:ILM589883 IBQ589818:IBQ589883 HRU589818:HRU589883 HHY589818:HHY589883 GYC589818:GYC589883 GOG589818:GOG589883 GEK589818:GEK589883 FUO589818:FUO589883 FKS589818:FKS589883 FAW589818:FAW589883 ERA589818:ERA589883 EHE589818:EHE589883 DXI589818:DXI589883 DNM589818:DNM589883 DDQ589818:DDQ589883 CTU589818:CTU589883 CJY589818:CJY589883 CAC589818:CAC589883 BQG589818:BQG589883 BGK589818:BGK589883 AWO589818:AWO589883 AMS589818:AMS589883 ACW589818:ACW589883 TA589818:TA589883 JE589818:JE589883 I589818:I589883 WVQ524282:WVQ524347 WLU524282:WLU524347 WBY524282:WBY524347 VSC524282:VSC524347 VIG524282:VIG524347 UYK524282:UYK524347 UOO524282:UOO524347 UES524282:UES524347 TUW524282:TUW524347 TLA524282:TLA524347 TBE524282:TBE524347 SRI524282:SRI524347 SHM524282:SHM524347 RXQ524282:RXQ524347 RNU524282:RNU524347 RDY524282:RDY524347 QUC524282:QUC524347 QKG524282:QKG524347 QAK524282:QAK524347 PQO524282:PQO524347 PGS524282:PGS524347 OWW524282:OWW524347 ONA524282:ONA524347 ODE524282:ODE524347 NTI524282:NTI524347 NJM524282:NJM524347 MZQ524282:MZQ524347 MPU524282:MPU524347 MFY524282:MFY524347 LWC524282:LWC524347 LMG524282:LMG524347 LCK524282:LCK524347 KSO524282:KSO524347 KIS524282:KIS524347 JYW524282:JYW524347 JPA524282:JPA524347 JFE524282:JFE524347 IVI524282:IVI524347 ILM524282:ILM524347 IBQ524282:IBQ524347 HRU524282:HRU524347 HHY524282:HHY524347 GYC524282:GYC524347 GOG524282:GOG524347 GEK524282:GEK524347 FUO524282:FUO524347 FKS524282:FKS524347 FAW524282:FAW524347 ERA524282:ERA524347 EHE524282:EHE524347 DXI524282:DXI524347 DNM524282:DNM524347 DDQ524282:DDQ524347 CTU524282:CTU524347 CJY524282:CJY524347 CAC524282:CAC524347 BQG524282:BQG524347 BGK524282:BGK524347 AWO524282:AWO524347 AMS524282:AMS524347 ACW524282:ACW524347 TA524282:TA524347 JE524282:JE524347 I524282:I524347 WVQ458746:WVQ458811 WLU458746:WLU458811 WBY458746:WBY458811 VSC458746:VSC458811 VIG458746:VIG458811 UYK458746:UYK458811 UOO458746:UOO458811 UES458746:UES458811 TUW458746:TUW458811 TLA458746:TLA458811 TBE458746:TBE458811 SRI458746:SRI458811 SHM458746:SHM458811 RXQ458746:RXQ458811 RNU458746:RNU458811 RDY458746:RDY458811 QUC458746:QUC458811 QKG458746:QKG458811 QAK458746:QAK458811 PQO458746:PQO458811 PGS458746:PGS458811 OWW458746:OWW458811 ONA458746:ONA458811 ODE458746:ODE458811 NTI458746:NTI458811 NJM458746:NJM458811 MZQ458746:MZQ458811 MPU458746:MPU458811 MFY458746:MFY458811 LWC458746:LWC458811 LMG458746:LMG458811 LCK458746:LCK458811 KSO458746:KSO458811 KIS458746:KIS458811 JYW458746:JYW458811 JPA458746:JPA458811 JFE458746:JFE458811 IVI458746:IVI458811 ILM458746:ILM458811 IBQ458746:IBQ458811 HRU458746:HRU458811 HHY458746:HHY458811 GYC458746:GYC458811 GOG458746:GOG458811 GEK458746:GEK458811 FUO458746:FUO458811 FKS458746:FKS458811 FAW458746:FAW458811 ERA458746:ERA458811 EHE458746:EHE458811 DXI458746:DXI458811 DNM458746:DNM458811 DDQ458746:DDQ458811 CTU458746:CTU458811 CJY458746:CJY458811 CAC458746:CAC458811 BQG458746:BQG458811 BGK458746:BGK458811 AWO458746:AWO458811 AMS458746:AMS458811 ACW458746:ACW458811 TA458746:TA458811 JE458746:JE458811 I458746:I458811 WVQ393210:WVQ393275 WLU393210:WLU393275 WBY393210:WBY393275 VSC393210:VSC393275 VIG393210:VIG393275 UYK393210:UYK393275 UOO393210:UOO393275 UES393210:UES393275 TUW393210:TUW393275 TLA393210:TLA393275 TBE393210:TBE393275 SRI393210:SRI393275 SHM393210:SHM393275 RXQ393210:RXQ393275 RNU393210:RNU393275 RDY393210:RDY393275 QUC393210:QUC393275 QKG393210:QKG393275 QAK393210:QAK393275 PQO393210:PQO393275 PGS393210:PGS393275 OWW393210:OWW393275 ONA393210:ONA393275 ODE393210:ODE393275 NTI393210:NTI393275 NJM393210:NJM393275 MZQ393210:MZQ393275 MPU393210:MPU393275 MFY393210:MFY393275 LWC393210:LWC393275 LMG393210:LMG393275 LCK393210:LCK393275 KSO393210:KSO393275 KIS393210:KIS393275 JYW393210:JYW393275 JPA393210:JPA393275 JFE393210:JFE393275 IVI393210:IVI393275 ILM393210:ILM393275 IBQ393210:IBQ393275 HRU393210:HRU393275 HHY393210:HHY393275 GYC393210:GYC393275 GOG393210:GOG393275 GEK393210:GEK393275 FUO393210:FUO393275 FKS393210:FKS393275 FAW393210:FAW393275 ERA393210:ERA393275 EHE393210:EHE393275 DXI393210:DXI393275 DNM393210:DNM393275 DDQ393210:DDQ393275 CTU393210:CTU393275 CJY393210:CJY393275 CAC393210:CAC393275 BQG393210:BQG393275 BGK393210:BGK393275 AWO393210:AWO393275 AMS393210:AMS393275 ACW393210:ACW393275 TA393210:TA393275 JE393210:JE393275 I393210:I393275 WVQ327674:WVQ327739 WLU327674:WLU327739 WBY327674:WBY327739 VSC327674:VSC327739 VIG327674:VIG327739 UYK327674:UYK327739 UOO327674:UOO327739 UES327674:UES327739 TUW327674:TUW327739 TLA327674:TLA327739 TBE327674:TBE327739 SRI327674:SRI327739 SHM327674:SHM327739 RXQ327674:RXQ327739 RNU327674:RNU327739 RDY327674:RDY327739 QUC327674:QUC327739 QKG327674:QKG327739 QAK327674:QAK327739 PQO327674:PQO327739 PGS327674:PGS327739 OWW327674:OWW327739 ONA327674:ONA327739 ODE327674:ODE327739 NTI327674:NTI327739 NJM327674:NJM327739 MZQ327674:MZQ327739 MPU327674:MPU327739 MFY327674:MFY327739 LWC327674:LWC327739 LMG327674:LMG327739 LCK327674:LCK327739 KSO327674:KSO327739 KIS327674:KIS327739 JYW327674:JYW327739 JPA327674:JPA327739 JFE327674:JFE327739 IVI327674:IVI327739 ILM327674:ILM327739 IBQ327674:IBQ327739 HRU327674:HRU327739 HHY327674:HHY327739 GYC327674:GYC327739 GOG327674:GOG327739 GEK327674:GEK327739 FUO327674:FUO327739 FKS327674:FKS327739 FAW327674:FAW327739 ERA327674:ERA327739 EHE327674:EHE327739 DXI327674:DXI327739 DNM327674:DNM327739 DDQ327674:DDQ327739 CTU327674:CTU327739 CJY327674:CJY327739 CAC327674:CAC327739 BQG327674:BQG327739 BGK327674:BGK327739 AWO327674:AWO327739 AMS327674:AMS327739 ACW327674:ACW327739 TA327674:TA327739 JE327674:JE327739 I327674:I327739 WVQ262138:WVQ262203 WLU262138:WLU262203 WBY262138:WBY262203 VSC262138:VSC262203 VIG262138:VIG262203 UYK262138:UYK262203 UOO262138:UOO262203 UES262138:UES262203 TUW262138:TUW262203 TLA262138:TLA262203 TBE262138:TBE262203 SRI262138:SRI262203 SHM262138:SHM262203 RXQ262138:RXQ262203 RNU262138:RNU262203 RDY262138:RDY262203 QUC262138:QUC262203 QKG262138:QKG262203 QAK262138:QAK262203 PQO262138:PQO262203 PGS262138:PGS262203 OWW262138:OWW262203 ONA262138:ONA262203 ODE262138:ODE262203 NTI262138:NTI262203 NJM262138:NJM262203 MZQ262138:MZQ262203 MPU262138:MPU262203 MFY262138:MFY262203 LWC262138:LWC262203 LMG262138:LMG262203 LCK262138:LCK262203 KSO262138:KSO262203 KIS262138:KIS262203 JYW262138:JYW262203 JPA262138:JPA262203 JFE262138:JFE262203 IVI262138:IVI262203 ILM262138:ILM262203 IBQ262138:IBQ262203 HRU262138:HRU262203 HHY262138:HHY262203 GYC262138:GYC262203 GOG262138:GOG262203 GEK262138:GEK262203 FUO262138:FUO262203 FKS262138:FKS262203 FAW262138:FAW262203 ERA262138:ERA262203 EHE262138:EHE262203 DXI262138:DXI262203 DNM262138:DNM262203 DDQ262138:DDQ262203 CTU262138:CTU262203 CJY262138:CJY262203 CAC262138:CAC262203 BQG262138:BQG262203 BGK262138:BGK262203 AWO262138:AWO262203 AMS262138:AMS262203 ACW262138:ACW262203 TA262138:TA262203 JE262138:JE262203 I262138:I262203 WVQ196602:WVQ196667 WLU196602:WLU196667 WBY196602:WBY196667 VSC196602:VSC196667 VIG196602:VIG196667 UYK196602:UYK196667 UOO196602:UOO196667 UES196602:UES196667 TUW196602:TUW196667 TLA196602:TLA196667 TBE196602:TBE196667 SRI196602:SRI196667 SHM196602:SHM196667 RXQ196602:RXQ196667 RNU196602:RNU196667 RDY196602:RDY196667 QUC196602:QUC196667 QKG196602:QKG196667 QAK196602:QAK196667 PQO196602:PQO196667 PGS196602:PGS196667 OWW196602:OWW196667 ONA196602:ONA196667 ODE196602:ODE196667 NTI196602:NTI196667 NJM196602:NJM196667 MZQ196602:MZQ196667 MPU196602:MPU196667 MFY196602:MFY196667 LWC196602:LWC196667 LMG196602:LMG196667 LCK196602:LCK196667 KSO196602:KSO196667 KIS196602:KIS196667 JYW196602:JYW196667 JPA196602:JPA196667 JFE196602:JFE196667 IVI196602:IVI196667 ILM196602:ILM196667 IBQ196602:IBQ196667 HRU196602:HRU196667 HHY196602:HHY196667 GYC196602:GYC196667 GOG196602:GOG196667 GEK196602:GEK196667 FUO196602:FUO196667 FKS196602:FKS196667 FAW196602:FAW196667 ERA196602:ERA196667 EHE196602:EHE196667 DXI196602:DXI196667 DNM196602:DNM196667 DDQ196602:DDQ196667 CTU196602:CTU196667 CJY196602:CJY196667 CAC196602:CAC196667 BQG196602:BQG196667 BGK196602:BGK196667 AWO196602:AWO196667 AMS196602:AMS196667 ACW196602:ACW196667 TA196602:TA196667 JE196602:JE196667 I196602:I196667 WVQ131066:WVQ131131 WLU131066:WLU131131 WBY131066:WBY131131 VSC131066:VSC131131 VIG131066:VIG131131 UYK131066:UYK131131 UOO131066:UOO131131 UES131066:UES131131 TUW131066:TUW131131 TLA131066:TLA131131 TBE131066:TBE131131 SRI131066:SRI131131 SHM131066:SHM131131 RXQ131066:RXQ131131 RNU131066:RNU131131 RDY131066:RDY131131 QUC131066:QUC131131 QKG131066:QKG131131 QAK131066:QAK131131 PQO131066:PQO131131 PGS131066:PGS131131 OWW131066:OWW131131 ONA131066:ONA131131 ODE131066:ODE131131 NTI131066:NTI131131 NJM131066:NJM131131 MZQ131066:MZQ131131 MPU131066:MPU131131 MFY131066:MFY131131 LWC131066:LWC131131 LMG131066:LMG131131 LCK131066:LCK131131 KSO131066:KSO131131 KIS131066:KIS131131 JYW131066:JYW131131 JPA131066:JPA131131 JFE131066:JFE131131 IVI131066:IVI131131 ILM131066:ILM131131 IBQ131066:IBQ131131 HRU131066:HRU131131 HHY131066:HHY131131 GYC131066:GYC131131 GOG131066:GOG131131 GEK131066:GEK131131 FUO131066:FUO131131 FKS131066:FKS131131 FAW131066:FAW131131 ERA131066:ERA131131 EHE131066:EHE131131 DXI131066:DXI131131 DNM131066:DNM131131 DDQ131066:DDQ131131 CTU131066:CTU131131 CJY131066:CJY131131 CAC131066:CAC131131 BQG131066:BQG131131 BGK131066:BGK131131 AWO131066:AWO131131 AMS131066:AMS131131 ACW131066:ACW131131 TA131066:TA131131 JE131066:JE131131 I131066:I131131 WVQ65530:WVQ65595 WLU65530:WLU65595 WBY65530:WBY65595 VSC65530:VSC65595 VIG65530:VIG65595 UYK65530:UYK65595 UOO65530:UOO65595 UES65530:UES65595 TUW65530:TUW65595 TLA65530:TLA65595 TBE65530:TBE65595 SRI65530:SRI65595 SHM65530:SHM65595 RXQ65530:RXQ65595 RNU65530:RNU65595 RDY65530:RDY65595 QUC65530:QUC65595 QKG65530:QKG65595 QAK65530:QAK65595 PQO65530:PQO65595 PGS65530:PGS65595 OWW65530:OWW65595 ONA65530:ONA65595 ODE65530:ODE65595 NTI65530:NTI65595 NJM65530:NJM65595 MZQ65530:MZQ65595 MPU65530:MPU65595 MFY65530:MFY65595 LWC65530:LWC65595 LMG65530:LMG65595 LCK65530:LCK65595 KSO65530:KSO65595 KIS65530:KIS65595 JYW65530:JYW65595 JPA65530:JPA65595 JFE65530:JFE65595 IVI65530:IVI65595 ILM65530:ILM65595 IBQ65530:IBQ65595 HRU65530:HRU65595 HHY65530:HHY65595 GYC65530:GYC65595 GOG65530:GOG65595 GEK65530:GEK65595 FUO65530:FUO65595 FKS65530:FKS65595 FAW65530:FAW65595 ERA65530:ERA65595 EHE65530:EHE65595 DXI65530:DXI65595 DNM65530:DNM65595 DDQ65530:DDQ65595 CTU65530:CTU65595 CJY65530:CJY65595 CAC65530:CAC65595 BQG65530:BQG65595 BGK65530:BGK65595 AWO65530:AWO65595 AMS65530:AMS65595 ACW65530:ACW65595 TA65530:TA65595 JE65530:JE65595 I65530:I65595 WVQ983034:WVQ983099 WVQ1047395:WVQ1047460 WLU1047395:WLU1047460 WBY1047395:WBY1047460 VSC1047395:VSC1047460 VIG1047395:VIG1047460 UYK1047395:UYK1047460 UOO1047395:UOO1047460 UES1047395:UES1047460 TUW1047395:TUW1047460 TLA1047395:TLA1047460 TBE1047395:TBE1047460 SRI1047395:SRI1047460 SHM1047395:SHM1047460 RXQ1047395:RXQ1047460 RNU1047395:RNU1047460 RDY1047395:RDY1047460 QUC1047395:QUC1047460 QKG1047395:QKG1047460 QAK1047395:QAK1047460 PQO1047395:PQO1047460 PGS1047395:PGS1047460 OWW1047395:OWW1047460 ONA1047395:ONA1047460 ODE1047395:ODE1047460 NTI1047395:NTI1047460 NJM1047395:NJM1047460 MZQ1047395:MZQ1047460 MPU1047395:MPU1047460 MFY1047395:MFY1047460 LWC1047395:LWC1047460 LMG1047395:LMG1047460 LCK1047395:LCK1047460 KSO1047395:KSO1047460 KIS1047395:KIS1047460 JYW1047395:JYW1047460 JPA1047395:JPA1047460 JFE1047395:JFE1047460 IVI1047395:IVI1047460 ILM1047395:ILM1047460 IBQ1047395:IBQ1047460 HRU1047395:HRU1047460 HHY1047395:HHY1047460 GYC1047395:GYC1047460 GOG1047395:GOG1047460 GEK1047395:GEK1047460 FUO1047395:FUO1047460 FKS1047395:FKS1047460 FAW1047395:FAW1047460 ERA1047395:ERA1047460 EHE1047395:EHE1047460 DXI1047395:DXI1047460 DNM1047395:DNM1047460 DDQ1047395:DDQ1047460 CTU1047395:CTU1047460 CJY1047395:CJY1047460 CAC1047395:CAC1047460 BQG1047395:BQG1047460 BGK1047395:BGK1047460 AWO1047395:AWO1047460 AMS1047395:AMS1047460 ACW1047395:ACW1047460 TA1047395:TA1047460 JE1047395:JE1047460 I1047395:I1047460 WVQ981859:WVQ981924 WLU981859:WLU981924 WBY981859:WBY981924 VSC981859:VSC981924 VIG981859:VIG981924 UYK981859:UYK981924 UOO981859:UOO981924 UES981859:UES981924 TUW981859:TUW981924 TLA981859:TLA981924 TBE981859:TBE981924 SRI981859:SRI981924 SHM981859:SHM981924 RXQ981859:RXQ981924 RNU981859:RNU981924 RDY981859:RDY981924 QUC981859:QUC981924 QKG981859:QKG981924 QAK981859:QAK981924 PQO981859:PQO981924 PGS981859:PGS981924 OWW981859:OWW981924 ONA981859:ONA981924 ODE981859:ODE981924 NTI981859:NTI981924 NJM981859:NJM981924 MZQ981859:MZQ981924 MPU981859:MPU981924 MFY981859:MFY981924 LWC981859:LWC981924 LMG981859:LMG981924 LCK981859:LCK981924 KSO981859:KSO981924 KIS981859:KIS981924 JYW981859:JYW981924 JPA981859:JPA981924 JFE981859:JFE981924 IVI981859:IVI981924 ILM981859:ILM981924 IBQ981859:IBQ981924 HRU981859:HRU981924 HHY981859:HHY981924 GYC981859:GYC981924 GOG981859:GOG981924 GEK981859:GEK981924 FUO981859:FUO981924 FKS981859:FKS981924 FAW981859:FAW981924 ERA981859:ERA981924 EHE981859:EHE981924 DXI981859:DXI981924 DNM981859:DNM981924 DDQ981859:DDQ981924 CTU981859:CTU981924 CJY981859:CJY981924 CAC981859:CAC981924 BQG981859:BQG981924 BGK981859:BGK981924 AWO981859:AWO981924 AMS981859:AMS981924 ACW981859:ACW981924 TA981859:TA981924 JE981859:JE981924 I981859:I981924 WVQ916323:WVQ916388 WLU916323:WLU916388 WBY916323:WBY916388 VSC916323:VSC916388 VIG916323:VIG916388 UYK916323:UYK916388 UOO916323:UOO916388 UES916323:UES916388 TUW916323:TUW916388 TLA916323:TLA916388 TBE916323:TBE916388 SRI916323:SRI916388 SHM916323:SHM916388 RXQ916323:RXQ916388 RNU916323:RNU916388 RDY916323:RDY916388 QUC916323:QUC916388 QKG916323:QKG916388 QAK916323:QAK916388 PQO916323:PQO916388 PGS916323:PGS916388 OWW916323:OWW916388 ONA916323:ONA916388 ODE916323:ODE916388 NTI916323:NTI916388 NJM916323:NJM916388 MZQ916323:MZQ916388 MPU916323:MPU916388 MFY916323:MFY916388 LWC916323:LWC916388 LMG916323:LMG916388 LCK916323:LCK916388 KSO916323:KSO916388 KIS916323:KIS916388 JYW916323:JYW916388 JPA916323:JPA916388 JFE916323:JFE916388 IVI916323:IVI916388 ILM916323:ILM916388 IBQ916323:IBQ916388 HRU916323:HRU916388 HHY916323:HHY916388 GYC916323:GYC916388 GOG916323:GOG916388 GEK916323:GEK916388 FUO916323:FUO916388 FKS916323:FKS916388 FAW916323:FAW916388 ERA916323:ERA916388 EHE916323:EHE916388 DXI916323:DXI916388 DNM916323:DNM916388 DDQ916323:DDQ916388 CTU916323:CTU916388 CJY916323:CJY916388 CAC916323:CAC916388 BQG916323:BQG916388 BGK916323:BGK916388 AWO916323:AWO916388 AMS916323:AMS916388 ACW916323:ACW916388 TA916323:TA916388 JE916323:JE916388 I916323:I916388 WVQ850787:WVQ850852 WLU850787:WLU850852 WBY850787:WBY850852 VSC850787:VSC850852 VIG850787:VIG850852 UYK850787:UYK850852 UOO850787:UOO850852 UES850787:UES850852 TUW850787:TUW850852 TLA850787:TLA850852 TBE850787:TBE850852 SRI850787:SRI850852 SHM850787:SHM850852 RXQ850787:RXQ850852 RNU850787:RNU850852 RDY850787:RDY850852 QUC850787:QUC850852 QKG850787:QKG850852 QAK850787:QAK850852 PQO850787:PQO850852 PGS850787:PGS850852 OWW850787:OWW850852 ONA850787:ONA850852 ODE850787:ODE850852 NTI850787:NTI850852 NJM850787:NJM850852 MZQ850787:MZQ850852 MPU850787:MPU850852 MFY850787:MFY850852 LWC850787:LWC850852 LMG850787:LMG850852 LCK850787:LCK850852 KSO850787:KSO850852 KIS850787:KIS850852 JYW850787:JYW850852 JPA850787:JPA850852 JFE850787:JFE850852 IVI850787:IVI850852 ILM850787:ILM850852 IBQ850787:IBQ850852 HRU850787:HRU850852 HHY850787:HHY850852 GYC850787:GYC850852 GOG850787:GOG850852 GEK850787:GEK850852 FUO850787:FUO850852 FKS850787:FKS850852 FAW850787:FAW850852 ERA850787:ERA850852 EHE850787:EHE850852 DXI850787:DXI850852 DNM850787:DNM850852 DDQ850787:DDQ850852 CTU850787:CTU850852 CJY850787:CJY850852 CAC850787:CAC850852 BQG850787:BQG850852 BGK850787:BGK850852 AWO850787:AWO850852 AMS850787:AMS850852 ACW850787:ACW850852 TA850787:TA850852 JE850787:JE850852 I850787:I850852 WVQ785251:WVQ785316 WLU785251:WLU785316 WBY785251:WBY785316 VSC785251:VSC785316 VIG785251:VIG785316 UYK785251:UYK785316 UOO785251:UOO785316 UES785251:UES785316 TUW785251:TUW785316 TLA785251:TLA785316 TBE785251:TBE785316 SRI785251:SRI785316 SHM785251:SHM785316 RXQ785251:RXQ785316 RNU785251:RNU785316 RDY785251:RDY785316 QUC785251:QUC785316 QKG785251:QKG785316 QAK785251:QAK785316 PQO785251:PQO785316 PGS785251:PGS785316 OWW785251:OWW785316 ONA785251:ONA785316 ODE785251:ODE785316 NTI785251:NTI785316 NJM785251:NJM785316 MZQ785251:MZQ785316 MPU785251:MPU785316 MFY785251:MFY785316 LWC785251:LWC785316 LMG785251:LMG785316 LCK785251:LCK785316 KSO785251:KSO785316 KIS785251:KIS785316 JYW785251:JYW785316 JPA785251:JPA785316 JFE785251:JFE785316 IVI785251:IVI785316 ILM785251:ILM785316 IBQ785251:IBQ785316 HRU785251:HRU785316 HHY785251:HHY785316 GYC785251:GYC785316 GOG785251:GOG785316 GEK785251:GEK785316 FUO785251:FUO785316 FKS785251:FKS785316 FAW785251:FAW785316 ERA785251:ERA785316 EHE785251:EHE785316 DXI785251:DXI785316 DNM785251:DNM785316 DDQ785251:DDQ785316 CTU785251:CTU785316 CJY785251:CJY785316 CAC785251:CAC785316 BQG785251:BQG785316 BGK785251:BGK785316 AWO785251:AWO785316 AMS785251:AMS785316 ACW785251:ACW785316 TA785251:TA785316 JE785251:JE785316 I785251:I785316 WVQ719715:WVQ719780 WLU719715:WLU719780 WBY719715:WBY719780 VSC719715:VSC719780 VIG719715:VIG719780 UYK719715:UYK719780 UOO719715:UOO719780 UES719715:UES719780 TUW719715:TUW719780 TLA719715:TLA719780 TBE719715:TBE719780 SRI719715:SRI719780 SHM719715:SHM719780 RXQ719715:RXQ719780 RNU719715:RNU719780 RDY719715:RDY719780 QUC719715:QUC719780 QKG719715:QKG719780 QAK719715:QAK719780 PQO719715:PQO719780 PGS719715:PGS719780 OWW719715:OWW719780 ONA719715:ONA719780 ODE719715:ODE719780 NTI719715:NTI719780 NJM719715:NJM719780 MZQ719715:MZQ719780 MPU719715:MPU719780 MFY719715:MFY719780 LWC719715:LWC719780 LMG719715:LMG719780 LCK719715:LCK719780 KSO719715:KSO719780 KIS719715:KIS719780 JYW719715:JYW719780 JPA719715:JPA719780 JFE719715:JFE719780 IVI719715:IVI719780 ILM719715:ILM719780 IBQ719715:IBQ719780 HRU719715:HRU719780 HHY719715:HHY719780 GYC719715:GYC719780 GOG719715:GOG719780 GEK719715:GEK719780 FUO719715:FUO719780 FKS719715:FKS719780 FAW719715:FAW719780 ERA719715:ERA719780 EHE719715:EHE719780 DXI719715:DXI719780 DNM719715:DNM719780 DDQ719715:DDQ719780 CTU719715:CTU719780 CJY719715:CJY719780 CAC719715:CAC719780 BQG719715:BQG719780 BGK719715:BGK719780 AWO719715:AWO719780 AMS719715:AMS719780 ACW719715:ACW719780 TA719715:TA719780 JE719715:JE719780 I719715:I719780 WVQ654179:WVQ654244 WLU654179:WLU654244 WBY654179:WBY654244 VSC654179:VSC654244 VIG654179:VIG654244 UYK654179:UYK654244 UOO654179:UOO654244 UES654179:UES654244 TUW654179:TUW654244 TLA654179:TLA654244 TBE654179:TBE654244 SRI654179:SRI654244 SHM654179:SHM654244 RXQ654179:RXQ654244 RNU654179:RNU654244 RDY654179:RDY654244 QUC654179:QUC654244 QKG654179:QKG654244 QAK654179:QAK654244 PQO654179:PQO654244 PGS654179:PGS654244 OWW654179:OWW654244 ONA654179:ONA654244 ODE654179:ODE654244 NTI654179:NTI654244 NJM654179:NJM654244 MZQ654179:MZQ654244 MPU654179:MPU654244 MFY654179:MFY654244 LWC654179:LWC654244 LMG654179:LMG654244 LCK654179:LCK654244 KSO654179:KSO654244 KIS654179:KIS654244 JYW654179:JYW654244 JPA654179:JPA654244 JFE654179:JFE654244 IVI654179:IVI654244 ILM654179:ILM654244 IBQ654179:IBQ654244 HRU654179:HRU654244 HHY654179:HHY654244 GYC654179:GYC654244 GOG654179:GOG654244 GEK654179:GEK654244 FUO654179:FUO654244 FKS654179:FKS654244 FAW654179:FAW654244 ERA654179:ERA654244 EHE654179:EHE654244 DXI654179:DXI654244 DNM654179:DNM654244 DDQ654179:DDQ654244 CTU654179:CTU654244 CJY654179:CJY654244 CAC654179:CAC654244 BQG654179:BQG654244 BGK654179:BGK654244 AWO654179:AWO654244 AMS654179:AMS654244 ACW654179:ACW654244 TA654179:TA654244 JE654179:JE654244 I654179:I654244 WVQ588643:WVQ588708 WLU588643:WLU588708 WBY588643:WBY588708 VSC588643:VSC588708 VIG588643:VIG588708 UYK588643:UYK588708 UOO588643:UOO588708 UES588643:UES588708 TUW588643:TUW588708 TLA588643:TLA588708 TBE588643:TBE588708 SRI588643:SRI588708 SHM588643:SHM588708 RXQ588643:RXQ588708 RNU588643:RNU588708 RDY588643:RDY588708 QUC588643:QUC588708 QKG588643:QKG588708 QAK588643:QAK588708 PQO588643:PQO588708 PGS588643:PGS588708 OWW588643:OWW588708 ONA588643:ONA588708 ODE588643:ODE588708 NTI588643:NTI588708 NJM588643:NJM588708 MZQ588643:MZQ588708 MPU588643:MPU588708 MFY588643:MFY588708 LWC588643:LWC588708 LMG588643:LMG588708 LCK588643:LCK588708 KSO588643:KSO588708 KIS588643:KIS588708 JYW588643:JYW588708 JPA588643:JPA588708 JFE588643:JFE588708 IVI588643:IVI588708 ILM588643:ILM588708 IBQ588643:IBQ588708 HRU588643:HRU588708 HHY588643:HHY588708 GYC588643:GYC588708 GOG588643:GOG588708 GEK588643:GEK588708 FUO588643:FUO588708 FKS588643:FKS588708 FAW588643:FAW588708 ERA588643:ERA588708 EHE588643:EHE588708 DXI588643:DXI588708 DNM588643:DNM588708 DDQ588643:DDQ588708 CTU588643:CTU588708 CJY588643:CJY588708 CAC588643:CAC588708 BQG588643:BQG588708 BGK588643:BGK588708 AWO588643:AWO588708 AMS588643:AMS588708 ACW588643:ACW588708 TA588643:TA588708 JE588643:JE588708 I588643:I588708 WVQ523107:WVQ523172 WLU523107:WLU523172 WBY523107:WBY523172 VSC523107:VSC523172 VIG523107:VIG523172 UYK523107:UYK523172 UOO523107:UOO523172 UES523107:UES523172 TUW523107:TUW523172 TLA523107:TLA523172 TBE523107:TBE523172 SRI523107:SRI523172 SHM523107:SHM523172 RXQ523107:RXQ523172 RNU523107:RNU523172 RDY523107:RDY523172 QUC523107:QUC523172 QKG523107:QKG523172 QAK523107:QAK523172 PQO523107:PQO523172 PGS523107:PGS523172 OWW523107:OWW523172 ONA523107:ONA523172 ODE523107:ODE523172 NTI523107:NTI523172 NJM523107:NJM523172 MZQ523107:MZQ523172 MPU523107:MPU523172 MFY523107:MFY523172 LWC523107:LWC523172 LMG523107:LMG523172 LCK523107:LCK523172 KSO523107:KSO523172 KIS523107:KIS523172 JYW523107:JYW523172 JPA523107:JPA523172 JFE523107:JFE523172 IVI523107:IVI523172 ILM523107:ILM523172 IBQ523107:IBQ523172 HRU523107:HRU523172 HHY523107:HHY523172 GYC523107:GYC523172 GOG523107:GOG523172 GEK523107:GEK523172 FUO523107:FUO523172 FKS523107:FKS523172 FAW523107:FAW523172 ERA523107:ERA523172 EHE523107:EHE523172 DXI523107:DXI523172 DNM523107:DNM523172 DDQ523107:DDQ523172 CTU523107:CTU523172 CJY523107:CJY523172 CAC523107:CAC523172 BQG523107:BQG523172 BGK523107:BGK523172 AWO523107:AWO523172 AMS523107:AMS523172 ACW523107:ACW523172 TA523107:TA523172 JE523107:JE523172 I523107:I523172 WVQ457571:WVQ457636 WLU457571:WLU457636 WBY457571:WBY457636 VSC457571:VSC457636 VIG457571:VIG457636 UYK457571:UYK457636 UOO457571:UOO457636 UES457571:UES457636 TUW457571:TUW457636 TLA457571:TLA457636 TBE457571:TBE457636 SRI457571:SRI457636 SHM457571:SHM457636 RXQ457571:RXQ457636 RNU457571:RNU457636 RDY457571:RDY457636 QUC457571:QUC457636 QKG457571:QKG457636 QAK457571:QAK457636 PQO457571:PQO457636 PGS457571:PGS457636 OWW457571:OWW457636 ONA457571:ONA457636 ODE457571:ODE457636 NTI457571:NTI457636 NJM457571:NJM457636 MZQ457571:MZQ457636 MPU457571:MPU457636 MFY457571:MFY457636 LWC457571:LWC457636 LMG457571:LMG457636 LCK457571:LCK457636 KSO457571:KSO457636 KIS457571:KIS457636 JYW457571:JYW457636 JPA457571:JPA457636 JFE457571:JFE457636 IVI457571:IVI457636 ILM457571:ILM457636 IBQ457571:IBQ457636 HRU457571:HRU457636 HHY457571:HHY457636 GYC457571:GYC457636 GOG457571:GOG457636 GEK457571:GEK457636 FUO457571:FUO457636 FKS457571:FKS457636 FAW457571:FAW457636 ERA457571:ERA457636 EHE457571:EHE457636 DXI457571:DXI457636 DNM457571:DNM457636 DDQ457571:DDQ457636 CTU457571:CTU457636 CJY457571:CJY457636 CAC457571:CAC457636 BQG457571:BQG457636 BGK457571:BGK457636 AWO457571:AWO457636 AMS457571:AMS457636 ACW457571:ACW457636 TA457571:TA457636 JE457571:JE457636 I457571:I457636 WVQ392035:WVQ392100 WLU392035:WLU392100 WBY392035:WBY392100 VSC392035:VSC392100 VIG392035:VIG392100 UYK392035:UYK392100 UOO392035:UOO392100 UES392035:UES392100 TUW392035:TUW392100 TLA392035:TLA392100 TBE392035:TBE392100 SRI392035:SRI392100 SHM392035:SHM392100 RXQ392035:RXQ392100 RNU392035:RNU392100 RDY392035:RDY392100 QUC392035:QUC392100 QKG392035:QKG392100 QAK392035:QAK392100 PQO392035:PQO392100 PGS392035:PGS392100 OWW392035:OWW392100 ONA392035:ONA392100 ODE392035:ODE392100 NTI392035:NTI392100 NJM392035:NJM392100 MZQ392035:MZQ392100 MPU392035:MPU392100 MFY392035:MFY392100 LWC392035:LWC392100 LMG392035:LMG392100 LCK392035:LCK392100 KSO392035:KSO392100 KIS392035:KIS392100 JYW392035:JYW392100 JPA392035:JPA392100 JFE392035:JFE392100 IVI392035:IVI392100 ILM392035:ILM392100 IBQ392035:IBQ392100 HRU392035:HRU392100 HHY392035:HHY392100 GYC392035:GYC392100 GOG392035:GOG392100 GEK392035:GEK392100 FUO392035:FUO392100 FKS392035:FKS392100 FAW392035:FAW392100 ERA392035:ERA392100 EHE392035:EHE392100 DXI392035:DXI392100 DNM392035:DNM392100 DDQ392035:DDQ392100 CTU392035:CTU392100 CJY392035:CJY392100 CAC392035:CAC392100 BQG392035:BQG392100 BGK392035:BGK392100 AWO392035:AWO392100 AMS392035:AMS392100 ACW392035:ACW392100 TA392035:TA392100 JE392035:JE392100 I392035:I392100 WVQ326499:WVQ326564 WLU326499:WLU326564 WBY326499:WBY326564 VSC326499:VSC326564 VIG326499:VIG326564 UYK326499:UYK326564 UOO326499:UOO326564 UES326499:UES326564 TUW326499:TUW326564 TLA326499:TLA326564 TBE326499:TBE326564 SRI326499:SRI326564 SHM326499:SHM326564 RXQ326499:RXQ326564 RNU326499:RNU326564 RDY326499:RDY326564 QUC326499:QUC326564 QKG326499:QKG326564 QAK326499:QAK326564 PQO326499:PQO326564 PGS326499:PGS326564 OWW326499:OWW326564 ONA326499:ONA326564 ODE326499:ODE326564 NTI326499:NTI326564 NJM326499:NJM326564 MZQ326499:MZQ326564 MPU326499:MPU326564 MFY326499:MFY326564 LWC326499:LWC326564 LMG326499:LMG326564 LCK326499:LCK326564 KSO326499:KSO326564 KIS326499:KIS326564 JYW326499:JYW326564 JPA326499:JPA326564 JFE326499:JFE326564 IVI326499:IVI326564 ILM326499:ILM326564 IBQ326499:IBQ326564 HRU326499:HRU326564 HHY326499:HHY326564 GYC326499:GYC326564 GOG326499:GOG326564 GEK326499:GEK326564 FUO326499:FUO326564 FKS326499:FKS326564 FAW326499:FAW326564 ERA326499:ERA326564 EHE326499:EHE326564 DXI326499:DXI326564 DNM326499:DNM326564 DDQ326499:DDQ326564 CTU326499:CTU326564 CJY326499:CJY326564 CAC326499:CAC326564 BQG326499:BQG326564 BGK326499:BGK326564 AWO326499:AWO326564 AMS326499:AMS326564 ACW326499:ACW326564 TA326499:TA326564 JE326499:JE326564 I326499:I326564 WVQ260963:WVQ261028 WLU260963:WLU261028 WBY260963:WBY261028 VSC260963:VSC261028 VIG260963:VIG261028 UYK260963:UYK261028 UOO260963:UOO261028 UES260963:UES261028 TUW260963:TUW261028 TLA260963:TLA261028 TBE260963:TBE261028 SRI260963:SRI261028 SHM260963:SHM261028 RXQ260963:RXQ261028 RNU260963:RNU261028 RDY260963:RDY261028 QUC260963:QUC261028 QKG260963:QKG261028 QAK260963:QAK261028 PQO260963:PQO261028 PGS260963:PGS261028 OWW260963:OWW261028 ONA260963:ONA261028 ODE260963:ODE261028 NTI260963:NTI261028 NJM260963:NJM261028 MZQ260963:MZQ261028 MPU260963:MPU261028 MFY260963:MFY261028 LWC260963:LWC261028 LMG260963:LMG261028 LCK260963:LCK261028 KSO260963:KSO261028 KIS260963:KIS261028 JYW260963:JYW261028 JPA260963:JPA261028 JFE260963:JFE261028 IVI260963:IVI261028 ILM260963:ILM261028 IBQ260963:IBQ261028 HRU260963:HRU261028 HHY260963:HHY261028 GYC260963:GYC261028 GOG260963:GOG261028 GEK260963:GEK261028 FUO260963:FUO261028 FKS260963:FKS261028 FAW260963:FAW261028 ERA260963:ERA261028 EHE260963:EHE261028 DXI260963:DXI261028 DNM260963:DNM261028 DDQ260963:DDQ261028 CTU260963:CTU261028 CJY260963:CJY261028 CAC260963:CAC261028 BQG260963:BQG261028 BGK260963:BGK261028 AWO260963:AWO261028 AMS260963:AMS261028 ACW260963:ACW261028 TA260963:TA261028 JE260963:JE261028 I260963:I261028 WVQ195427:WVQ195492 WLU195427:WLU195492 WBY195427:WBY195492 VSC195427:VSC195492 VIG195427:VIG195492 UYK195427:UYK195492 UOO195427:UOO195492 UES195427:UES195492 TUW195427:TUW195492 TLA195427:TLA195492 TBE195427:TBE195492 SRI195427:SRI195492 SHM195427:SHM195492 RXQ195427:RXQ195492 RNU195427:RNU195492 RDY195427:RDY195492 QUC195427:QUC195492 QKG195427:QKG195492 QAK195427:QAK195492 PQO195427:PQO195492 PGS195427:PGS195492 OWW195427:OWW195492 ONA195427:ONA195492 ODE195427:ODE195492 NTI195427:NTI195492 NJM195427:NJM195492 MZQ195427:MZQ195492 MPU195427:MPU195492 MFY195427:MFY195492 LWC195427:LWC195492 LMG195427:LMG195492 LCK195427:LCK195492 KSO195427:KSO195492 KIS195427:KIS195492 JYW195427:JYW195492 JPA195427:JPA195492 JFE195427:JFE195492 IVI195427:IVI195492 ILM195427:ILM195492 IBQ195427:IBQ195492 HRU195427:HRU195492 HHY195427:HHY195492 GYC195427:GYC195492 GOG195427:GOG195492 GEK195427:GEK195492 FUO195427:FUO195492 FKS195427:FKS195492 FAW195427:FAW195492 ERA195427:ERA195492 EHE195427:EHE195492 DXI195427:DXI195492 DNM195427:DNM195492 DDQ195427:DDQ195492 CTU195427:CTU195492 CJY195427:CJY195492 CAC195427:CAC195492 BQG195427:BQG195492 BGK195427:BGK195492 AWO195427:AWO195492 AMS195427:AMS195492 ACW195427:ACW195492 TA195427:TA195492 JE195427:JE195492 I195427:I195492 WVQ129891:WVQ129956 WLU129891:WLU129956 WBY129891:WBY129956 VSC129891:VSC129956 VIG129891:VIG129956 UYK129891:UYK129956 UOO129891:UOO129956 UES129891:UES129956 TUW129891:TUW129956 TLA129891:TLA129956 TBE129891:TBE129956 SRI129891:SRI129956 SHM129891:SHM129956 RXQ129891:RXQ129956 RNU129891:RNU129956 RDY129891:RDY129956 QUC129891:QUC129956 QKG129891:QKG129956 QAK129891:QAK129956 PQO129891:PQO129956 PGS129891:PGS129956 OWW129891:OWW129956 ONA129891:ONA129956 ODE129891:ODE129956 NTI129891:NTI129956 NJM129891:NJM129956 MZQ129891:MZQ129956 MPU129891:MPU129956 MFY129891:MFY129956 LWC129891:LWC129956 LMG129891:LMG129956 LCK129891:LCK129956 KSO129891:KSO129956 KIS129891:KIS129956 JYW129891:JYW129956 JPA129891:JPA129956 JFE129891:JFE129956 IVI129891:IVI129956 ILM129891:ILM129956 IBQ129891:IBQ129956 HRU129891:HRU129956 HHY129891:HHY129956 GYC129891:GYC129956 GOG129891:GOG129956 GEK129891:GEK129956 FUO129891:FUO129956 FKS129891:FKS129956 FAW129891:FAW129956 ERA129891:ERA129956 EHE129891:EHE129956 DXI129891:DXI129956 DNM129891:DNM129956 DDQ129891:DDQ129956 CTU129891:CTU129956 CJY129891:CJY129956 CAC129891:CAC129956 BQG129891:BQG129956 BGK129891:BGK129956 AWO129891:AWO129956 AMS129891:AMS129956 ACW129891:ACW129956 TA129891:TA129956 JE129891:JE129956 I129891:I129956 WVQ64355:WVQ64420 WLU64355:WLU64420 WBY64355:WBY64420 VSC64355:VSC64420 VIG64355:VIG64420 UYK64355:UYK64420 UOO64355:UOO64420 UES64355:UES64420 TUW64355:TUW64420 TLA64355:TLA64420 TBE64355:TBE64420 SRI64355:SRI64420 SHM64355:SHM64420 RXQ64355:RXQ64420 RNU64355:RNU64420 RDY64355:RDY64420 QUC64355:QUC64420 QKG64355:QKG64420 QAK64355:QAK64420 PQO64355:PQO64420 PGS64355:PGS64420 OWW64355:OWW64420 ONA64355:ONA64420 ODE64355:ODE64420 NTI64355:NTI64420 NJM64355:NJM64420 MZQ64355:MZQ64420 MPU64355:MPU64420 MFY64355:MFY64420 LWC64355:LWC64420 LMG64355:LMG64420 LCK64355:LCK64420 KSO64355:KSO64420 KIS64355:KIS64420 JYW64355:JYW64420 JPA64355:JPA64420 JFE64355:JFE64420 IVI64355:IVI64420 ILM64355:ILM64420 IBQ64355:IBQ64420 HRU64355:HRU64420 HHY64355:HHY64420 GYC64355:GYC64420 GOG64355:GOG64420 GEK64355:GEK64420 FUO64355:FUO64420 FKS64355:FKS64420 FAW64355:FAW64420 ERA64355:ERA64420 EHE64355:EHE64420 DXI64355:DXI64420 DNM64355:DNM64420 DDQ64355:DDQ64420 CTU64355:CTU64420 CJY64355:CJY64420 CAC64355:CAC64420 BQG64355:BQG64420 BGK64355:BGK64420 AWO64355:AWO64420 AMS64355:AMS64420 ACW64355:ACW64420 TA64355:TA64420 I2:I492">
      <formula1>$AN$5:$AN$6</formula1>
    </dataValidation>
    <dataValidation type="list" allowBlank="1" showInputMessage="1" showErrorMessage="1" sqref="J64355:J64420 WVR1047395:WVR1047460 WLV1047395:WLV1047460 WBZ1047395:WBZ1047460 VSD1047395:VSD1047460 VIH1047395:VIH1047460 UYL1047395:UYL1047460 UOP1047395:UOP1047460 UET1047395:UET1047460 TUX1047395:TUX1047460 TLB1047395:TLB1047460 TBF1047395:TBF1047460 SRJ1047395:SRJ1047460 SHN1047395:SHN1047460 RXR1047395:RXR1047460 RNV1047395:RNV1047460 RDZ1047395:RDZ1047460 QUD1047395:QUD1047460 QKH1047395:QKH1047460 QAL1047395:QAL1047460 PQP1047395:PQP1047460 PGT1047395:PGT1047460 OWX1047395:OWX1047460 ONB1047395:ONB1047460 ODF1047395:ODF1047460 NTJ1047395:NTJ1047460 NJN1047395:NJN1047460 MZR1047395:MZR1047460 MPV1047395:MPV1047460 MFZ1047395:MFZ1047460 LWD1047395:LWD1047460 LMH1047395:LMH1047460 LCL1047395:LCL1047460 KSP1047395:KSP1047460 KIT1047395:KIT1047460 JYX1047395:JYX1047460 JPB1047395:JPB1047460 JFF1047395:JFF1047460 IVJ1047395:IVJ1047460 ILN1047395:ILN1047460 IBR1047395:IBR1047460 HRV1047395:HRV1047460 HHZ1047395:HHZ1047460 GYD1047395:GYD1047460 GOH1047395:GOH1047460 GEL1047395:GEL1047460 FUP1047395:FUP1047460 FKT1047395:FKT1047460 FAX1047395:FAX1047460 ERB1047395:ERB1047460 EHF1047395:EHF1047460 DXJ1047395:DXJ1047460 DNN1047395:DNN1047460 DDR1047395:DDR1047460 CTV1047395:CTV1047460 CJZ1047395:CJZ1047460 CAD1047395:CAD1047460 BQH1047395:BQH1047460 BGL1047395:BGL1047460 AWP1047395:AWP1047460 AMT1047395:AMT1047460 ACX1047395:ACX1047460 TB1047395:TB1047460 JF1047395:JF1047460 J1047395:J1047460 WVR981859:WVR981924 WLV981859:WLV981924 WBZ981859:WBZ981924 VSD981859:VSD981924 VIH981859:VIH981924 UYL981859:UYL981924 UOP981859:UOP981924 UET981859:UET981924 TUX981859:TUX981924 TLB981859:TLB981924 TBF981859:TBF981924 SRJ981859:SRJ981924 SHN981859:SHN981924 RXR981859:RXR981924 RNV981859:RNV981924 RDZ981859:RDZ981924 QUD981859:QUD981924 QKH981859:QKH981924 QAL981859:QAL981924 PQP981859:PQP981924 PGT981859:PGT981924 OWX981859:OWX981924 ONB981859:ONB981924 ODF981859:ODF981924 NTJ981859:NTJ981924 NJN981859:NJN981924 MZR981859:MZR981924 MPV981859:MPV981924 MFZ981859:MFZ981924 LWD981859:LWD981924 LMH981859:LMH981924 LCL981859:LCL981924 KSP981859:KSP981924 KIT981859:KIT981924 JYX981859:JYX981924 JPB981859:JPB981924 JFF981859:JFF981924 IVJ981859:IVJ981924 ILN981859:ILN981924 IBR981859:IBR981924 HRV981859:HRV981924 HHZ981859:HHZ981924 GYD981859:GYD981924 GOH981859:GOH981924 GEL981859:GEL981924 FUP981859:FUP981924 FKT981859:FKT981924 FAX981859:FAX981924 ERB981859:ERB981924 EHF981859:EHF981924 DXJ981859:DXJ981924 DNN981859:DNN981924 DDR981859:DDR981924 CTV981859:CTV981924 CJZ981859:CJZ981924 CAD981859:CAD981924 BQH981859:BQH981924 BGL981859:BGL981924 AWP981859:AWP981924 AMT981859:AMT981924 ACX981859:ACX981924 TB981859:TB981924 JF981859:JF981924 J981859:J981924 WVR916323:WVR916388 WLV916323:WLV916388 WBZ916323:WBZ916388 VSD916323:VSD916388 VIH916323:VIH916388 UYL916323:UYL916388 UOP916323:UOP916388 UET916323:UET916388 TUX916323:TUX916388 TLB916323:TLB916388 TBF916323:TBF916388 SRJ916323:SRJ916388 SHN916323:SHN916388 RXR916323:RXR916388 RNV916323:RNV916388 RDZ916323:RDZ916388 QUD916323:QUD916388 QKH916323:QKH916388 QAL916323:QAL916388 PQP916323:PQP916388 PGT916323:PGT916388 OWX916323:OWX916388 ONB916323:ONB916388 ODF916323:ODF916388 NTJ916323:NTJ916388 NJN916323:NJN916388 MZR916323:MZR916388 MPV916323:MPV916388 MFZ916323:MFZ916388 LWD916323:LWD916388 LMH916323:LMH916388 LCL916323:LCL916388 KSP916323:KSP916388 KIT916323:KIT916388 JYX916323:JYX916388 JPB916323:JPB916388 JFF916323:JFF916388 IVJ916323:IVJ916388 ILN916323:ILN916388 IBR916323:IBR916388 HRV916323:HRV916388 HHZ916323:HHZ916388 GYD916323:GYD916388 GOH916323:GOH916388 GEL916323:GEL916388 FUP916323:FUP916388 FKT916323:FKT916388 FAX916323:FAX916388 ERB916323:ERB916388 EHF916323:EHF916388 DXJ916323:DXJ916388 DNN916323:DNN916388 DDR916323:DDR916388 CTV916323:CTV916388 CJZ916323:CJZ916388 CAD916323:CAD916388 BQH916323:BQH916388 BGL916323:BGL916388 AWP916323:AWP916388 AMT916323:AMT916388 ACX916323:ACX916388 TB916323:TB916388 JF916323:JF916388 J916323:J916388 WVR850787:WVR850852 WLV850787:WLV850852 WBZ850787:WBZ850852 VSD850787:VSD850852 VIH850787:VIH850852 UYL850787:UYL850852 UOP850787:UOP850852 UET850787:UET850852 TUX850787:TUX850852 TLB850787:TLB850852 TBF850787:TBF850852 SRJ850787:SRJ850852 SHN850787:SHN850852 RXR850787:RXR850852 RNV850787:RNV850852 RDZ850787:RDZ850852 QUD850787:QUD850852 QKH850787:QKH850852 QAL850787:QAL850852 PQP850787:PQP850852 PGT850787:PGT850852 OWX850787:OWX850852 ONB850787:ONB850852 ODF850787:ODF850852 NTJ850787:NTJ850852 NJN850787:NJN850852 MZR850787:MZR850852 MPV850787:MPV850852 MFZ850787:MFZ850852 LWD850787:LWD850852 LMH850787:LMH850852 LCL850787:LCL850852 KSP850787:KSP850852 KIT850787:KIT850852 JYX850787:JYX850852 JPB850787:JPB850852 JFF850787:JFF850852 IVJ850787:IVJ850852 ILN850787:ILN850852 IBR850787:IBR850852 HRV850787:HRV850852 HHZ850787:HHZ850852 GYD850787:GYD850852 GOH850787:GOH850852 GEL850787:GEL850852 FUP850787:FUP850852 FKT850787:FKT850852 FAX850787:FAX850852 ERB850787:ERB850852 EHF850787:EHF850852 DXJ850787:DXJ850852 DNN850787:DNN850852 DDR850787:DDR850852 CTV850787:CTV850852 CJZ850787:CJZ850852 CAD850787:CAD850852 BQH850787:BQH850852 BGL850787:BGL850852 AWP850787:AWP850852 AMT850787:AMT850852 ACX850787:ACX850852 TB850787:TB850852 JF850787:JF850852 J850787:J850852 WVR785251:WVR785316 WLV785251:WLV785316 WBZ785251:WBZ785316 VSD785251:VSD785316 VIH785251:VIH785316 UYL785251:UYL785316 UOP785251:UOP785316 UET785251:UET785316 TUX785251:TUX785316 TLB785251:TLB785316 TBF785251:TBF785316 SRJ785251:SRJ785316 SHN785251:SHN785316 RXR785251:RXR785316 RNV785251:RNV785316 RDZ785251:RDZ785316 QUD785251:QUD785316 QKH785251:QKH785316 QAL785251:QAL785316 PQP785251:PQP785316 PGT785251:PGT785316 OWX785251:OWX785316 ONB785251:ONB785316 ODF785251:ODF785316 NTJ785251:NTJ785316 NJN785251:NJN785316 MZR785251:MZR785316 MPV785251:MPV785316 MFZ785251:MFZ785316 LWD785251:LWD785316 LMH785251:LMH785316 LCL785251:LCL785316 KSP785251:KSP785316 KIT785251:KIT785316 JYX785251:JYX785316 JPB785251:JPB785316 JFF785251:JFF785316 IVJ785251:IVJ785316 ILN785251:ILN785316 IBR785251:IBR785316 HRV785251:HRV785316 HHZ785251:HHZ785316 GYD785251:GYD785316 GOH785251:GOH785316 GEL785251:GEL785316 FUP785251:FUP785316 FKT785251:FKT785316 FAX785251:FAX785316 ERB785251:ERB785316 EHF785251:EHF785316 DXJ785251:DXJ785316 DNN785251:DNN785316 DDR785251:DDR785316 CTV785251:CTV785316 CJZ785251:CJZ785316 CAD785251:CAD785316 BQH785251:BQH785316 BGL785251:BGL785316 AWP785251:AWP785316 AMT785251:AMT785316 ACX785251:ACX785316 TB785251:TB785316 JF785251:JF785316 J785251:J785316 WVR719715:WVR719780 WLV719715:WLV719780 WBZ719715:WBZ719780 VSD719715:VSD719780 VIH719715:VIH719780 UYL719715:UYL719780 UOP719715:UOP719780 UET719715:UET719780 TUX719715:TUX719780 TLB719715:TLB719780 TBF719715:TBF719780 SRJ719715:SRJ719780 SHN719715:SHN719780 RXR719715:RXR719780 RNV719715:RNV719780 RDZ719715:RDZ719780 QUD719715:QUD719780 QKH719715:QKH719780 QAL719715:QAL719780 PQP719715:PQP719780 PGT719715:PGT719780 OWX719715:OWX719780 ONB719715:ONB719780 ODF719715:ODF719780 NTJ719715:NTJ719780 NJN719715:NJN719780 MZR719715:MZR719780 MPV719715:MPV719780 MFZ719715:MFZ719780 LWD719715:LWD719780 LMH719715:LMH719780 LCL719715:LCL719780 KSP719715:KSP719780 KIT719715:KIT719780 JYX719715:JYX719780 JPB719715:JPB719780 JFF719715:JFF719780 IVJ719715:IVJ719780 ILN719715:ILN719780 IBR719715:IBR719780 HRV719715:HRV719780 HHZ719715:HHZ719780 GYD719715:GYD719780 GOH719715:GOH719780 GEL719715:GEL719780 FUP719715:FUP719780 FKT719715:FKT719780 FAX719715:FAX719780 ERB719715:ERB719780 EHF719715:EHF719780 DXJ719715:DXJ719780 DNN719715:DNN719780 DDR719715:DDR719780 CTV719715:CTV719780 CJZ719715:CJZ719780 CAD719715:CAD719780 BQH719715:BQH719780 BGL719715:BGL719780 AWP719715:AWP719780 AMT719715:AMT719780 ACX719715:ACX719780 TB719715:TB719780 JF719715:JF719780 J719715:J719780 WVR654179:WVR654244 WLV654179:WLV654244 WBZ654179:WBZ654244 VSD654179:VSD654244 VIH654179:VIH654244 UYL654179:UYL654244 UOP654179:UOP654244 UET654179:UET654244 TUX654179:TUX654244 TLB654179:TLB654244 TBF654179:TBF654244 SRJ654179:SRJ654244 SHN654179:SHN654244 RXR654179:RXR654244 RNV654179:RNV654244 RDZ654179:RDZ654244 QUD654179:QUD654244 QKH654179:QKH654244 QAL654179:QAL654244 PQP654179:PQP654244 PGT654179:PGT654244 OWX654179:OWX654244 ONB654179:ONB654244 ODF654179:ODF654244 NTJ654179:NTJ654244 NJN654179:NJN654244 MZR654179:MZR654244 MPV654179:MPV654244 MFZ654179:MFZ654244 LWD654179:LWD654244 LMH654179:LMH654244 LCL654179:LCL654244 KSP654179:KSP654244 KIT654179:KIT654244 JYX654179:JYX654244 JPB654179:JPB654244 JFF654179:JFF654244 IVJ654179:IVJ654244 ILN654179:ILN654244 IBR654179:IBR654244 HRV654179:HRV654244 HHZ654179:HHZ654244 GYD654179:GYD654244 GOH654179:GOH654244 GEL654179:GEL654244 FUP654179:FUP654244 FKT654179:FKT654244 FAX654179:FAX654244 ERB654179:ERB654244 EHF654179:EHF654244 DXJ654179:DXJ654244 DNN654179:DNN654244 DDR654179:DDR654244 CTV654179:CTV654244 CJZ654179:CJZ654244 CAD654179:CAD654244 BQH654179:BQH654244 BGL654179:BGL654244 AWP654179:AWP654244 AMT654179:AMT654244 ACX654179:ACX654244 TB654179:TB654244 JF654179:JF654244 J654179:J654244 WVR588643:WVR588708 WLV588643:WLV588708 WBZ588643:WBZ588708 VSD588643:VSD588708 VIH588643:VIH588708 UYL588643:UYL588708 UOP588643:UOP588708 UET588643:UET588708 TUX588643:TUX588708 TLB588643:TLB588708 TBF588643:TBF588708 SRJ588643:SRJ588708 SHN588643:SHN588708 RXR588643:RXR588708 RNV588643:RNV588708 RDZ588643:RDZ588708 QUD588643:QUD588708 QKH588643:QKH588708 QAL588643:QAL588708 PQP588643:PQP588708 PGT588643:PGT588708 OWX588643:OWX588708 ONB588643:ONB588708 ODF588643:ODF588708 NTJ588643:NTJ588708 NJN588643:NJN588708 MZR588643:MZR588708 MPV588643:MPV588708 MFZ588643:MFZ588708 LWD588643:LWD588708 LMH588643:LMH588708 LCL588643:LCL588708 KSP588643:KSP588708 KIT588643:KIT588708 JYX588643:JYX588708 JPB588643:JPB588708 JFF588643:JFF588708 IVJ588643:IVJ588708 ILN588643:ILN588708 IBR588643:IBR588708 HRV588643:HRV588708 HHZ588643:HHZ588708 GYD588643:GYD588708 GOH588643:GOH588708 GEL588643:GEL588708 FUP588643:FUP588708 FKT588643:FKT588708 FAX588643:FAX588708 ERB588643:ERB588708 EHF588643:EHF588708 DXJ588643:DXJ588708 DNN588643:DNN588708 DDR588643:DDR588708 CTV588643:CTV588708 CJZ588643:CJZ588708 CAD588643:CAD588708 BQH588643:BQH588708 BGL588643:BGL588708 AWP588643:AWP588708 AMT588643:AMT588708 ACX588643:ACX588708 TB588643:TB588708 JF588643:JF588708 J588643:J588708 WVR523107:WVR523172 WLV523107:WLV523172 WBZ523107:WBZ523172 VSD523107:VSD523172 VIH523107:VIH523172 UYL523107:UYL523172 UOP523107:UOP523172 UET523107:UET523172 TUX523107:TUX523172 TLB523107:TLB523172 TBF523107:TBF523172 SRJ523107:SRJ523172 SHN523107:SHN523172 RXR523107:RXR523172 RNV523107:RNV523172 RDZ523107:RDZ523172 QUD523107:QUD523172 QKH523107:QKH523172 QAL523107:QAL523172 PQP523107:PQP523172 PGT523107:PGT523172 OWX523107:OWX523172 ONB523107:ONB523172 ODF523107:ODF523172 NTJ523107:NTJ523172 NJN523107:NJN523172 MZR523107:MZR523172 MPV523107:MPV523172 MFZ523107:MFZ523172 LWD523107:LWD523172 LMH523107:LMH523172 LCL523107:LCL523172 KSP523107:KSP523172 KIT523107:KIT523172 JYX523107:JYX523172 JPB523107:JPB523172 JFF523107:JFF523172 IVJ523107:IVJ523172 ILN523107:ILN523172 IBR523107:IBR523172 HRV523107:HRV523172 HHZ523107:HHZ523172 GYD523107:GYD523172 GOH523107:GOH523172 GEL523107:GEL523172 FUP523107:FUP523172 FKT523107:FKT523172 FAX523107:FAX523172 ERB523107:ERB523172 EHF523107:EHF523172 DXJ523107:DXJ523172 DNN523107:DNN523172 DDR523107:DDR523172 CTV523107:CTV523172 CJZ523107:CJZ523172 CAD523107:CAD523172 BQH523107:BQH523172 BGL523107:BGL523172 AWP523107:AWP523172 AMT523107:AMT523172 ACX523107:ACX523172 TB523107:TB523172 JF523107:JF523172 J523107:J523172 WVR457571:WVR457636 WLV457571:WLV457636 WBZ457571:WBZ457636 VSD457571:VSD457636 VIH457571:VIH457636 UYL457571:UYL457636 UOP457571:UOP457636 UET457571:UET457636 TUX457571:TUX457636 TLB457571:TLB457636 TBF457571:TBF457636 SRJ457571:SRJ457636 SHN457571:SHN457636 RXR457571:RXR457636 RNV457571:RNV457636 RDZ457571:RDZ457636 QUD457571:QUD457636 QKH457571:QKH457636 QAL457571:QAL457636 PQP457571:PQP457636 PGT457571:PGT457636 OWX457571:OWX457636 ONB457571:ONB457636 ODF457571:ODF457636 NTJ457571:NTJ457636 NJN457571:NJN457636 MZR457571:MZR457636 MPV457571:MPV457636 MFZ457571:MFZ457636 LWD457571:LWD457636 LMH457571:LMH457636 LCL457571:LCL457636 KSP457571:KSP457636 KIT457571:KIT457636 JYX457571:JYX457636 JPB457571:JPB457636 JFF457571:JFF457636 IVJ457571:IVJ457636 ILN457571:ILN457636 IBR457571:IBR457636 HRV457571:HRV457636 HHZ457571:HHZ457636 GYD457571:GYD457636 GOH457571:GOH457636 GEL457571:GEL457636 FUP457571:FUP457636 FKT457571:FKT457636 FAX457571:FAX457636 ERB457571:ERB457636 EHF457571:EHF457636 DXJ457571:DXJ457636 DNN457571:DNN457636 DDR457571:DDR457636 CTV457571:CTV457636 CJZ457571:CJZ457636 CAD457571:CAD457636 BQH457571:BQH457636 BGL457571:BGL457636 AWP457571:AWP457636 AMT457571:AMT457636 ACX457571:ACX457636 TB457571:TB457636 JF457571:JF457636 J457571:J457636 WVR392035:WVR392100 WLV392035:WLV392100 WBZ392035:WBZ392100 VSD392035:VSD392100 VIH392035:VIH392100 UYL392035:UYL392100 UOP392035:UOP392100 UET392035:UET392100 TUX392035:TUX392100 TLB392035:TLB392100 TBF392035:TBF392100 SRJ392035:SRJ392100 SHN392035:SHN392100 RXR392035:RXR392100 RNV392035:RNV392100 RDZ392035:RDZ392100 QUD392035:QUD392100 QKH392035:QKH392100 QAL392035:QAL392100 PQP392035:PQP392100 PGT392035:PGT392100 OWX392035:OWX392100 ONB392035:ONB392100 ODF392035:ODF392100 NTJ392035:NTJ392100 NJN392035:NJN392100 MZR392035:MZR392100 MPV392035:MPV392100 MFZ392035:MFZ392100 LWD392035:LWD392100 LMH392035:LMH392100 LCL392035:LCL392100 KSP392035:KSP392100 KIT392035:KIT392100 JYX392035:JYX392100 JPB392035:JPB392100 JFF392035:JFF392100 IVJ392035:IVJ392100 ILN392035:ILN392100 IBR392035:IBR392100 HRV392035:HRV392100 HHZ392035:HHZ392100 GYD392035:GYD392100 GOH392035:GOH392100 GEL392035:GEL392100 FUP392035:FUP392100 FKT392035:FKT392100 FAX392035:FAX392100 ERB392035:ERB392100 EHF392035:EHF392100 DXJ392035:DXJ392100 DNN392035:DNN392100 DDR392035:DDR392100 CTV392035:CTV392100 CJZ392035:CJZ392100 CAD392035:CAD392100 BQH392035:BQH392100 BGL392035:BGL392100 AWP392035:AWP392100 AMT392035:AMT392100 ACX392035:ACX392100 TB392035:TB392100 JF392035:JF392100 J392035:J392100 WVR326499:WVR326564 WLV326499:WLV326564 WBZ326499:WBZ326564 VSD326499:VSD326564 VIH326499:VIH326564 UYL326499:UYL326564 UOP326499:UOP326564 UET326499:UET326564 TUX326499:TUX326564 TLB326499:TLB326564 TBF326499:TBF326564 SRJ326499:SRJ326564 SHN326499:SHN326564 RXR326499:RXR326564 RNV326499:RNV326564 RDZ326499:RDZ326564 QUD326499:QUD326564 QKH326499:QKH326564 QAL326499:QAL326564 PQP326499:PQP326564 PGT326499:PGT326564 OWX326499:OWX326564 ONB326499:ONB326564 ODF326499:ODF326564 NTJ326499:NTJ326564 NJN326499:NJN326564 MZR326499:MZR326564 MPV326499:MPV326564 MFZ326499:MFZ326564 LWD326499:LWD326564 LMH326499:LMH326564 LCL326499:LCL326564 KSP326499:KSP326564 KIT326499:KIT326564 JYX326499:JYX326564 JPB326499:JPB326564 JFF326499:JFF326564 IVJ326499:IVJ326564 ILN326499:ILN326564 IBR326499:IBR326564 HRV326499:HRV326564 HHZ326499:HHZ326564 GYD326499:GYD326564 GOH326499:GOH326564 GEL326499:GEL326564 FUP326499:FUP326564 FKT326499:FKT326564 FAX326499:FAX326564 ERB326499:ERB326564 EHF326499:EHF326564 DXJ326499:DXJ326564 DNN326499:DNN326564 DDR326499:DDR326564 CTV326499:CTV326564 CJZ326499:CJZ326564 CAD326499:CAD326564 BQH326499:BQH326564 BGL326499:BGL326564 AWP326499:AWP326564 AMT326499:AMT326564 ACX326499:ACX326564 TB326499:TB326564 JF326499:JF326564 J326499:J326564 WVR260963:WVR261028 WLV260963:WLV261028 WBZ260963:WBZ261028 VSD260963:VSD261028 VIH260963:VIH261028 UYL260963:UYL261028 UOP260963:UOP261028 UET260963:UET261028 TUX260963:TUX261028 TLB260963:TLB261028 TBF260963:TBF261028 SRJ260963:SRJ261028 SHN260963:SHN261028 RXR260963:RXR261028 RNV260963:RNV261028 RDZ260963:RDZ261028 QUD260963:QUD261028 QKH260963:QKH261028 QAL260963:QAL261028 PQP260963:PQP261028 PGT260963:PGT261028 OWX260963:OWX261028 ONB260963:ONB261028 ODF260963:ODF261028 NTJ260963:NTJ261028 NJN260963:NJN261028 MZR260963:MZR261028 MPV260963:MPV261028 MFZ260963:MFZ261028 LWD260963:LWD261028 LMH260963:LMH261028 LCL260963:LCL261028 KSP260963:KSP261028 KIT260963:KIT261028 JYX260963:JYX261028 JPB260963:JPB261028 JFF260963:JFF261028 IVJ260963:IVJ261028 ILN260963:ILN261028 IBR260963:IBR261028 HRV260963:HRV261028 HHZ260963:HHZ261028 GYD260963:GYD261028 GOH260963:GOH261028 GEL260963:GEL261028 FUP260963:FUP261028 FKT260963:FKT261028 FAX260963:FAX261028 ERB260963:ERB261028 EHF260963:EHF261028 DXJ260963:DXJ261028 DNN260963:DNN261028 DDR260963:DDR261028 CTV260963:CTV261028 CJZ260963:CJZ261028 CAD260963:CAD261028 BQH260963:BQH261028 BGL260963:BGL261028 AWP260963:AWP261028 AMT260963:AMT261028 ACX260963:ACX261028 TB260963:TB261028 JF260963:JF261028 J260963:J261028 WVR195427:WVR195492 WLV195427:WLV195492 WBZ195427:WBZ195492 VSD195427:VSD195492 VIH195427:VIH195492 UYL195427:UYL195492 UOP195427:UOP195492 UET195427:UET195492 TUX195427:TUX195492 TLB195427:TLB195492 TBF195427:TBF195492 SRJ195427:SRJ195492 SHN195427:SHN195492 RXR195427:RXR195492 RNV195427:RNV195492 RDZ195427:RDZ195492 QUD195427:QUD195492 QKH195427:QKH195492 QAL195427:QAL195492 PQP195427:PQP195492 PGT195427:PGT195492 OWX195427:OWX195492 ONB195427:ONB195492 ODF195427:ODF195492 NTJ195427:NTJ195492 NJN195427:NJN195492 MZR195427:MZR195492 MPV195427:MPV195492 MFZ195427:MFZ195492 LWD195427:LWD195492 LMH195427:LMH195492 LCL195427:LCL195492 KSP195427:KSP195492 KIT195427:KIT195492 JYX195427:JYX195492 JPB195427:JPB195492 JFF195427:JFF195492 IVJ195427:IVJ195492 ILN195427:ILN195492 IBR195427:IBR195492 HRV195427:HRV195492 HHZ195427:HHZ195492 GYD195427:GYD195492 GOH195427:GOH195492 GEL195427:GEL195492 FUP195427:FUP195492 FKT195427:FKT195492 FAX195427:FAX195492 ERB195427:ERB195492 EHF195427:EHF195492 DXJ195427:DXJ195492 DNN195427:DNN195492 DDR195427:DDR195492 CTV195427:CTV195492 CJZ195427:CJZ195492 CAD195427:CAD195492 BQH195427:BQH195492 BGL195427:BGL195492 AWP195427:AWP195492 AMT195427:AMT195492 ACX195427:ACX195492 TB195427:TB195492 JF195427:JF195492 J195427:J195492 WVR129891:WVR129956 WLV129891:WLV129956 WBZ129891:WBZ129956 VSD129891:VSD129956 VIH129891:VIH129956 UYL129891:UYL129956 UOP129891:UOP129956 UET129891:UET129956 TUX129891:TUX129956 TLB129891:TLB129956 TBF129891:TBF129956 SRJ129891:SRJ129956 SHN129891:SHN129956 RXR129891:RXR129956 RNV129891:RNV129956 RDZ129891:RDZ129956 QUD129891:QUD129956 QKH129891:QKH129956 QAL129891:QAL129956 PQP129891:PQP129956 PGT129891:PGT129956 OWX129891:OWX129956 ONB129891:ONB129956 ODF129891:ODF129956 NTJ129891:NTJ129956 NJN129891:NJN129956 MZR129891:MZR129956 MPV129891:MPV129956 MFZ129891:MFZ129956 LWD129891:LWD129956 LMH129891:LMH129956 LCL129891:LCL129956 KSP129891:KSP129956 KIT129891:KIT129956 JYX129891:JYX129956 JPB129891:JPB129956 JFF129891:JFF129956 IVJ129891:IVJ129956 ILN129891:ILN129956 IBR129891:IBR129956 HRV129891:HRV129956 HHZ129891:HHZ129956 GYD129891:GYD129956 GOH129891:GOH129956 GEL129891:GEL129956 FUP129891:FUP129956 FKT129891:FKT129956 FAX129891:FAX129956 ERB129891:ERB129956 EHF129891:EHF129956 DXJ129891:DXJ129956 DNN129891:DNN129956 DDR129891:DDR129956 CTV129891:CTV129956 CJZ129891:CJZ129956 CAD129891:CAD129956 BQH129891:BQH129956 BGL129891:BGL129956 AWP129891:AWP129956 AMT129891:AMT129956 ACX129891:ACX129956 TB129891:TB129956 JF129891:JF129956 J129891:J129956 WVR64355:WVR64420 WLV64355:WLV64420 WBZ64355:WBZ64420 VSD64355:VSD64420 VIH64355:VIH64420 UYL64355:UYL64420 UOP64355:UOP64420 UET64355:UET64420 TUX64355:TUX64420 TLB64355:TLB64420 TBF64355:TBF64420 SRJ64355:SRJ64420 SHN64355:SHN64420 RXR64355:RXR64420 RNV64355:RNV64420 RDZ64355:RDZ64420 QUD64355:QUD64420 QKH64355:QKH64420 QAL64355:QAL64420 PQP64355:PQP64420 PGT64355:PGT64420 OWX64355:OWX64420 ONB64355:ONB64420 ODF64355:ODF64420 NTJ64355:NTJ64420 NJN64355:NJN64420 MZR64355:MZR64420 MPV64355:MPV64420 MFZ64355:MFZ64420 LWD64355:LWD64420 LMH64355:LMH64420 LCL64355:LCL64420 KSP64355:KSP64420 KIT64355:KIT64420 JYX64355:JYX64420 JPB64355:JPB64420 JFF64355:JFF64420 IVJ64355:IVJ64420 ILN64355:ILN64420 IBR64355:IBR64420 HRV64355:HRV64420 HHZ64355:HHZ64420 GYD64355:GYD64420 GOH64355:GOH64420 GEL64355:GEL64420 FUP64355:FUP64420 FKT64355:FKT64420 FAX64355:FAX64420 ERB64355:ERB64420 EHF64355:EHF64420 DXJ64355:DXJ64420 DNN64355:DNN64420 DDR64355:DDR64420 CTV64355:CTV64420 CJZ64355:CJZ64420 CAD64355:CAD64420 BQH64355:BQH64420 BGL64355:BGL64420 AWP64355:AWP64420 AMT64355:AMT64420 ACX64355:ACX64420 TB64355:TB64420 JF64355:JF64420">
      <formula1>$AP$2:$AP$15</formula1>
    </dataValidation>
    <dataValidation type="list" allowBlank="1" showInputMessage="1" showErrorMessage="1" sqref="K64355:K64420 WVS1047395:WVS1047460 WLW1047395:WLW1047460 WCA1047395:WCA1047460 VSE1047395:VSE1047460 VII1047395:VII1047460 UYM1047395:UYM1047460 UOQ1047395:UOQ1047460 UEU1047395:UEU1047460 TUY1047395:TUY1047460 TLC1047395:TLC1047460 TBG1047395:TBG1047460 SRK1047395:SRK1047460 SHO1047395:SHO1047460 RXS1047395:RXS1047460 RNW1047395:RNW1047460 REA1047395:REA1047460 QUE1047395:QUE1047460 QKI1047395:QKI1047460 QAM1047395:QAM1047460 PQQ1047395:PQQ1047460 PGU1047395:PGU1047460 OWY1047395:OWY1047460 ONC1047395:ONC1047460 ODG1047395:ODG1047460 NTK1047395:NTK1047460 NJO1047395:NJO1047460 MZS1047395:MZS1047460 MPW1047395:MPW1047460 MGA1047395:MGA1047460 LWE1047395:LWE1047460 LMI1047395:LMI1047460 LCM1047395:LCM1047460 KSQ1047395:KSQ1047460 KIU1047395:KIU1047460 JYY1047395:JYY1047460 JPC1047395:JPC1047460 JFG1047395:JFG1047460 IVK1047395:IVK1047460 ILO1047395:ILO1047460 IBS1047395:IBS1047460 HRW1047395:HRW1047460 HIA1047395:HIA1047460 GYE1047395:GYE1047460 GOI1047395:GOI1047460 GEM1047395:GEM1047460 FUQ1047395:FUQ1047460 FKU1047395:FKU1047460 FAY1047395:FAY1047460 ERC1047395:ERC1047460 EHG1047395:EHG1047460 DXK1047395:DXK1047460 DNO1047395:DNO1047460 DDS1047395:DDS1047460 CTW1047395:CTW1047460 CKA1047395:CKA1047460 CAE1047395:CAE1047460 BQI1047395:BQI1047460 BGM1047395:BGM1047460 AWQ1047395:AWQ1047460 AMU1047395:AMU1047460 ACY1047395:ACY1047460 TC1047395:TC1047460 JG1047395:JG1047460 K1047395:K1047460 WVS981859:WVS981924 WLW981859:WLW981924 WCA981859:WCA981924 VSE981859:VSE981924 VII981859:VII981924 UYM981859:UYM981924 UOQ981859:UOQ981924 UEU981859:UEU981924 TUY981859:TUY981924 TLC981859:TLC981924 TBG981859:TBG981924 SRK981859:SRK981924 SHO981859:SHO981924 RXS981859:RXS981924 RNW981859:RNW981924 REA981859:REA981924 QUE981859:QUE981924 QKI981859:QKI981924 QAM981859:QAM981924 PQQ981859:PQQ981924 PGU981859:PGU981924 OWY981859:OWY981924 ONC981859:ONC981924 ODG981859:ODG981924 NTK981859:NTK981924 NJO981859:NJO981924 MZS981859:MZS981924 MPW981859:MPW981924 MGA981859:MGA981924 LWE981859:LWE981924 LMI981859:LMI981924 LCM981859:LCM981924 KSQ981859:KSQ981924 KIU981859:KIU981924 JYY981859:JYY981924 JPC981859:JPC981924 JFG981859:JFG981924 IVK981859:IVK981924 ILO981859:ILO981924 IBS981859:IBS981924 HRW981859:HRW981924 HIA981859:HIA981924 GYE981859:GYE981924 GOI981859:GOI981924 GEM981859:GEM981924 FUQ981859:FUQ981924 FKU981859:FKU981924 FAY981859:FAY981924 ERC981859:ERC981924 EHG981859:EHG981924 DXK981859:DXK981924 DNO981859:DNO981924 DDS981859:DDS981924 CTW981859:CTW981924 CKA981859:CKA981924 CAE981859:CAE981924 BQI981859:BQI981924 BGM981859:BGM981924 AWQ981859:AWQ981924 AMU981859:AMU981924 ACY981859:ACY981924 TC981859:TC981924 JG981859:JG981924 K981859:K981924 WVS916323:WVS916388 WLW916323:WLW916388 WCA916323:WCA916388 VSE916323:VSE916388 VII916323:VII916388 UYM916323:UYM916388 UOQ916323:UOQ916388 UEU916323:UEU916388 TUY916323:TUY916388 TLC916323:TLC916388 TBG916323:TBG916388 SRK916323:SRK916388 SHO916323:SHO916388 RXS916323:RXS916388 RNW916323:RNW916388 REA916323:REA916388 QUE916323:QUE916388 QKI916323:QKI916388 QAM916323:QAM916388 PQQ916323:PQQ916388 PGU916323:PGU916388 OWY916323:OWY916388 ONC916323:ONC916388 ODG916323:ODG916388 NTK916323:NTK916388 NJO916323:NJO916388 MZS916323:MZS916388 MPW916323:MPW916388 MGA916323:MGA916388 LWE916323:LWE916388 LMI916323:LMI916388 LCM916323:LCM916388 KSQ916323:KSQ916388 KIU916323:KIU916388 JYY916323:JYY916388 JPC916323:JPC916388 JFG916323:JFG916388 IVK916323:IVK916388 ILO916323:ILO916388 IBS916323:IBS916388 HRW916323:HRW916388 HIA916323:HIA916388 GYE916323:GYE916388 GOI916323:GOI916388 GEM916323:GEM916388 FUQ916323:FUQ916388 FKU916323:FKU916388 FAY916323:FAY916388 ERC916323:ERC916388 EHG916323:EHG916388 DXK916323:DXK916388 DNO916323:DNO916388 DDS916323:DDS916388 CTW916323:CTW916388 CKA916323:CKA916388 CAE916323:CAE916388 BQI916323:BQI916388 BGM916323:BGM916388 AWQ916323:AWQ916388 AMU916323:AMU916388 ACY916323:ACY916388 TC916323:TC916388 JG916323:JG916388 K916323:K916388 WVS850787:WVS850852 WLW850787:WLW850852 WCA850787:WCA850852 VSE850787:VSE850852 VII850787:VII850852 UYM850787:UYM850852 UOQ850787:UOQ850852 UEU850787:UEU850852 TUY850787:TUY850852 TLC850787:TLC850852 TBG850787:TBG850852 SRK850787:SRK850852 SHO850787:SHO850852 RXS850787:RXS850852 RNW850787:RNW850852 REA850787:REA850852 QUE850787:QUE850852 QKI850787:QKI850852 QAM850787:QAM850852 PQQ850787:PQQ850852 PGU850787:PGU850852 OWY850787:OWY850852 ONC850787:ONC850852 ODG850787:ODG850852 NTK850787:NTK850852 NJO850787:NJO850852 MZS850787:MZS850852 MPW850787:MPW850852 MGA850787:MGA850852 LWE850787:LWE850852 LMI850787:LMI850852 LCM850787:LCM850852 KSQ850787:KSQ850852 KIU850787:KIU850852 JYY850787:JYY850852 JPC850787:JPC850852 JFG850787:JFG850852 IVK850787:IVK850852 ILO850787:ILO850852 IBS850787:IBS850852 HRW850787:HRW850852 HIA850787:HIA850852 GYE850787:GYE850852 GOI850787:GOI850852 GEM850787:GEM850852 FUQ850787:FUQ850852 FKU850787:FKU850852 FAY850787:FAY850852 ERC850787:ERC850852 EHG850787:EHG850852 DXK850787:DXK850852 DNO850787:DNO850852 DDS850787:DDS850852 CTW850787:CTW850852 CKA850787:CKA850852 CAE850787:CAE850852 BQI850787:BQI850852 BGM850787:BGM850852 AWQ850787:AWQ850852 AMU850787:AMU850852 ACY850787:ACY850852 TC850787:TC850852 JG850787:JG850852 K850787:K850852 WVS785251:WVS785316 WLW785251:WLW785316 WCA785251:WCA785316 VSE785251:VSE785316 VII785251:VII785316 UYM785251:UYM785316 UOQ785251:UOQ785316 UEU785251:UEU785316 TUY785251:TUY785316 TLC785251:TLC785316 TBG785251:TBG785316 SRK785251:SRK785316 SHO785251:SHO785316 RXS785251:RXS785316 RNW785251:RNW785316 REA785251:REA785316 QUE785251:QUE785316 QKI785251:QKI785316 QAM785251:QAM785316 PQQ785251:PQQ785316 PGU785251:PGU785316 OWY785251:OWY785316 ONC785251:ONC785316 ODG785251:ODG785316 NTK785251:NTK785316 NJO785251:NJO785316 MZS785251:MZS785316 MPW785251:MPW785316 MGA785251:MGA785316 LWE785251:LWE785316 LMI785251:LMI785316 LCM785251:LCM785316 KSQ785251:KSQ785316 KIU785251:KIU785316 JYY785251:JYY785316 JPC785251:JPC785316 JFG785251:JFG785316 IVK785251:IVK785316 ILO785251:ILO785316 IBS785251:IBS785316 HRW785251:HRW785316 HIA785251:HIA785316 GYE785251:GYE785316 GOI785251:GOI785316 GEM785251:GEM785316 FUQ785251:FUQ785316 FKU785251:FKU785316 FAY785251:FAY785316 ERC785251:ERC785316 EHG785251:EHG785316 DXK785251:DXK785316 DNO785251:DNO785316 DDS785251:DDS785316 CTW785251:CTW785316 CKA785251:CKA785316 CAE785251:CAE785316 BQI785251:BQI785316 BGM785251:BGM785316 AWQ785251:AWQ785316 AMU785251:AMU785316 ACY785251:ACY785316 TC785251:TC785316 JG785251:JG785316 K785251:K785316 WVS719715:WVS719780 WLW719715:WLW719780 WCA719715:WCA719780 VSE719715:VSE719780 VII719715:VII719780 UYM719715:UYM719780 UOQ719715:UOQ719780 UEU719715:UEU719780 TUY719715:TUY719780 TLC719715:TLC719780 TBG719715:TBG719780 SRK719715:SRK719780 SHO719715:SHO719780 RXS719715:RXS719780 RNW719715:RNW719780 REA719715:REA719780 QUE719715:QUE719780 QKI719715:QKI719780 QAM719715:QAM719780 PQQ719715:PQQ719780 PGU719715:PGU719780 OWY719715:OWY719780 ONC719715:ONC719780 ODG719715:ODG719780 NTK719715:NTK719780 NJO719715:NJO719780 MZS719715:MZS719780 MPW719715:MPW719780 MGA719715:MGA719780 LWE719715:LWE719780 LMI719715:LMI719780 LCM719715:LCM719780 KSQ719715:KSQ719780 KIU719715:KIU719780 JYY719715:JYY719780 JPC719715:JPC719780 JFG719715:JFG719780 IVK719715:IVK719780 ILO719715:ILO719780 IBS719715:IBS719780 HRW719715:HRW719780 HIA719715:HIA719780 GYE719715:GYE719780 GOI719715:GOI719780 GEM719715:GEM719780 FUQ719715:FUQ719780 FKU719715:FKU719780 FAY719715:FAY719780 ERC719715:ERC719780 EHG719715:EHG719780 DXK719715:DXK719780 DNO719715:DNO719780 DDS719715:DDS719780 CTW719715:CTW719780 CKA719715:CKA719780 CAE719715:CAE719780 BQI719715:BQI719780 BGM719715:BGM719780 AWQ719715:AWQ719780 AMU719715:AMU719780 ACY719715:ACY719780 TC719715:TC719780 JG719715:JG719780 K719715:K719780 WVS654179:WVS654244 WLW654179:WLW654244 WCA654179:WCA654244 VSE654179:VSE654244 VII654179:VII654244 UYM654179:UYM654244 UOQ654179:UOQ654244 UEU654179:UEU654244 TUY654179:TUY654244 TLC654179:TLC654244 TBG654179:TBG654244 SRK654179:SRK654244 SHO654179:SHO654244 RXS654179:RXS654244 RNW654179:RNW654244 REA654179:REA654244 QUE654179:QUE654244 QKI654179:QKI654244 QAM654179:QAM654244 PQQ654179:PQQ654244 PGU654179:PGU654244 OWY654179:OWY654244 ONC654179:ONC654244 ODG654179:ODG654244 NTK654179:NTK654244 NJO654179:NJO654244 MZS654179:MZS654244 MPW654179:MPW654244 MGA654179:MGA654244 LWE654179:LWE654244 LMI654179:LMI654244 LCM654179:LCM654244 KSQ654179:KSQ654244 KIU654179:KIU654244 JYY654179:JYY654244 JPC654179:JPC654244 JFG654179:JFG654244 IVK654179:IVK654244 ILO654179:ILO654244 IBS654179:IBS654244 HRW654179:HRW654244 HIA654179:HIA654244 GYE654179:GYE654244 GOI654179:GOI654244 GEM654179:GEM654244 FUQ654179:FUQ654244 FKU654179:FKU654244 FAY654179:FAY654244 ERC654179:ERC654244 EHG654179:EHG654244 DXK654179:DXK654244 DNO654179:DNO654244 DDS654179:DDS654244 CTW654179:CTW654244 CKA654179:CKA654244 CAE654179:CAE654244 BQI654179:BQI654244 BGM654179:BGM654244 AWQ654179:AWQ654244 AMU654179:AMU654244 ACY654179:ACY654244 TC654179:TC654244 JG654179:JG654244 K654179:K654244 WVS588643:WVS588708 WLW588643:WLW588708 WCA588643:WCA588708 VSE588643:VSE588708 VII588643:VII588708 UYM588643:UYM588708 UOQ588643:UOQ588708 UEU588643:UEU588708 TUY588643:TUY588708 TLC588643:TLC588708 TBG588643:TBG588708 SRK588643:SRK588708 SHO588643:SHO588708 RXS588643:RXS588708 RNW588643:RNW588708 REA588643:REA588708 QUE588643:QUE588708 QKI588643:QKI588708 QAM588643:QAM588708 PQQ588643:PQQ588708 PGU588643:PGU588708 OWY588643:OWY588708 ONC588643:ONC588708 ODG588643:ODG588708 NTK588643:NTK588708 NJO588643:NJO588708 MZS588643:MZS588708 MPW588643:MPW588708 MGA588643:MGA588708 LWE588643:LWE588708 LMI588643:LMI588708 LCM588643:LCM588708 KSQ588643:KSQ588708 KIU588643:KIU588708 JYY588643:JYY588708 JPC588643:JPC588708 JFG588643:JFG588708 IVK588643:IVK588708 ILO588643:ILO588708 IBS588643:IBS588708 HRW588643:HRW588708 HIA588643:HIA588708 GYE588643:GYE588708 GOI588643:GOI588708 GEM588643:GEM588708 FUQ588643:FUQ588708 FKU588643:FKU588708 FAY588643:FAY588708 ERC588643:ERC588708 EHG588643:EHG588708 DXK588643:DXK588708 DNO588643:DNO588708 DDS588643:DDS588708 CTW588643:CTW588708 CKA588643:CKA588708 CAE588643:CAE588708 BQI588643:BQI588708 BGM588643:BGM588708 AWQ588643:AWQ588708 AMU588643:AMU588708 ACY588643:ACY588708 TC588643:TC588708 JG588643:JG588708 K588643:K588708 WVS523107:WVS523172 WLW523107:WLW523172 WCA523107:WCA523172 VSE523107:VSE523172 VII523107:VII523172 UYM523107:UYM523172 UOQ523107:UOQ523172 UEU523107:UEU523172 TUY523107:TUY523172 TLC523107:TLC523172 TBG523107:TBG523172 SRK523107:SRK523172 SHO523107:SHO523172 RXS523107:RXS523172 RNW523107:RNW523172 REA523107:REA523172 QUE523107:QUE523172 QKI523107:QKI523172 QAM523107:QAM523172 PQQ523107:PQQ523172 PGU523107:PGU523172 OWY523107:OWY523172 ONC523107:ONC523172 ODG523107:ODG523172 NTK523107:NTK523172 NJO523107:NJO523172 MZS523107:MZS523172 MPW523107:MPW523172 MGA523107:MGA523172 LWE523107:LWE523172 LMI523107:LMI523172 LCM523107:LCM523172 KSQ523107:KSQ523172 KIU523107:KIU523172 JYY523107:JYY523172 JPC523107:JPC523172 JFG523107:JFG523172 IVK523107:IVK523172 ILO523107:ILO523172 IBS523107:IBS523172 HRW523107:HRW523172 HIA523107:HIA523172 GYE523107:GYE523172 GOI523107:GOI523172 GEM523107:GEM523172 FUQ523107:FUQ523172 FKU523107:FKU523172 FAY523107:FAY523172 ERC523107:ERC523172 EHG523107:EHG523172 DXK523107:DXK523172 DNO523107:DNO523172 DDS523107:DDS523172 CTW523107:CTW523172 CKA523107:CKA523172 CAE523107:CAE523172 BQI523107:BQI523172 BGM523107:BGM523172 AWQ523107:AWQ523172 AMU523107:AMU523172 ACY523107:ACY523172 TC523107:TC523172 JG523107:JG523172 K523107:K523172 WVS457571:WVS457636 WLW457571:WLW457636 WCA457571:WCA457636 VSE457571:VSE457636 VII457571:VII457636 UYM457571:UYM457636 UOQ457571:UOQ457636 UEU457571:UEU457636 TUY457571:TUY457636 TLC457571:TLC457636 TBG457571:TBG457636 SRK457571:SRK457636 SHO457571:SHO457636 RXS457571:RXS457636 RNW457571:RNW457636 REA457571:REA457636 QUE457571:QUE457636 QKI457571:QKI457636 QAM457571:QAM457636 PQQ457571:PQQ457636 PGU457571:PGU457636 OWY457571:OWY457636 ONC457571:ONC457636 ODG457571:ODG457636 NTK457571:NTK457636 NJO457571:NJO457636 MZS457571:MZS457636 MPW457571:MPW457636 MGA457571:MGA457636 LWE457571:LWE457636 LMI457571:LMI457636 LCM457571:LCM457636 KSQ457571:KSQ457636 KIU457571:KIU457636 JYY457571:JYY457636 JPC457571:JPC457636 JFG457571:JFG457636 IVK457571:IVK457636 ILO457571:ILO457636 IBS457571:IBS457636 HRW457571:HRW457636 HIA457571:HIA457636 GYE457571:GYE457636 GOI457571:GOI457636 GEM457571:GEM457636 FUQ457571:FUQ457636 FKU457571:FKU457636 FAY457571:FAY457636 ERC457571:ERC457636 EHG457571:EHG457636 DXK457571:DXK457636 DNO457571:DNO457636 DDS457571:DDS457636 CTW457571:CTW457636 CKA457571:CKA457636 CAE457571:CAE457636 BQI457571:BQI457636 BGM457571:BGM457636 AWQ457571:AWQ457636 AMU457571:AMU457636 ACY457571:ACY457636 TC457571:TC457636 JG457571:JG457636 K457571:K457636 WVS392035:WVS392100 WLW392035:WLW392100 WCA392035:WCA392100 VSE392035:VSE392100 VII392035:VII392100 UYM392035:UYM392100 UOQ392035:UOQ392100 UEU392035:UEU392100 TUY392035:TUY392100 TLC392035:TLC392100 TBG392035:TBG392100 SRK392035:SRK392100 SHO392035:SHO392100 RXS392035:RXS392100 RNW392035:RNW392100 REA392035:REA392100 QUE392035:QUE392100 QKI392035:QKI392100 QAM392035:QAM392100 PQQ392035:PQQ392100 PGU392035:PGU392100 OWY392035:OWY392100 ONC392035:ONC392100 ODG392035:ODG392100 NTK392035:NTK392100 NJO392035:NJO392100 MZS392035:MZS392100 MPW392035:MPW392100 MGA392035:MGA392100 LWE392035:LWE392100 LMI392035:LMI392100 LCM392035:LCM392100 KSQ392035:KSQ392100 KIU392035:KIU392100 JYY392035:JYY392100 JPC392035:JPC392100 JFG392035:JFG392100 IVK392035:IVK392100 ILO392035:ILO392100 IBS392035:IBS392100 HRW392035:HRW392100 HIA392035:HIA392100 GYE392035:GYE392100 GOI392035:GOI392100 GEM392035:GEM392100 FUQ392035:FUQ392100 FKU392035:FKU392100 FAY392035:FAY392100 ERC392035:ERC392100 EHG392035:EHG392100 DXK392035:DXK392100 DNO392035:DNO392100 DDS392035:DDS392100 CTW392035:CTW392100 CKA392035:CKA392100 CAE392035:CAE392100 BQI392035:BQI392100 BGM392035:BGM392100 AWQ392035:AWQ392100 AMU392035:AMU392100 ACY392035:ACY392100 TC392035:TC392100 JG392035:JG392100 K392035:K392100 WVS326499:WVS326564 WLW326499:WLW326564 WCA326499:WCA326564 VSE326499:VSE326564 VII326499:VII326564 UYM326499:UYM326564 UOQ326499:UOQ326564 UEU326499:UEU326564 TUY326499:TUY326564 TLC326499:TLC326564 TBG326499:TBG326564 SRK326499:SRK326564 SHO326499:SHO326564 RXS326499:RXS326564 RNW326499:RNW326564 REA326499:REA326564 QUE326499:QUE326564 QKI326499:QKI326564 QAM326499:QAM326564 PQQ326499:PQQ326564 PGU326499:PGU326564 OWY326499:OWY326564 ONC326499:ONC326564 ODG326499:ODG326564 NTK326499:NTK326564 NJO326499:NJO326564 MZS326499:MZS326564 MPW326499:MPW326564 MGA326499:MGA326564 LWE326499:LWE326564 LMI326499:LMI326564 LCM326499:LCM326564 KSQ326499:KSQ326564 KIU326499:KIU326564 JYY326499:JYY326564 JPC326499:JPC326564 JFG326499:JFG326564 IVK326499:IVK326564 ILO326499:ILO326564 IBS326499:IBS326564 HRW326499:HRW326564 HIA326499:HIA326564 GYE326499:GYE326564 GOI326499:GOI326564 GEM326499:GEM326564 FUQ326499:FUQ326564 FKU326499:FKU326564 FAY326499:FAY326564 ERC326499:ERC326564 EHG326499:EHG326564 DXK326499:DXK326564 DNO326499:DNO326564 DDS326499:DDS326564 CTW326499:CTW326564 CKA326499:CKA326564 CAE326499:CAE326564 BQI326499:BQI326564 BGM326499:BGM326564 AWQ326499:AWQ326564 AMU326499:AMU326564 ACY326499:ACY326564 TC326499:TC326564 JG326499:JG326564 K326499:K326564 WVS260963:WVS261028 WLW260963:WLW261028 WCA260963:WCA261028 VSE260963:VSE261028 VII260963:VII261028 UYM260963:UYM261028 UOQ260963:UOQ261028 UEU260963:UEU261028 TUY260963:TUY261028 TLC260963:TLC261028 TBG260963:TBG261028 SRK260963:SRK261028 SHO260963:SHO261028 RXS260963:RXS261028 RNW260963:RNW261028 REA260963:REA261028 QUE260963:QUE261028 QKI260963:QKI261028 QAM260963:QAM261028 PQQ260963:PQQ261028 PGU260963:PGU261028 OWY260963:OWY261028 ONC260963:ONC261028 ODG260963:ODG261028 NTK260963:NTK261028 NJO260963:NJO261028 MZS260963:MZS261028 MPW260963:MPW261028 MGA260963:MGA261028 LWE260963:LWE261028 LMI260963:LMI261028 LCM260963:LCM261028 KSQ260963:KSQ261028 KIU260963:KIU261028 JYY260963:JYY261028 JPC260963:JPC261028 JFG260963:JFG261028 IVK260963:IVK261028 ILO260963:ILO261028 IBS260963:IBS261028 HRW260963:HRW261028 HIA260963:HIA261028 GYE260963:GYE261028 GOI260963:GOI261028 GEM260963:GEM261028 FUQ260963:FUQ261028 FKU260963:FKU261028 FAY260963:FAY261028 ERC260963:ERC261028 EHG260963:EHG261028 DXK260963:DXK261028 DNO260963:DNO261028 DDS260963:DDS261028 CTW260963:CTW261028 CKA260963:CKA261028 CAE260963:CAE261028 BQI260963:BQI261028 BGM260963:BGM261028 AWQ260963:AWQ261028 AMU260963:AMU261028 ACY260963:ACY261028 TC260963:TC261028 JG260963:JG261028 K260963:K261028 WVS195427:WVS195492 WLW195427:WLW195492 WCA195427:WCA195492 VSE195427:VSE195492 VII195427:VII195492 UYM195427:UYM195492 UOQ195427:UOQ195492 UEU195427:UEU195492 TUY195427:TUY195492 TLC195427:TLC195492 TBG195427:TBG195492 SRK195427:SRK195492 SHO195427:SHO195492 RXS195427:RXS195492 RNW195427:RNW195492 REA195427:REA195492 QUE195427:QUE195492 QKI195427:QKI195492 QAM195427:QAM195492 PQQ195427:PQQ195492 PGU195427:PGU195492 OWY195427:OWY195492 ONC195427:ONC195492 ODG195427:ODG195492 NTK195427:NTK195492 NJO195427:NJO195492 MZS195427:MZS195492 MPW195427:MPW195492 MGA195427:MGA195492 LWE195427:LWE195492 LMI195427:LMI195492 LCM195427:LCM195492 KSQ195427:KSQ195492 KIU195427:KIU195492 JYY195427:JYY195492 JPC195427:JPC195492 JFG195427:JFG195492 IVK195427:IVK195492 ILO195427:ILO195492 IBS195427:IBS195492 HRW195427:HRW195492 HIA195427:HIA195492 GYE195427:GYE195492 GOI195427:GOI195492 GEM195427:GEM195492 FUQ195427:FUQ195492 FKU195427:FKU195492 FAY195427:FAY195492 ERC195427:ERC195492 EHG195427:EHG195492 DXK195427:DXK195492 DNO195427:DNO195492 DDS195427:DDS195492 CTW195427:CTW195492 CKA195427:CKA195492 CAE195427:CAE195492 BQI195427:BQI195492 BGM195427:BGM195492 AWQ195427:AWQ195492 AMU195427:AMU195492 ACY195427:ACY195492 TC195427:TC195492 JG195427:JG195492 K195427:K195492 WVS129891:WVS129956 WLW129891:WLW129956 WCA129891:WCA129956 VSE129891:VSE129956 VII129891:VII129956 UYM129891:UYM129956 UOQ129891:UOQ129956 UEU129891:UEU129956 TUY129891:TUY129956 TLC129891:TLC129956 TBG129891:TBG129956 SRK129891:SRK129956 SHO129891:SHO129956 RXS129891:RXS129956 RNW129891:RNW129956 REA129891:REA129956 QUE129891:QUE129956 QKI129891:QKI129956 QAM129891:QAM129956 PQQ129891:PQQ129956 PGU129891:PGU129956 OWY129891:OWY129956 ONC129891:ONC129956 ODG129891:ODG129956 NTK129891:NTK129956 NJO129891:NJO129956 MZS129891:MZS129956 MPW129891:MPW129956 MGA129891:MGA129956 LWE129891:LWE129956 LMI129891:LMI129956 LCM129891:LCM129956 KSQ129891:KSQ129956 KIU129891:KIU129956 JYY129891:JYY129956 JPC129891:JPC129956 JFG129891:JFG129956 IVK129891:IVK129956 ILO129891:ILO129956 IBS129891:IBS129956 HRW129891:HRW129956 HIA129891:HIA129956 GYE129891:GYE129956 GOI129891:GOI129956 GEM129891:GEM129956 FUQ129891:FUQ129956 FKU129891:FKU129956 FAY129891:FAY129956 ERC129891:ERC129956 EHG129891:EHG129956 DXK129891:DXK129956 DNO129891:DNO129956 DDS129891:DDS129956 CTW129891:CTW129956 CKA129891:CKA129956 CAE129891:CAE129956 BQI129891:BQI129956 BGM129891:BGM129956 AWQ129891:AWQ129956 AMU129891:AMU129956 ACY129891:ACY129956 TC129891:TC129956 JG129891:JG129956 K129891:K129956 WVS64355:WVS64420 WLW64355:WLW64420 WCA64355:WCA64420 VSE64355:VSE64420 VII64355:VII64420 UYM64355:UYM64420 UOQ64355:UOQ64420 UEU64355:UEU64420 TUY64355:TUY64420 TLC64355:TLC64420 TBG64355:TBG64420 SRK64355:SRK64420 SHO64355:SHO64420 RXS64355:RXS64420 RNW64355:RNW64420 REA64355:REA64420 QUE64355:QUE64420 QKI64355:QKI64420 QAM64355:QAM64420 PQQ64355:PQQ64420 PGU64355:PGU64420 OWY64355:OWY64420 ONC64355:ONC64420 ODG64355:ODG64420 NTK64355:NTK64420 NJO64355:NJO64420 MZS64355:MZS64420 MPW64355:MPW64420 MGA64355:MGA64420 LWE64355:LWE64420 LMI64355:LMI64420 LCM64355:LCM64420 KSQ64355:KSQ64420 KIU64355:KIU64420 JYY64355:JYY64420 JPC64355:JPC64420 JFG64355:JFG64420 IVK64355:IVK64420 ILO64355:ILO64420 IBS64355:IBS64420 HRW64355:HRW64420 HIA64355:HIA64420 GYE64355:GYE64420 GOI64355:GOI64420 GEM64355:GEM64420 FUQ64355:FUQ64420 FKU64355:FKU64420 FAY64355:FAY64420 ERC64355:ERC64420 EHG64355:EHG64420 DXK64355:DXK64420 DNO64355:DNO64420 DDS64355:DDS64420 CTW64355:CTW64420 CKA64355:CKA64420 CAE64355:CAE64420 BQI64355:BQI64420 BGM64355:BGM64420 AWQ64355:AWQ64420 AMU64355:AMU64420 ACY64355:ACY64420 TC64355:TC64420 JG64355:JG64420">
      <formula1>$AR$2:$AR$24</formula1>
    </dataValidation>
    <dataValidation type="list" allowBlank="1" showInputMessage="1" showErrorMessage="1" sqref="Y64355:AA64420 JU2:JW59 TQ2:TS59 ADM2:ADO59 ANI2:ANK59 AXE2:AXG59 BHA2:BHC59 BQW2:BQY59 CAS2:CAU59 CKO2:CKQ59 CUK2:CUM59 DEG2:DEI59 DOC2:DOE59 DXY2:DYA59 EHU2:EHW59 ERQ2:ERS59 FBM2:FBO59 FLI2:FLK59 FVE2:FVG59 GFA2:GFC59 GOW2:GOY59 GYS2:GYU59 HIO2:HIQ59 HSK2:HSM59 ICG2:ICI59 IMC2:IME59 IVY2:IWA59 JFU2:JFW59 JPQ2:JPS59 JZM2:JZO59 KJI2:KJK59 KTE2:KTG59 LDA2:LDC59 LMW2:LMY59 LWS2:LWU59 MGO2:MGQ59 MQK2:MQM59 NAG2:NAI59 NKC2:NKE59 NTY2:NUA59 ODU2:ODW59 ONQ2:ONS59 OXM2:OXO59 PHI2:PHK59 PRE2:PRG59 QBA2:QBC59 QKW2:QKY59 QUS2:QUU59 REO2:REQ59 ROK2:ROM59 RYG2:RYI59 SIC2:SIE59 SRY2:SSA59 TBU2:TBW59 TLQ2:TLS59 TVM2:TVO59 UFI2:UFK59 UPE2:UPG59 UZA2:UZC59 VIW2:VIY59 VSS2:VSU59 WCO2:WCQ59 WMK2:WMM59 WWG2:WWI59 WMK983034:WMM983099 WCO983034:WCQ983099 VSS983034:VSU983099 VIW983034:VIY983099 UZA983034:UZC983099 UPE983034:UPG983099 UFI983034:UFK983099 TVM983034:TVO983099 TLQ983034:TLS983099 TBU983034:TBW983099 SRY983034:SSA983099 SIC983034:SIE983099 RYG983034:RYI983099 ROK983034:ROM983099 REO983034:REQ983099 QUS983034:QUU983099 QKW983034:QKY983099 QBA983034:QBC983099 PRE983034:PRG983099 PHI983034:PHK983099 OXM983034:OXO983099 ONQ983034:ONS983099 ODU983034:ODW983099 NTY983034:NUA983099 NKC983034:NKE983099 NAG983034:NAI983099 MQK983034:MQM983099 MGO983034:MGQ983099 LWS983034:LWU983099 LMW983034:LMY983099 LDA983034:LDC983099 KTE983034:KTG983099 KJI983034:KJK983099 JZM983034:JZO983099 JPQ983034:JPS983099 JFU983034:JFW983099 IVY983034:IWA983099 IMC983034:IME983099 ICG983034:ICI983099 HSK983034:HSM983099 HIO983034:HIQ983099 GYS983034:GYU983099 GOW983034:GOY983099 GFA983034:GFC983099 FVE983034:FVG983099 FLI983034:FLK983099 FBM983034:FBO983099 ERQ983034:ERS983099 EHU983034:EHW983099 DXY983034:DYA983099 DOC983034:DOE983099 DEG983034:DEI983099 CUK983034:CUM983099 CKO983034:CKQ983099 CAS983034:CAU983099 BQW983034:BQY983099 BHA983034:BHC983099 AXE983034:AXG983099 ANI983034:ANK983099 ADM983034:ADO983099 TQ983034:TS983099 JU983034:JW983099 Y983034:AA983099 WWG917498:WWI917563 WMK917498:WMM917563 WCO917498:WCQ917563 VSS917498:VSU917563 VIW917498:VIY917563 UZA917498:UZC917563 UPE917498:UPG917563 UFI917498:UFK917563 TVM917498:TVO917563 TLQ917498:TLS917563 TBU917498:TBW917563 SRY917498:SSA917563 SIC917498:SIE917563 RYG917498:RYI917563 ROK917498:ROM917563 REO917498:REQ917563 QUS917498:QUU917563 QKW917498:QKY917563 QBA917498:QBC917563 PRE917498:PRG917563 PHI917498:PHK917563 OXM917498:OXO917563 ONQ917498:ONS917563 ODU917498:ODW917563 NTY917498:NUA917563 NKC917498:NKE917563 NAG917498:NAI917563 MQK917498:MQM917563 MGO917498:MGQ917563 LWS917498:LWU917563 LMW917498:LMY917563 LDA917498:LDC917563 KTE917498:KTG917563 KJI917498:KJK917563 JZM917498:JZO917563 JPQ917498:JPS917563 JFU917498:JFW917563 IVY917498:IWA917563 IMC917498:IME917563 ICG917498:ICI917563 HSK917498:HSM917563 HIO917498:HIQ917563 GYS917498:GYU917563 GOW917498:GOY917563 GFA917498:GFC917563 FVE917498:FVG917563 FLI917498:FLK917563 FBM917498:FBO917563 ERQ917498:ERS917563 EHU917498:EHW917563 DXY917498:DYA917563 DOC917498:DOE917563 DEG917498:DEI917563 CUK917498:CUM917563 CKO917498:CKQ917563 CAS917498:CAU917563 BQW917498:BQY917563 BHA917498:BHC917563 AXE917498:AXG917563 ANI917498:ANK917563 ADM917498:ADO917563 TQ917498:TS917563 JU917498:JW917563 Y917498:AA917563 WWG851962:WWI852027 WMK851962:WMM852027 WCO851962:WCQ852027 VSS851962:VSU852027 VIW851962:VIY852027 UZA851962:UZC852027 UPE851962:UPG852027 UFI851962:UFK852027 TVM851962:TVO852027 TLQ851962:TLS852027 TBU851962:TBW852027 SRY851962:SSA852027 SIC851962:SIE852027 RYG851962:RYI852027 ROK851962:ROM852027 REO851962:REQ852027 QUS851962:QUU852027 QKW851962:QKY852027 QBA851962:QBC852027 PRE851962:PRG852027 PHI851962:PHK852027 OXM851962:OXO852027 ONQ851962:ONS852027 ODU851962:ODW852027 NTY851962:NUA852027 NKC851962:NKE852027 NAG851962:NAI852027 MQK851962:MQM852027 MGO851962:MGQ852027 LWS851962:LWU852027 LMW851962:LMY852027 LDA851962:LDC852027 KTE851962:KTG852027 KJI851962:KJK852027 JZM851962:JZO852027 JPQ851962:JPS852027 JFU851962:JFW852027 IVY851962:IWA852027 IMC851962:IME852027 ICG851962:ICI852027 HSK851962:HSM852027 HIO851962:HIQ852027 GYS851962:GYU852027 GOW851962:GOY852027 GFA851962:GFC852027 FVE851962:FVG852027 FLI851962:FLK852027 FBM851962:FBO852027 ERQ851962:ERS852027 EHU851962:EHW852027 DXY851962:DYA852027 DOC851962:DOE852027 DEG851962:DEI852027 CUK851962:CUM852027 CKO851962:CKQ852027 CAS851962:CAU852027 BQW851962:BQY852027 BHA851962:BHC852027 AXE851962:AXG852027 ANI851962:ANK852027 ADM851962:ADO852027 TQ851962:TS852027 JU851962:JW852027 Y851962:AA852027 WWG786426:WWI786491 WMK786426:WMM786491 WCO786426:WCQ786491 VSS786426:VSU786491 VIW786426:VIY786491 UZA786426:UZC786491 UPE786426:UPG786491 UFI786426:UFK786491 TVM786426:TVO786491 TLQ786426:TLS786491 TBU786426:TBW786491 SRY786426:SSA786491 SIC786426:SIE786491 RYG786426:RYI786491 ROK786426:ROM786491 REO786426:REQ786491 QUS786426:QUU786491 QKW786426:QKY786491 QBA786426:QBC786491 PRE786426:PRG786491 PHI786426:PHK786491 OXM786426:OXO786491 ONQ786426:ONS786491 ODU786426:ODW786491 NTY786426:NUA786491 NKC786426:NKE786491 NAG786426:NAI786491 MQK786426:MQM786491 MGO786426:MGQ786491 LWS786426:LWU786491 LMW786426:LMY786491 LDA786426:LDC786491 KTE786426:KTG786491 KJI786426:KJK786491 JZM786426:JZO786491 JPQ786426:JPS786491 JFU786426:JFW786491 IVY786426:IWA786491 IMC786426:IME786491 ICG786426:ICI786491 HSK786426:HSM786491 HIO786426:HIQ786491 GYS786426:GYU786491 GOW786426:GOY786491 GFA786426:GFC786491 FVE786426:FVG786491 FLI786426:FLK786491 FBM786426:FBO786491 ERQ786426:ERS786491 EHU786426:EHW786491 DXY786426:DYA786491 DOC786426:DOE786491 DEG786426:DEI786491 CUK786426:CUM786491 CKO786426:CKQ786491 CAS786426:CAU786491 BQW786426:BQY786491 BHA786426:BHC786491 AXE786426:AXG786491 ANI786426:ANK786491 ADM786426:ADO786491 TQ786426:TS786491 JU786426:JW786491 Y786426:AA786491 WWG720890:WWI720955 WMK720890:WMM720955 WCO720890:WCQ720955 VSS720890:VSU720955 VIW720890:VIY720955 UZA720890:UZC720955 UPE720890:UPG720955 UFI720890:UFK720955 TVM720890:TVO720955 TLQ720890:TLS720955 TBU720890:TBW720955 SRY720890:SSA720955 SIC720890:SIE720955 RYG720890:RYI720955 ROK720890:ROM720955 REO720890:REQ720955 QUS720890:QUU720955 QKW720890:QKY720955 QBA720890:QBC720955 PRE720890:PRG720955 PHI720890:PHK720955 OXM720890:OXO720955 ONQ720890:ONS720955 ODU720890:ODW720955 NTY720890:NUA720955 NKC720890:NKE720955 NAG720890:NAI720955 MQK720890:MQM720955 MGO720890:MGQ720955 LWS720890:LWU720955 LMW720890:LMY720955 LDA720890:LDC720955 KTE720890:KTG720955 KJI720890:KJK720955 JZM720890:JZO720955 JPQ720890:JPS720955 JFU720890:JFW720955 IVY720890:IWA720955 IMC720890:IME720955 ICG720890:ICI720955 HSK720890:HSM720955 HIO720890:HIQ720955 GYS720890:GYU720955 GOW720890:GOY720955 GFA720890:GFC720955 FVE720890:FVG720955 FLI720890:FLK720955 FBM720890:FBO720955 ERQ720890:ERS720955 EHU720890:EHW720955 DXY720890:DYA720955 DOC720890:DOE720955 DEG720890:DEI720955 CUK720890:CUM720955 CKO720890:CKQ720955 CAS720890:CAU720955 BQW720890:BQY720955 BHA720890:BHC720955 AXE720890:AXG720955 ANI720890:ANK720955 ADM720890:ADO720955 TQ720890:TS720955 JU720890:JW720955 Y720890:AA720955 WWG655354:WWI655419 WMK655354:WMM655419 WCO655354:WCQ655419 VSS655354:VSU655419 VIW655354:VIY655419 UZA655354:UZC655419 UPE655354:UPG655419 UFI655354:UFK655419 TVM655354:TVO655419 TLQ655354:TLS655419 TBU655354:TBW655419 SRY655354:SSA655419 SIC655354:SIE655419 RYG655354:RYI655419 ROK655354:ROM655419 REO655354:REQ655419 QUS655354:QUU655419 QKW655354:QKY655419 QBA655354:QBC655419 PRE655354:PRG655419 PHI655354:PHK655419 OXM655354:OXO655419 ONQ655354:ONS655419 ODU655354:ODW655419 NTY655354:NUA655419 NKC655354:NKE655419 NAG655354:NAI655419 MQK655354:MQM655419 MGO655354:MGQ655419 LWS655354:LWU655419 LMW655354:LMY655419 LDA655354:LDC655419 KTE655354:KTG655419 KJI655354:KJK655419 JZM655354:JZO655419 JPQ655354:JPS655419 JFU655354:JFW655419 IVY655354:IWA655419 IMC655354:IME655419 ICG655354:ICI655419 HSK655354:HSM655419 HIO655354:HIQ655419 GYS655354:GYU655419 GOW655354:GOY655419 GFA655354:GFC655419 FVE655354:FVG655419 FLI655354:FLK655419 FBM655354:FBO655419 ERQ655354:ERS655419 EHU655354:EHW655419 DXY655354:DYA655419 DOC655354:DOE655419 DEG655354:DEI655419 CUK655354:CUM655419 CKO655354:CKQ655419 CAS655354:CAU655419 BQW655354:BQY655419 BHA655354:BHC655419 AXE655354:AXG655419 ANI655354:ANK655419 ADM655354:ADO655419 TQ655354:TS655419 JU655354:JW655419 Y655354:AA655419 WWG589818:WWI589883 WMK589818:WMM589883 WCO589818:WCQ589883 VSS589818:VSU589883 VIW589818:VIY589883 UZA589818:UZC589883 UPE589818:UPG589883 UFI589818:UFK589883 TVM589818:TVO589883 TLQ589818:TLS589883 TBU589818:TBW589883 SRY589818:SSA589883 SIC589818:SIE589883 RYG589818:RYI589883 ROK589818:ROM589883 REO589818:REQ589883 QUS589818:QUU589883 QKW589818:QKY589883 QBA589818:QBC589883 PRE589818:PRG589883 PHI589818:PHK589883 OXM589818:OXO589883 ONQ589818:ONS589883 ODU589818:ODW589883 NTY589818:NUA589883 NKC589818:NKE589883 NAG589818:NAI589883 MQK589818:MQM589883 MGO589818:MGQ589883 LWS589818:LWU589883 LMW589818:LMY589883 LDA589818:LDC589883 KTE589818:KTG589883 KJI589818:KJK589883 JZM589818:JZO589883 JPQ589818:JPS589883 JFU589818:JFW589883 IVY589818:IWA589883 IMC589818:IME589883 ICG589818:ICI589883 HSK589818:HSM589883 HIO589818:HIQ589883 GYS589818:GYU589883 GOW589818:GOY589883 GFA589818:GFC589883 FVE589818:FVG589883 FLI589818:FLK589883 FBM589818:FBO589883 ERQ589818:ERS589883 EHU589818:EHW589883 DXY589818:DYA589883 DOC589818:DOE589883 DEG589818:DEI589883 CUK589818:CUM589883 CKO589818:CKQ589883 CAS589818:CAU589883 BQW589818:BQY589883 BHA589818:BHC589883 AXE589818:AXG589883 ANI589818:ANK589883 ADM589818:ADO589883 TQ589818:TS589883 JU589818:JW589883 Y589818:AA589883 WWG524282:WWI524347 WMK524282:WMM524347 WCO524282:WCQ524347 VSS524282:VSU524347 VIW524282:VIY524347 UZA524282:UZC524347 UPE524282:UPG524347 UFI524282:UFK524347 TVM524282:TVO524347 TLQ524282:TLS524347 TBU524282:TBW524347 SRY524282:SSA524347 SIC524282:SIE524347 RYG524282:RYI524347 ROK524282:ROM524347 REO524282:REQ524347 QUS524282:QUU524347 QKW524282:QKY524347 QBA524282:QBC524347 PRE524282:PRG524347 PHI524282:PHK524347 OXM524282:OXO524347 ONQ524282:ONS524347 ODU524282:ODW524347 NTY524282:NUA524347 NKC524282:NKE524347 NAG524282:NAI524347 MQK524282:MQM524347 MGO524282:MGQ524347 LWS524282:LWU524347 LMW524282:LMY524347 LDA524282:LDC524347 KTE524282:KTG524347 KJI524282:KJK524347 JZM524282:JZO524347 JPQ524282:JPS524347 JFU524282:JFW524347 IVY524282:IWA524347 IMC524282:IME524347 ICG524282:ICI524347 HSK524282:HSM524347 HIO524282:HIQ524347 GYS524282:GYU524347 GOW524282:GOY524347 GFA524282:GFC524347 FVE524282:FVG524347 FLI524282:FLK524347 FBM524282:FBO524347 ERQ524282:ERS524347 EHU524282:EHW524347 DXY524282:DYA524347 DOC524282:DOE524347 DEG524282:DEI524347 CUK524282:CUM524347 CKO524282:CKQ524347 CAS524282:CAU524347 BQW524282:BQY524347 BHA524282:BHC524347 AXE524282:AXG524347 ANI524282:ANK524347 ADM524282:ADO524347 TQ524282:TS524347 JU524282:JW524347 Y524282:AA524347 WWG458746:WWI458811 WMK458746:WMM458811 WCO458746:WCQ458811 VSS458746:VSU458811 VIW458746:VIY458811 UZA458746:UZC458811 UPE458746:UPG458811 UFI458746:UFK458811 TVM458746:TVO458811 TLQ458746:TLS458811 TBU458746:TBW458811 SRY458746:SSA458811 SIC458746:SIE458811 RYG458746:RYI458811 ROK458746:ROM458811 REO458746:REQ458811 QUS458746:QUU458811 QKW458746:QKY458811 QBA458746:QBC458811 PRE458746:PRG458811 PHI458746:PHK458811 OXM458746:OXO458811 ONQ458746:ONS458811 ODU458746:ODW458811 NTY458746:NUA458811 NKC458746:NKE458811 NAG458746:NAI458811 MQK458746:MQM458811 MGO458746:MGQ458811 LWS458746:LWU458811 LMW458746:LMY458811 LDA458746:LDC458811 KTE458746:KTG458811 KJI458746:KJK458811 JZM458746:JZO458811 JPQ458746:JPS458811 JFU458746:JFW458811 IVY458746:IWA458811 IMC458746:IME458811 ICG458746:ICI458811 HSK458746:HSM458811 HIO458746:HIQ458811 GYS458746:GYU458811 GOW458746:GOY458811 GFA458746:GFC458811 FVE458746:FVG458811 FLI458746:FLK458811 FBM458746:FBO458811 ERQ458746:ERS458811 EHU458746:EHW458811 DXY458746:DYA458811 DOC458746:DOE458811 DEG458746:DEI458811 CUK458746:CUM458811 CKO458746:CKQ458811 CAS458746:CAU458811 BQW458746:BQY458811 BHA458746:BHC458811 AXE458746:AXG458811 ANI458746:ANK458811 ADM458746:ADO458811 TQ458746:TS458811 JU458746:JW458811 Y458746:AA458811 WWG393210:WWI393275 WMK393210:WMM393275 WCO393210:WCQ393275 VSS393210:VSU393275 VIW393210:VIY393275 UZA393210:UZC393275 UPE393210:UPG393275 UFI393210:UFK393275 TVM393210:TVO393275 TLQ393210:TLS393275 TBU393210:TBW393275 SRY393210:SSA393275 SIC393210:SIE393275 RYG393210:RYI393275 ROK393210:ROM393275 REO393210:REQ393275 QUS393210:QUU393275 QKW393210:QKY393275 QBA393210:QBC393275 PRE393210:PRG393275 PHI393210:PHK393275 OXM393210:OXO393275 ONQ393210:ONS393275 ODU393210:ODW393275 NTY393210:NUA393275 NKC393210:NKE393275 NAG393210:NAI393275 MQK393210:MQM393275 MGO393210:MGQ393275 LWS393210:LWU393275 LMW393210:LMY393275 LDA393210:LDC393275 KTE393210:KTG393275 KJI393210:KJK393275 JZM393210:JZO393275 JPQ393210:JPS393275 JFU393210:JFW393275 IVY393210:IWA393275 IMC393210:IME393275 ICG393210:ICI393275 HSK393210:HSM393275 HIO393210:HIQ393275 GYS393210:GYU393275 GOW393210:GOY393275 GFA393210:GFC393275 FVE393210:FVG393275 FLI393210:FLK393275 FBM393210:FBO393275 ERQ393210:ERS393275 EHU393210:EHW393275 DXY393210:DYA393275 DOC393210:DOE393275 DEG393210:DEI393275 CUK393210:CUM393275 CKO393210:CKQ393275 CAS393210:CAU393275 BQW393210:BQY393275 BHA393210:BHC393275 AXE393210:AXG393275 ANI393210:ANK393275 ADM393210:ADO393275 TQ393210:TS393275 JU393210:JW393275 Y393210:AA393275 WWG327674:WWI327739 WMK327674:WMM327739 WCO327674:WCQ327739 VSS327674:VSU327739 VIW327674:VIY327739 UZA327674:UZC327739 UPE327674:UPG327739 UFI327674:UFK327739 TVM327674:TVO327739 TLQ327674:TLS327739 TBU327674:TBW327739 SRY327674:SSA327739 SIC327674:SIE327739 RYG327674:RYI327739 ROK327674:ROM327739 REO327674:REQ327739 QUS327674:QUU327739 QKW327674:QKY327739 QBA327674:QBC327739 PRE327674:PRG327739 PHI327674:PHK327739 OXM327674:OXO327739 ONQ327674:ONS327739 ODU327674:ODW327739 NTY327674:NUA327739 NKC327674:NKE327739 NAG327674:NAI327739 MQK327674:MQM327739 MGO327674:MGQ327739 LWS327674:LWU327739 LMW327674:LMY327739 LDA327674:LDC327739 KTE327674:KTG327739 KJI327674:KJK327739 JZM327674:JZO327739 JPQ327674:JPS327739 JFU327674:JFW327739 IVY327674:IWA327739 IMC327674:IME327739 ICG327674:ICI327739 HSK327674:HSM327739 HIO327674:HIQ327739 GYS327674:GYU327739 GOW327674:GOY327739 GFA327674:GFC327739 FVE327674:FVG327739 FLI327674:FLK327739 FBM327674:FBO327739 ERQ327674:ERS327739 EHU327674:EHW327739 DXY327674:DYA327739 DOC327674:DOE327739 DEG327674:DEI327739 CUK327674:CUM327739 CKO327674:CKQ327739 CAS327674:CAU327739 BQW327674:BQY327739 BHA327674:BHC327739 AXE327674:AXG327739 ANI327674:ANK327739 ADM327674:ADO327739 TQ327674:TS327739 JU327674:JW327739 Y327674:AA327739 WWG262138:WWI262203 WMK262138:WMM262203 WCO262138:WCQ262203 VSS262138:VSU262203 VIW262138:VIY262203 UZA262138:UZC262203 UPE262138:UPG262203 UFI262138:UFK262203 TVM262138:TVO262203 TLQ262138:TLS262203 TBU262138:TBW262203 SRY262138:SSA262203 SIC262138:SIE262203 RYG262138:RYI262203 ROK262138:ROM262203 REO262138:REQ262203 QUS262138:QUU262203 QKW262138:QKY262203 QBA262138:QBC262203 PRE262138:PRG262203 PHI262138:PHK262203 OXM262138:OXO262203 ONQ262138:ONS262203 ODU262138:ODW262203 NTY262138:NUA262203 NKC262138:NKE262203 NAG262138:NAI262203 MQK262138:MQM262203 MGO262138:MGQ262203 LWS262138:LWU262203 LMW262138:LMY262203 LDA262138:LDC262203 KTE262138:KTG262203 KJI262138:KJK262203 JZM262138:JZO262203 JPQ262138:JPS262203 JFU262138:JFW262203 IVY262138:IWA262203 IMC262138:IME262203 ICG262138:ICI262203 HSK262138:HSM262203 HIO262138:HIQ262203 GYS262138:GYU262203 GOW262138:GOY262203 GFA262138:GFC262203 FVE262138:FVG262203 FLI262138:FLK262203 FBM262138:FBO262203 ERQ262138:ERS262203 EHU262138:EHW262203 DXY262138:DYA262203 DOC262138:DOE262203 DEG262138:DEI262203 CUK262138:CUM262203 CKO262138:CKQ262203 CAS262138:CAU262203 BQW262138:BQY262203 BHA262138:BHC262203 AXE262138:AXG262203 ANI262138:ANK262203 ADM262138:ADO262203 TQ262138:TS262203 JU262138:JW262203 Y262138:AA262203 WWG196602:WWI196667 WMK196602:WMM196667 WCO196602:WCQ196667 VSS196602:VSU196667 VIW196602:VIY196667 UZA196602:UZC196667 UPE196602:UPG196667 UFI196602:UFK196667 TVM196602:TVO196667 TLQ196602:TLS196667 TBU196602:TBW196667 SRY196602:SSA196667 SIC196602:SIE196667 RYG196602:RYI196667 ROK196602:ROM196667 REO196602:REQ196667 QUS196602:QUU196667 QKW196602:QKY196667 QBA196602:QBC196667 PRE196602:PRG196667 PHI196602:PHK196667 OXM196602:OXO196667 ONQ196602:ONS196667 ODU196602:ODW196667 NTY196602:NUA196667 NKC196602:NKE196667 NAG196602:NAI196667 MQK196602:MQM196667 MGO196602:MGQ196667 LWS196602:LWU196667 LMW196602:LMY196667 LDA196602:LDC196667 KTE196602:KTG196667 KJI196602:KJK196667 JZM196602:JZO196667 JPQ196602:JPS196667 JFU196602:JFW196667 IVY196602:IWA196667 IMC196602:IME196667 ICG196602:ICI196667 HSK196602:HSM196667 HIO196602:HIQ196667 GYS196602:GYU196667 GOW196602:GOY196667 GFA196602:GFC196667 FVE196602:FVG196667 FLI196602:FLK196667 FBM196602:FBO196667 ERQ196602:ERS196667 EHU196602:EHW196667 DXY196602:DYA196667 DOC196602:DOE196667 DEG196602:DEI196667 CUK196602:CUM196667 CKO196602:CKQ196667 CAS196602:CAU196667 BQW196602:BQY196667 BHA196602:BHC196667 AXE196602:AXG196667 ANI196602:ANK196667 ADM196602:ADO196667 TQ196602:TS196667 JU196602:JW196667 Y196602:AA196667 WWG131066:WWI131131 WMK131066:WMM131131 WCO131066:WCQ131131 VSS131066:VSU131131 VIW131066:VIY131131 UZA131066:UZC131131 UPE131066:UPG131131 UFI131066:UFK131131 TVM131066:TVO131131 TLQ131066:TLS131131 TBU131066:TBW131131 SRY131066:SSA131131 SIC131066:SIE131131 RYG131066:RYI131131 ROK131066:ROM131131 REO131066:REQ131131 QUS131066:QUU131131 QKW131066:QKY131131 QBA131066:QBC131131 PRE131066:PRG131131 PHI131066:PHK131131 OXM131066:OXO131131 ONQ131066:ONS131131 ODU131066:ODW131131 NTY131066:NUA131131 NKC131066:NKE131131 NAG131066:NAI131131 MQK131066:MQM131131 MGO131066:MGQ131131 LWS131066:LWU131131 LMW131066:LMY131131 LDA131066:LDC131131 KTE131066:KTG131131 KJI131066:KJK131131 JZM131066:JZO131131 JPQ131066:JPS131131 JFU131066:JFW131131 IVY131066:IWA131131 IMC131066:IME131131 ICG131066:ICI131131 HSK131066:HSM131131 HIO131066:HIQ131131 GYS131066:GYU131131 GOW131066:GOY131131 GFA131066:GFC131131 FVE131066:FVG131131 FLI131066:FLK131131 FBM131066:FBO131131 ERQ131066:ERS131131 EHU131066:EHW131131 DXY131066:DYA131131 DOC131066:DOE131131 DEG131066:DEI131131 CUK131066:CUM131131 CKO131066:CKQ131131 CAS131066:CAU131131 BQW131066:BQY131131 BHA131066:BHC131131 AXE131066:AXG131131 ANI131066:ANK131131 ADM131066:ADO131131 TQ131066:TS131131 JU131066:JW131131 Y131066:AA131131 WWG65530:WWI65595 WMK65530:WMM65595 WCO65530:WCQ65595 VSS65530:VSU65595 VIW65530:VIY65595 UZA65530:UZC65595 UPE65530:UPG65595 UFI65530:UFK65595 TVM65530:TVO65595 TLQ65530:TLS65595 TBU65530:TBW65595 SRY65530:SSA65595 SIC65530:SIE65595 RYG65530:RYI65595 ROK65530:ROM65595 REO65530:REQ65595 QUS65530:QUU65595 QKW65530:QKY65595 QBA65530:QBC65595 PRE65530:PRG65595 PHI65530:PHK65595 OXM65530:OXO65595 ONQ65530:ONS65595 ODU65530:ODW65595 NTY65530:NUA65595 NKC65530:NKE65595 NAG65530:NAI65595 MQK65530:MQM65595 MGO65530:MGQ65595 LWS65530:LWU65595 LMW65530:LMY65595 LDA65530:LDC65595 KTE65530:KTG65595 KJI65530:KJK65595 JZM65530:JZO65595 JPQ65530:JPS65595 JFU65530:JFW65595 IVY65530:IWA65595 IMC65530:IME65595 ICG65530:ICI65595 HSK65530:HSM65595 HIO65530:HIQ65595 GYS65530:GYU65595 GOW65530:GOY65595 GFA65530:GFC65595 FVE65530:FVG65595 FLI65530:FLK65595 FBM65530:FBO65595 ERQ65530:ERS65595 EHU65530:EHW65595 DXY65530:DYA65595 DOC65530:DOE65595 DEG65530:DEI65595 CUK65530:CUM65595 CKO65530:CKQ65595 CAS65530:CAU65595 BQW65530:BQY65595 BHA65530:BHC65595 AXE65530:AXG65595 ANI65530:ANK65595 ADM65530:ADO65595 TQ65530:TS65595 JU65530:JW65595 Y65530:AA65595 WWG983034:WWI983099 WWG1047395:WWI1047460 WMK1047395:WMM1047460 WCO1047395:WCQ1047460 VSS1047395:VSU1047460 VIW1047395:VIY1047460 UZA1047395:UZC1047460 UPE1047395:UPG1047460 UFI1047395:UFK1047460 TVM1047395:TVO1047460 TLQ1047395:TLS1047460 TBU1047395:TBW1047460 SRY1047395:SSA1047460 SIC1047395:SIE1047460 RYG1047395:RYI1047460 ROK1047395:ROM1047460 REO1047395:REQ1047460 QUS1047395:QUU1047460 QKW1047395:QKY1047460 QBA1047395:QBC1047460 PRE1047395:PRG1047460 PHI1047395:PHK1047460 OXM1047395:OXO1047460 ONQ1047395:ONS1047460 ODU1047395:ODW1047460 NTY1047395:NUA1047460 NKC1047395:NKE1047460 NAG1047395:NAI1047460 MQK1047395:MQM1047460 MGO1047395:MGQ1047460 LWS1047395:LWU1047460 LMW1047395:LMY1047460 LDA1047395:LDC1047460 KTE1047395:KTG1047460 KJI1047395:KJK1047460 JZM1047395:JZO1047460 JPQ1047395:JPS1047460 JFU1047395:JFW1047460 IVY1047395:IWA1047460 IMC1047395:IME1047460 ICG1047395:ICI1047460 HSK1047395:HSM1047460 HIO1047395:HIQ1047460 GYS1047395:GYU1047460 GOW1047395:GOY1047460 GFA1047395:GFC1047460 FVE1047395:FVG1047460 FLI1047395:FLK1047460 FBM1047395:FBO1047460 ERQ1047395:ERS1047460 EHU1047395:EHW1047460 DXY1047395:DYA1047460 DOC1047395:DOE1047460 DEG1047395:DEI1047460 CUK1047395:CUM1047460 CKO1047395:CKQ1047460 CAS1047395:CAU1047460 BQW1047395:BQY1047460 BHA1047395:BHC1047460 AXE1047395:AXG1047460 ANI1047395:ANK1047460 ADM1047395:ADO1047460 TQ1047395:TS1047460 JU1047395:JW1047460 Y1047395:AA1047460 WWG981859:WWI981924 WMK981859:WMM981924 WCO981859:WCQ981924 VSS981859:VSU981924 VIW981859:VIY981924 UZA981859:UZC981924 UPE981859:UPG981924 UFI981859:UFK981924 TVM981859:TVO981924 TLQ981859:TLS981924 TBU981859:TBW981924 SRY981859:SSA981924 SIC981859:SIE981924 RYG981859:RYI981924 ROK981859:ROM981924 REO981859:REQ981924 QUS981859:QUU981924 QKW981859:QKY981924 QBA981859:QBC981924 PRE981859:PRG981924 PHI981859:PHK981924 OXM981859:OXO981924 ONQ981859:ONS981924 ODU981859:ODW981924 NTY981859:NUA981924 NKC981859:NKE981924 NAG981859:NAI981924 MQK981859:MQM981924 MGO981859:MGQ981924 LWS981859:LWU981924 LMW981859:LMY981924 LDA981859:LDC981924 KTE981859:KTG981924 KJI981859:KJK981924 JZM981859:JZO981924 JPQ981859:JPS981924 JFU981859:JFW981924 IVY981859:IWA981924 IMC981859:IME981924 ICG981859:ICI981924 HSK981859:HSM981924 HIO981859:HIQ981924 GYS981859:GYU981924 GOW981859:GOY981924 GFA981859:GFC981924 FVE981859:FVG981924 FLI981859:FLK981924 FBM981859:FBO981924 ERQ981859:ERS981924 EHU981859:EHW981924 DXY981859:DYA981924 DOC981859:DOE981924 DEG981859:DEI981924 CUK981859:CUM981924 CKO981859:CKQ981924 CAS981859:CAU981924 BQW981859:BQY981924 BHA981859:BHC981924 AXE981859:AXG981924 ANI981859:ANK981924 ADM981859:ADO981924 TQ981859:TS981924 JU981859:JW981924 Y981859:AA981924 WWG916323:WWI916388 WMK916323:WMM916388 WCO916323:WCQ916388 VSS916323:VSU916388 VIW916323:VIY916388 UZA916323:UZC916388 UPE916323:UPG916388 UFI916323:UFK916388 TVM916323:TVO916388 TLQ916323:TLS916388 TBU916323:TBW916388 SRY916323:SSA916388 SIC916323:SIE916388 RYG916323:RYI916388 ROK916323:ROM916388 REO916323:REQ916388 QUS916323:QUU916388 QKW916323:QKY916388 QBA916323:QBC916388 PRE916323:PRG916388 PHI916323:PHK916388 OXM916323:OXO916388 ONQ916323:ONS916388 ODU916323:ODW916388 NTY916323:NUA916388 NKC916323:NKE916388 NAG916323:NAI916388 MQK916323:MQM916388 MGO916323:MGQ916388 LWS916323:LWU916388 LMW916323:LMY916388 LDA916323:LDC916388 KTE916323:KTG916388 KJI916323:KJK916388 JZM916323:JZO916388 JPQ916323:JPS916388 JFU916323:JFW916388 IVY916323:IWA916388 IMC916323:IME916388 ICG916323:ICI916388 HSK916323:HSM916388 HIO916323:HIQ916388 GYS916323:GYU916388 GOW916323:GOY916388 GFA916323:GFC916388 FVE916323:FVG916388 FLI916323:FLK916388 FBM916323:FBO916388 ERQ916323:ERS916388 EHU916323:EHW916388 DXY916323:DYA916388 DOC916323:DOE916388 DEG916323:DEI916388 CUK916323:CUM916388 CKO916323:CKQ916388 CAS916323:CAU916388 BQW916323:BQY916388 BHA916323:BHC916388 AXE916323:AXG916388 ANI916323:ANK916388 ADM916323:ADO916388 TQ916323:TS916388 JU916323:JW916388 Y916323:AA916388 WWG850787:WWI850852 WMK850787:WMM850852 WCO850787:WCQ850852 VSS850787:VSU850852 VIW850787:VIY850852 UZA850787:UZC850852 UPE850787:UPG850852 UFI850787:UFK850852 TVM850787:TVO850852 TLQ850787:TLS850852 TBU850787:TBW850852 SRY850787:SSA850852 SIC850787:SIE850852 RYG850787:RYI850852 ROK850787:ROM850852 REO850787:REQ850852 QUS850787:QUU850852 QKW850787:QKY850852 QBA850787:QBC850852 PRE850787:PRG850852 PHI850787:PHK850852 OXM850787:OXO850852 ONQ850787:ONS850852 ODU850787:ODW850852 NTY850787:NUA850852 NKC850787:NKE850852 NAG850787:NAI850852 MQK850787:MQM850852 MGO850787:MGQ850852 LWS850787:LWU850852 LMW850787:LMY850852 LDA850787:LDC850852 KTE850787:KTG850852 KJI850787:KJK850852 JZM850787:JZO850852 JPQ850787:JPS850852 JFU850787:JFW850852 IVY850787:IWA850852 IMC850787:IME850852 ICG850787:ICI850852 HSK850787:HSM850852 HIO850787:HIQ850852 GYS850787:GYU850852 GOW850787:GOY850852 GFA850787:GFC850852 FVE850787:FVG850852 FLI850787:FLK850852 FBM850787:FBO850852 ERQ850787:ERS850852 EHU850787:EHW850852 DXY850787:DYA850852 DOC850787:DOE850852 DEG850787:DEI850852 CUK850787:CUM850852 CKO850787:CKQ850852 CAS850787:CAU850852 BQW850787:BQY850852 BHA850787:BHC850852 AXE850787:AXG850852 ANI850787:ANK850852 ADM850787:ADO850852 TQ850787:TS850852 JU850787:JW850852 Y850787:AA850852 WWG785251:WWI785316 WMK785251:WMM785316 WCO785251:WCQ785316 VSS785251:VSU785316 VIW785251:VIY785316 UZA785251:UZC785316 UPE785251:UPG785316 UFI785251:UFK785316 TVM785251:TVO785316 TLQ785251:TLS785316 TBU785251:TBW785316 SRY785251:SSA785316 SIC785251:SIE785316 RYG785251:RYI785316 ROK785251:ROM785316 REO785251:REQ785316 QUS785251:QUU785316 QKW785251:QKY785316 QBA785251:QBC785316 PRE785251:PRG785316 PHI785251:PHK785316 OXM785251:OXO785316 ONQ785251:ONS785316 ODU785251:ODW785316 NTY785251:NUA785316 NKC785251:NKE785316 NAG785251:NAI785316 MQK785251:MQM785316 MGO785251:MGQ785316 LWS785251:LWU785316 LMW785251:LMY785316 LDA785251:LDC785316 KTE785251:KTG785316 KJI785251:KJK785316 JZM785251:JZO785316 JPQ785251:JPS785316 JFU785251:JFW785316 IVY785251:IWA785316 IMC785251:IME785316 ICG785251:ICI785316 HSK785251:HSM785316 HIO785251:HIQ785316 GYS785251:GYU785316 GOW785251:GOY785316 GFA785251:GFC785316 FVE785251:FVG785316 FLI785251:FLK785316 FBM785251:FBO785316 ERQ785251:ERS785316 EHU785251:EHW785316 DXY785251:DYA785316 DOC785251:DOE785316 DEG785251:DEI785316 CUK785251:CUM785316 CKO785251:CKQ785316 CAS785251:CAU785316 BQW785251:BQY785316 BHA785251:BHC785316 AXE785251:AXG785316 ANI785251:ANK785316 ADM785251:ADO785316 TQ785251:TS785316 JU785251:JW785316 Y785251:AA785316 WWG719715:WWI719780 WMK719715:WMM719780 WCO719715:WCQ719780 VSS719715:VSU719780 VIW719715:VIY719780 UZA719715:UZC719780 UPE719715:UPG719780 UFI719715:UFK719780 TVM719715:TVO719780 TLQ719715:TLS719780 TBU719715:TBW719780 SRY719715:SSA719780 SIC719715:SIE719780 RYG719715:RYI719780 ROK719715:ROM719780 REO719715:REQ719780 QUS719715:QUU719780 QKW719715:QKY719780 QBA719715:QBC719780 PRE719715:PRG719780 PHI719715:PHK719780 OXM719715:OXO719780 ONQ719715:ONS719780 ODU719715:ODW719780 NTY719715:NUA719780 NKC719715:NKE719780 NAG719715:NAI719780 MQK719715:MQM719780 MGO719715:MGQ719780 LWS719715:LWU719780 LMW719715:LMY719780 LDA719715:LDC719780 KTE719715:KTG719780 KJI719715:KJK719780 JZM719715:JZO719780 JPQ719715:JPS719780 JFU719715:JFW719780 IVY719715:IWA719780 IMC719715:IME719780 ICG719715:ICI719780 HSK719715:HSM719780 HIO719715:HIQ719780 GYS719715:GYU719780 GOW719715:GOY719780 GFA719715:GFC719780 FVE719715:FVG719780 FLI719715:FLK719780 FBM719715:FBO719780 ERQ719715:ERS719780 EHU719715:EHW719780 DXY719715:DYA719780 DOC719715:DOE719780 DEG719715:DEI719780 CUK719715:CUM719780 CKO719715:CKQ719780 CAS719715:CAU719780 BQW719715:BQY719780 BHA719715:BHC719780 AXE719715:AXG719780 ANI719715:ANK719780 ADM719715:ADO719780 TQ719715:TS719780 JU719715:JW719780 Y719715:AA719780 WWG654179:WWI654244 WMK654179:WMM654244 WCO654179:WCQ654244 VSS654179:VSU654244 VIW654179:VIY654244 UZA654179:UZC654244 UPE654179:UPG654244 UFI654179:UFK654244 TVM654179:TVO654244 TLQ654179:TLS654244 TBU654179:TBW654244 SRY654179:SSA654244 SIC654179:SIE654244 RYG654179:RYI654244 ROK654179:ROM654244 REO654179:REQ654244 QUS654179:QUU654244 QKW654179:QKY654244 QBA654179:QBC654244 PRE654179:PRG654244 PHI654179:PHK654244 OXM654179:OXO654244 ONQ654179:ONS654244 ODU654179:ODW654244 NTY654179:NUA654244 NKC654179:NKE654244 NAG654179:NAI654244 MQK654179:MQM654244 MGO654179:MGQ654244 LWS654179:LWU654244 LMW654179:LMY654244 LDA654179:LDC654244 KTE654179:KTG654244 KJI654179:KJK654244 JZM654179:JZO654244 JPQ654179:JPS654244 JFU654179:JFW654244 IVY654179:IWA654244 IMC654179:IME654244 ICG654179:ICI654244 HSK654179:HSM654244 HIO654179:HIQ654244 GYS654179:GYU654244 GOW654179:GOY654244 GFA654179:GFC654244 FVE654179:FVG654244 FLI654179:FLK654244 FBM654179:FBO654244 ERQ654179:ERS654244 EHU654179:EHW654244 DXY654179:DYA654244 DOC654179:DOE654244 DEG654179:DEI654244 CUK654179:CUM654244 CKO654179:CKQ654244 CAS654179:CAU654244 BQW654179:BQY654244 BHA654179:BHC654244 AXE654179:AXG654244 ANI654179:ANK654244 ADM654179:ADO654244 TQ654179:TS654244 JU654179:JW654244 Y654179:AA654244 WWG588643:WWI588708 WMK588643:WMM588708 WCO588643:WCQ588708 VSS588643:VSU588708 VIW588643:VIY588708 UZA588643:UZC588708 UPE588643:UPG588708 UFI588643:UFK588708 TVM588643:TVO588708 TLQ588643:TLS588708 TBU588643:TBW588708 SRY588643:SSA588708 SIC588643:SIE588708 RYG588643:RYI588708 ROK588643:ROM588708 REO588643:REQ588708 QUS588643:QUU588708 QKW588643:QKY588708 QBA588643:QBC588708 PRE588643:PRG588708 PHI588643:PHK588708 OXM588643:OXO588708 ONQ588643:ONS588708 ODU588643:ODW588708 NTY588643:NUA588708 NKC588643:NKE588708 NAG588643:NAI588708 MQK588643:MQM588708 MGO588643:MGQ588708 LWS588643:LWU588708 LMW588643:LMY588708 LDA588643:LDC588708 KTE588643:KTG588708 KJI588643:KJK588708 JZM588643:JZO588708 JPQ588643:JPS588708 JFU588643:JFW588708 IVY588643:IWA588708 IMC588643:IME588708 ICG588643:ICI588708 HSK588643:HSM588708 HIO588643:HIQ588708 GYS588643:GYU588708 GOW588643:GOY588708 GFA588643:GFC588708 FVE588643:FVG588708 FLI588643:FLK588708 FBM588643:FBO588708 ERQ588643:ERS588708 EHU588643:EHW588708 DXY588643:DYA588708 DOC588643:DOE588708 DEG588643:DEI588708 CUK588643:CUM588708 CKO588643:CKQ588708 CAS588643:CAU588708 BQW588643:BQY588708 BHA588643:BHC588708 AXE588643:AXG588708 ANI588643:ANK588708 ADM588643:ADO588708 TQ588643:TS588708 JU588643:JW588708 Y588643:AA588708 WWG523107:WWI523172 WMK523107:WMM523172 WCO523107:WCQ523172 VSS523107:VSU523172 VIW523107:VIY523172 UZA523107:UZC523172 UPE523107:UPG523172 UFI523107:UFK523172 TVM523107:TVO523172 TLQ523107:TLS523172 TBU523107:TBW523172 SRY523107:SSA523172 SIC523107:SIE523172 RYG523107:RYI523172 ROK523107:ROM523172 REO523107:REQ523172 QUS523107:QUU523172 QKW523107:QKY523172 QBA523107:QBC523172 PRE523107:PRG523172 PHI523107:PHK523172 OXM523107:OXO523172 ONQ523107:ONS523172 ODU523107:ODW523172 NTY523107:NUA523172 NKC523107:NKE523172 NAG523107:NAI523172 MQK523107:MQM523172 MGO523107:MGQ523172 LWS523107:LWU523172 LMW523107:LMY523172 LDA523107:LDC523172 KTE523107:KTG523172 KJI523107:KJK523172 JZM523107:JZO523172 JPQ523107:JPS523172 JFU523107:JFW523172 IVY523107:IWA523172 IMC523107:IME523172 ICG523107:ICI523172 HSK523107:HSM523172 HIO523107:HIQ523172 GYS523107:GYU523172 GOW523107:GOY523172 GFA523107:GFC523172 FVE523107:FVG523172 FLI523107:FLK523172 FBM523107:FBO523172 ERQ523107:ERS523172 EHU523107:EHW523172 DXY523107:DYA523172 DOC523107:DOE523172 DEG523107:DEI523172 CUK523107:CUM523172 CKO523107:CKQ523172 CAS523107:CAU523172 BQW523107:BQY523172 BHA523107:BHC523172 AXE523107:AXG523172 ANI523107:ANK523172 ADM523107:ADO523172 TQ523107:TS523172 JU523107:JW523172 Y523107:AA523172 WWG457571:WWI457636 WMK457571:WMM457636 WCO457571:WCQ457636 VSS457571:VSU457636 VIW457571:VIY457636 UZA457571:UZC457636 UPE457571:UPG457636 UFI457571:UFK457636 TVM457571:TVO457636 TLQ457571:TLS457636 TBU457571:TBW457636 SRY457571:SSA457636 SIC457571:SIE457636 RYG457571:RYI457636 ROK457571:ROM457636 REO457571:REQ457636 QUS457571:QUU457636 QKW457571:QKY457636 QBA457571:QBC457636 PRE457571:PRG457636 PHI457571:PHK457636 OXM457571:OXO457636 ONQ457571:ONS457636 ODU457571:ODW457636 NTY457571:NUA457636 NKC457571:NKE457636 NAG457571:NAI457636 MQK457571:MQM457636 MGO457571:MGQ457636 LWS457571:LWU457636 LMW457571:LMY457636 LDA457571:LDC457636 KTE457571:KTG457636 KJI457571:KJK457636 JZM457571:JZO457636 JPQ457571:JPS457636 JFU457571:JFW457636 IVY457571:IWA457636 IMC457571:IME457636 ICG457571:ICI457636 HSK457571:HSM457636 HIO457571:HIQ457636 GYS457571:GYU457636 GOW457571:GOY457636 GFA457571:GFC457636 FVE457571:FVG457636 FLI457571:FLK457636 FBM457571:FBO457636 ERQ457571:ERS457636 EHU457571:EHW457636 DXY457571:DYA457636 DOC457571:DOE457636 DEG457571:DEI457636 CUK457571:CUM457636 CKO457571:CKQ457636 CAS457571:CAU457636 BQW457571:BQY457636 BHA457571:BHC457636 AXE457571:AXG457636 ANI457571:ANK457636 ADM457571:ADO457636 TQ457571:TS457636 JU457571:JW457636 Y457571:AA457636 WWG392035:WWI392100 WMK392035:WMM392100 WCO392035:WCQ392100 VSS392035:VSU392100 VIW392035:VIY392100 UZA392035:UZC392100 UPE392035:UPG392100 UFI392035:UFK392100 TVM392035:TVO392100 TLQ392035:TLS392100 TBU392035:TBW392100 SRY392035:SSA392100 SIC392035:SIE392100 RYG392035:RYI392100 ROK392035:ROM392100 REO392035:REQ392100 QUS392035:QUU392100 QKW392035:QKY392100 QBA392035:QBC392100 PRE392035:PRG392100 PHI392035:PHK392100 OXM392035:OXO392100 ONQ392035:ONS392100 ODU392035:ODW392100 NTY392035:NUA392100 NKC392035:NKE392100 NAG392035:NAI392100 MQK392035:MQM392100 MGO392035:MGQ392100 LWS392035:LWU392100 LMW392035:LMY392100 LDA392035:LDC392100 KTE392035:KTG392100 KJI392035:KJK392100 JZM392035:JZO392100 JPQ392035:JPS392100 JFU392035:JFW392100 IVY392035:IWA392100 IMC392035:IME392100 ICG392035:ICI392100 HSK392035:HSM392100 HIO392035:HIQ392100 GYS392035:GYU392100 GOW392035:GOY392100 GFA392035:GFC392100 FVE392035:FVG392100 FLI392035:FLK392100 FBM392035:FBO392100 ERQ392035:ERS392100 EHU392035:EHW392100 DXY392035:DYA392100 DOC392035:DOE392100 DEG392035:DEI392100 CUK392035:CUM392100 CKO392035:CKQ392100 CAS392035:CAU392100 BQW392035:BQY392100 BHA392035:BHC392100 AXE392035:AXG392100 ANI392035:ANK392100 ADM392035:ADO392100 TQ392035:TS392100 JU392035:JW392100 Y392035:AA392100 WWG326499:WWI326564 WMK326499:WMM326564 WCO326499:WCQ326564 VSS326499:VSU326564 VIW326499:VIY326564 UZA326499:UZC326564 UPE326499:UPG326564 UFI326499:UFK326564 TVM326499:TVO326564 TLQ326499:TLS326564 TBU326499:TBW326564 SRY326499:SSA326564 SIC326499:SIE326564 RYG326499:RYI326564 ROK326499:ROM326564 REO326499:REQ326564 QUS326499:QUU326564 QKW326499:QKY326564 QBA326499:QBC326564 PRE326499:PRG326564 PHI326499:PHK326564 OXM326499:OXO326564 ONQ326499:ONS326564 ODU326499:ODW326564 NTY326499:NUA326564 NKC326499:NKE326564 NAG326499:NAI326564 MQK326499:MQM326564 MGO326499:MGQ326564 LWS326499:LWU326564 LMW326499:LMY326564 LDA326499:LDC326564 KTE326499:KTG326564 KJI326499:KJK326564 JZM326499:JZO326564 JPQ326499:JPS326564 JFU326499:JFW326564 IVY326499:IWA326564 IMC326499:IME326564 ICG326499:ICI326564 HSK326499:HSM326564 HIO326499:HIQ326564 GYS326499:GYU326564 GOW326499:GOY326564 GFA326499:GFC326564 FVE326499:FVG326564 FLI326499:FLK326564 FBM326499:FBO326564 ERQ326499:ERS326564 EHU326499:EHW326564 DXY326499:DYA326564 DOC326499:DOE326564 DEG326499:DEI326564 CUK326499:CUM326564 CKO326499:CKQ326564 CAS326499:CAU326564 BQW326499:BQY326564 BHA326499:BHC326564 AXE326499:AXG326564 ANI326499:ANK326564 ADM326499:ADO326564 TQ326499:TS326564 JU326499:JW326564 Y326499:AA326564 WWG260963:WWI261028 WMK260963:WMM261028 WCO260963:WCQ261028 VSS260963:VSU261028 VIW260963:VIY261028 UZA260963:UZC261028 UPE260963:UPG261028 UFI260963:UFK261028 TVM260963:TVO261028 TLQ260963:TLS261028 TBU260963:TBW261028 SRY260963:SSA261028 SIC260963:SIE261028 RYG260963:RYI261028 ROK260963:ROM261028 REO260963:REQ261028 QUS260963:QUU261028 QKW260963:QKY261028 QBA260963:QBC261028 PRE260963:PRG261028 PHI260963:PHK261028 OXM260963:OXO261028 ONQ260963:ONS261028 ODU260963:ODW261028 NTY260963:NUA261028 NKC260963:NKE261028 NAG260963:NAI261028 MQK260963:MQM261028 MGO260963:MGQ261028 LWS260963:LWU261028 LMW260963:LMY261028 LDA260963:LDC261028 KTE260963:KTG261028 KJI260963:KJK261028 JZM260963:JZO261028 JPQ260963:JPS261028 JFU260963:JFW261028 IVY260963:IWA261028 IMC260963:IME261028 ICG260963:ICI261028 HSK260963:HSM261028 HIO260963:HIQ261028 GYS260963:GYU261028 GOW260963:GOY261028 GFA260963:GFC261028 FVE260963:FVG261028 FLI260963:FLK261028 FBM260963:FBO261028 ERQ260963:ERS261028 EHU260963:EHW261028 DXY260963:DYA261028 DOC260963:DOE261028 DEG260963:DEI261028 CUK260963:CUM261028 CKO260963:CKQ261028 CAS260963:CAU261028 BQW260963:BQY261028 BHA260963:BHC261028 AXE260963:AXG261028 ANI260963:ANK261028 ADM260963:ADO261028 TQ260963:TS261028 JU260963:JW261028 Y260963:AA261028 WWG195427:WWI195492 WMK195427:WMM195492 WCO195427:WCQ195492 VSS195427:VSU195492 VIW195427:VIY195492 UZA195427:UZC195492 UPE195427:UPG195492 UFI195427:UFK195492 TVM195427:TVO195492 TLQ195427:TLS195492 TBU195427:TBW195492 SRY195427:SSA195492 SIC195427:SIE195492 RYG195427:RYI195492 ROK195427:ROM195492 REO195427:REQ195492 QUS195427:QUU195492 QKW195427:QKY195492 QBA195427:QBC195492 PRE195427:PRG195492 PHI195427:PHK195492 OXM195427:OXO195492 ONQ195427:ONS195492 ODU195427:ODW195492 NTY195427:NUA195492 NKC195427:NKE195492 NAG195427:NAI195492 MQK195427:MQM195492 MGO195427:MGQ195492 LWS195427:LWU195492 LMW195427:LMY195492 LDA195427:LDC195492 KTE195427:KTG195492 KJI195427:KJK195492 JZM195427:JZO195492 JPQ195427:JPS195492 JFU195427:JFW195492 IVY195427:IWA195492 IMC195427:IME195492 ICG195427:ICI195492 HSK195427:HSM195492 HIO195427:HIQ195492 GYS195427:GYU195492 GOW195427:GOY195492 GFA195427:GFC195492 FVE195427:FVG195492 FLI195427:FLK195492 FBM195427:FBO195492 ERQ195427:ERS195492 EHU195427:EHW195492 DXY195427:DYA195492 DOC195427:DOE195492 DEG195427:DEI195492 CUK195427:CUM195492 CKO195427:CKQ195492 CAS195427:CAU195492 BQW195427:BQY195492 BHA195427:BHC195492 AXE195427:AXG195492 ANI195427:ANK195492 ADM195427:ADO195492 TQ195427:TS195492 JU195427:JW195492 Y195427:AA195492 WWG129891:WWI129956 WMK129891:WMM129956 WCO129891:WCQ129956 VSS129891:VSU129956 VIW129891:VIY129956 UZA129891:UZC129956 UPE129891:UPG129956 UFI129891:UFK129956 TVM129891:TVO129956 TLQ129891:TLS129956 TBU129891:TBW129956 SRY129891:SSA129956 SIC129891:SIE129956 RYG129891:RYI129956 ROK129891:ROM129956 REO129891:REQ129956 QUS129891:QUU129956 QKW129891:QKY129956 QBA129891:QBC129956 PRE129891:PRG129956 PHI129891:PHK129956 OXM129891:OXO129956 ONQ129891:ONS129956 ODU129891:ODW129956 NTY129891:NUA129956 NKC129891:NKE129956 NAG129891:NAI129956 MQK129891:MQM129956 MGO129891:MGQ129956 LWS129891:LWU129956 LMW129891:LMY129956 LDA129891:LDC129956 KTE129891:KTG129956 KJI129891:KJK129956 JZM129891:JZO129956 JPQ129891:JPS129956 JFU129891:JFW129956 IVY129891:IWA129956 IMC129891:IME129956 ICG129891:ICI129956 HSK129891:HSM129956 HIO129891:HIQ129956 GYS129891:GYU129956 GOW129891:GOY129956 GFA129891:GFC129956 FVE129891:FVG129956 FLI129891:FLK129956 FBM129891:FBO129956 ERQ129891:ERS129956 EHU129891:EHW129956 DXY129891:DYA129956 DOC129891:DOE129956 DEG129891:DEI129956 CUK129891:CUM129956 CKO129891:CKQ129956 CAS129891:CAU129956 BQW129891:BQY129956 BHA129891:BHC129956 AXE129891:AXG129956 ANI129891:ANK129956 ADM129891:ADO129956 TQ129891:TS129956 JU129891:JW129956 Y129891:AA129956 WWG64355:WWI64420 WMK64355:WMM64420 WCO64355:WCQ64420 VSS64355:VSU64420 VIW64355:VIY64420 UZA64355:UZC64420 UPE64355:UPG64420 UFI64355:UFK64420 TVM64355:TVO64420 TLQ64355:TLS64420 TBU64355:TBW64420 SRY64355:SSA64420 SIC64355:SIE64420 RYG64355:RYI64420 ROK64355:ROM64420 REO64355:REQ64420 QUS64355:QUU64420 QKW64355:QKY64420 QBA64355:QBC64420 PRE64355:PRG64420 PHI64355:PHK64420 OXM64355:OXO64420 ONQ64355:ONS64420 ODU64355:ODW64420 NTY64355:NUA64420 NKC64355:NKE64420 NAG64355:NAI64420 MQK64355:MQM64420 MGO64355:MGQ64420 LWS64355:LWU64420 LMW64355:LMY64420 LDA64355:LDC64420 KTE64355:KTG64420 KJI64355:KJK64420 JZM64355:JZO64420 JPQ64355:JPS64420 JFU64355:JFW64420 IVY64355:IWA64420 IMC64355:IME64420 ICG64355:ICI64420 HSK64355:HSM64420 HIO64355:HIQ64420 GYS64355:GYU64420 GOW64355:GOY64420 GFA64355:GFC64420 FVE64355:FVG64420 FLI64355:FLK64420 FBM64355:FBO64420 ERQ64355:ERS64420 EHU64355:EHW64420 DXY64355:DYA64420 DOC64355:DOE64420 DEG64355:DEI64420 CUK64355:CUM64420 CKO64355:CKQ64420 CAS64355:CAU64420 BQW64355:BQY64420 BHA64355:BHC64420 AXE64355:AXG64420 ANI64355:ANK64420 ADM64355:ADO64420 TQ64355:TS64420 JU64355:JW64420">
      <formula1>$AV$2:$AV$20</formula1>
    </dataValidation>
    <dataValidation type="list" allowBlank="1" showInputMessage="1" showErrorMessage="1" sqref="H64355:H64420 WVP1047395:WVP1047460 WLT1047395:WLT1047460 WBX1047395:WBX1047460 VSB1047395:VSB1047460 VIF1047395:VIF1047460 UYJ1047395:UYJ1047460 UON1047395:UON1047460 UER1047395:UER1047460 TUV1047395:TUV1047460 TKZ1047395:TKZ1047460 TBD1047395:TBD1047460 SRH1047395:SRH1047460 SHL1047395:SHL1047460 RXP1047395:RXP1047460 RNT1047395:RNT1047460 RDX1047395:RDX1047460 QUB1047395:QUB1047460 QKF1047395:QKF1047460 QAJ1047395:QAJ1047460 PQN1047395:PQN1047460 PGR1047395:PGR1047460 OWV1047395:OWV1047460 OMZ1047395:OMZ1047460 ODD1047395:ODD1047460 NTH1047395:NTH1047460 NJL1047395:NJL1047460 MZP1047395:MZP1047460 MPT1047395:MPT1047460 MFX1047395:MFX1047460 LWB1047395:LWB1047460 LMF1047395:LMF1047460 LCJ1047395:LCJ1047460 KSN1047395:KSN1047460 KIR1047395:KIR1047460 JYV1047395:JYV1047460 JOZ1047395:JOZ1047460 JFD1047395:JFD1047460 IVH1047395:IVH1047460 ILL1047395:ILL1047460 IBP1047395:IBP1047460 HRT1047395:HRT1047460 HHX1047395:HHX1047460 GYB1047395:GYB1047460 GOF1047395:GOF1047460 GEJ1047395:GEJ1047460 FUN1047395:FUN1047460 FKR1047395:FKR1047460 FAV1047395:FAV1047460 EQZ1047395:EQZ1047460 EHD1047395:EHD1047460 DXH1047395:DXH1047460 DNL1047395:DNL1047460 DDP1047395:DDP1047460 CTT1047395:CTT1047460 CJX1047395:CJX1047460 CAB1047395:CAB1047460 BQF1047395:BQF1047460 BGJ1047395:BGJ1047460 AWN1047395:AWN1047460 AMR1047395:AMR1047460 ACV1047395:ACV1047460 SZ1047395:SZ1047460 JD1047395:JD1047460 H1047395:H1047460 WVP981859:WVP981924 WLT981859:WLT981924 WBX981859:WBX981924 VSB981859:VSB981924 VIF981859:VIF981924 UYJ981859:UYJ981924 UON981859:UON981924 UER981859:UER981924 TUV981859:TUV981924 TKZ981859:TKZ981924 TBD981859:TBD981924 SRH981859:SRH981924 SHL981859:SHL981924 RXP981859:RXP981924 RNT981859:RNT981924 RDX981859:RDX981924 QUB981859:QUB981924 QKF981859:QKF981924 QAJ981859:QAJ981924 PQN981859:PQN981924 PGR981859:PGR981924 OWV981859:OWV981924 OMZ981859:OMZ981924 ODD981859:ODD981924 NTH981859:NTH981924 NJL981859:NJL981924 MZP981859:MZP981924 MPT981859:MPT981924 MFX981859:MFX981924 LWB981859:LWB981924 LMF981859:LMF981924 LCJ981859:LCJ981924 KSN981859:KSN981924 KIR981859:KIR981924 JYV981859:JYV981924 JOZ981859:JOZ981924 JFD981859:JFD981924 IVH981859:IVH981924 ILL981859:ILL981924 IBP981859:IBP981924 HRT981859:HRT981924 HHX981859:HHX981924 GYB981859:GYB981924 GOF981859:GOF981924 GEJ981859:GEJ981924 FUN981859:FUN981924 FKR981859:FKR981924 FAV981859:FAV981924 EQZ981859:EQZ981924 EHD981859:EHD981924 DXH981859:DXH981924 DNL981859:DNL981924 DDP981859:DDP981924 CTT981859:CTT981924 CJX981859:CJX981924 CAB981859:CAB981924 BQF981859:BQF981924 BGJ981859:BGJ981924 AWN981859:AWN981924 AMR981859:AMR981924 ACV981859:ACV981924 SZ981859:SZ981924 JD981859:JD981924 H981859:H981924 WVP916323:WVP916388 WLT916323:WLT916388 WBX916323:WBX916388 VSB916323:VSB916388 VIF916323:VIF916388 UYJ916323:UYJ916388 UON916323:UON916388 UER916323:UER916388 TUV916323:TUV916388 TKZ916323:TKZ916388 TBD916323:TBD916388 SRH916323:SRH916388 SHL916323:SHL916388 RXP916323:RXP916388 RNT916323:RNT916388 RDX916323:RDX916388 QUB916323:QUB916388 QKF916323:QKF916388 QAJ916323:QAJ916388 PQN916323:PQN916388 PGR916323:PGR916388 OWV916323:OWV916388 OMZ916323:OMZ916388 ODD916323:ODD916388 NTH916323:NTH916388 NJL916323:NJL916388 MZP916323:MZP916388 MPT916323:MPT916388 MFX916323:MFX916388 LWB916323:LWB916388 LMF916323:LMF916388 LCJ916323:LCJ916388 KSN916323:KSN916388 KIR916323:KIR916388 JYV916323:JYV916388 JOZ916323:JOZ916388 JFD916323:JFD916388 IVH916323:IVH916388 ILL916323:ILL916388 IBP916323:IBP916388 HRT916323:HRT916388 HHX916323:HHX916388 GYB916323:GYB916388 GOF916323:GOF916388 GEJ916323:GEJ916388 FUN916323:FUN916388 FKR916323:FKR916388 FAV916323:FAV916388 EQZ916323:EQZ916388 EHD916323:EHD916388 DXH916323:DXH916388 DNL916323:DNL916388 DDP916323:DDP916388 CTT916323:CTT916388 CJX916323:CJX916388 CAB916323:CAB916388 BQF916323:BQF916388 BGJ916323:BGJ916388 AWN916323:AWN916388 AMR916323:AMR916388 ACV916323:ACV916388 SZ916323:SZ916388 JD916323:JD916388 H916323:H916388 WVP850787:WVP850852 WLT850787:WLT850852 WBX850787:WBX850852 VSB850787:VSB850852 VIF850787:VIF850852 UYJ850787:UYJ850852 UON850787:UON850852 UER850787:UER850852 TUV850787:TUV850852 TKZ850787:TKZ850852 TBD850787:TBD850852 SRH850787:SRH850852 SHL850787:SHL850852 RXP850787:RXP850852 RNT850787:RNT850852 RDX850787:RDX850852 QUB850787:QUB850852 QKF850787:QKF850852 QAJ850787:QAJ850852 PQN850787:PQN850852 PGR850787:PGR850852 OWV850787:OWV850852 OMZ850787:OMZ850852 ODD850787:ODD850852 NTH850787:NTH850852 NJL850787:NJL850852 MZP850787:MZP850852 MPT850787:MPT850852 MFX850787:MFX850852 LWB850787:LWB850852 LMF850787:LMF850852 LCJ850787:LCJ850852 KSN850787:KSN850852 KIR850787:KIR850852 JYV850787:JYV850852 JOZ850787:JOZ850852 JFD850787:JFD850852 IVH850787:IVH850852 ILL850787:ILL850852 IBP850787:IBP850852 HRT850787:HRT850852 HHX850787:HHX850852 GYB850787:GYB850852 GOF850787:GOF850852 GEJ850787:GEJ850852 FUN850787:FUN850852 FKR850787:FKR850852 FAV850787:FAV850852 EQZ850787:EQZ850852 EHD850787:EHD850852 DXH850787:DXH850852 DNL850787:DNL850852 DDP850787:DDP850852 CTT850787:CTT850852 CJX850787:CJX850852 CAB850787:CAB850852 BQF850787:BQF850852 BGJ850787:BGJ850852 AWN850787:AWN850852 AMR850787:AMR850852 ACV850787:ACV850852 SZ850787:SZ850852 JD850787:JD850852 H850787:H850852 WVP785251:WVP785316 WLT785251:WLT785316 WBX785251:WBX785316 VSB785251:VSB785316 VIF785251:VIF785316 UYJ785251:UYJ785316 UON785251:UON785316 UER785251:UER785316 TUV785251:TUV785316 TKZ785251:TKZ785316 TBD785251:TBD785316 SRH785251:SRH785316 SHL785251:SHL785316 RXP785251:RXP785316 RNT785251:RNT785316 RDX785251:RDX785316 QUB785251:QUB785316 QKF785251:QKF785316 QAJ785251:QAJ785316 PQN785251:PQN785316 PGR785251:PGR785316 OWV785251:OWV785316 OMZ785251:OMZ785316 ODD785251:ODD785316 NTH785251:NTH785316 NJL785251:NJL785316 MZP785251:MZP785316 MPT785251:MPT785316 MFX785251:MFX785316 LWB785251:LWB785316 LMF785251:LMF785316 LCJ785251:LCJ785316 KSN785251:KSN785316 KIR785251:KIR785316 JYV785251:JYV785316 JOZ785251:JOZ785316 JFD785251:JFD785316 IVH785251:IVH785316 ILL785251:ILL785316 IBP785251:IBP785316 HRT785251:HRT785316 HHX785251:HHX785316 GYB785251:GYB785316 GOF785251:GOF785316 GEJ785251:GEJ785316 FUN785251:FUN785316 FKR785251:FKR785316 FAV785251:FAV785316 EQZ785251:EQZ785316 EHD785251:EHD785316 DXH785251:DXH785316 DNL785251:DNL785316 DDP785251:DDP785316 CTT785251:CTT785316 CJX785251:CJX785316 CAB785251:CAB785316 BQF785251:BQF785316 BGJ785251:BGJ785316 AWN785251:AWN785316 AMR785251:AMR785316 ACV785251:ACV785316 SZ785251:SZ785316 JD785251:JD785316 H785251:H785316 WVP719715:WVP719780 WLT719715:WLT719780 WBX719715:WBX719780 VSB719715:VSB719780 VIF719715:VIF719780 UYJ719715:UYJ719780 UON719715:UON719780 UER719715:UER719780 TUV719715:TUV719780 TKZ719715:TKZ719780 TBD719715:TBD719780 SRH719715:SRH719780 SHL719715:SHL719780 RXP719715:RXP719780 RNT719715:RNT719780 RDX719715:RDX719780 QUB719715:QUB719780 QKF719715:QKF719780 QAJ719715:QAJ719780 PQN719715:PQN719780 PGR719715:PGR719780 OWV719715:OWV719780 OMZ719715:OMZ719780 ODD719715:ODD719780 NTH719715:NTH719780 NJL719715:NJL719780 MZP719715:MZP719780 MPT719715:MPT719780 MFX719715:MFX719780 LWB719715:LWB719780 LMF719715:LMF719780 LCJ719715:LCJ719780 KSN719715:KSN719780 KIR719715:KIR719780 JYV719715:JYV719780 JOZ719715:JOZ719780 JFD719715:JFD719780 IVH719715:IVH719780 ILL719715:ILL719780 IBP719715:IBP719780 HRT719715:HRT719780 HHX719715:HHX719780 GYB719715:GYB719780 GOF719715:GOF719780 GEJ719715:GEJ719780 FUN719715:FUN719780 FKR719715:FKR719780 FAV719715:FAV719780 EQZ719715:EQZ719780 EHD719715:EHD719780 DXH719715:DXH719780 DNL719715:DNL719780 DDP719715:DDP719780 CTT719715:CTT719780 CJX719715:CJX719780 CAB719715:CAB719780 BQF719715:BQF719780 BGJ719715:BGJ719780 AWN719715:AWN719780 AMR719715:AMR719780 ACV719715:ACV719780 SZ719715:SZ719780 JD719715:JD719780 H719715:H719780 WVP654179:WVP654244 WLT654179:WLT654244 WBX654179:WBX654244 VSB654179:VSB654244 VIF654179:VIF654244 UYJ654179:UYJ654244 UON654179:UON654244 UER654179:UER654244 TUV654179:TUV654244 TKZ654179:TKZ654244 TBD654179:TBD654244 SRH654179:SRH654244 SHL654179:SHL654244 RXP654179:RXP654244 RNT654179:RNT654244 RDX654179:RDX654244 QUB654179:QUB654244 QKF654179:QKF654244 QAJ654179:QAJ654244 PQN654179:PQN654244 PGR654179:PGR654244 OWV654179:OWV654244 OMZ654179:OMZ654244 ODD654179:ODD654244 NTH654179:NTH654244 NJL654179:NJL654244 MZP654179:MZP654244 MPT654179:MPT654244 MFX654179:MFX654244 LWB654179:LWB654244 LMF654179:LMF654244 LCJ654179:LCJ654244 KSN654179:KSN654244 KIR654179:KIR654244 JYV654179:JYV654244 JOZ654179:JOZ654244 JFD654179:JFD654244 IVH654179:IVH654244 ILL654179:ILL654244 IBP654179:IBP654244 HRT654179:HRT654244 HHX654179:HHX654244 GYB654179:GYB654244 GOF654179:GOF654244 GEJ654179:GEJ654244 FUN654179:FUN654244 FKR654179:FKR654244 FAV654179:FAV654244 EQZ654179:EQZ654244 EHD654179:EHD654244 DXH654179:DXH654244 DNL654179:DNL654244 DDP654179:DDP654244 CTT654179:CTT654244 CJX654179:CJX654244 CAB654179:CAB654244 BQF654179:BQF654244 BGJ654179:BGJ654244 AWN654179:AWN654244 AMR654179:AMR654244 ACV654179:ACV654244 SZ654179:SZ654244 JD654179:JD654244 H654179:H654244 WVP588643:WVP588708 WLT588643:WLT588708 WBX588643:WBX588708 VSB588643:VSB588708 VIF588643:VIF588708 UYJ588643:UYJ588708 UON588643:UON588708 UER588643:UER588708 TUV588643:TUV588708 TKZ588643:TKZ588708 TBD588643:TBD588708 SRH588643:SRH588708 SHL588643:SHL588708 RXP588643:RXP588708 RNT588643:RNT588708 RDX588643:RDX588708 QUB588643:QUB588708 QKF588643:QKF588708 QAJ588643:QAJ588708 PQN588643:PQN588708 PGR588643:PGR588708 OWV588643:OWV588708 OMZ588643:OMZ588708 ODD588643:ODD588708 NTH588643:NTH588708 NJL588643:NJL588708 MZP588643:MZP588708 MPT588643:MPT588708 MFX588643:MFX588708 LWB588643:LWB588708 LMF588643:LMF588708 LCJ588643:LCJ588708 KSN588643:KSN588708 KIR588643:KIR588708 JYV588643:JYV588708 JOZ588643:JOZ588708 JFD588643:JFD588708 IVH588643:IVH588708 ILL588643:ILL588708 IBP588643:IBP588708 HRT588643:HRT588708 HHX588643:HHX588708 GYB588643:GYB588708 GOF588643:GOF588708 GEJ588643:GEJ588708 FUN588643:FUN588708 FKR588643:FKR588708 FAV588643:FAV588708 EQZ588643:EQZ588708 EHD588643:EHD588708 DXH588643:DXH588708 DNL588643:DNL588708 DDP588643:DDP588708 CTT588643:CTT588708 CJX588643:CJX588708 CAB588643:CAB588708 BQF588643:BQF588708 BGJ588643:BGJ588708 AWN588643:AWN588708 AMR588643:AMR588708 ACV588643:ACV588708 SZ588643:SZ588708 JD588643:JD588708 H588643:H588708 WVP523107:WVP523172 WLT523107:WLT523172 WBX523107:WBX523172 VSB523107:VSB523172 VIF523107:VIF523172 UYJ523107:UYJ523172 UON523107:UON523172 UER523107:UER523172 TUV523107:TUV523172 TKZ523107:TKZ523172 TBD523107:TBD523172 SRH523107:SRH523172 SHL523107:SHL523172 RXP523107:RXP523172 RNT523107:RNT523172 RDX523107:RDX523172 QUB523107:QUB523172 QKF523107:QKF523172 QAJ523107:QAJ523172 PQN523107:PQN523172 PGR523107:PGR523172 OWV523107:OWV523172 OMZ523107:OMZ523172 ODD523107:ODD523172 NTH523107:NTH523172 NJL523107:NJL523172 MZP523107:MZP523172 MPT523107:MPT523172 MFX523107:MFX523172 LWB523107:LWB523172 LMF523107:LMF523172 LCJ523107:LCJ523172 KSN523107:KSN523172 KIR523107:KIR523172 JYV523107:JYV523172 JOZ523107:JOZ523172 JFD523107:JFD523172 IVH523107:IVH523172 ILL523107:ILL523172 IBP523107:IBP523172 HRT523107:HRT523172 HHX523107:HHX523172 GYB523107:GYB523172 GOF523107:GOF523172 GEJ523107:GEJ523172 FUN523107:FUN523172 FKR523107:FKR523172 FAV523107:FAV523172 EQZ523107:EQZ523172 EHD523107:EHD523172 DXH523107:DXH523172 DNL523107:DNL523172 DDP523107:DDP523172 CTT523107:CTT523172 CJX523107:CJX523172 CAB523107:CAB523172 BQF523107:BQF523172 BGJ523107:BGJ523172 AWN523107:AWN523172 AMR523107:AMR523172 ACV523107:ACV523172 SZ523107:SZ523172 JD523107:JD523172 H523107:H523172 WVP457571:WVP457636 WLT457571:WLT457636 WBX457571:WBX457636 VSB457571:VSB457636 VIF457571:VIF457636 UYJ457571:UYJ457636 UON457571:UON457636 UER457571:UER457636 TUV457571:TUV457636 TKZ457571:TKZ457636 TBD457571:TBD457636 SRH457571:SRH457636 SHL457571:SHL457636 RXP457571:RXP457636 RNT457571:RNT457636 RDX457571:RDX457636 QUB457571:QUB457636 QKF457571:QKF457636 QAJ457571:QAJ457636 PQN457571:PQN457636 PGR457571:PGR457636 OWV457571:OWV457636 OMZ457571:OMZ457636 ODD457571:ODD457636 NTH457571:NTH457636 NJL457571:NJL457636 MZP457571:MZP457636 MPT457571:MPT457636 MFX457571:MFX457636 LWB457571:LWB457636 LMF457571:LMF457636 LCJ457571:LCJ457636 KSN457571:KSN457636 KIR457571:KIR457636 JYV457571:JYV457636 JOZ457571:JOZ457636 JFD457571:JFD457636 IVH457571:IVH457636 ILL457571:ILL457636 IBP457571:IBP457636 HRT457571:HRT457636 HHX457571:HHX457636 GYB457571:GYB457636 GOF457571:GOF457636 GEJ457571:GEJ457636 FUN457571:FUN457636 FKR457571:FKR457636 FAV457571:FAV457636 EQZ457571:EQZ457636 EHD457571:EHD457636 DXH457571:DXH457636 DNL457571:DNL457636 DDP457571:DDP457636 CTT457571:CTT457636 CJX457571:CJX457636 CAB457571:CAB457636 BQF457571:BQF457636 BGJ457571:BGJ457636 AWN457571:AWN457636 AMR457571:AMR457636 ACV457571:ACV457636 SZ457571:SZ457636 JD457571:JD457636 H457571:H457636 WVP392035:WVP392100 WLT392035:WLT392100 WBX392035:WBX392100 VSB392035:VSB392100 VIF392035:VIF392100 UYJ392035:UYJ392100 UON392035:UON392100 UER392035:UER392100 TUV392035:TUV392100 TKZ392035:TKZ392100 TBD392035:TBD392100 SRH392035:SRH392100 SHL392035:SHL392100 RXP392035:RXP392100 RNT392035:RNT392100 RDX392035:RDX392100 QUB392035:QUB392100 QKF392035:QKF392100 QAJ392035:QAJ392100 PQN392035:PQN392100 PGR392035:PGR392100 OWV392035:OWV392100 OMZ392035:OMZ392100 ODD392035:ODD392100 NTH392035:NTH392100 NJL392035:NJL392100 MZP392035:MZP392100 MPT392035:MPT392100 MFX392035:MFX392100 LWB392035:LWB392100 LMF392035:LMF392100 LCJ392035:LCJ392100 KSN392035:KSN392100 KIR392035:KIR392100 JYV392035:JYV392100 JOZ392035:JOZ392100 JFD392035:JFD392100 IVH392035:IVH392100 ILL392035:ILL392100 IBP392035:IBP392100 HRT392035:HRT392100 HHX392035:HHX392100 GYB392035:GYB392100 GOF392035:GOF392100 GEJ392035:GEJ392100 FUN392035:FUN392100 FKR392035:FKR392100 FAV392035:FAV392100 EQZ392035:EQZ392100 EHD392035:EHD392100 DXH392035:DXH392100 DNL392035:DNL392100 DDP392035:DDP392100 CTT392035:CTT392100 CJX392035:CJX392100 CAB392035:CAB392100 BQF392035:BQF392100 BGJ392035:BGJ392100 AWN392035:AWN392100 AMR392035:AMR392100 ACV392035:ACV392100 SZ392035:SZ392100 JD392035:JD392100 H392035:H392100 WVP326499:WVP326564 WLT326499:WLT326564 WBX326499:WBX326564 VSB326499:VSB326564 VIF326499:VIF326564 UYJ326499:UYJ326564 UON326499:UON326564 UER326499:UER326564 TUV326499:TUV326564 TKZ326499:TKZ326564 TBD326499:TBD326564 SRH326499:SRH326564 SHL326499:SHL326564 RXP326499:RXP326564 RNT326499:RNT326564 RDX326499:RDX326564 QUB326499:QUB326564 QKF326499:QKF326564 QAJ326499:QAJ326564 PQN326499:PQN326564 PGR326499:PGR326564 OWV326499:OWV326564 OMZ326499:OMZ326564 ODD326499:ODD326564 NTH326499:NTH326564 NJL326499:NJL326564 MZP326499:MZP326564 MPT326499:MPT326564 MFX326499:MFX326564 LWB326499:LWB326564 LMF326499:LMF326564 LCJ326499:LCJ326564 KSN326499:KSN326564 KIR326499:KIR326564 JYV326499:JYV326564 JOZ326499:JOZ326564 JFD326499:JFD326564 IVH326499:IVH326564 ILL326499:ILL326564 IBP326499:IBP326564 HRT326499:HRT326564 HHX326499:HHX326564 GYB326499:GYB326564 GOF326499:GOF326564 GEJ326499:GEJ326564 FUN326499:FUN326564 FKR326499:FKR326564 FAV326499:FAV326564 EQZ326499:EQZ326564 EHD326499:EHD326564 DXH326499:DXH326564 DNL326499:DNL326564 DDP326499:DDP326564 CTT326499:CTT326564 CJX326499:CJX326564 CAB326499:CAB326564 BQF326499:BQF326564 BGJ326499:BGJ326564 AWN326499:AWN326564 AMR326499:AMR326564 ACV326499:ACV326564 SZ326499:SZ326564 JD326499:JD326564 H326499:H326564 WVP260963:WVP261028 WLT260963:WLT261028 WBX260963:WBX261028 VSB260963:VSB261028 VIF260963:VIF261028 UYJ260963:UYJ261028 UON260963:UON261028 UER260963:UER261028 TUV260963:TUV261028 TKZ260963:TKZ261028 TBD260963:TBD261028 SRH260963:SRH261028 SHL260963:SHL261028 RXP260963:RXP261028 RNT260963:RNT261028 RDX260963:RDX261028 QUB260963:QUB261028 QKF260963:QKF261028 QAJ260963:QAJ261028 PQN260963:PQN261028 PGR260963:PGR261028 OWV260963:OWV261028 OMZ260963:OMZ261028 ODD260963:ODD261028 NTH260963:NTH261028 NJL260963:NJL261028 MZP260963:MZP261028 MPT260963:MPT261028 MFX260963:MFX261028 LWB260963:LWB261028 LMF260963:LMF261028 LCJ260963:LCJ261028 KSN260963:KSN261028 KIR260963:KIR261028 JYV260963:JYV261028 JOZ260963:JOZ261028 JFD260963:JFD261028 IVH260963:IVH261028 ILL260963:ILL261028 IBP260963:IBP261028 HRT260963:HRT261028 HHX260963:HHX261028 GYB260963:GYB261028 GOF260963:GOF261028 GEJ260963:GEJ261028 FUN260963:FUN261028 FKR260963:FKR261028 FAV260963:FAV261028 EQZ260963:EQZ261028 EHD260963:EHD261028 DXH260963:DXH261028 DNL260963:DNL261028 DDP260963:DDP261028 CTT260963:CTT261028 CJX260963:CJX261028 CAB260963:CAB261028 BQF260963:BQF261028 BGJ260963:BGJ261028 AWN260963:AWN261028 AMR260963:AMR261028 ACV260963:ACV261028 SZ260963:SZ261028 JD260963:JD261028 H260963:H261028 WVP195427:WVP195492 WLT195427:WLT195492 WBX195427:WBX195492 VSB195427:VSB195492 VIF195427:VIF195492 UYJ195427:UYJ195492 UON195427:UON195492 UER195427:UER195492 TUV195427:TUV195492 TKZ195427:TKZ195492 TBD195427:TBD195492 SRH195427:SRH195492 SHL195427:SHL195492 RXP195427:RXP195492 RNT195427:RNT195492 RDX195427:RDX195492 QUB195427:QUB195492 QKF195427:QKF195492 QAJ195427:QAJ195492 PQN195427:PQN195492 PGR195427:PGR195492 OWV195427:OWV195492 OMZ195427:OMZ195492 ODD195427:ODD195492 NTH195427:NTH195492 NJL195427:NJL195492 MZP195427:MZP195492 MPT195427:MPT195492 MFX195427:MFX195492 LWB195427:LWB195492 LMF195427:LMF195492 LCJ195427:LCJ195492 KSN195427:KSN195492 KIR195427:KIR195492 JYV195427:JYV195492 JOZ195427:JOZ195492 JFD195427:JFD195492 IVH195427:IVH195492 ILL195427:ILL195492 IBP195427:IBP195492 HRT195427:HRT195492 HHX195427:HHX195492 GYB195427:GYB195492 GOF195427:GOF195492 GEJ195427:GEJ195492 FUN195427:FUN195492 FKR195427:FKR195492 FAV195427:FAV195492 EQZ195427:EQZ195492 EHD195427:EHD195492 DXH195427:DXH195492 DNL195427:DNL195492 DDP195427:DDP195492 CTT195427:CTT195492 CJX195427:CJX195492 CAB195427:CAB195492 BQF195427:BQF195492 BGJ195427:BGJ195492 AWN195427:AWN195492 AMR195427:AMR195492 ACV195427:ACV195492 SZ195427:SZ195492 JD195427:JD195492 H195427:H195492 WVP129891:WVP129956 WLT129891:WLT129956 WBX129891:WBX129956 VSB129891:VSB129956 VIF129891:VIF129956 UYJ129891:UYJ129956 UON129891:UON129956 UER129891:UER129956 TUV129891:TUV129956 TKZ129891:TKZ129956 TBD129891:TBD129956 SRH129891:SRH129956 SHL129891:SHL129956 RXP129891:RXP129956 RNT129891:RNT129956 RDX129891:RDX129956 QUB129891:QUB129956 QKF129891:QKF129956 QAJ129891:QAJ129956 PQN129891:PQN129956 PGR129891:PGR129956 OWV129891:OWV129956 OMZ129891:OMZ129956 ODD129891:ODD129956 NTH129891:NTH129956 NJL129891:NJL129956 MZP129891:MZP129956 MPT129891:MPT129956 MFX129891:MFX129956 LWB129891:LWB129956 LMF129891:LMF129956 LCJ129891:LCJ129956 KSN129891:KSN129956 KIR129891:KIR129956 JYV129891:JYV129956 JOZ129891:JOZ129956 JFD129891:JFD129956 IVH129891:IVH129956 ILL129891:ILL129956 IBP129891:IBP129956 HRT129891:HRT129956 HHX129891:HHX129956 GYB129891:GYB129956 GOF129891:GOF129956 GEJ129891:GEJ129956 FUN129891:FUN129956 FKR129891:FKR129956 FAV129891:FAV129956 EQZ129891:EQZ129956 EHD129891:EHD129956 DXH129891:DXH129956 DNL129891:DNL129956 DDP129891:DDP129956 CTT129891:CTT129956 CJX129891:CJX129956 CAB129891:CAB129956 BQF129891:BQF129956 BGJ129891:BGJ129956 AWN129891:AWN129956 AMR129891:AMR129956 ACV129891:ACV129956 SZ129891:SZ129956 JD129891:JD129956 H129891:H129956 WVP64355:WVP64420 WLT64355:WLT64420 WBX64355:WBX64420 VSB64355:VSB64420 VIF64355:VIF64420 UYJ64355:UYJ64420 UON64355:UON64420 UER64355:UER64420 TUV64355:TUV64420 TKZ64355:TKZ64420 TBD64355:TBD64420 SRH64355:SRH64420 SHL64355:SHL64420 RXP64355:RXP64420 RNT64355:RNT64420 RDX64355:RDX64420 QUB64355:QUB64420 QKF64355:QKF64420 QAJ64355:QAJ64420 PQN64355:PQN64420 PGR64355:PGR64420 OWV64355:OWV64420 OMZ64355:OMZ64420 ODD64355:ODD64420 NTH64355:NTH64420 NJL64355:NJL64420 MZP64355:MZP64420 MPT64355:MPT64420 MFX64355:MFX64420 LWB64355:LWB64420 LMF64355:LMF64420 LCJ64355:LCJ64420 KSN64355:KSN64420 KIR64355:KIR64420 JYV64355:JYV64420 JOZ64355:JOZ64420 JFD64355:JFD64420 IVH64355:IVH64420 ILL64355:ILL64420 IBP64355:IBP64420 HRT64355:HRT64420 HHX64355:HHX64420 GYB64355:GYB64420 GOF64355:GOF64420 GEJ64355:GEJ64420 FUN64355:FUN64420 FKR64355:FKR64420 FAV64355:FAV64420 EQZ64355:EQZ64420 EHD64355:EHD64420 DXH64355:DXH64420 DNL64355:DNL64420 DDP64355:DDP64420 CTT64355:CTT64420 CJX64355:CJX64420 CAB64355:CAB64420 BQF64355:BQF64420 BGJ64355:BGJ64420 AWN64355:AWN64420 AMR64355:AMR64420 ACV64355:ACV64420 SZ64355:SZ64420 JD64355:JD64420">
      <formula1>$AL$5:$AL$12</formula1>
    </dataValidation>
    <dataValidation type="list" allowBlank="1" showInputMessage="1" showErrorMessage="1" sqref="E64355:F64420 WVM2:WVN65 WLQ2:WLR65 WBU2:WBV65 VRY2:VRZ65 VIC2:VID65 UYG2:UYH65 UOK2:UOL65 UEO2:UEP65 TUS2:TUT65 TKW2:TKX65 TBA2:TBB65 SRE2:SRF65 SHI2:SHJ65 RXM2:RXN65 RNQ2:RNR65 RDU2:RDV65 QTY2:QTZ65 QKC2:QKD65 QAG2:QAH65 PQK2:PQL65 PGO2:PGP65 OWS2:OWT65 OMW2:OMX65 ODA2:ODB65 NTE2:NTF65 NJI2:NJJ65 MZM2:MZN65 MPQ2:MPR65 MFU2:MFV65 LVY2:LVZ65 LMC2:LMD65 LCG2:LCH65 KSK2:KSL65 KIO2:KIP65 JYS2:JYT65 JOW2:JOX65 JFA2:JFB65 IVE2:IVF65 ILI2:ILJ65 IBM2:IBN65 HRQ2:HRR65 HHU2:HHV65 GXY2:GXZ65 GOC2:GOD65 GEG2:GEH65 FUK2:FUL65 FKO2:FKP65 FAS2:FAT65 EQW2:EQX65 EHA2:EHB65 DXE2:DXF65 DNI2:DNJ65 DDM2:DDN65 CTQ2:CTR65 CJU2:CJV65 BZY2:BZZ65 BQC2:BQD65 BGG2:BGH65 AWK2:AWL65 AMO2:AMP65 ACS2:ACT65 SW2:SX65 JA2:JB65 SW64355:SX64420 ACS64355:ACT64420 AMO64355:AMP64420 AWK64355:AWL64420 BGG64355:BGH64420 BQC64355:BQD64420 BZY64355:BZZ64420 CJU64355:CJV64420 CTQ64355:CTR64420 DDM64355:DDN64420 DNI64355:DNJ64420 DXE64355:DXF64420 EHA64355:EHB64420 EQW64355:EQX64420 FAS64355:FAT64420 FKO64355:FKP64420 FUK64355:FUL64420 GEG64355:GEH64420 GOC64355:GOD64420 GXY64355:GXZ64420 HHU64355:HHV64420 HRQ64355:HRR64420 IBM64355:IBN64420 ILI64355:ILJ64420 IVE64355:IVF64420 JFA64355:JFB64420 JOW64355:JOX64420 JYS64355:JYT64420 KIO64355:KIP64420 KSK64355:KSL64420 LCG64355:LCH64420 LMC64355:LMD64420 LVY64355:LVZ64420 MFU64355:MFV64420 MPQ64355:MPR64420 MZM64355:MZN64420 NJI64355:NJJ64420 NTE64355:NTF64420 ODA64355:ODB64420 OMW64355:OMX64420 OWS64355:OWT64420 PGO64355:PGP64420 PQK64355:PQL64420 QAG64355:QAH64420 QKC64355:QKD64420 QTY64355:QTZ64420 RDU64355:RDV64420 RNQ64355:RNR64420 RXM64355:RXN64420 SHI64355:SHJ64420 SRE64355:SRF64420 TBA64355:TBB64420 TKW64355:TKX64420 TUS64355:TUT64420 UEO64355:UEP64420 UOK64355:UOL64420 UYG64355:UYH64420 VIC64355:VID64420 VRY64355:VRZ64420 WBU64355:WBV64420 WLQ64355:WLR64420 WVM64355:WVN64420 E129891:F129956 JA129891:JB129956 SW129891:SX129956 ACS129891:ACT129956 AMO129891:AMP129956 AWK129891:AWL129956 BGG129891:BGH129956 BQC129891:BQD129956 BZY129891:BZZ129956 CJU129891:CJV129956 CTQ129891:CTR129956 DDM129891:DDN129956 DNI129891:DNJ129956 DXE129891:DXF129956 EHA129891:EHB129956 EQW129891:EQX129956 FAS129891:FAT129956 FKO129891:FKP129956 FUK129891:FUL129956 GEG129891:GEH129956 GOC129891:GOD129956 GXY129891:GXZ129956 HHU129891:HHV129956 HRQ129891:HRR129956 IBM129891:IBN129956 ILI129891:ILJ129956 IVE129891:IVF129956 JFA129891:JFB129956 JOW129891:JOX129956 JYS129891:JYT129956 KIO129891:KIP129956 KSK129891:KSL129956 LCG129891:LCH129956 LMC129891:LMD129956 LVY129891:LVZ129956 MFU129891:MFV129956 MPQ129891:MPR129956 MZM129891:MZN129956 NJI129891:NJJ129956 NTE129891:NTF129956 ODA129891:ODB129956 OMW129891:OMX129956 OWS129891:OWT129956 PGO129891:PGP129956 PQK129891:PQL129956 QAG129891:QAH129956 QKC129891:QKD129956 QTY129891:QTZ129956 RDU129891:RDV129956 RNQ129891:RNR129956 RXM129891:RXN129956 SHI129891:SHJ129956 SRE129891:SRF129956 TBA129891:TBB129956 TKW129891:TKX129956 TUS129891:TUT129956 UEO129891:UEP129956 UOK129891:UOL129956 UYG129891:UYH129956 VIC129891:VID129956 VRY129891:VRZ129956 WBU129891:WBV129956 WLQ129891:WLR129956 WVM129891:WVN129956 E195427:F195492 JA195427:JB195492 SW195427:SX195492 ACS195427:ACT195492 AMO195427:AMP195492 AWK195427:AWL195492 BGG195427:BGH195492 BQC195427:BQD195492 BZY195427:BZZ195492 CJU195427:CJV195492 CTQ195427:CTR195492 DDM195427:DDN195492 DNI195427:DNJ195492 DXE195427:DXF195492 EHA195427:EHB195492 EQW195427:EQX195492 FAS195427:FAT195492 FKO195427:FKP195492 FUK195427:FUL195492 GEG195427:GEH195492 GOC195427:GOD195492 GXY195427:GXZ195492 HHU195427:HHV195492 HRQ195427:HRR195492 IBM195427:IBN195492 ILI195427:ILJ195492 IVE195427:IVF195492 JFA195427:JFB195492 JOW195427:JOX195492 JYS195427:JYT195492 KIO195427:KIP195492 KSK195427:KSL195492 LCG195427:LCH195492 LMC195427:LMD195492 LVY195427:LVZ195492 MFU195427:MFV195492 MPQ195427:MPR195492 MZM195427:MZN195492 NJI195427:NJJ195492 NTE195427:NTF195492 ODA195427:ODB195492 OMW195427:OMX195492 OWS195427:OWT195492 PGO195427:PGP195492 PQK195427:PQL195492 QAG195427:QAH195492 QKC195427:QKD195492 QTY195427:QTZ195492 RDU195427:RDV195492 RNQ195427:RNR195492 RXM195427:RXN195492 SHI195427:SHJ195492 SRE195427:SRF195492 TBA195427:TBB195492 TKW195427:TKX195492 TUS195427:TUT195492 UEO195427:UEP195492 UOK195427:UOL195492 UYG195427:UYH195492 VIC195427:VID195492 VRY195427:VRZ195492 WBU195427:WBV195492 WLQ195427:WLR195492 WVM195427:WVN195492 E260963:F261028 JA260963:JB261028 SW260963:SX261028 ACS260963:ACT261028 AMO260963:AMP261028 AWK260963:AWL261028 BGG260963:BGH261028 BQC260963:BQD261028 BZY260963:BZZ261028 CJU260963:CJV261028 CTQ260963:CTR261028 DDM260963:DDN261028 DNI260963:DNJ261028 DXE260963:DXF261028 EHA260963:EHB261028 EQW260963:EQX261028 FAS260963:FAT261028 FKO260963:FKP261028 FUK260963:FUL261028 GEG260963:GEH261028 GOC260963:GOD261028 GXY260963:GXZ261028 HHU260963:HHV261028 HRQ260963:HRR261028 IBM260963:IBN261028 ILI260963:ILJ261028 IVE260963:IVF261028 JFA260963:JFB261028 JOW260963:JOX261028 JYS260963:JYT261028 KIO260963:KIP261028 KSK260963:KSL261028 LCG260963:LCH261028 LMC260963:LMD261028 LVY260963:LVZ261028 MFU260963:MFV261028 MPQ260963:MPR261028 MZM260963:MZN261028 NJI260963:NJJ261028 NTE260963:NTF261028 ODA260963:ODB261028 OMW260963:OMX261028 OWS260963:OWT261028 PGO260963:PGP261028 PQK260963:PQL261028 QAG260963:QAH261028 QKC260963:QKD261028 QTY260963:QTZ261028 RDU260963:RDV261028 RNQ260963:RNR261028 RXM260963:RXN261028 SHI260963:SHJ261028 SRE260963:SRF261028 TBA260963:TBB261028 TKW260963:TKX261028 TUS260963:TUT261028 UEO260963:UEP261028 UOK260963:UOL261028 UYG260963:UYH261028 VIC260963:VID261028 VRY260963:VRZ261028 WBU260963:WBV261028 WLQ260963:WLR261028 WVM260963:WVN261028 E326499:F326564 JA326499:JB326564 SW326499:SX326564 ACS326499:ACT326564 AMO326499:AMP326564 AWK326499:AWL326564 BGG326499:BGH326564 BQC326499:BQD326564 BZY326499:BZZ326564 CJU326499:CJV326564 CTQ326499:CTR326564 DDM326499:DDN326564 DNI326499:DNJ326564 DXE326499:DXF326564 EHA326499:EHB326564 EQW326499:EQX326564 FAS326499:FAT326564 FKO326499:FKP326564 FUK326499:FUL326564 GEG326499:GEH326564 GOC326499:GOD326564 GXY326499:GXZ326564 HHU326499:HHV326564 HRQ326499:HRR326564 IBM326499:IBN326564 ILI326499:ILJ326564 IVE326499:IVF326564 JFA326499:JFB326564 JOW326499:JOX326564 JYS326499:JYT326564 KIO326499:KIP326564 KSK326499:KSL326564 LCG326499:LCH326564 LMC326499:LMD326564 LVY326499:LVZ326564 MFU326499:MFV326564 MPQ326499:MPR326564 MZM326499:MZN326564 NJI326499:NJJ326564 NTE326499:NTF326564 ODA326499:ODB326564 OMW326499:OMX326564 OWS326499:OWT326564 PGO326499:PGP326564 PQK326499:PQL326564 QAG326499:QAH326564 QKC326499:QKD326564 QTY326499:QTZ326564 RDU326499:RDV326564 RNQ326499:RNR326564 RXM326499:RXN326564 SHI326499:SHJ326564 SRE326499:SRF326564 TBA326499:TBB326564 TKW326499:TKX326564 TUS326499:TUT326564 UEO326499:UEP326564 UOK326499:UOL326564 UYG326499:UYH326564 VIC326499:VID326564 VRY326499:VRZ326564 WBU326499:WBV326564 WLQ326499:WLR326564 WVM326499:WVN326564 E392035:F392100 JA392035:JB392100 SW392035:SX392100 ACS392035:ACT392100 AMO392035:AMP392100 AWK392035:AWL392100 BGG392035:BGH392100 BQC392035:BQD392100 BZY392035:BZZ392100 CJU392035:CJV392100 CTQ392035:CTR392100 DDM392035:DDN392100 DNI392035:DNJ392100 DXE392035:DXF392100 EHA392035:EHB392100 EQW392035:EQX392100 FAS392035:FAT392100 FKO392035:FKP392100 FUK392035:FUL392100 GEG392035:GEH392100 GOC392035:GOD392100 GXY392035:GXZ392100 HHU392035:HHV392100 HRQ392035:HRR392100 IBM392035:IBN392100 ILI392035:ILJ392100 IVE392035:IVF392100 JFA392035:JFB392100 JOW392035:JOX392100 JYS392035:JYT392100 KIO392035:KIP392100 KSK392035:KSL392100 LCG392035:LCH392100 LMC392035:LMD392100 LVY392035:LVZ392100 MFU392035:MFV392100 MPQ392035:MPR392100 MZM392035:MZN392100 NJI392035:NJJ392100 NTE392035:NTF392100 ODA392035:ODB392100 OMW392035:OMX392100 OWS392035:OWT392100 PGO392035:PGP392100 PQK392035:PQL392100 QAG392035:QAH392100 QKC392035:QKD392100 QTY392035:QTZ392100 RDU392035:RDV392100 RNQ392035:RNR392100 RXM392035:RXN392100 SHI392035:SHJ392100 SRE392035:SRF392100 TBA392035:TBB392100 TKW392035:TKX392100 TUS392035:TUT392100 UEO392035:UEP392100 UOK392035:UOL392100 UYG392035:UYH392100 VIC392035:VID392100 VRY392035:VRZ392100 WBU392035:WBV392100 WLQ392035:WLR392100 WVM392035:WVN392100 E457571:F457636 JA457571:JB457636 SW457571:SX457636 ACS457571:ACT457636 AMO457571:AMP457636 AWK457571:AWL457636 BGG457571:BGH457636 BQC457571:BQD457636 BZY457571:BZZ457636 CJU457571:CJV457636 CTQ457571:CTR457636 DDM457571:DDN457636 DNI457571:DNJ457636 DXE457571:DXF457636 EHA457571:EHB457636 EQW457571:EQX457636 FAS457571:FAT457636 FKO457571:FKP457636 FUK457571:FUL457636 GEG457571:GEH457636 GOC457571:GOD457636 GXY457571:GXZ457636 HHU457571:HHV457636 HRQ457571:HRR457636 IBM457571:IBN457636 ILI457571:ILJ457636 IVE457571:IVF457636 JFA457571:JFB457636 JOW457571:JOX457636 JYS457571:JYT457636 KIO457571:KIP457636 KSK457571:KSL457636 LCG457571:LCH457636 LMC457571:LMD457636 LVY457571:LVZ457636 MFU457571:MFV457636 MPQ457571:MPR457636 MZM457571:MZN457636 NJI457571:NJJ457636 NTE457571:NTF457636 ODA457571:ODB457636 OMW457571:OMX457636 OWS457571:OWT457636 PGO457571:PGP457636 PQK457571:PQL457636 QAG457571:QAH457636 QKC457571:QKD457636 QTY457571:QTZ457636 RDU457571:RDV457636 RNQ457571:RNR457636 RXM457571:RXN457636 SHI457571:SHJ457636 SRE457571:SRF457636 TBA457571:TBB457636 TKW457571:TKX457636 TUS457571:TUT457636 UEO457571:UEP457636 UOK457571:UOL457636 UYG457571:UYH457636 VIC457571:VID457636 VRY457571:VRZ457636 WBU457571:WBV457636 WLQ457571:WLR457636 WVM457571:WVN457636 E523107:F523172 JA523107:JB523172 SW523107:SX523172 ACS523107:ACT523172 AMO523107:AMP523172 AWK523107:AWL523172 BGG523107:BGH523172 BQC523107:BQD523172 BZY523107:BZZ523172 CJU523107:CJV523172 CTQ523107:CTR523172 DDM523107:DDN523172 DNI523107:DNJ523172 DXE523107:DXF523172 EHA523107:EHB523172 EQW523107:EQX523172 FAS523107:FAT523172 FKO523107:FKP523172 FUK523107:FUL523172 GEG523107:GEH523172 GOC523107:GOD523172 GXY523107:GXZ523172 HHU523107:HHV523172 HRQ523107:HRR523172 IBM523107:IBN523172 ILI523107:ILJ523172 IVE523107:IVF523172 JFA523107:JFB523172 JOW523107:JOX523172 JYS523107:JYT523172 KIO523107:KIP523172 KSK523107:KSL523172 LCG523107:LCH523172 LMC523107:LMD523172 LVY523107:LVZ523172 MFU523107:MFV523172 MPQ523107:MPR523172 MZM523107:MZN523172 NJI523107:NJJ523172 NTE523107:NTF523172 ODA523107:ODB523172 OMW523107:OMX523172 OWS523107:OWT523172 PGO523107:PGP523172 PQK523107:PQL523172 QAG523107:QAH523172 QKC523107:QKD523172 QTY523107:QTZ523172 RDU523107:RDV523172 RNQ523107:RNR523172 RXM523107:RXN523172 SHI523107:SHJ523172 SRE523107:SRF523172 TBA523107:TBB523172 TKW523107:TKX523172 TUS523107:TUT523172 UEO523107:UEP523172 UOK523107:UOL523172 UYG523107:UYH523172 VIC523107:VID523172 VRY523107:VRZ523172 WBU523107:WBV523172 WLQ523107:WLR523172 WVM523107:WVN523172 E588643:F588708 JA588643:JB588708 SW588643:SX588708 ACS588643:ACT588708 AMO588643:AMP588708 AWK588643:AWL588708 BGG588643:BGH588708 BQC588643:BQD588708 BZY588643:BZZ588708 CJU588643:CJV588708 CTQ588643:CTR588708 DDM588643:DDN588708 DNI588643:DNJ588708 DXE588643:DXF588708 EHA588643:EHB588708 EQW588643:EQX588708 FAS588643:FAT588708 FKO588643:FKP588708 FUK588643:FUL588708 GEG588643:GEH588708 GOC588643:GOD588708 GXY588643:GXZ588708 HHU588643:HHV588708 HRQ588643:HRR588708 IBM588643:IBN588708 ILI588643:ILJ588708 IVE588643:IVF588708 JFA588643:JFB588708 JOW588643:JOX588708 JYS588643:JYT588708 KIO588643:KIP588708 KSK588643:KSL588708 LCG588643:LCH588708 LMC588643:LMD588708 LVY588643:LVZ588708 MFU588643:MFV588708 MPQ588643:MPR588708 MZM588643:MZN588708 NJI588643:NJJ588708 NTE588643:NTF588708 ODA588643:ODB588708 OMW588643:OMX588708 OWS588643:OWT588708 PGO588643:PGP588708 PQK588643:PQL588708 QAG588643:QAH588708 QKC588643:QKD588708 QTY588643:QTZ588708 RDU588643:RDV588708 RNQ588643:RNR588708 RXM588643:RXN588708 SHI588643:SHJ588708 SRE588643:SRF588708 TBA588643:TBB588708 TKW588643:TKX588708 TUS588643:TUT588708 UEO588643:UEP588708 UOK588643:UOL588708 UYG588643:UYH588708 VIC588643:VID588708 VRY588643:VRZ588708 WBU588643:WBV588708 WLQ588643:WLR588708 WVM588643:WVN588708 E654179:F654244 JA654179:JB654244 SW654179:SX654244 ACS654179:ACT654244 AMO654179:AMP654244 AWK654179:AWL654244 BGG654179:BGH654244 BQC654179:BQD654244 BZY654179:BZZ654244 CJU654179:CJV654244 CTQ654179:CTR654244 DDM654179:DDN654244 DNI654179:DNJ654244 DXE654179:DXF654244 EHA654179:EHB654244 EQW654179:EQX654244 FAS654179:FAT654244 FKO654179:FKP654244 FUK654179:FUL654244 GEG654179:GEH654244 GOC654179:GOD654244 GXY654179:GXZ654244 HHU654179:HHV654244 HRQ654179:HRR654244 IBM654179:IBN654244 ILI654179:ILJ654244 IVE654179:IVF654244 JFA654179:JFB654244 JOW654179:JOX654244 JYS654179:JYT654244 KIO654179:KIP654244 KSK654179:KSL654244 LCG654179:LCH654244 LMC654179:LMD654244 LVY654179:LVZ654244 MFU654179:MFV654244 MPQ654179:MPR654244 MZM654179:MZN654244 NJI654179:NJJ654244 NTE654179:NTF654244 ODA654179:ODB654244 OMW654179:OMX654244 OWS654179:OWT654244 PGO654179:PGP654244 PQK654179:PQL654244 QAG654179:QAH654244 QKC654179:QKD654244 QTY654179:QTZ654244 RDU654179:RDV654244 RNQ654179:RNR654244 RXM654179:RXN654244 SHI654179:SHJ654244 SRE654179:SRF654244 TBA654179:TBB654244 TKW654179:TKX654244 TUS654179:TUT654244 UEO654179:UEP654244 UOK654179:UOL654244 UYG654179:UYH654244 VIC654179:VID654244 VRY654179:VRZ654244 WBU654179:WBV654244 WLQ654179:WLR654244 WVM654179:WVN654244 E719715:F719780 JA719715:JB719780 SW719715:SX719780 ACS719715:ACT719780 AMO719715:AMP719780 AWK719715:AWL719780 BGG719715:BGH719780 BQC719715:BQD719780 BZY719715:BZZ719780 CJU719715:CJV719780 CTQ719715:CTR719780 DDM719715:DDN719780 DNI719715:DNJ719780 DXE719715:DXF719780 EHA719715:EHB719780 EQW719715:EQX719780 FAS719715:FAT719780 FKO719715:FKP719780 FUK719715:FUL719780 GEG719715:GEH719780 GOC719715:GOD719780 GXY719715:GXZ719780 HHU719715:HHV719780 HRQ719715:HRR719780 IBM719715:IBN719780 ILI719715:ILJ719780 IVE719715:IVF719780 JFA719715:JFB719780 JOW719715:JOX719780 JYS719715:JYT719780 KIO719715:KIP719780 KSK719715:KSL719780 LCG719715:LCH719780 LMC719715:LMD719780 LVY719715:LVZ719780 MFU719715:MFV719780 MPQ719715:MPR719780 MZM719715:MZN719780 NJI719715:NJJ719780 NTE719715:NTF719780 ODA719715:ODB719780 OMW719715:OMX719780 OWS719715:OWT719780 PGO719715:PGP719780 PQK719715:PQL719780 QAG719715:QAH719780 QKC719715:QKD719780 QTY719715:QTZ719780 RDU719715:RDV719780 RNQ719715:RNR719780 RXM719715:RXN719780 SHI719715:SHJ719780 SRE719715:SRF719780 TBA719715:TBB719780 TKW719715:TKX719780 TUS719715:TUT719780 UEO719715:UEP719780 UOK719715:UOL719780 UYG719715:UYH719780 VIC719715:VID719780 VRY719715:VRZ719780 WBU719715:WBV719780 WLQ719715:WLR719780 WVM719715:WVN719780 E785251:F785316 JA785251:JB785316 SW785251:SX785316 ACS785251:ACT785316 AMO785251:AMP785316 AWK785251:AWL785316 BGG785251:BGH785316 BQC785251:BQD785316 BZY785251:BZZ785316 CJU785251:CJV785316 CTQ785251:CTR785316 DDM785251:DDN785316 DNI785251:DNJ785316 DXE785251:DXF785316 EHA785251:EHB785316 EQW785251:EQX785316 FAS785251:FAT785316 FKO785251:FKP785316 FUK785251:FUL785316 GEG785251:GEH785316 GOC785251:GOD785316 GXY785251:GXZ785316 HHU785251:HHV785316 HRQ785251:HRR785316 IBM785251:IBN785316 ILI785251:ILJ785316 IVE785251:IVF785316 JFA785251:JFB785316 JOW785251:JOX785316 JYS785251:JYT785316 KIO785251:KIP785316 KSK785251:KSL785316 LCG785251:LCH785316 LMC785251:LMD785316 LVY785251:LVZ785316 MFU785251:MFV785316 MPQ785251:MPR785316 MZM785251:MZN785316 NJI785251:NJJ785316 NTE785251:NTF785316 ODA785251:ODB785316 OMW785251:OMX785316 OWS785251:OWT785316 PGO785251:PGP785316 PQK785251:PQL785316 QAG785251:QAH785316 QKC785251:QKD785316 QTY785251:QTZ785316 RDU785251:RDV785316 RNQ785251:RNR785316 RXM785251:RXN785316 SHI785251:SHJ785316 SRE785251:SRF785316 TBA785251:TBB785316 TKW785251:TKX785316 TUS785251:TUT785316 UEO785251:UEP785316 UOK785251:UOL785316 UYG785251:UYH785316 VIC785251:VID785316 VRY785251:VRZ785316 WBU785251:WBV785316 WLQ785251:WLR785316 WVM785251:WVN785316 E850787:F850852 JA850787:JB850852 SW850787:SX850852 ACS850787:ACT850852 AMO850787:AMP850852 AWK850787:AWL850852 BGG850787:BGH850852 BQC850787:BQD850852 BZY850787:BZZ850852 CJU850787:CJV850852 CTQ850787:CTR850852 DDM850787:DDN850852 DNI850787:DNJ850852 DXE850787:DXF850852 EHA850787:EHB850852 EQW850787:EQX850852 FAS850787:FAT850852 FKO850787:FKP850852 FUK850787:FUL850852 GEG850787:GEH850852 GOC850787:GOD850852 GXY850787:GXZ850852 HHU850787:HHV850852 HRQ850787:HRR850852 IBM850787:IBN850852 ILI850787:ILJ850852 IVE850787:IVF850852 JFA850787:JFB850852 JOW850787:JOX850852 JYS850787:JYT850852 KIO850787:KIP850852 KSK850787:KSL850852 LCG850787:LCH850852 LMC850787:LMD850852 LVY850787:LVZ850852 MFU850787:MFV850852 MPQ850787:MPR850852 MZM850787:MZN850852 NJI850787:NJJ850852 NTE850787:NTF850852 ODA850787:ODB850852 OMW850787:OMX850852 OWS850787:OWT850852 PGO850787:PGP850852 PQK850787:PQL850852 QAG850787:QAH850852 QKC850787:QKD850852 QTY850787:QTZ850852 RDU850787:RDV850852 RNQ850787:RNR850852 RXM850787:RXN850852 SHI850787:SHJ850852 SRE850787:SRF850852 TBA850787:TBB850852 TKW850787:TKX850852 TUS850787:TUT850852 UEO850787:UEP850852 UOK850787:UOL850852 UYG850787:UYH850852 VIC850787:VID850852 VRY850787:VRZ850852 WBU850787:WBV850852 WLQ850787:WLR850852 WVM850787:WVN850852 E916323:F916388 JA916323:JB916388 SW916323:SX916388 ACS916323:ACT916388 AMO916323:AMP916388 AWK916323:AWL916388 BGG916323:BGH916388 BQC916323:BQD916388 BZY916323:BZZ916388 CJU916323:CJV916388 CTQ916323:CTR916388 DDM916323:DDN916388 DNI916323:DNJ916388 DXE916323:DXF916388 EHA916323:EHB916388 EQW916323:EQX916388 FAS916323:FAT916388 FKO916323:FKP916388 FUK916323:FUL916388 GEG916323:GEH916388 GOC916323:GOD916388 GXY916323:GXZ916388 HHU916323:HHV916388 HRQ916323:HRR916388 IBM916323:IBN916388 ILI916323:ILJ916388 IVE916323:IVF916388 JFA916323:JFB916388 JOW916323:JOX916388 JYS916323:JYT916388 KIO916323:KIP916388 KSK916323:KSL916388 LCG916323:LCH916388 LMC916323:LMD916388 LVY916323:LVZ916388 MFU916323:MFV916388 MPQ916323:MPR916388 MZM916323:MZN916388 NJI916323:NJJ916388 NTE916323:NTF916388 ODA916323:ODB916388 OMW916323:OMX916388 OWS916323:OWT916388 PGO916323:PGP916388 PQK916323:PQL916388 QAG916323:QAH916388 QKC916323:QKD916388 QTY916323:QTZ916388 RDU916323:RDV916388 RNQ916323:RNR916388 RXM916323:RXN916388 SHI916323:SHJ916388 SRE916323:SRF916388 TBA916323:TBB916388 TKW916323:TKX916388 TUS916323:TUT916388 UEO916323:UEP916388 UOK916323:UOL916388 UYG916323:UYH916388 VIC916323:VID916388 VRY916323:VRZ916388 WBU916323:WBV916388 WLQ916323:WLR916388 WVM916323:WVN916388 E981859:F981924 JA981859:JB981924 SW981859:SX981924 ACS981859:ACT981924 AMO981859:AMP981924 AWK981859:AWL981924 BGG981859:BGH981924 BQC981859:BQD981924 BZY981859:BZZ981924 CJU981859:CJV981924 CTQ981859:CTR981924 DDM981859:DDN981924 DNI981859:DNJ981924 DXE981859:DXF981924 EHA981859:EHB981924 EQW981859:EQX981924 FAS981859:FAT981924 FKO981859:FKP981924 FUK981859:FUL981924 GEG981859:GEH981924 GOC981859:GOD981924 GXY981859:GXZ981924 HHU981859:HHV981924 HRQ981859:HRR981924 IBM981859:IBN981924 ILI981859:ILJ981924 IVE981859:IVF981924 JFA981859:JFB981924 JOW981859:JOX981924 JYS981859:JYT981924 KIO981859:KIP981924 KSK981859:KSL981924 LCG981859:LCH981924 LMC981859:LMD981924 LVY981859:LVZ981924 MFU981859:MFV981924 MPQ981859:MPR981924 MZM981859:MZN981924 NJI981859:NJJ981924 NTE981859:NTF981924 ODA981859:ODB981924 OMW981859:OMX981924 OWS981859:OWT981924 PGO981859:PGP981924 PQK981859:PQL981924 QAG981859:QAH981924 QKC981859:QKD981924 QTY981859:QTZ981924 RDU981859:RDV981924 RNQ981859:RNR981924 RXM981859:RXN981924 SHI981859:SHJ981924 SRE981859:SRF981924 TBA981859:TBB981924 TKW981859:TKX981924 TUS981859:TUT981924 UEO981859:UEP981924 UOK981859:UOL981924 UYG981859:UYH981924 VIC981859:VID981924 VRY981859:VRZ981924 WBU981859:WBV981924 WLQ981859:WLR981924 WVM981859:WVN981924 E1047395:F1047460 JA1047395:JB1047460 SW1047395:SX1047460 ACS1047395:ACT1047460 AMO1047395:AMP1047460 AWK1047395:AWL1047460 BGG1047395:BGH1047460 BQC1047395:BQD1047460 BZY1047395:BZZ1047460 CJU1047395:CJV1047460 CTQ1047395:CTR1047460 DDM1047395:DDN1047460 DNI1047395:DNJ1047460 DXE1047395:DXF1047460 EHA1047395:EHB1047460 EQW1047395:EQX1047460 FAS1047395:FAT1047460 FKO1047395:FKP1047460 FUK1047395:FUL1047460 GEG1047395:GEH1047460 GOC1047395:GOD1047460 GXY1047395:GXZ1047460 HHU1047395:HHV1047460 HRQ1047395:HRR1047460 IBM1047395:IBN1047460 ILI1047395:ILJ1047460 IVE1047395:IVF1047460 JFA1047395:JFB1047460 JOW1047395:JOX1047460 JYS1047395:JYT1047460 KIO1047395:KIP1047460 KSK1047395:KSL1047460 LCG1047395:LCH1047460 LMC1047395:LMD1047460 LVY1047395:LVZ1047460 MFU1047395:MFV1047460 MPQ1047395:MPR1047460 MZM1047395:MZN1047460 NJI1047395:NJJ1047460 NTE1047395:NTF1047460 ODA1047395:ODB1047460 OMW1047395:OMX1047460 OWS1047395:OWT1047460 PGO1047395:PGP1047460 PQK1047395:PQL1047460 QAG1047395:QAH1047460 QKC1047395:QKD1047460 QTY1047395:QTZ1047460 RDU1047395:RDV1047460 RNQ1047395:RNR1047460 RXM1047395:RXN1047460 SHI1047395:SHJ1047460 SRE1047395:SRF1047460 TBA1047395:TBB1047460 TKW1047395:TKX1047460 TUS1047395:TUT1047460 UEO1047395:UEP1047460 UOK1047395:UOL1047460 UYG1047395:UYH1047460 VIC1047395:VID1047460 VRY1047395:VRZ1047460 WBU1047395:WBV1047460 WLQ1047395:WLR1047460 WVM1047395:WVN1047460 JA64355:JB64420 E65530:F65601 JA65530:JB65601 SW65530:SX65601 ACS65530:ACT65601 AMO65530:AMP65601 AWK65530:AWL65601 BGG65530:BGH65601 BQC65530:BQD65601 BZY65530:BZZ65601 CJU65530:CJV65601 CTQ65530:CTR65601 DDM65530:DDN65601 DNI65530:DNJ65601 DXE65530:DXF65601 EHA65530:EHB65601 EQW65530:EQX65601 FAS65530:FAT65601 FKO65530:FKP65601 FUK65530:FUL65601 GEG65530:GEH65601 GOC65530:GOD65601 GXY65530:GXZ65601 HHU65530:HHV65601 HRQ65530:HRR65601 IBM65530:IBN65601 ILI65530:ILJ65601 IVE65530:IVF65601 JFA65530:JFB65601 JOW65530:JOX65601 JYS65530:JYT65601 KIO65530:KIP65601 KSK65530:KSL65601 LCG65530:LCH65601 LMC65530:LMD65601 LVY65530:LVZ65601 MFU65530:MFV65601 MPQ65530:MPR65601 MZM65530:MZN65601 NJI65530:NJJ65601 NTE65530:NTF65601 ODA65530:ODB65601 OMW65530:OMX65601 OWS65530:OWT65601 PGO65530:PGP65601 PQK65530:PQL65601 QAG65530:QAH65601 QKC65530:QKD65601 QTY65530:QTZ65601 RDU65530:RDV65601 RNQ65530:RNR65601 RXM65530:RXN65601 SHI65530:SHJ65601 SRE65530:SRF65601 TBA65530:TBB65601 TKW65530:TKX65601 TUS65530:TUT65601 UEO65530:UEP65601 UOK65530:UOL65601 UYG65530:UYH65601 VIC65530:VID65601 VRY65530:VRZ65601 WBU65530:WBV65601 WLQ65530:WLR65601 WVM65530:WVN65601 E131066:F131137 JA131066:JB131137 SW131066:SX131137 ACS131066:ACT131137 AMO131066:AMP131137 AWK131066:AWL131137 BGG131066:BGH131137 BQC131066:BQD131137 BZY131066:BZZ131137 CJU131066:CJV131137 CTQ131066:CTR131137 DDM131066:DDN131137 DNI131066:DNJ131137 DXE131066:DXF131137 EHA131066:EHB131137 EQW131066:EQX131137 FAS131066:FAT131137 FKO131066:FKP131137 FUK131066:FUL131137 GEG131066:GEH131137 GOC131066:GOD131137 GXY131066:GXZ131137 HHU131066:HHV131137 HRQ131066:HRR131137 IBM131066:IBN131137 ILI131066:ILJ131137 IVE131066:IVF131137 JFA131066:JFB131137 JOW131066:JOX131137 JYS131066:JYT131137 KIO131066:KIP131137 KSK131066:KSL131137 LCG131066:LCH131137 LMC131066:LMD131137 LVY131066:LVZ131137 MFU131066:MFV131137 MPQ131066:MPR131137 MZM131066:MZN131137 NJI131066:NJJ131137 NTE131066:NTF131137 ODA131066:ODB131137 OMW131066:OMX131137 OWS131066:OWT131137 PGO131066:PGP131137 PQK131066:PQL131137 QAG131066:QAH131137 QKC131066:QKD131137 QTY131066:QTZ131137 RDU131066:RDV131137 RNQ131066:RNR131137 RXM131066:RXN131137 SHI131066:SHJ131137 SRE131066:SRF131137 TBA131066:TBB131137 TKW131066:TKX131137 TUS131066:TUT131137 UEO131066:UEP131137 UOK131066:UOL131137 UYG131066:UYH131137 VIC131066:VID131137 VRY131066:VRZ131137 WBU131066:WBV131137 WLQ131066:WLR131137 WVM131066:WVN131137 E196602:F196673 JA196602:JB196673 SW196602:SX196673 ACS196602:ACT196673 AMO196602:AMP196673 AWK196602:AWL196673 BGG196602:BGH196673 BQC196602:BQD196673 BZY196602:BZZ196673 CJU196602:CJV196673 CTQ196602:CTR196673 DDM196602:DDN196673 DNI196602:DNJ196673 DXE196602:DXF196673 EHA196602:EHB196673 EQW196602:EQX196673 FAS196602:FAT196673 FKO196602:FKP196673 FUK196602:FUL196673 GEG196602:GEH196673 GOC196602:GOD196673 GXY196602:GXZ196673 HHU196602:HHV196673 HRQ196602:HRR196673 IBM196602:IBN196673 ILI196602:ILJ196673 IVE196602:IVF196673 JFA196602:JFB196673 JOW196602:JOX196673 JYS196602:JYT196673 KIO196602:KIP196673 KSK196602:KSL196673 LCG196602:LCH196673 LMC196602:LMD196673 LVY196602:LVZ196673 MFU196602:MFV196673 MPQ196602:MPR196673 MZM196602:MZN196673 NJI196602:NJJ196673 NTE196602:NTF196673 ODA196602:ODB196673 OMW196602:OMX196673 OWS196602:OWT196673 PGO196602:PGP196673 PQK196602:PQL196673 QAG196602:QAH196673 QKC196602:QKD196673 QTY196602:QTZ196673 RDU196602:RDV196673 RNQ196602:RNR196673 RXM196602:RXN196673 SHI196602:SHJ196673 SRE196602:SRF196673 TBA196602:TBB196673 TKW196602:TKX196673 TUS196602:TUT196673 UEO196602:UEP196673 UOK196602:UOL196673 UYG196602:UYH196673 VIC196602:VID196673 VRY196602:VRZ196673 WBU196602:WBV196673 WLQ196602:WLR196673 WVM196602:WVN196673 E262138:F262209 JA262138:JB262209 SW262138:SX262209 ACS262138:ACT262209 AMO262138:AMP262209 AWK262138:AWL262209 BGG262138:BGH262209 BQC262138:BQD262209 BZY262138:BZZ262209 CJU262138:CJV262209 CTQ262138:CTR262209 DDM262138:DDN262209 DNI262138:DNJ262209 DXE262138:DXF262209 EHA262138:EHB262209 EQW262138:EQX262209 FAS262138:FAT262209 FKO262138:FKP262209 FUK262138:FUL262209 GEG262138:GEH262209 GOC262138:GOD262209 GXY262138:GXZ262209 HHU262138:HHV262209 HRQ262138:HRR262209 IBM262138:IBN262209 ILI262138:ILJ262209 IVE262138:IVF262209 JFA262138:JFB262209 JOW262138:JOX262209 JYS262138:JYT262209 KIO262138:KIP262209 KSK262138:KSL262209 LCG262138:LCH262209 LMC262138:LMD262209 LVY262138:LVZ262209 MFU262138:MFV262209 MPQ262138:MPR262209 MZM262138:MZN262209 NJI262138:NJJ262209 NTE262138:NTF262209 ODA262138:ODB262209 OMW262138:OMX262209 OWS262138:OWT262209 PGO262138:PGP262209 PQK262138:PQL262209 QAG262138:QAH262209 QKC262138:QKD262209 QTY262138:QTZ262209 RDU262138:RDV262209 RNQ262138:RNR262209 RXM262138:RXN262209 SHI262138:SHJ262209 SRE262138:SRF262209 TBA262138:TBB262209 TKW262138:TKX262209 TUS262138:TUT262209 UEO262138:UEP262209 UOK262138:UOL262209 UYG262138:UYH262209 VIC262138:VID262209 VRY262138:VRZ262209 WBU262138:WBV262209 WLQ262138:WLR262209 WVM262138:WVN262209 E327674:F327745 JA327674:JB327745 SW327674:SX327745 ACS327674:ACT327745 AMO327674:AMP327745 AWK327674:AWL327745 BGG327674:BGH327745 BQC327674:BQD327745 BZY327674:BZZ327745 CJU327674:CJV327745 CTQ327674:CTR327745 DDM327674:DDN327745 DNI327674:DNJ327745 DXE327674:DXF327745 EHA327674:EHB327745 EQW327674:EQX327745 FAS327674:FAT327745 FKO327674:FKP327745 FUK327674:FUL327745 GEG327674:GEH327745 GOC327674:GOD327745 GXY327674:GXZ327745 HHU327674:HHV327745 HRQ327674:HRR327745 IBM327674:IBN327745 ILI327674:ILJ327745 IVE327674:IVF327745 JFA327674:JFB327745 JOW327674:JOX327745 JYS327674:JYT327745 KIO327674:KIP327745 KSK327674:KSL327745 LCG327674:LCH327745 LMC327674:LMD327745 LVY327674:LVZ327745 MFU327674:MFV327745 MPQ327674:MPR327745 MZM327674:MZN327745 NJI327674:NJJ327745 NTE327674:NTF327745 ODA327674:ODB327745 OMW327674:OMX327745 OWS327674:OWT327745 PGO327674:PGP327745 PQK327674:PQL327745 QAG327674:QAH327745 QKC327674:QKD327745 QTY327674:QTZ327745 RDU327674:RDV327745 RNQ327674:RNR327745 RXM327674:RXN327745 SHI327674:SHJ327745 SRE327674:SRF327745 TBA327674:TBB327745 TKW327674:TKX327745 TUS327674:TUT327745 UEO327674:UEP327745 UOK327674:UOL327745 UYG327674:UYH327745 VIC327674:VID327745 VRY327674:VRZ327745 WBU327674:WBV327745 WLQ327674:WLR327745 WVM327674:WVN327745 E393210:F393281 JA393210:JB393281 SW393210:SX393281 ACS393210:ACT393281 AMO393210:AMP393281 AWK393210:AWL393281 BGG393210:BGH393281 BQC393210:BQD393281 BZY393210:BZZ393281 CJU393210:CJV393281 CTQ393210:CTR393281 DDM393210:DDN393281 DNI393210:DNJ393281 DXE393210:DXF393281 EHA393210:EHB393281 EQW393210:EQX393281 FAS393210:FAT393281 FKO393210:FKP393281 FUK393210:FUL393281 GEG393210:GEH393281 GOC393210:GOD393281 GXY393210:GXZ393281 HHU393210:HHV393281 HRQ393210:HRR393281 IBM393210:IBN393281 ILI393210:ILJ393281 IVE393210:IVF393281 JFA393210:JFB393281 JOW393210:JOX393281 JYS393210:JYT393281 KIO393210:KIP393281 KSK393210:KSL393281 LCG393210:LCH393281 LMC393210:LMD393281 LVY393210:LVZ393281 MFU393210:MFV393281 MPQ393210:MPR393281 MZM393210:MZN393281 NJI393210:NJJ393281 NTE393210:NTF393281 ODA393210:ODB393281 OMW393210:OMX393281 OWS393210:OWT393281 PGO393210:PGP393281 PQK393210:PQL393281 QAG393210:QAH393281 QKC393210:QKD393281 QTY393210:QTZ393281 RDU393210:RDV393281 RNQ393210:RNR393281 RXM393210:RXN393281 SHI393210:SHJ393281 SRE393210:SRF393281 TBA393210:TBB393281 TKW393210:TKX393281 TUS393210:TUT393281 UEO393210:UEP393281 UOK393210:UOL393281 UYG393210:UYH393281 VIC393210:VID393281 VRY393210:VRZ393281 WBU393210:WBV393281 WLQ393210:WLR393281 WVM393210:WVN393281 E458746:F458817 JA458746:JB458817 SW458746:SX458817 ACS458746:ACT458817 AMO458746:AMP458817 AWK458746:AWL458817 BGG458746:BGH458817 BQC458746:BQD458817 BZY458746:BZZ458817 CJU458746:CJV458817 CTQ458746:CTR458817 DDM458746:DDN458817 DNI458746:DNJ458817 DXE458746:DXF458817 EHA458746:EHB458817 EQW458746:EQX458817 FAS458746:FAT458817 FKO458746:FKP458817 FUK458746:FUL458817 GEG458746:GEH458817 GOC458746:GOD458817 GXY458746:GXZ458817 HHU458746:HHV458817 HRQ458746:HRR458817 IBM458746:IBN458817 ILI458746:ILJ458817 IVE458746:IVF458817 JFA458746:JFB458817 JOW458746:JOX458817 JYS458746:JYT458817 KIO458746:KIP458817 KSK458746:KSL458817 LCG458746:LCH458817 LMC458746:LMD458817 LVY458746:LVZ458817 MFU458746:MFV458817 MPQ458746:MPR458817 MZM458746:MZN458817 NJI458746:NJJ458817 NTE458746:NTF458817 ODA458746:ODB458817 OMW458746:OMX458817 OWS458746:OWT458817 PGO458746:PGP458817 PQK458746:PQL458817 QAG458746:QAH458817 QKC458746:QKD458817 QTY458746:QTZ458817 RDU458746:RDV458817 RNQ458746:RNR458817 RXM458746:RXN458817 SHI458746:SHJ458817 SRE458746:SRF458817 TBA458746:TBB458817 TKW458746:TKX458817 TUS458746:TUT458817 UEO458746:UEP458817 UOK458746:UOL458817 UYG458746:UYH458817 VIC458746:VID458817 VRY458746:VRZ458817 WBU458746:WBV458817 WLQ458746:WLR458817 WVM458746:WVN458817 E524282:F524353 JA524282:JB524353 SW524282:SX524353 ACS524282:ACT524353 AMO524282:AMP524353 AWK524282:AWL524353 BGG524282:BGH524353 BQC524282:BQD524353 BZY524282:BZZ524353 CJU524282:CJV524353 CTQ524282:CTR524353 DDM524282:DDN524353 DNI524282:DNJ524353 DXE524282:DXF524353 EHA524282:EHB524353 EQW524282:EQX524353 FAS524282:FAT524353 FKO524282:FKP524353 FUK524282:FUL524353 GEG524282:GEH524353 GOC524282:GOD524353 GXY524282:GXZ524353 HHU524282:HHV524353 HRQ524282:HRR524353 IBM524282:IBN524353 ILI524282:ILJ524353 IVE524282:IVF524353 JFA524282:JFB524353 JOW524282:JOX524353 JYS524282:JYT524353 KIO524282:KIP524353 KSK524282:KSL524353 LCG524282:LCH524353 LMC524282:LMD524353 LVY524282:LVZ524353 MFU524282:MFV524353 MPQ524282:MPR524353 MZM524282:MZN524353 NJI524282:NJJ524353 NTE524282:NTF524353 ODA524282:ODB524353 OMW524282:OMX524353 OWS524282:OWT524353 PGO524282:PGP524353 PQK524282:PQL524353 QAG524282:QAH524353 QKC524282:QKD524353 QTY524282:QTZ524353 RDU524282:RDV524353 RNQ524282:RNR524353 RXM524282:RXN524353 SHI524282:SHJ524353 SRE524282:SRF524353 TBA524282:TBB524353 TKW524282:TKX524353 TUS524282:TUT524353 UEO524282:UEP524353 UOK524282:UOL524353 UYG524282:UYH524353 VIC524282:VID524353 VRY524282:VRZ524353 WBU524282:WBV524353 WLQ524282:WLR524353 WVM524282:WVN524353 E589818:F589889 JA589818:JB589889 SW589818:SX589889 ACS589818:ACT589889 AMO589818:AMP589889 AWK589818:AWL589889 BGG589818:BGH589889 BQC589818:BQD589889 BZY589818:BZZ589889 CJU589818:CJV589889 CTQ589818:CTR589889 DDM589818:DDN589889 DNI589818:DNJ589889 DXE589818:DXF589889 EHA589818:EHB589889 EQW589818:EQX589889 FAS589818:FAT589889 FKO589818:FKP589889 FUK589818:FUL589889 GEG589818:GEH589889 GOC589818:GOD589889 GXY589818:GXZ589889 HHU589818:HHV589889 HRQ589818:HRR589889 IBM589818:IBN589889 ILI589818:ILJ589889 IVE589818:IVF589889 JFA589818:JFB589889 JOW589818:JOX589889 JYS589818:JYT589889 KIO589818:KIP589889 KSK589818:KSL589889 LCG589818:LCH589889 LMC589818:LMD589889 LVY589818:LVZ589889 MFU589818:MFV589889 MPQ589818:MPR589889 MZM589818:MZN589889 NJI589818:NJJ589889 NTE589818:NTF589889 ODA589818:ODB589889 OMW589818:OMX589889 OWS589818:OWT589889 PGO589818:PGP589889 PQK589818:PQL589889 QAG589818:QAH589889 QKC589818:QKD589889 QTY589818:QTZ589889 RDU589818:RDV589889 RNQ589818:RNR589889 RXM589818:RXN589889 SHI589818:SHJ589889 SRE589818:SRF589889 TBA589818:TBB589889 TKW589818:TKX589889 TUS589818:TUT589889 UEO589818:UEP589889 UOK589818:UOL589889 UYG589818:UYH589889 VIC589818:VID589889 VRY589818:VRZ589889 WBU589818:WBV589889 WLQ589818:WLR589889 WVM589818:WVN589889 E655354:F655425 JA655354:JB655425 SW655354:SX655425 ACS655354:ACT655425 AMO655354:AMP655425 AWK655354:AWL655425 BGG655354:BGH655425 BQC655354:BQD655425 BZY655354:BZZ655425 CJU655354:CJV655425 CTQ655354:CTR655425 DDM655354:DDN655425 DNI655354:DNJ655425 DXE655354:DXF655425 EHA655354:EHB655425 EQW655354:EQX655425 FAS655354:FAT655425 FKO655354:FKP655425 FUK655354:FUL655425 GEG655354:GEH655425 GOC655354:GOD655425 GXY655354:GXZ655425 HHU655354:HHV655425 HRQ655354:HRR655425 IBM655354:IBN655425 ILI655354:ILJ655425 IVE655354:IVF655425 JFA655354:JFB655425 JOW655354:JOX655425 JYS655354:JYT655425 KIO655354:KIP655425 KSK655354:KSL655425 LCG655354:LCH655425 LMC655354:LMD655425 LVY655354:LVZ655425 MFU655354:MFV655425 MPQ655354:MPR655425 MZM655354:MZN655425 NJI655354:NJJ655425 NTE655354:NTF655425 ODA655354:ODB655425 OMW655354:OMX655425 OWS655354:OWT655425 PGO655354:PGP655425 PQK655354:PQL655425 QAG655354:QAH655425 QKC655354:QKD655425 QTY655354:QTZ655425 RDU655354:RDV655425 RNQ655354:RNR655425 RXM655354:RXN655425 SHI655354:SHJ655425 SRE655354:SRF655425 TBA655354:TBB655425 TKW655354:TKX655425 TUS655354:TUT655425 UEO655354:UEP655425 UOK655354:UOL655425 UYG655354:UYH655425 VIC655354:VID655425 VRY655354:VRZ655425 WBU655354:WBV655425 WLQ655354:WLR655425 WVM655354:WVN655425 E720890:F720961 JA720890:JB720961 SW720890:SX720961 ACS720890:ACT720961 AMO720890:AMP720961 AWK720890:AWL720961 BGG720890:BGH720961 BQC720890:BQD720961 BZY720890:BZZ720961 CJU720890:CJV720961 CTQ720890:CTR720961 DDM720890:DDN720961 DNI720890:DNJ720961 DXE720890:DXF720961 EHA720890:EHB720961 EQW720890:EQX720961 FAS720890:FAT720961 FKO720890:FKP720961 FUK720890:FUL720961 GEG720890:GEH720961 GOC720890:GOD720961 GXY720890:GXZ720961 HHU720890:HHV720961 HRQ720890:HRR720961 IBM720890:IBN720961 ILI720890:ILJ720961 IVE720890:IVF720961 JFA720890:JFB720961 JOW720890:JOX720961 JYS720890:JYT720961 KIO720890:KIP720961 KSK720890:KSL720961 LCG720890:LCH720961 LMC720890:LMD720961 LVY720890:LVZ720961 MFU720890:MFV720961 MPQ720890:MPR720961 MZM720890:MZN720961 NJI720890:NJJ720961 NTE720890:NTF720961 ODA720890:ODB720961 OMW720890:OMX720961 OWS720890:OWT720961 PGO720890:PGP720961 PQK720890:PQL720961 QAG720890:QAH720961 QKC720890:QKD720961 QTY720890:QTZ720961 RDU720890:RDV720961 RNQ720890:RNR720961 RXM720890:RXN720961 SHI720890:SHJ720961 SRE720890:SRF720961 TBA720890:TBB720961 TKW720890:TKX720961 TUS720890:TUT720961 UEO720890:UEP720961 UOK720890:UOL720961 UYG720890:UYH720961 VIC720890:VID720961 VRY720890:VRZ720961 WBU720890:WBV720961 WLQ720890:WLR720961 WVM720890:WVN720961 E786426:F786497 JA786426:JB786497 SW786426:SX786497 ACS786426:ACT786497 AMO786426:AMP786497 AWK786426:AWL786497 BGG786426:BGH786497 BQC786426:BQD786497 BZY786426:BZZ786497 CJU786426:CJV786497 CTQ786426:CTR786497 DDM786426:DDN786497 DNI786426:DNJ786497 DXE786426:DXF786497 EHA786426:EHB786497 EQW786426:EQX786497 FAS786426:FAT786497 FKO786426:FKP786497 FUK786426:FUL786497 GEG786426:GEH786497 GOC786426:GOD786497 GXY786426:GXZ786497 HHU786426:HHV786497 HRQ786426:HRR786497 IBM786426:IBN786497 ILI786426:ILJ786497 IVE786426:IVF786497 JFA786426:JFB786497 JOW786426:JOX786497 JYS786426:JYT786497 KIO786426:KIP786497 KSK786426:KSL786497 LCG786426:LCH786497 LMC786426:LMD786497 LVY786426:LVZ786497 MFU786426:MFV786497 MPQ786426:MPR786497 MZM786426:MZN786497 NJI786426:NJJ786497 NTE786426:NTF786497 ODA786426:ODB786497 OMW786426:OMX786497 OWS786426:OWT786497 PGO786426:PGP786497 PQK786426:PQL786497 QAG786426:QAH786497 QKC786426:QKD786497 QTY786426:QTZ786497 RDU786426:RDV786497 RNQ786426:RNR786497 RXM786426:RXN786497 SHI786426:SHJ786497 SRE786426:SRF786497 TBA786426:TBB786497 TKW786426:TKX786497 TUS786426:TUT786497 UEO786426:UEP786497 UOK786426:UOL786497 UYG786426:UYH786497 VIC786426:VID786497 VRY786426:VRZ786497 WBU786426:WBV786497 WLQ786426:WLR786497 WVM786426:WVN786497 E851962:F852033 JA851962:JB852033 SW851962:SX852033 ACS851962:ACT852033 AMO851962:AMP852033 AWK851962:AWL852033 BGG851962:BGH852033 BQC851962:BQD852033 BZY851962:BZZ852033 CJU851962:CJV852033 CTQ851962:CTR852033 DDM851962:DDN852033 DNI851962:DNJ852033 DXE851962:DXF852033 EHA851962:EHB852033 EQW851962:EQX852033 FAS851962:FAT852033 FKO851962:FKP852033 FUK851962:FUL852033 GEG851962:GEH852033 GOC851962:GOD852033 GXY851962:GXZ852033 HHU851962:HHV852033 HRQ851962:HRR852033 IBM851962:IBN852033 ILI851962:ILJ852033 IVE851962:IVF852033 JFA851962:JFB852033 JOW851962:JOX852033 JYS851962:JYT852033 KIO851962:KIP852033 KSK851962:KSL852033 LCG851962:LCH852033 LMC851962:LMD852033 LVY851962:LVZ852033 MFU851962:MFV852033 MPQ851962:MPR852033 MZM851962:MZN852033 NJI851962:NJJ852033 NTE851962:NTF852033 ODA851962:ODB852033 OMW851962:OMX852033 OWS851962:OWT852033 PGO851962:PGP852033 PQK851962:PQL852033 QAG851962:QAH852033 QKC851962:QKD852033 QTY851962:QTZ852033 RDU851962:RDV852033 RNQ851962:RNR852033 RXM851962:RXN852033 SHI851962:SHJ852033 SRE851962:SRF852033 TBA851962:TBB852033 TKW851962:TKX852033 TUS851962:TUT852033 UEO851962:UEP852033 UOK851962:UOL852033 UYG851962:UYH852033 VIC851962:VID852033 VRY851962:VRZ852033 WBU851962:WBV852033 WLQ851962:WLR852033 WVM851962:WVN852033 E917498:F917569 JA917498:JB917569 SW917498:SX917569 ACS917498:ACT917569 AMO917498:AMP917569 AWK917498:AWL917569 BGG917498:BGH917569 BQC917498:BQD917569 BZY917498:BZZ917569 CJU917498:CJV917569 CTQ917498:CTR917569 DDM917498:DDN917569 DNI917498:DNJ917569 DXE917498:DXF917569 EHA917498:EHB917569 EQW917498:EQX917569 FAS917498:FAT917569 FKO917498:FKP917569 FUK917498:FUL917569 GEG917498:GEH917569 GOC917498:GOD917569 GXY917498:GXZ917569 HHU917498:HHV917569 HRQ917498:HRR917569 IBM917498:IBN917569 ILI917498:ILJ917569 IVE917498:IVF917569 JFA917498:JFB917569 JOW917498:JOX917569 JYS917498:JYT917569 KIO917498:KIP917569 KSK917498:KSL917569 LCG917498:LCH917569 LMC917498:LMD917569 LVY917498:LVZ917569 MFU917498:MFV917569 MPQ917498:MPR917569 MZM917498:MZN917569 NJI917498:NJJ917569 NTE917498:NTF917569 ODA917498:ODB917569 OMW917498:OMX917569 OWS917498:OWT917569 PGO917498:PGP917569 PQK917498:PQL917569 QAG917498:QAH917569 QKC917498:QKD917569 QTY917498:QTZ917569 RDU917498:RDV917569 RNQ917498:RNR917569 RXM917498:RXN917569 SHI917498:SHJ917569 SRE917498:SRF917569 TBA917498:TBB917569 TKW917498:TKX917569 TUS917498:TUT917569 UEO917498:UEP917569 UOK917498:UOL917569 UYG917498:UYH917569 VIC917498:VID917569 VRY917498:VRZ917569 WBU917498:WBV917569 WLQ917498:WLR917569 WVM917498:WVN917569 E983034:F983105 JA983034:JB983105 SW983034:SX983105 ACS983034:ACT983105 AMO983034:AMP983105 AWK983034:AWL983105 BGG983034:BGH983105 BQC983034:BQD983105 BZY983034:BZZ983105 CJU983034:CJV983105 CTQ983034:CTR983105 DDM983034:DDN983105 DNI983034:DNJ983105 DXE983034:DXF983105 EHA983034:EHB983105 EQW983034:EQX983105 FAS983034:FAT983105 FKO983034:FKP983105 FUK983034:FUL983105 GEG983034:GEH983105 GOC983034:GOD983105 GXY983034:GXZ983105 HHU983034:HHV983105 HRQ983034:HRR983105 IBM983034:IBN983105 ILI983034:ILJ983105 IVE983034:IVF983105 JFA983034:JFB983105 JOW983034:JOX983105 JYS983034:JYT983105 KIO983034:KIP983105 KSK983034:KSL983105 LCG983034:LCH983105 LMC983034:LMD983105 LVY983034:LVZ983105 MFU983034:MFV983105 MPQ983034:MPR983105 MZM983034:MZN983105 NJI983034:NJJ983105 NTE983034:NTF983105 ODA983034:ODB983105 OMW983034:OMX983105 OWS983034:OWT983105 PGO983034:PGP983105 PQK983034:PQL983105 QAG983034:QAH983105 QKC983034:QKD983105 QTY983034:QTZ983105 RDU983034:RDV983105 RNQ983034:RNR983105 RXM983034:RXN983105 SHI983034:SHJ983105 SRE983034:SRF983105 TBA983034:TBB983105 TKW983034:TKX983105 TUS983034:TUT983105 UEO983034:UEP983105 UOK983034:UOL983105 UYG983034:UYH983105 VIC983034:VID983105 VRY983034:VRZ983105 WBU983034:WBV983105 WLQ983034:WLR983105 WVM983034:WVN98310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85" zoomScaleNormal="85" zoomScaleSheetLayoutView="100" workbookViewId="0">
      <selection activeCell="J35" sqref="J35"/>
    </sheetView>
  </sheetViews>
  <sheetFormatPr defaultRowHeight="13.5" x14ac:dyDescent="0.15"/>
  <cols>
    <col min="1" max="3" width="9" style="208"/>
    <col min="4" max="4" width="10.5" style="208" bestFit="1" customWidth="1"/>
    <col min="5" max="16" width="9" style="208"/>
    <col min="17" max="17" width="9" style="217"/>
    <col min="18" max="19" width="9" style="208"/>
    <col min="20" max="20" width="9" style="217"/>
    <col min="21" max="21" width="9" style="208"/>
    <col min="22" max="22" width="9" style="217"/>
    <col min="23" max="32" width="9" style="208"/>
    <col min="33" max="33" width="16.875" style="208" bestFit="1" customWidth="1"/>
    <col min="34" max="34" width="15.625" style="208" customWidth="1"/>
    <col min="35" max="39" width="9" style="143"/>
    <col min="40" max="16384" width="9" style="208"/>
  </cols>
  <sheetData>
    <row r="1" spans="1:53" ht="45" x14ac:dyDescent="0.15">
      <c r="A1" s="240" t="s">
        <v>0</v>
      </c>
      <c r="B1" s="202" t="s">
        <v>1</v>
      </c>
      <c r="C1" s="202" t="s">
        <v>508</v>
      </c>
      <c r="D1" s="203" t="s">
        <v>3</v>
      </c>
      <c r="E1" s="241" t="s">
        <v>4</v>
      </c>
      <c r="F1" s="241" t="s">
        <v>5</v>
      </c>
      <c r="G1" s="241" t="s">
        <v>6</v>
      </c>
      <c r="H1" s="241" t="s">
        <v>7</v>
      </c>
      <c r="I1" s="241" t="s">
        <v>8</v>
      </c>
      <c r="J1" s="241" t="s">
        <v>9</v>
      </c>
      <c r="K1" s="201" t="s">
        <v>10</v>
      </c>
      <c r="L1" s="203" t="s">
        <v>509</v>
      </c>
      <c r="M1" s="203" t="s">
        <v>12</v>
      </c>
      <c r="N1" s="203" t="s">
        <v>13</v>
      </c>
      <c r="O1" s="203" t="s">
        <v>510</v>
      </c>
      <c r="P1" s="203" t="s">
        <v>511</v>
      </c>
      <c r="Q1" s="204" t="s">
        <v>16</v>
      </c>
      <c r="R1" s="203" t="s">
        <v>512</v>
      </c>
      <c r="S1" s="203" t="s">
        <v>513</v>
      </c>
      <c r="T1" s="204" t="s">
        <v>19</v>
      </c>
      <c r="U1" s="205" t="s">
        <v>108</v>
      </c>
      <c r="V1" s="206" t="s">
        <v>20</v>
      </c>
      <c r="W1" s="203" t="s">
        <v>21</v>
      </c>
      <c r="X1" s="241" t="s">
        <v>22</v>
      </c>
      <c r="Y1" s="241" t="s">
        <v>23</v>
      </c>
      <c r="Z1" s="241" t="s">
        <v>24</v>
      </c>
      <c r="AA1" s="242" t="s">
        <v>25</v>
      </c>
      <c r="AB1" s="207" t="s">
        <v>514</v>
      </c>
      <c r="AE1" s="209" t="s">
        <v>0</v>
      </c>
      <c r="AF1" s="210"/>
      <c r="AG1" s="209" t="s">
        <v>4</v>
      </c>
      <c r="AH1" s="209" t="s">
        <v>5</v>
      </c>
      <c r="AI1" s="162"/>
      <c r="AJ1" s="163" t="s">
        <v>6</v>
      </c>
      <c r="AK1" s="162"/>
      <c r="AL1" s="164" t="s">
        <v>7</v>
      </c>
      <c r="AM1" s="162"/>
      <c r="AN1" s="211" t="s">
        <v>8</v>
      </c>
      <c r="AO1" s="210"/>
      <c r="AP1" s="211" t="s">
        <v>27</v>
      </c>
      <c r="AQ1" s="210"/>
      <c r="AR1" s="211" t="s">
        <v>10</v>
      </c>
      <c r="AS1" s="210"/>
      <c r="AT1" s="212" t="s">
        <v>28</v>
      </c>
      <c r="AU1" s="210"/>
      <c r="AV1" s="211" t="s">
        <v>29</v>
      </c>
      <c r="AX1" s="213" t="s">
        <v>515</v>
      </c>
      <c r="AY1" s="214" t="s">
        <v>516</v>
      </c>
      <c r="AZ1" s="214" t="s">
        <v>517</v>
      </c>
      <c r="BA1" s="215" t="s">
        <v>518</v>
      </c>
    </row>
    <row r="2" spans="1:53" x14ac:dyDescent="0.15">
      <c r="A2" s="165" t="s">
        <v>34</v>
      </c>
      <c r="B2" s="165" t="s">
        <v>519</v>
      </c>
      <c r="C2" s="165">
        <v>2018</v>
      </c>
      <c r="D2" s="166" t="s">
        <v>520</v>
      </c>
      <c r="E2" s="165" t="s">
        <v>521</v>
      </c>
      <c r="F2" s="165" t="s">
        <v>280</v>
      </c>
      <c r="G2" s="167" t="s">
        <v>36</v>
      </c>
      <c r="H2" s="168" t="s">
        <v>157</v>
      </c>
      <c r="I2" s="137" t="s">
        <v>155</v>
      </c>
      <c r="J2" s="200" t="s">
        <v>38</v>
      </c>
      <c r="K2" s="137" t="s">
        <v>156</v>
      </c>
      <c r="L2" s="169">
        <v>1</v>
      </c>
      <c r="M2" s="170"/>
      <c r="N2" s="170">
        <v>1</v>
      </c>
      <c r="O2" s="170">
        <v>0.7</v>
      </c>
      <c r="P2" s="170">
        <v>0.8</v>
      </c>
      <c r="Q2" s="171">
        <f t="shared" ref="Q2:Q65" si="0">IF(OR(O2="",P2=""),"",AVERAGE(O2,P2))</f>
        <v>0.75</v>
      </c>
      <c r="R2" s="172">
        <v>14.3</v>
      </c>
      <c r="S2" s="168">
        <v>116</v>
      </c>
      <c r="T2" s="173">
        <f t="shared" ref="T2:T65" si="1">IF(H2="","",IF(OR(H2="GREEN",H2="GK"),IF(S2&gt;=$AX$2,VLOOKUP(S2,$AX$2:$AY$7,2,1),""),IF(S2&gt;=$AZ$2,VLOOKUP(S2,$AZ$2:$BA$7,2,1),"")))</f>
        <v>30</v>
      </c>
      <c r="U2" s="137">
        <v>68</v>
      </c>
      <c r="V2" s="173">
        <f t="shared" ref="V2:V65" si="2">IF(OR(N2="",U2="",T2=""),"",U2/N2*T2)</f>
        <v>2040</v>
      </c>
      <c r="W2" s="174">
        <v>6</v>
      </c>
      <c r="X2" s="175" t="s">
        <v>46</v>
      </c>
      <c r="Y2" s="175" t="s">
        <v>88</v>
      </c>
      <c r="Z2" s="175" t="s">
        <v>55</v>
      </c>
      <c r="AA2" s="176" t="s">
        <v>78</v>
      </c>
      <c r="AB2" s="55" t="s">
        <v>522</v>
      </c>
      <c r="AE2" s="218" t="s">
        <v>35</v>
      </c>
      <c r="AG2" s="243" t="s">
        <v>523</v>
      </c>
      <c r="AH2" s="243" t="s">
        <v>281</v>
      </c>
      <c r="AJ2" s="144" t="s">
        <v>36</v>
      </c>
      <c r="AL2" s="219" t="s">
        <v>127</v>
      </c>
      <c r="AN2" s="219" t="s">
        <v>37</v>
      </c>
      <c r="AO2" s="216"/>
      <c r="AP2" s="219" t="s">
        <v>38</v>
      </c>
      <c r="AQ2" s="216"/>
      <c r="AR2" s="219" t="s">
        <v>524</v>
      </c>
      <c r="AS2" s="216"/>
      <c r="AT2" s="219" t="s">
        <v>39</v>
      </c>
      <c r="AU2" s="216"/>
      <c r="AV2" s="248" t="s">
        <v>40</v>
      </c>
      <c r="AW2" s="216"/>
      <c r="AX2" s="220">
        <v>1</v>
      </c>
      <c r="AY2" s="221">
        <v>50</v>
      </c>
      <c r="AZ2" s="221">
        <v>1</v>
      </c>
      <c r="BA2" s="222">
        <v>50</v>
      </c>
    </row>
    <row r="3" spans="1:53" x14ac:dyDescent="0.15">
      <c r="A3" s="177" t="s">
        <v>34</v>
      </c>
      <c r="B3" s="177" t="s">
        <v>342</v>
      </c>
      <c r="C3" s="178">
        <v>2018</v>
      </c>
      <c r="D3" s="260" t="s">
        <v>525</v>
      </c>
      <c r="E3" s="177" t="s">
        <v>521</v>
      </c>
      <c r="F3" s="177" t="s">
        <v>280</v>
      </c>
      <c r="G3" s="180" t="s">
        <v>36</v>
      </c>
      <c r="H3" s="137" t="s">
        <v>157</v>
      </c>
      <c r="I3" s="137" t="s">
        <v>155</v>
      </c>
      <c r="J3" s="137" t="s">
        <v>38</v>
      </c>
      <c r="K3" s="137" t="s">
        <v>156</v>
      </c>
      <c r="L3" s="208">
        <v>2</v>
      </c>
      <c r="N3" s="208">
        <v>1</v>
      </c>
      <c r="O3" s="208">
        <v>0.6</v>
      </c>
      <c r="P3" s="235">
        <v>0.65</v>
      </c>
      <c r="Q3" s="181">
        <f t="shared" si="0"/>
        <v>0.625</v>
      </c>
      <c r="R3" s="182">
        <v>13.8</v>
      </c>
      <c r="S3" s="182">
        <v>117</v>
      </c>
      <c r="T3" s="217">
        <f t="shared" si="1"/>
        <v>30</v>
      </c>
      <c r="U3" s="183">
        <v>68</v>
      </c>
      <c r="V3" s="184">
        <f t="shared" si="2"/>
        <v>2040</v>
      </c>
      <c r="W3" s="185">
        <v>6</v>
      </c>
      <c r="X3" s="186" t="s">
        <v>46</v>
      </c>
      <c r="Y3" s="186" t="s">
        <v>88</v>
      </c>
      <c r="Z3" s="186" t="s">
        <v>55</v>
      </c>
      <c r="AA3" s="176" t="s">
        <v>78</v>
      </c>
      <c r="AB3" s="55" t="s">
        <v>344</v>
      </c>
      <c r="AE3" s="223" t="s">
        <v>41</v>
      </c>
      <c r="AG3" s="243" t="s">
        <v>282</v>
      </c>
      <c r="AH3" s="243" t="s">
        <v>283</v>
      </c>
      <c r="AJ3" s="187" t="s">
        <v>42</v>
      </c>
      <c r="AL3" s="224" t="s">
        <v>128</v>
      </c>
      <c r="AN3" s="224" t="s">
        <v>43</v>
      </c>
      <c r="AP3" s="224" t="s">
        <v>44</v>
      </c>
      <c r="AR3" s="238" t="s">
        <v>45</v>
      </c>
      <c r="AT3" s="224" t="s">
        <v>46</v>
      </c>
      <c r="AV3" s="224" t="s">
        <v>47</v>
      </c>
      <c r="AX3" s="225">
        <v>72</v>
      </c>
      <c r="AY3" s="226">
        <v>46</v>
      </c>
      <c r="AZ3" s="226">
        <v>71</v>
      </c>
      <c r="BA3" s="227">
        <v>42</v>
      </c>
    </row>
    <row r="4" spans="1:53" x14ac:dyDescent="0.15">
      <c r="A4" s="177" t="s">
        <v>34</v>
      </c>
      <c r="B4" s="177" t="s">
        <v>342</v>
      </c>
      <c r="C4" s="177">
        <v>2018</v>
      </c>
      <c r="D4" s="179" t="s">
        <v>525</v>
      </c>
      <c r="E4" s="177" t="s">
        <v>521</v>
      </c>
      <c r="F4" s="177" t="s">
        <v>280</v>
      </c>
      <c r="G4" s="180" t="s">
        <v>36</v>
      </c>
      <c r="H4" s="137" t="s">
        <v>157</v>
      </c>
      <c r="I4" s="137" t="s">
        <v>155</v>
      </c>
      <c r="J4" s="137" t="s">
        <v>38</v>
      </c>
      <c r="K4" s="137" t="s">
        <v>156</v>
      </c>
      <c r="L4" s="208">
        <v>3</v>
      </c>
      <c r="N4" s="208">
        <v>1</v>
      </c>
      <c r="O4" s="208">
        <v>0.75</v>
      </c>
      <c r="P4" s="235">
        <v>0.6</v>
      </c>
      <c r="Q4" s="245">
        <f t="shared" si="0"/>
        <v>0.67500000000000004</v>
      </c>
      <c r="R4" s="188">
        <v>14.5</v>
      </c>
      <c r="S4" s="188">
        <v>123</v>
      </c>
      <c r="T4" s="217">
        <f t="shared" si="1"/>
        <v>30</v>
      </c>
      <c r="U4" s="189">
        <v>68</v>
      </c>
      <c r="V4" s="184">
        <f t="shared" si="2"/>
        <v>2040</v>
      </c>
      <c r="W4" s="190">
        <v>6</v>
      </c>
      <c r="X4" s="186" t="s">
        <v>46</v>
      </c>
      <c r="Y4" s="186" t="s">
        <v>88</v>
      </c>
      <c r="Z4" s="186" t="s">
        <v>55</v>
      </c>
      <c r="AA4" s="176" t="s">
        <v>78</v>
      </c>
      <c r="AB4" s="55" t="s">
        <v>344</v>
      </c>
      <c r="AE4" s="223" t="s">
        <v>34</v>
      </c>
      <c r="AG4" s="243" t="s">
        <v>526</v>
      </c>
      <c r="AH4" s="243" t="s">
        <v>284</v>
      </c>
      <c r="AJ4" s="191" t="s">
        <v>48</v>
      </c>
      <c r="AL4" s="228" t="s">
        <v>129</v>
      </c>
      <c r="AN4" s="229" t="s">
        <v>49</v>
      </c>
      <c r="AP4" s="224" t="s">
        <v>527</v>
      </c>
      <c r="AR4" s="238" t="s">
        <v>528</v>
      </c>
      <c r="AT4" s="229"/>
      <c r="AV4" s="224" t="s">
        <v>50</v>
      </c>
      <c r="AX4" s="225">
        <v>75</v>
      </c>
      <c r="AY4" s="226">
        <v>42</v>
      </c>
      <c r="AZ4" s="226">
        <v>76</v>
      </c>
      <c r="BA4" s="227">
        <v>39</v>
      </c>
    </row>
    <row r="5" spans="1:53" x14ac:dyDescent="0.15">
      <c r="A5" s="177" t="s">
        <v>34</v>
      </c>
      <c r="B5" s="177" t="s">
        <v>342</v>
      </c>
      <c r="C5" s="178">
        <v>2018</v>
      </c>
      <c r="D5" s="179" t="s">
        <v>525</v>
      </c>
      <c r="E5" s="177" t="s">
        <v>521</v>
      </c>
      <c r="F5" s="177" t="s">
        <v>280</v>
      </c>
      <c r="G5" s="180" t="s">
        <v>36</v>
      </c>
      <c r="H5" s="137" t="s">
        <v>160</v>
      </c>
      <c r="I5" s="137" t="s">
        <v>155</v>
      </c>
      <c r="J5" s="137" t="s">
        <v>38</v>
      </c>
      <c r="K5" s="137" t="s">
        <v>156</v>
      </c>
      <c r="L5" s="208">
        <v>1</v>
      </c>
      <c r="N5" s="208">
        <v>1</v>
      </c>
      <c r="O5" s="208">
        <v>0.55000000000000004</v>
      </c>
      <c r="P5" s="237">
        <v>0.5</v>
      </c>
      <c r="Q5" s="245">
        <f t="shared" si="0"/>
        <v>0.52500000000000002</v>
      </c>
      <c r="R5" s="188">
        <v>15.4</v>
      </c>
      <c r="S5" s="188">
        <v>134</v>
      </c>
      <c r="T5" s="217">
        <f t="shared" si="1"/>
        <v>30</v>
      </c>
      <c r="U5" s="189">
        <v>138</v>
      </c>
      <c r="V5" s="184">
        <f t="shared" si="2"/>
        <v>4140</v>
      </c>
      <c r="W5" s="190">
        <v>6</v>
      </c>
      <c r="X5" s="186" t="s">
        <v>46</v>
      </c>
      <c r="Y5" s="186" t="s">
        <v>88</v>
      </c>
      <c r="Z5" s="186" t="s">
        <v>55</v>
      </c>
      <c r="AA5" s="176" t="s">
        <v>78</v>
      </c>
      <c r="AB5" s="55" t="s">
        <v>344</v>
      </c>
      <c r="AE5" s="223" t="s">
        <v>51</v>
      </c>
      <c r="AG5" s="243" t="s">
        <v>529</v>
      </c>
      <c r="AH5" s="243" t="s">
        <v>287</v>
      </c>
      <c r="AJ5" s="192"/>
      <c r="AL5" s="230" t="s">
        <v>530</v>
      </c>
      <c r="AN5" s="230" t="s">
        <v>531</v>
      </c>
      <c r="AP5" s="224" t="s">
        <v>532</v>
      </c>
      <c r="AR5" s="238" t="s">
        <v>54</v>
      </c>
      <c r="AT5" s="247"/>
      <c r="AV5" s="224" t="s">
        <v>55</v>
      </c>
      <c r="AX5" s="225">
        <v>84</v>
      </c>
      <c r="AY5" s="226">
        <v>39</v>
      </c>
      <c r="AZ5" s="226">
        <v>84</v>
      </c>
      <c r="BA5" s="227">
        <v>36</v>
      </c>
    </row>
    <row r="6" spans="1:53" x14ac:dyDescent="0.15">
      <c r="A6" s="177" t="s">
        <v>34</v>
      </c>
      <c r="B6" s="177" t="s">
        <v>342</v>
      </c>
      <c r="C6" s="177">
        <v>2018</v>
      </c>
      <c r="D6" s="179" t="s">
        <v>525</v>
      </c>
      <c r="E6" s="177" t="s">
        <v>521</v>
      </c>
      <c r="F6" s="177" t="s">
        <v>280</v>
      </c>
      <c r="G6" s="180" t="s">
        <v>36</v>
      </c>
      <c r="H6" s="137" t="s">
        <v>160</v>
      </c>
      <c r="I6" s="137" t="s">
        <v>155</v>
      </c>
      <c r="J6" s="137" t="s">
        <v>38</v>
      </c>
      <c r="K6" s="137" t="s">
        <v>156</v>
      </c>
      <c r="L6" s="208">
        <v>2</v>
      </c>
      <c r="N6" s="208">
        <v>1</v>
      </c>
      <c r="O6" s="208">
        <v>0.45</v>
      </c>
      <c r="P6" s="237">
        <v>0.4</v>
      </c>
      <c r="Q6" s="245">
        <f t="shared" si="0"/>
        <v>0.42500000000000004</v>
      </c>
      <c r="R6" s="188">
        <v>15.7</v>
      </c>
      <c r="S6" s="188">
        <v>131</v>
      </c>
      <c r="T6" s="217">
        <f t="shared" si="1"/>
        <v>30</v>
      </c>
      <c r="U6" s="189">
        <v>138</v>
      </c>
      <c r="V6" s="184">
        <f t="shared" si="2"/>
        <v>4140</v>
      </c>
      <c r="W6" s="190">
        <v>6</v>
      </c>
      <c r="X6" s="186" t="s">
        <v>46</v>
      </c>
      <c r="Y6" s="186" t="s">
        <v>88</v>
      </c>
      <c r="Z6" s="186" t="s">
        <v>55</v>
      </c>
      <c r="AA6" s="176" t="s">
        <v>78</v>
      </c>
      <c r="AB6" s="55" t="s">
        <v>344</v>
      </c>
      <c r="AE6" s="223" t="s">
        <v>56</v>
      </c>
      <c r="AG6" s="243" t="s">
        <v>533</v>
      </c>
      <c r="AH6" s="243" t="s">
        <v>286</v>
      </c>
      <c r="AL6" s="230" t="s">
        <v>478</v>
      </c>
      <c r="AN6" s="230" t="s">
        <v>534</v>
      </c>
      <c r="AP6" s="224" t="s">
        <v>53</v>
      </c>
      <c r="AR6" s="238" t="s">
        <v>59</v>
      </c>
      <c r="AV6" s="224" t="s">
        <v>60</v>
      </c>
      <c r="AX6" s="225">
        <v>97</v>
      </c>
      <c r="AY6" s="226">
        <v>36</v>
      </c>
      <c r="AZ6" s="226">
        <v>99</v>
      </c>
      <c r="BA6" s="227">
        <v>33</v>
      </c>
    </row>
    <row r="7" spans="1:53" x14ac:dyDescent="0.15">
      <c r="A7" s="177" t="s">
        <v>34</v>
      </c>
      <c r="B7" s="177" t="s">
        <v>342</v>
      </c>
      <c r="C7" s="178">
        <v>2018</v>
      </c>
      <c r="D7" s="179" t="s">
        <v>525</v>
      </c>
      <c r="E7" s="177" t="s">
        <v>521</v>
      </c>
      <c r="F7" s="177" t="s">
        <v>280</v>
      </c>
      <c r="G7" s="180" t="s">
        <v>36</v>
      </c>
      <c r="H7" s="137" t="s">
        <v>160</v>
      </c>
      <c r="I7" s="137" t="s">
        <v>155</v>
      </c>
      <c r="J7" s="137" t="s">
        <v>38</v>
      </c>
      <c r="K7" s="137" t="s">
        <v>156</v>
      </c>
      <c r="L7" s="208">
        <v>3</v>
      </c>
      <c r="N7" s="208">
        <v>1</v>
      </c>
      <c r="O7" s="208">
        <v>0.45</v>
      </c>
      <c r="P7" s="237">
        <v>0.4</v>
      </c>
      <c r="Q7" s="245">
        <f t="shared" si="0"/>
        <v>0.42500000000000004</v>
      </c>
      <c r="R7" s="188">
        <v>15.5</v>
      </c>
      <c r="S7" s="188">
        <v>128</v>
      </c>
      <c r="T7" s="217">
        <f t="shared" si="1"/>
        <v>30</v>
      </c>
      <c r="U7" s="189">
        <v>138</v>
      </c>
      <c r="V7" s="184">
        <f t="shared" si="2"/>
        <v>4140</v>
      </c>
      <c r="W7" s="190">
        <v>6</v>
      </c>
      <c r="X7" s="186" t="s">
        <v>46</v>
      </c>
      <c r="Y7" s="186" t="s">
        <v>88</v>
      </c>
      <c r="Z7" s="186" t="s">
        <v>55</v>
      </c>
      <c r="AA7" s="176" t="s">
        <v>78</v>
      </c>
      <c r="AB7" s="55" t="s">
        <v>344</v>
      </c>
      <c r="AE7" s="223" t="s">
        <v>61</v>
      </c>
      <c r="AG7" s="243" t="s">
        <v>285</v>
      </c>
      <c r="AH7" s="243" t="s">
        <v>280</v>
      </c>
      <c r="AL7" s="235" t="s">
        <v>535</v>
      </c>
      <c r="AP7" s="224" t="s">
        <v>58</v>
      </c>
      <c r="AR7" s="231" t="s">
        <v>122</v>
      </c>
      <c r="AV7" s="224" t="s">
        <v>64</v>
      </c>
      <c r="AX7" s="225">
        <v>109</v>
      </c>
      <c r="AY7" s="226">
        <v>33</v>
      </c>
      <c r="AZ7" s="226">
        <v>113</v>
      </c>
      <c r="BA7" s="227">
        <v>30</v>
      </c>
    </row>
    <row r="8" spans="1:53" x14ac:dyDescent="0.15">
      <c r="A8" s="177" t="s">
        <v>34</v>
      </c>
      <c r="B8" s="177" t="s">
        <v>342</v>
      </c>
      <c r="C8" s="177">
        <v>2018</v>
      </c>
      <c r="D8" s="179" t="s">
        <v>525</v>
      </c>
      <c r="E8" s="178" t="s">
        <v>285</v>
      </c>
      <c r="F8" s="177" t="s">
        <v>286</v>
      </c>
      <c r="G8" s="180" t="s">
        <v>36</v>
      </c>
      <c r="H8" s="137" t="s">
        <v>157</v>
      </c>
      <c r="I8" s="137" t="s">
        <v>155</v>
      </c>
      <c r="J8" s="137" t="s">
        <v>38</v>
      </c>
      <c r="K8" s="137" t="s">
        <v>156</v>
      </c>
      <c r="L8" s="208">
        <v>1</v>
      </c>
      <c r="N8" s="208">
        <v>1</v>
      </c>
      <c r="O8" s="208">
        <v>0.55000000000000004</v>
      </c>
      <c r="P8" s="208">
        <v>0.5</v>
      </c>
      <c r="Q8" s="245">
        <f t="shared" si="0"/>
        <v>0.52500000000000002</v>
      </c>
      <c r="R8" s="188">
        <v>15.1</v>
      </c>
      <c r="S8" s="188">
        <v>165</v>
      </c>
      <c r="T8" s="217">
        <f t="shared" si="1"/>
        <v>30</v>
      </c>
      <c r="U8" s="193">
        <v>98</v>
      </c>
      <c r="V8" s="184">
        <f t="shared" si="2"/>
        <v>2940</v>
      </c>
      <c r="W8" s="190">
        <v>2</v>
      </c>
      <c r="X8" s="186" t="s">
        <v>46</v>
      </c>
      <c r="Y8" s="194" t="s">
        <v>88</v>
      </c>
      <c r="Z8" s="186" t="s">
        <v>64</v>
      </c>
      <c r="AA8" s="176" t="s">
        <v>47</v>
      </c>
      <c r="AB8" s="55" t="s">
        <v>344</v>
      </c>
      <c r="AE8" s="223" t="s">
        <v>59</v>
      </c>
      <c r="AG8" s="243" t="s">
        <v>536</v>
      </c>
      <c r="AH8" s="243" t="s">
        <v>291</v>
      </c>
      <c r="AL8" s="235" t="s">
        <v>372</v>
      </c>
      <c r="AP8" s="224" t="s">
        <v>62</v>
      </c>
      <c r="AR8" s="238" t="s">
        <v>81</v>
      </c>
      <c r="AV8" s="224" t="s">
        <v>97</v>
      </c>
      <c r="AX8" s="225">
        <v>151</v>
      </c>
      <c r="AY8" s="226">
        <v>22</v>
      </c>
      <c r="AZ8" s="226">
        <v>152</v>
      </c>
      <c r="BA8" s="227">
        <v>18</v>
      </c>
    </row>
    <row r="9" spans="1:53" x14ac:dyDescent="0.15">
      <c r="A9" s="177" t="s">
        <v>34</v>
      </c>
      <c r="B9" s="177" t="s">
        <v>342</v>
      </c>
      <c r="C9" s="178">
        <v>2018</v>
      </c>
      <c r="D9" s="179" t="s">
        <v>525</v>
      </c>
      <c r="E9" s="178" t="s">
        <v>285</v>
      </c>
      <c r="F9" s="177" t="s">
        <v>286</v>
      </c>
      <c r="G9" s="180" t="s">
        <v>36</v>
      </c>
      <c r="H9" s="137" t="s">
        <v>157</v>
      </c>
      <c r="I9" s="137" t="s">
        <v>155</v>
      </c>
      <c r="J9" s="137" t="s">
        <v>38</v>
      </c>
      <c r="K9" s="137" t="s">
        <v>156</v>
      </c>
      <c r="L9" s="208">
        <v>2</v>
      </c>
      <c r="N9" s="208">
        <v>1</v>
      </c>
      <c r="O9" s="208">
        <v>0.5</v>
      </c>
      <c r="P9" s="208">
        <v>0.55000000000000004</v>
      </c>
      <c r="Q9" s="245">
        <f t="shared" si="0"/>
        <v>0.52500000000000002</v>
      </c>
      <c r="R9" s="188">
        <v>15.3</v>
      </c>
      <c r="S9" s="188">
        <v>148</v>
      </c>
      <c r="T9" s="217">
        <f t="shared" si="1"/>
        <v>30</v>
      </c>
      <c r="U9" s="193">
        <v>98</v>
      </c>
      <c r="V9" s="184">
        <f t="shared" si="2"/>
        <v>2940</v>
      </c>
      <c r="W9" s="190">
        <v>2</v>
      </c>
      <c r="X9" s="186" t="s">
        <v>46</v>
      </c>
      <c r="Y9" s="194" t="s">
        <v>88</v>
      </c>
      <c r="Z9" s="186" t="s">
        <v>64</v>
      </c>
      <c r="AA9" s="176" t="s">
        <v>47</v>
      </c>
      <c r="AB9" s="55" t="s">
        <v>344</v>
      </c>
      <c r="AE9" s="223" t="s">
        <v>98</v>
      </c>
      <c r="AG9" s="243" t="s">
        <v>537</v>
      </c>
      <c r="AH9" s="243" t="s">
        <v>292</v>
      </c>
      <c r="AL9" s="230"/>
      <c r="AP9" s="224" t="s">
        <v>95</v>
      </c>
      <c r="AR9" s="231" t="s">
        <v>89</v>
      </c>
      <c r="AV9" s="224" t="s">
        <v>102</v>
      </c>
      <c r="AX9" s="232">
        <v>180</v>
      </c>
      <c r="AY9" s="233">
        <v>18</v>
      </c>
      <c r="AZ9" s="233">
        <v>181</v>
      </c>
      <c r="BA9" s="234">
        <v>16</v>
      </c>
    </row>
    <row r="10" spans="1:53" x14ac:dyDescent="0.15">
      <c r="A10" s="177" t="s">
        <v>34</v>
      </c>
      <c r="B10" s="177" t="s">
        <v>342</v>
      </c>
      <c r="C10" s="177">
        <v>2018</v>
      </c>
      <c r="D10" s="179" t="s">
        <v>525</v>
      </c>
      <c r="E10" s="178" t="s">
        <v>285</v>
      </c>
      <c r="F10" s="177" t="s">
        <v>286</v>
      </c>
      <c r="G10" s="180" t="s">
        <v>36</v>
      </c>
      <c r="H10" s="137" t="s">
        <v>157</v>
      </c>
      <c r="I10" s="137" t="s">
        <v>155</v>
      </c>
      <c r="J10" s="137" t="s">
        <v>38</v>
      </c>
      <c r="K10" s="137" t="s">
        <v>156</v>
      </c>
      <c r="L10" s="208">
        <v>3</v>
      </c>
      <c r="N10" s="208">
        <v>1</v>
      </c>
      <c r="O10" s="208">
        <v>0.55000000000000004</v>
      </c>
      <c r="P10" s="208">
        <v>0.6</v>
      </c>
      <c r="Q10" s="245">
        <f t="shared" si="0"/>
        <v>0.57499999999999996</v>
      </c>
      <c r="R10" s="188">
        <v>14.7</v>
      </c>
      <c r="S10" s="188">
        <v>171</v>
      </c>
      <c r="T10" s="217">
        <f t="shared" si="1"/>
        <v>30</v>
      </c>
      <c r="U10" s="193">
        <v>98</v>
      </c>
      <c r="V10" s="184">
        <f t="shared" si="2"/>
        <v>2940</v>
      </c>
      <c r="W10" s="190">
        <v>2</v>
      </c>
      <c r="X10" s="186" t="s">
        <v>46</v>
      </c>
      <c r="Y10" s="194" t="s">
        <v>88</v>
      </c>
      <c r="Z10" s="186" t="s">
        <v>64</v>
      </c>
      <c r="AA10" s="176" t="s">
        <v>47</v>
      </c>
      <c r="AB10" s="55" t="s">
        <v>344</v>
      </c>
      <c r="AE10" s="223" t="s">
        <v>103</v>
      </c>
      <c r="AG10" s="243" t="s">
        <v>538</v>
      </c>
      <c r="AH10" s="243" t="s">
        <v>539</v>
      </c>
      <c r="AL10" s="235"/>
      <c r="AP10" s="224" t="s">
        <v>100</v>
      </c>
      <c r="AR10" s="231" t="s">
        <v>123</v>
      </c>
      <c r="AV10" s="224" t="s">
        <v>106</v>
      </c>
    </row>
    <row r="11" spans="1:53" x14ac:dyDescent="0.15">
      <c r="A11" s="177" t="s">
        <v>34</v>
      </c>
      <c r="B11" s="177" t="s">
        <v>342</v>
      </c>
      <c r="C11" s="178">
        <v>2018</v>
      </c>
      <c r="D11" s="179" t="s">
        <v>525</v>
      </c>
      <c r="E11" s="178" t="s">
        <v>285</v>
      </c>
      <c r="F11" s="177" t="s">
        <v>286</v>
      </c>
      <c r="G11" s="180" t="s">
        <v>36</v>
      </c>
      <c r="H11" s="137" t="s">
        <v>160</v>
      </c>
      <c r="I11" s="137" t="s">
        <v>155</v>
      </c>
      <c r="J11" s="137" t="s">
        <v>38</v>
      </c>
      <c r="K11" s="137" t="s">
        <v>156</v>
      </c>
      <c r="L11" s="208">
        <v>1</v>
      </c>
      <c r="N11" s="208">
        <v>1</v>
      </c>
      <c r="O11" s="208">
        <v>1</v>
      </c>
      <c r="P11" s="208">
        <v>0.85</v>
      </c>
      <c r="Q11" s="245">
        <f t="shared" si="0"/>
        <v>0.92500000000000004</v>
      </c>
      <c r="R11" s="188">
        <v>14.2</v>
      </c>
      <c r="S11" s="188">
        <v>153</v>
      </c>
      <c r="T11" s="217">
        <f t="shared" si="1"/>
        <v>30</v>
      </c>
      <c r="U11" s="193">
        <v>178</v>
      </c>
      <c r="V11" s="184">
        <f t="shared" si="2"/>
        <v>5340</v>
      </c>
      <c r="W11" s="190">
        <v>2</v>
      </c>
      <c r="X11" s="186" t="s">
        <v>46</v>
      </c>
      <c r="Y11" s="194" t="s">
        <v>88</v>
      </c>
      <c r="Z11" s="186" t="s">
        <v>64</v>
      </c>
      <c r="AA11" s="195" t="s">
        <v>47</v>
      </c>
      <c r="AB11" s="55" t="s">
        <v>344</v>
      </c>
      <c r="AE11" s="223" t="s">
        <v>65</v>
      </c>
      <c r="AG11" s="238"/>
      <c r="AH11" s="238"/>
      <c r="AL11" s="235"/>
      <c r="AP11" s="224" t="s">
        <v>104</v>
      </c>
      <c r="AR11" s="231" t="s">
        <v>87</v>
      </c>
      <c r="AV11" s="224" t="s">
        <v>69</v>
      </c>
    </row>
    <row r="12" spans="1:53" x14ac:dyDescent="0.15">
      <c r="A12" s="177" t="s">
        <v>34</v>
      </c>
      <c r="B12" s="177" t="s">
        <v>342</v>
      </c>
      <c r="C12" s="177">
        <v>2018</v>
      </c>
      <c r="D12" s="179" t="s">
        <v>525</v>
      </c>
      <c r="E12" s="178" t="s">
        <v>285</v>
      </c>
      <c r="F12" s="177" t="s">
        <v>286</v>
      </c>
      <c r="G12" s="180" t="s">
        <v>36</v>
      </c>
      <c r="H12" s="137" t="s">
        <v>160</v>
      </c>
      <c r="I12" s="137" t="s">
        <v>155</v>
      </c>
      <c r="J12" s="137" t="s">
        <v>38</v>
      </c>
      <c r="K12" s="137" t="s">
        <v>156</v>
      </c>
      <c r="L12" s="208">
        <v>2</v>
      </c>
      <c r="N12" s="208">
        <v>1</v>
      </c>
      <c r="O12" s="208">
        <v>0.85</v>
      </c>
      <c r="P12" s="208">
        <v>0.9</v>
      </c>
      <c r="Q12" s="245">
        <f t="shared" si="0"/>
        <v>0.875</v>
      </c>
      <c r="R12" s="188">
        <v>14.4</v>
      </c>
      <c r="S12" s="188">
        <v>169</v>
      </c>
      <c r="T12" s="217">
        <f t="shared" si="1"/>
        <v>30</v>
      </c>
      <c r="U12" s="193">
        <v>178</v>
      </c>
      <c r="V12" s="184">
        <f t="shared" si="2"/>
        <v>5340</v>
      </c>
      <c r="W12" s="190">
        <v>2</v>
      </c>
      <c r="X12" s="186" t="s">
        <v>46</v>
      </c>
      <c r="Y12" s="194" t="s">
        <v>88</v>
      </c>
      <c r="Z12" s="186" t="s">
        <v>64</v>
      </c>
      <c r="AA12" s="195" t="s">
        <v>47</v>
      </c>
      <c r="AB12" s="55" t="s">
        <v>344</v>
      </c>
      <c r="AE12" s="223" t="s">
        <v>70</v>
      </c>
      <c r="AG12" s="238"/>
      <c r="AH12" s="238"/>
      <c r="AL12" s="235"/>
      <c r="AP12" s="224" t="s">
        <v>67</v>
      </c>
      <c r="AR12" s="231" t="s">
        <v>124</v>
      </c>
      <c r="AV12" s="224" t="s">
        <v>72</v>
      </c>
    </row>
    <row r="13" spans="1:53" x14ac:dyDescent="0.15">
      <c r="A13" s="177" t="s">
        <v>34</v>
      </c>
      <c r="B13" s="177" t="s">
        <v>342</v>
      </c>
      <c r="C13" s="178">
        <v>2018</v>
      </c>
      <c r="D13" s="179" t="s">
        <v>525</v>
      </c>
      <c r="E13" s="178" t="s">
        <v>285</v>
      </c>
      <c r="F13" s="177" t="s">
        <v>286</v>
      </c>
      <c r="G13" s="180" t="s">
        <v>36</v>
      </c>
      <c r="H13" s="137" t="s">
        <v>160</v>
      </c>
      <c r="I13" s="137" t="s">
        <v>155</v>
      </c>
      <c r="J13" s="137" t="s">
        <v>38</v>
      </c>
      <c r="K13" s="137" t="s">
        <v>156</v>
      </c>
      <c r="L13" s="208">
        <v>3</v>
      </c>
      <c r="N13" s="208">
        <v>1</v>
      </c>
      <c r="O13" s="208">
        <v>0.9</v>
      </c>
      <c r="P13" s="208">
        <v>0.8</v>
      </c>
      <c r="Q13" s="245">
        <f t="shared" si="0"/>
        <v>0.85000000000000009</v>
      </c>
      <c r="R13" s="188">
        <v>14.5</v>
      </c>
      <c r="S13" s="188">
        <v>161</v>
      </c>
      <c r="T13" s="217">
        <f t="shared" si="1"/>
        <v>30</v>
      </c>
      <c r="U13" s="193">
        <v>178</v>
      </c>
      <c r="V13" s="184">
        <f t="shared" si="2"/>
        <v>5340</v>
      </c>
      <c r="W13" s="190">
        <v>2</v>
      </c>
      <c r="X13" s="186" t="s">
        <v>46</v>
      </c>
      <c r="Y13" s="194" t="s">
        <v>88</v>
      </c>
      <c r="Z13" s="186" t="s">
        <v>64</v>
      </c>
      <c r="AA13" s="195" t="s">
        <v>47</v>
      </c>
      <c r="AB13" s="55" t="s">
        <v>344</v>
      </c>
      <c r="AE13" s="223" t="s">
        <v>73</v>
      </c>
      <c r="AG13" s="196"/>
      <c r="AH13" s="196"/>
      <c r="AP13" s="224" t="s">
        <v>71</v>
      </c>
      <c r="AR13" s="231" t="s">
        <v>103</v>
      </c>
      <c r="AV13" s="224" t="s">
        <v>75</v>
      </c>
    </row>
    <row r="14" spans="1:53" x14ac:dyDescent="0.15">
      <c r="A14" s="177" t="s">
        <v>34</v>
      </c>
      <c r="B14" s="177" t="s">
        <v>342</v>
      </c>
      <c r="C14" s="177">
        <v>2018</v>
      </c>
      <c r="D14" s="179" t="s">
        <v>525</v>
      </c>
      <c r="E14" s="178" t="s">
        <v>290</v>
      </c>
      <c r="F14" s="177" t="s">
        <v>286</v>
      </c>
      <c r="G14" s="180" t="s">
        <v>36</v>
      </c>
      <c r="H14" s="137" t="s">
        <v>157</v>
      </c>
      <c r="I14" s="137" t="s">
        <v>155</v>
      </c>
      <c r="J14" s="137" t="s">
        <v>38</v>
      </c>
      <c r="K14" s="137" t="s">
        <v>156</v>
      </c>
      <c r="L14" s="208">
        <v>1</v>
      </c>
      <c r="N14" s="208">
        <v>1</v>
      </c>
      <c r="O14" s="208">
        <v>0.6</v>
      </c>
      <c r="P14" s="208">
        <v>0.5</v>
      </c>
      <c r="Q14" s="245">
        <f t="shared" si="0"/>
        <v>0.55000000000000004</v>
      </c>
      <c r="R14" s="188">
        <v>15.6</v>
      </c>
      <c r="S14" s="188">
        <v>131</v>
      </c>
      <c r="T14" s="217">
        <f t="shared" si="1"/>
        <v>30</v>
      </c>
      <c r="U14" s="193">
        <v>148</v>
      </c>
      <c r="V14" s="184">
        <v>3582</v>
      </c>
      <c r="W14" s="190">
        <v>8</v>
      </c>
      <c r="X14" s="186" t="s">
        <v>46</v>
      </c>
      <c r="Y14" s="194" t="s">
        <v>97</v>
      </c>
      <c r="Z14" s="194" t="s">
        <v>88</v>
      </c>
      <c r="AA14" s="195" t="s">
        <v>60</v>
      </c>
      <c r="AB14" s="55" t="s">
        <v>344</v>
      </c>
      <c r="AC14" s="235"/>
      <c r="AE14" s="223" t="s">
        <v>76</v>
      </c>
      <c r="AG14" s="247"/>
      <c r="AH14" s="247"/>
      <c r="AP14" s="224" t="s">
        <v>74</v>
      </c>
      <c r="AR14" s="231" t="s">
        <v>125</v>
      </c>
      <c r="AV14" s="224" t="s">
        <v>78</v>
      </c>
    </row>
    <row r="15" spans="1:53" x14ac:dyDescent="0.15">
      <c r="A15" s="177" t="s">
        <v>34</v>
      </c>
      <c r="B15" s="177" t="s">
        <v>342</v>
      </c>
      <c r="C15" s="178">
        <v>2018</v>
      </c>
      <c r="D15" s="179" t="s">
        <v>525</v>
      </c>
      <c r="E15" s="178" t="s">
        <v>290</v>
      </c>
      <c r="F15" s="177" t="s">
        <v>286</v>
      </c>
      <c r="G15" s="180" t="s">
        <v>36</v>
      </c>
      <c r="H15" s="137" t="s">
        <v>157</v>
      </c>
      <c r="I15" s="137" t="s">
        <v>155</v>
      </c>
      <c r="J15" s="137" t="s">
        <v>38</v>
      </c>
      <c r="K15" s="137" t="s">
        <v>156</v>
      </c>
      <c r="L15" s="208">
        <v>2</v>
      </c>
      <c r="N15" s="208">
        <v>1</v>
      </c>
      <c r="O15" s="208">
        <v>0.6</v>
      </c>
      <c r="P15" s="208">
        <v>0.55000000000000004</v>
      </c>
      <c r="Q15" s="245">
        <f t="shared" si="0"/>
        <v>0.57499999999999996</v>
      </c>
      <c r="R15" s="188">
        <v>15.1</v>
      </c>
      <c r="S15" s="188">
        <v>127</v>
      </c>
      <c r="T15" s="217">
        <f t="shared" si="1"/>
        <v>30</v>
      </c>
      <c r="U15" s="193">
        <v>148</v>
      </c>
      <c r="V15" s="184">
        <f t="shared" si="2"/>
        <v>4440</v>
      </c>
      <c r="W15" s="190">
        <v>8</v>
      </c>
      <c r="X15" s="186" t="s">
        <v>46</v>
      </c>
      <c r="Y15" s="194" t="s">
        <v>97</v>
      </c>
      <c r="Z15" s="194" t="s">
        <v>88</v>
      </c>
      <c r="AA15" s="195" t="s">
        <v>60</v>
      </c>
      <c r="AB15" s="55" t="s">
        <v>344</v>
      </c>
      <c r="AC15" s="235"/>
      <c r="AE15" s="223" t="s">
        <v>79</v>
      </c>
      <c r="AP15" s="224" t="s">
        <v>77</v>
      </c>
      <c r="AR15" s="231" t="s">
        <v>94</v>
      </c>
      <c r="AV15" s="224" t="s">
        <v>107</v>
      </c>
    </row>
    <row r="16" spans="1:53" x14ac:dyDescent="0.15">
      <c r="A16" s="177" t="s">
        <v>34</v>
      </c>
      <c r="B16" s="177" t="s">
        <v>342</v>
      </c>
      <c r="C16" s="177">
        <v>2018</v>
      </c>
      <c r="D16" s="179" t="s">
        <v>525</v>
      </c>
      <c r="E16" s="178" t="s">
        <v>290</v>
      </c>
      <c r="F16" s="177" t="s">
        <v>286</v>
      </c>
      <c r="G16" s="180" t="s">
        <v>36</v>
      </c>
      <c r="H16" s="137" t="s">
        <v>157</v>
      </c>
      <c r="I16" s="137" t="s">
        <v>155</v>
      </c>
      <c r="J16" s="137" t="s">
        <v>38</v>
      </c>
      <c r="K16" s="137" t="s">
        <v>156</v>
      </c>
      <c r="L16" s="208">
        <v>3</v>
      </c>
      <c r="N16" s="208">
        <v>1</v>
      </c>
      <c r="O16" s="208">
        <v>0.55000000000000004</v>
      </c>
      <c r="P16" s="208">
        <v>0.6</v>
      </c>
      <c r="Q16" s="245">
        <f t="shared" si="0"/>
        <v>0.57499999999999996</v>
      </c>
      <c r="R16" s="188">
        <v>15.4</v>
      </c>
      <c r="S16" s="188">
        <v>134</v>
      </c>
      <c r="T16" s="217">
        <f t="shared" si="1"/>
        <v>30</v>
      </c>
      <c r="U16" s="193">
        <v>148</v>
      </c>
      <c r="V16" s="184">
        <f t="shared" si="2"/>
        <v>4440</v>
      </c>
      <c r="W16" s="190">
        <v>8</v>
      </c>
      <c r="X16" s="186" t="s">
        <v>46</v>
      </c>
      <c r="Y16" s="194" t="s">
        <v>97</v>
      </c>
      <c r="Z16" s="194" t="s">
        <v>88</v>
      </c>
      <c r="AA16" s="195" t="s">
        <v>60</v>
      </c>
      <c r="AB16" s="55" t="s">
        <v>344</v>
      </c>
      <c r="AC16" s="235"/>
      <c r="AE16" s="223" t="s">
        <v>82</v>
      </c>
      <c r="AP16" s="224" t="s">
        <v>80</v>
      </c>
      <c r="AR16" s="238" t="s">
        <v>63</v>
      </c>
      <c r="AV16" s="224" t="s">
        <v>84</v>
      </c>
    </row>
    <row r="17" spans="1:48" x14ac:dyDescent="0.15">
      <c r="A17" s="177" t="s">
        <v>34</v>
      </c>
      <c r="B17" s="177" t="s">
        <v>342</v>
      </c>
      <c r="C17" s="178">
        <v>2018</v>
      </c>
      <c r="D17" s="179" t="s">
        <v>525</v>
      </c>
      <c r="E17" s="178" t="s">
        <v>290</v>
      </c>
      <c r="F17" s="177" t="s">
        <v>286</v>
      </c>
      <c r="G17" s="180" t="s">
        <v>36</v>
      </c>
      <c r="H17" s="137" t="s">
        <v>160</v>
      </c>
      <c r="I17" s="137" t="s">
        <v>155</v>
      </c>
      <c r="J17" s="137" t="s">
        <v>38</v>
      </c>
      <c r="K17" s="137" t="s">
        <v>156</v>
      </c>
      <c r="L17" s="208">
        <v>1</v>
      </c>
      <c r="N17" s="208">
        <v>1</v>
      </c>
      <c r="O17" s="208">
        <v>0.55000000000000004</v>
      </c>
      <c r="P17" s="208">
        <v>0.45</v>
      </c>
      <c r="Q17" s="245">
        <f t="shared" si="0"/>
        <v>0.5</v>
      </c>
      <c r="R17" s="188">
        <v>16.399999999999999</v>
      </c>
      <c r="S17" s="188">
        <v>122</v>
      </c>
      <c r="T17" s="217">
        <f t="shared" si="1"/>
        <v>30</v>
      </c>
      <c r="U17" s="193">
        <v>158</v>
      </c>
      <c r="V17" s="184">
        <f t="shared" si="2"/>
        <v>4740</v>
      </c>
      <c r="W17" s="190">
        <v>8</v>
      </c>
      <c r="X17" s="186" t="s">
        <v>46</v>
      </c>
      <c r="Y17" s="194" t="s">
        <v>97</v>
      </c>
      <c r="Z17" s="194" t="s">
        <v>88</v>
      </c>
      <c r="AA17" s="195" t="s">
        <v>60</v>
      </c>
      <c r="AB17" s="55" t="s">
        <v>344</v>
      </c>
      <c r="AC17" s="235"/>
      <c r="AE17" s="223" t="s">
        <v>85</v>
      </c>
      <c r="AP17" s="239" t="s">
        <v>110</v>
      </c>
      <c r="AR17" s="238" t="s">
        <v>96</v>
      </c>
      <c r="AV17" s="224" t="s">
        <v>86</v>
      </c>
    </row>
    <row r="18" spans="1:48" x14ac:dyDescent="0.15">
      <c r="A18" s="177" t="s">
        <v>34</v>
      </c>
      <c r="B18" s="177" t="s">
        <v>342</v>
      </c>
      <c r="C18" s="177">
        <v>2018</v>
      </c>
      <c r="D18" s="179" t="s">
        <v>525</v>
      </c>
      <c r="E18" s="178" t="s">
        <v>290</v>
      </c>
      <c r="F18" s="177" t="s">
        <v>286</v>
      </c>
      <c r="G18" s="180" t="s">
        <v>36</v>
      </c>
      <c r="H18" s="137" t="s">
        <v>160</v>
      </c>
      <c r="I18" s="137" t="s">
        <v>155</v>
      </c>
      <c r="J18" s="137" t="s">
        <v>38</v>
      </c>
      <c r="K18" s="137" t="s">
        <v>156</v>
      </c>
      <c r="L18" s="208">
        <v>2</v>
      </c>
      <c r="N18" s="208">
        <v>1</v>
      </c>
      <c r="O18" s="208">
        <v>0.55000000000000004</v>
      </c>
      <c r="P18" s="208">
        <v>0.45</v>
      </c>
      <c r="Q18" s="245">
        <f t="shared" si="0"/>
        <v>0.5</v>
      </c>
      <c r="R18" s="188">
        <v>16.600000000000001</v>
      </c>
      <c r="S18" s="188">
        <v>119</v>
      </c>
      <c r="T18" s="217">
        <f t="shared" si="1"/>
        <v>30</v>
      </c>
      <c r="U18" s="193">
        <v>158</v>
      </c>
      <c r="V18" s="184">
        <f t="shared" si="2"/>
        <v>4740</v>
      </c>
      <c r="W18" s="190">
        <v>8</v>
      </c>
      <c r="X18" s="186" t="s">
        <v>46</v>
      </c>
      <c r="Y18" s="194" t="s">
        <v>97</v>
      </c>
      <c r="Z18" s="194" t="s">
        <v>88</v>
      </c>
      <c r="AA18" s="195" t="s">
        <v>60</v>
      </c>
      <c r="AB18" s="55" t="s">
        <v>344</v>
      </c>
      <c r="AC18" s="235"/>
      <c r="AE18" s="223" t="s">
        <v>87</v>
      </c>
      <c r="AP18" s="239" t="s">
        <v>111</v>
      </c>
      <c r="AR18" s="238" t="s">
        <v>101</v>
      </c>
      <c r="AV18" s="224" t="s">
        <v>88</v>
      </c>
    </row>
    <row r="19" spans="1:48" x14ac:dyDescent="0.15">
      <c r="A19" s="177" t="s">
        <v>34</v>
      </c>
      <c r="B19" s="177" t="s">
        <v>342</v>
      </c>
      <c r="C19" s="178">
        <v>2018</v>
      </c>
      <c r="D19" s="179" t="s">
        <v>525</v>
      </c>
      <c r="E19" s="178" t="s">
        <v>290</v>
      </c>
      <c r="F19" s="177" t="s">
        <v>286</v>
      </c>
      <c r="G19" s="180" t="s">
        <v>36</v>
      </c>
      <c r="H19" s="137" t="s">
        <v>160</v>
      </c>
      <c r="I19" s="137" t="s">
        <v>155</v>
      </c>
      <c r="J19" s="137" t="s">
        <v>38</v>
      </c>
      <c r="K19" s="137" t="s">
        <v>156</v>
      </c>
      <c r="L19" s="208">
        <v>3</v>
      </c>
      <c r="N19" s="208">
        <v>1</v>
      </c>
      <c r="O19" s="208">
        <v>0.45</v>
      </c>
      <c r="P19" s="208">
        <v>0.5</v>
      </c>
      <c r="Q19" s="245">
        <f t="shared" si="0"/>
        <v>0.47499999999999998</v>
      </c>
      <c r="R19" s="188">
        <v>16.8</v>
      </c>
      <c r="S19" s="188">
        <v>118</v>
      </c>
      <c r="T19" s="217">
        <f t="shared" si="1"/>
        <v>30</v>
      </c>
      <c r="U19" s="193">
        <v>158</v>
      </c>
      <c r="V19" s="184">
        <f t="shared" si="2"/>
        <v>4740</v>
      </c>
      <c r="W19" s="190">
        <v>8</v>
      </c>
      <c r="X19" s="186" t="s">
        <v>46</v>
      </c>
      <c r="Y19" s="194" t="s">
        <v>97</v>
      </c>
      <c r="Z19" s="194" t="s">
        <v>88</v>
      </c>
      <c r="AA19" s="195" t="s">
        <v>60</v>
      </c>
      <c r="AB19" s="55" t="s">
        <v>344</v>
      </c>
      <c r="AC19" s="235"/>
      <c r="AE19" s="236" t="s">
        <v>89</v>
      </c>
      <c r="AP19" s="239" t="s">
        <v>112</v>
      </c>
      <c r="AR19" s="231" t="s">
        <v>126</v>
      </c>
      <c r="AV19" s="224" t="s">
        <v>90</v>
      </c>
    </row>
    <row r="20" spans="1:48" x14ac:dyDescent="0.15">
      <c r="A20" s="177" t="s">
        <v>34</v>
      </c>
      <c r="B20" s="177" t="s">
        <v>342</v>
      </c>
      <c r="C20" s="177">
        <v>2018</v>
      </c>
      <c r="D20" s="179" t="s">
        <v>525</v>
      </c>
      <c r="E20" s="178" t="s">
        <v>521</v>
      </c>
      <c r="F20" s="177" t="s">
        <v>540</v>
      </c>
      <c r="G20" s="180" t="s">
        <v>36</v>
      </c>
      <c r="H20" s="137" t="s">
        <v>157</v>
      </c>
      <c r="I20" s="137" t="s">
        <v>155</v>
      </c>
      <c r="J20" s="137" t="s">
        <v>38</v>
      </c>
      <c r="K20" s="137" t="s">
        <v>156</v>
      </c>
      <c r="L20" s="208">
        <v>1</v>
      </c>
      <c r="N20" s="208">
        <v>1</v>
      </c>
      <c r="O20" s="208">
        <v>0.55000000000000004</v>
      </c>
      <c r="P20" s="208">
        <v>0.5</v>
      </c>
      <c r="Q20" s="245">
        <f t="shared" si="0"/>
        <v>0.52500000000000002</v>
      </c>
      <c r="R20" s="188">
        <v>15.2</v>
      </c>
      <c r="S20" s="197">
        <v>118</v>
      </c>
      <c r="T20" s="217">
        <f t="shared" si="1"/>
        <v>30</v>
      </c>
      <c r="U20" s="193">
        <v>68</v>
      </c>
      <c r="V20" s="184">
        <f t="shared" si="2"/>
        <v>2040</v>
      </c>
      <c r="W20" s="190">
        <v>8</v>
      </c>
      <c r="X20" s="186" t="s">
        <v>46</v>
      </c>
      <c r="Y20" s="194" t="s">
        <v>97</v>
      </c>
      <c r="Z20" s="194" t="s">
        <v>90</v>
      </c>
      <c r="AA20" s="195" t="s">
        <v>47</v>
      </c>
      <c r="AB20" s="55" t="s">
        <v>344</v>
      </c>
      <c r="AE20" s="236"/>
      <c r="AP20" s="239" t="s">
        <v>113</v>
      </c>
      <c r="AR20" s="238" t="s">
        <v>105</v>
      </c>
      <c r="AV20" s="228" t="s">
        <v>373</v>
      </c>
    </row>
    <row r="21" spans="1:48" x14ac:dyDescent="0.15">
      <c r="A21" s="177" t="s">
        <v>34</v>
      </c>
      <c r="B21" s="177" t="s">
        <v>342</v>
      </c>
      <c r="C21" s="178">
        <v>2018</v>
      </c>
      <c r="D21" s="179" t="s">
        <v>525</v>
      </c>
      <c r="E21" s="178" t="s">
        <v>521</v>
      </c>
      <c r="F21" s="177" t="s">
        <v>540</v>
      </c>
      <c r="G21" s="180" t="s">
        <v>36</v>
      </c>
      <c r="H21" s="137" t="s">
        <v>157</v>
      </c>
      <c r="I21" s="137" t="s">
        <v>155</v>
      </c>
      <c r="J21" s="137" t="s">
        <v>38</v>
      </c>
      <c r="K21" s="137" t="s">
        <v>156</v>
      </c>
      <c r="L21" s="208">
        <v>2</v>
      </c>
      <c r="N21" s="208">
        <v>1</v>
      </c>
      <c r="O21" s="208">
        <v>0.45</v>
      </c>
      <c r="P21" s="208">
        <v>0.5</v>
      </c>
      <c r="Q21" s="245">
        <f t="shared" si="0"/>
        <v>0.47499999999999998</v>
      </c>
      <c r="R21" s="197">
        <v>15.5</v>
      </c>
      <c r="S21" s="188">
        <v>119</v>
      </c>
      <c r="T21" s="217">
        <f t="shared" si="1"/>
        <v>30</v>
      </c>
      <c r="U21" s="193">
        <v>68</v>
      </c>
      <c r="V21" s="184">
        <f t="shared" si="2"/>
        <v>2040</v>
      </c>
      <c r="W21" s="190">
        <v>8</v>
      </c>
      <c r="X21" s="186" t="s">
        <v>46</v>
      </c>
      <c r="Y21" s="194" t="s">
        <v>97</v>
      </c>
      <c r="Z21" s="194" t="s">
        <v>90</v>
      </c>
      <c r="AA21" s="195" t="s">
        <v>47</v>
      </c>
      <c r="AB21" s="55" t="s">
        <v>344</v>
      </c>
      <c r="AE21" s="229"/>
      <c r="AP21" s="239" t="s">
        <v>114</v>
      </c>
      <c r="AR21" s="238" t="s">
        <v>68</v>
      </c>
      <c r="AV21" s="228" t="s">
        <v>374</v>
      </c>
    </row>
    <row r="22" spans="1:48" x14ac:dyDescent="0.15">
      <c r="A22" s="177" t="s">
        <v>34</v>
      </c>
      <c r="B22" s="177" t="s">
        <v>342</v>
      </c>
      <c r="C22" s="177">
        <v>2018</v>
      </c>
      <c r="D22" s="179" t="s">
        <v>525</v>
      </c>
      <c r="E22" s="178" t="s">
        <v>521</v>
      </c>
      <c r="F22" s="177" t="s">
        <v>540</v>
      </c>
      <c r="G22" s="180" t="s">
        <v>36</v>
      </c>
      <c r="H22" s="137" t="s">
        <v>157</v>
      </c>
      <c r="I22" s="137" t="s">
        <v>155</v>
      </c>
      <c r="J22" s="137" t="s">
        <v>38</v>
      </c>
      <c r="K22" s="137" t="s">
        <v>156</v>
      </c>
      <c r="L22" s="208">
        <v>3</v>
      </c>
      <c r="N22" s="208">
        <v>1</v>
      </c>
      <c r="O22" s="208">
        <v>0.55000000000000004</v>
      </c>
      <c r="P22" s="235">
        <v>0.6</v>
      </c>
      <c r="Q22" s="245">
        <f t="shared" si="0"/>
        <v>0.57499999999999996</v>
      </c>
      <c r="R22" s="188">
        <v>15.1</v>
      </c>
      <c r="S22" s="188">
        <v>118</v>
      </c>
      <c r="T22" s="217">
        <f t="shared" si="1"/>
        <v>30</v>
      </c>
      <c r="U22" s="193">
        <v>68</v>
      </c>
      <c r="V22" s="184">
        <f t="shared" si="2"/>
        <v>2040</v>
      </c>
      <c r="W22" s="190">
        <v>8</v>
      </c>
      <c r="X22" s="186" t="s">
        <v>46</v>
      </c>
      <c r="Y22" s="194" t="s">
        <v>97</v>
      </c>
      <c r="Z22" s="194" t="s">
        <v>90</v>
      </c>
      <c r="AA22" s="195" t="s">
        <v>47</v>
      </c>
      <c r="AB22" s="55" t="s">
        <v>344</v>
      </c>
      <c r="AP22" s="239" t="s">
        <v>115</v>
      </c>
      <c r="AR22" s="238" t="s">
        <v>83</v>
      </c>
      <c r="AV22" s="224"/>
    </row>
    <row r="23" spans="1:48" x14ac:dyDescent="0.15">
      <c r="A23" s="177" t="s">
        <v>34</v>
      </c>
      <c r="B23" s="177" t="s">
        <v>342</v>
      </c>
      <c r="C23" s="178">
        <v>2018</v>
      </c>
      <c r="D23" s="179" t="s">
        <v>525</v>
      </c>
      <c r="E23" s="178" t="s">
        <v>521</v>
      </c>
      <c r="F23" s="177" t="s">
        <v>540</v>
      </c>
      <c r="G23" s="180" t="s">
        <v>36</v>
      </c>
      <c r="H23" s="137" t="s">
        <v>160</v>
      </c>
      <c r="I23" s="137" t="s">
        <v>155</v>
      </c>
      <c r="J23" s="137" t="s">
        <v>38</v>
      </c>
      <c r="K23" s="137" t="s">
        <v>156</v>
      </c>
      <c r="L23" s="208">
        <v>1</v>
      </c>
      <c r="N23" s="208">
        <v>1</v>
      </c>
      <c r="O23" s="208">
        <v>0.4</v>
      </c>
      <c r="P23" s="235">
        <v>0.45</v>
      </c>
      <c r="Q23" s="245">
        <f t="shared" si="0"/>
        <v>0.42500000000000004</v>
      </c>
      <c r="R23" s="188">
        <v>16.2</v>
      </c>
      <c r="S23" s="188">
        <v>126</v>
      </c>
      <c r="T23" s="217">
        <f t="shared" si="1"/>
        <v>30</v>
      </c>
      <c r="U23" s="193">
        <v>138</v>
      </c>
      <c r="V23" s="184">
        <f t="shared" si="2"/>
        <v>4140</v>
      </c>
      <c r="W23" s="190">
        <v>8</v>
      </c>
      <c r="X23" s="186" t="s">
        <v>46</v>
      </c>
      <c r="Y23" s="194" t="s">
        <v>97</v>
      </c>
      <c r="Z23" s="194" t="s">
        <v>90</v>
      </c>
      <c r="AA23" s="195" t="s">
        <v>47</v>
      </c>
      <c r="AB23" s="55" t="s">
        <v>344</v>
      </c>
      <c r="AP23" s="239" t="s">
        <v>415</v>
      </c>
      <c r="AR23" s="238" t="s">
        <v>61</v>
      </c>
      <c r="AV23" s="224"/>
    </row>
    <row r="24" spans="1:48" x14ac:dyDescent="0.15">
      <c r="A24" s="177" t="s">
        <v>34</v>
      </c>
      <c r="B24" s="177" t="s">
        <v>342</v>
      </c>
      <c r="C24" s="177">
        <v>2018</v>
      </c>
      <c r="D24" s="179" t="s">
        <v>525</v>
      </c>
      <c r="E24" s="178" t="s">
        <v>521</v>
      </c>
      <c r="F24" s="177" t="s">
        <v>540</v>
      </c>
      <c r="G24" s="180" t="s">
        <v>36</v>
      </c>
      <c r="H24" s="137" t="s">
        <v>160</v>
      </c>
      <c r="I24" s="137" t="s">
        <v>155</v>
      </c>
      <c r="J24" s="137" t="s">
        <v>38</v>
      </c>
      <c r="K24" s="137" t="s">
        <v>156</v>
      </c>
      <c r="L24" s="208">
        <v>2</v>
      </c>
      <c r="N24" s="208">
        <v>1</v>
      </c>
      <c r="O24" s="208">
        <v>0.5</v>
      </c>
      <c r="P24" s="235">
        <v>0.45</v>
      </c>
      <c r="Q24" s="245">
        <f t="shared" si="0"/>
        <v>0.47499999999999998</v>
      </c>
      <c r="R24" s="188">
        <v>15.8</v>
      </c>
      <c r="S24" s="188">
        <v>129</v>
      </c>
      <c r="T24" s="217">
        <f t="shared" si="1"/>
        <v>30</v>
      </c>
      <c r="U24" s="193">
        <v>138</v>
      </c>
      <c r="V24" s="184">
        <f t="shared" si="2"/>
        <v>4140</v>
      </c>
      <c r="W24" s="190">
        <v>8</v>
      </c>
      <c r="X24" s="186" t="s">
        <v>46</v>
      </c>
      <c r="Y24" s="194" t="s">
        <v>97</v>
      </c>
      <c r="Z24" s="194" t="s">
        <v>90</v>
      </c>
      <c r="AA24" s="195" t="s">
        <v>47</v>
      </c>
      <c r="AB24" s="55" t="s">
        <v>344</v>
      </c>
      <c r="AP24" s="239" t="s">
        <v>416</v>
      </c>
      <c r="AR24" s="238" t="s">
        <v>91</v>
      </c>
      <c r="AV24" s="224"/>
    </row>
    <row r="25" spans="1:48" x14ac:dyDescent="0.15">
      <c r="A25" s="177" t="s">
        <v>34</v>
      </c>
      <c r="B25" s="177" t="s">
        <v>342</v>
      </c>
      <c r="C25" s="178">
        <v>2018</v>
      </c>
      <c r="D25" s="179" t="s">
        <v>525</v>
      </c>
      <c r="E25" s="178" t="s">
        <v>521</v>
      </c>
      <c r="F25" s="177" t="s">
        <v>540</v>
      </c>
      <c r="G25" s="180" t="s">
        <v>36</v>
      </c>
      <c r="H25" s="137" t="s">
        <v>160</v>
      </c>
      <c r="I25" s="137" t="s">
        <v>155</v>
      </c>
      <c r="J25" s="137" t="s">
        <v>38</v>
      </c>
      <c r="K25" s="137" t="s">
        <v>156</v>
      </c>
      <c r="L25" s="208">
        <v>3</v>
      </c>
      <c r="N25" s="208">
        <v>1</v>
      </c>
      <c r="O25" s="208">
        <v>0.45</v>
      </c>
      <c r="P25" s="235">
        <v>0.5</v>
      </c>
      <c r="Q25" s="245">
        <f t="shared" si="0"/>
        <v>0.47499999999999998</v>
      </c>
      <c r="R25" s="188">
        <v>16.3</v>
      </c>
      <c r="S25" s="188">
        <v>128</v>
      </c>
      <c r="T25" s="217">
        <f t="shared" si="1"/>
        <v>30</v>
      </c>
      <c r="U25" s="193">
        <v>138</v>
      </c>
      <c r="V25" s="184">
        <f t="shared" si="2"/>
        <v>4140</v>
      </c>
      <c r="W25" s="190">
        <v>8</v>
      </c>
      <c r="X25" s="186" t="s">
        <v>46</v>
      </c>
      <c r="Y25" s="194" t="s">
        <v>97</v>
      </c>
      <c r="Z25" s="194" t="s">
        <v>90</v>
      </c>
      <c r="AA25" s="195" t="s">
        <v>47</v>
      </c>
      <c r="AB25" s="55" t="s">
        <v>344</v>
      </c>
      <c r="AP25" s="239" t="s">
        <v>116</v>
      </c>
      <c r="AR25" s="42" t="s">
        <v>92</v>
      </c>
      <c r="AV25" s="224"/>
    </row>
    <row r="26" spans="1:48" x14ac:dyDescent="0.15">
      <c r="A26" s="177" t="s">
        <v>34</v>
      </c>
      <c r="B26" s="177" t="s">
        <v>342</v>
      </c>
      <c r="C26" s="177">
        <v>2018</v>
      </c>
      <c r="D26" s="179" t="s">
        <v>525</v>
      </c>
      <c r="E26" s="178" t="s">
        <v>282</v>
      </c>
      <c r="F26" s="177" t="s">
        <v>283</v>
      </c>
      <c r="G26" s="180" t="s">
        <v>42</v>
      </c>
      <c r="H26" s="137" t="s">
        <v>157</v>
      </c>
      <c r="I26" s="137" t="s">
        <v>155</v>
      </c>
      <c r="J26" s="137" t="s">
        <v>38</v>
      </c>
      <c r="K26" s="137" t="s">
        <v>156</v>
      </c>
      <c r="L26" s="208">
        <v>1</v>
      </c>
      <c r="N26" s="208">
        <v>1</v>
      </c>
      <c r="O26" s="208">
        <v>0.5</v>
      </c>
      <c r="P26" s="237">
        <v>0.45</v>
      </c>
      <c r="Q26" s="245">
        <f t="shared" si="0"/>
        <v>0.47499999999999998</v>
      </c>
      <c r="R26" s="188">
        <v>13.9</v>
      </c>
      <c r="S26" s="188">
        <v>142</v>
      </c>
      <c r="T26" s="217">
        <f t="shared" si="1"/>
        <v>30</v>
      </c>
      <c r="U26" s="193">
        <v>127</v>
      </c>
      <c r="V26" s="184">
        <f t="shared" si="2"/>
        <v>3810</v>
      </c>
      <c r="W26" s="190">
        <v>10</v>
      </c>
      <c r="X26" s="186" t="s">
        <v>46</v>
      </c>
      <c r="Y26" s="195" t="s">
        <v>97</v>
      </c>
      <c r="Z26" s="194" t="s">
        <v>88</v>
      </c>
      <c r="AA26" s="195" t="s">
        <v>47</v>
      </c>
      <c r="AB26" s="55" t="s">
        <v>344</v>
      </c>
      <c r="AP26" s="239" t="s">
        <v>117</v>
      </c>
      <c r="AR26" s="224" t="s">
        <v>294</v>
      </c>
      <c r="AV26" s="228"/>
    </row>
    <row r="27" spans="1:48" x14ac:dyDescent="0.15">
      <c r="A27" s="177" t="s">
        <v>34</v>
      </c>
      <c r="B27" s="177" t="s">
        <v>342</v>
      </c>
      <c r="C27" s="178">
        <v>2018</v>
      </c>
      <c r="D27" s="179" t="s">
        <v>525</v>
      </c>
      <c r="E27" s="178" t="s">
        <v>282</v>
      </c>
      <c r="F27" s="177" t="s">
        <v>283</v>
      </c>
      <c r="G27" s="180" t="s">
        <v>42</v>
      </c>
      <c r="H27" s="137" t="s">
        <v>157</v>
      </c>
      <c r="I27" s="137" t="s">
        <v>155</v>
      </c>
      <c r="J27" s="137" t="s">
        <v>38</v>
      </c>
      <c r="K27" s="137" t="s">
        <v>156</v>
      </c>
      <c r="L27" s="208">
        <v>2</v>
      </c>
      <c r="N27" s="208">
        <v>1</v>
      </c>
      <c r="O27" s="235">
        <v>0.45</v>
      </c>
      <c r="P27" s="237">
        <v>0.5</v>
      </c>
      <c r="Q27" s="245">
        <f t="shared" si="0"/>
        <v>0.47499999999999998</v>
      </c>
      <c r="R27" s="188">
        <v>14.4</v>
      </c>
      <c r="S27" s="188">
        <v>148</v>
      </c>
      <c r="T27" s="217">
        <f t="shared" si="1"/>
        <v>30</v>
      </c>
      <c r="U27" s="193">
        <v>127</v>
      </c>
      <c r="V27" s="184">
        <f t="shared" si="2"/>
        <v>3810</v>
      </c>
      <c r="W27" s="190">
        <v>10</v>
      </c>
      <c r="X27" s="186" t="s">
        <v>46</v>
      </c>
      <c r="Y27" s="195" t="s">
        <v>97</v>
      </c>
      <c r="Z27" s="194" t="s">
        <v>88</v>
      </c>
      <c r="AA27" s="195" t="s">
        <v>47</v>
      </c>
      <c r="AB27" s="55" t="s">
        <v>344</v>
      </c>
      <c r="AP27" s="239" t="s">
        <v>118</v>
      </c>
      <c r="AR27" s="224"/>
    </row>
    <row r="28" spans="1:48" x14ac:dyDescent="0.15">
      <c r="A28" s="177" t="s">
        <v>34</v>
      </c>
      <c r="B28" s="177" t="s">
        <v>342</v>
      </c>
      <c r="C28" s="177">
        <v>2018</v>
      </c>
      <c r="D28" s="179" t="s">
        <v>525</v>
      </c>
      <c r="E28" s="178" t="s">
        <v>282</v>
      </c>
      <c r="F28" s="177" t="s">
        <v>283</v>
      </c>
      <c r="G28" s="180" t="s">
        <v>42</v>
      </c>
      <c r="H28" s="137" t="s">
        <v>157</v>
      </c>
      <c r="I28" s="137" t="s">
        <v>155</v>
      </c>
      <c r="J28" s="137" t="s">
        <v>38</v>
      </c>
      <c r="K28" s="137" t="s">
        <v>156</v>
      </c>
      <c r="L28" s="208">
        <v>3</v>
      </c>
      <c r="N28" s="208">
        <v>1</v>
      </c>
      <c r="O28" s="235">
        <v>0.55000000000000004</v>
      </c>
      <c r="P28" s="208">
        <v>0.45</v>
      </c>
      <c r="Q28" s="245">
        <f t="shared" si="0"/>
        <v>0.5</v>
      </c>
      <c r="R28" s="188">
        <v>14.2</v>
      </c>
      <c r="S28" s="188">
        <v>150</v>
      </c>
      <c r="T28" s="217">
        <f t="shared" si="1"/>
        <v>30</v>
      </c>
      <c r="U28" s="193">
        <v>127</v>
      </c>
      <c r="V28" s="184">
        <f t="shared" si="2"/>
        <v>3810</v>
      </c>
      <c r="W28" s="190">
        <v>10</v>
      </c>
      <c r="X28" s="186" t="s">
        <v>46</v>
      </c>
      <c r="Y28" s="195" t="s">
        <v>97</v>
      </c>
      <c r="Z28" s="194" t="s">
        <v>88</v>
      </c>
      <c r="AA28" s="195" t="s">
        <v>47</v>
      </c>
      <c r="AB28" s="55" t="s">
        <v>344</v>
      </c>
      <c r="AR28" s="224"/>
    </row>
    <row r="29" spans="1:48" x14ac:dyDescent="0.15">
      <c r="A29" s="177" t="s">
        <v>34</v>
      </c>
      <c r="B29" s="177" t="s">
        <v>342</v>
      </c>
      <c r="C29" s="177">
        <v>2018</v>
      </c>
      <c r="D29" s="179" t="s">
        <v>525</v>
      </c>
      <c r="E29" s="178" t="s">
        <v>282</v>
      </c>
      <c r="F29" s="177" t="s">
        <v>283</v>
      </c>
      <c r="G29" s="180" t="s">
        <v>42</v>
      </c>
      <c r="H29" s="137" t="s">
        <v>160</v>
      </c>
      <c r="I29" s="137" t="s">
        <v>155</v>
      </c>
      <c r="J29" s="137" t="s">
        <v>38</v>
      </c>
      <c r="K29" s="137" t="s">
        <v>156</v>
      </c>
      <c r="L29" s="208">
        <v>1</v>
      </c>
      <c r="N29" s="208">
        <v>1</v>
      </c>
      <c r="O29" s="208">
        <v>0.5</v>
      </c>
      <c r="P29" s="208">
        <v>0.5</v>
      </c>
      <c r="Q29" s="245">
        <f t="shared" si="0"/>
        <v>0.5</v>
      </c>
      <c r="R29" s="188">
        <v>16.100000000000001</v>
      </c>
      <c r="S29" s="188">
        <v>162</v>
      </c>
      <c r="T29" s="217">
        <f t="shared" si="1"/>
        <v>30</v>
      </c>
      <c r="U29" s="193">
        <v>127</v>
      </c>
      <c r="V29" s="184">
        <f t="shared" si="2"/>
        <v>3810</v>
      </c>
      <c r="W29" s="190">
        <v>10</v>
      </c>
      <c r="X29" s="186" t="s">
        <v>46</v>
      </c>
      <c r="Y29" s="195" t="s">
        <v>97</v>
      </c>
      <c r="Z29" s="194" t="s">
        <v>88</v>
      </c>
      <c r="AA29" s="195" t="s">
        <v>47</v>
      </c>
      <c r="AB29" s="55" t="s">
        <v>344</v>
      </c>
      <c r="AR29" s="229"/>
    </row>
    <row r="30" spans="1:48" x14ac:dyDescent="0.15">
      <c r="A30" s="177" t="s">
        <v>34</v>
      </c>
      <c r="B30" s="177" t="s">
        <v>342</v>
      </c>
      <c r="C30" s="178">
        <v>2018</v>
      </c>
      <c r="D30" s="179" t="s">
        <v>525</v>
      </c>
      <c r="E30" s="178" t="s">
        <v>282</v>
      </c>
      <c r="F30" s="177" t="s">
        <v>283</v>
      </c>
      <c r="G30" s="180" t="s">
        <v>42</v>
      </c>
      <c r="H30" s="137" t="s">
        <v>160</v>
      </c>
      <c r="I30" s="137" t="s">
        <v>155</v>
      </c>
      <c r="J30" s="137" t="s">
        <v>38</v>
      </c>
      <c r="K30" s="137" t="s">
        <v>156</v>
      </c>
      <c r="L30" s="208">
        <v>2</v>
      </c>
      <c r="N30" s="208">
        <v>1</v>
      </c>
      <c r="O30" s="208">
        <v>0.55000000000000004</v>
      </c>
      <c r="P30" s="208">
        <v>0.5</v>
      </c>
      <c r="Q30" s="245">
        <f t="shared" si="0"/>
        <v>0.52500000000000002</v>
      </c>
      <c r="R30" s="188">
        <v>16.5</v>
      </c>
      <c r="S30" s="188">
        <v>158</v>
      </c>
      <c r="T30" s="217">
        <f t="shared" si="1"/>
        <v>30</v>
      </c>
      <c r="U30" s="193">
        <v>127</v>
      </c>
      <c r="V30" s="184">
        <f t="shared" si="2"/>
        <v>3810</v>
      </c>
      <c r="W30" s="190">
        <v>10</v>
      </c>
      <c r="X30" s="186" t="s">
        <v>46</v>
      </c>
      <c r="Y30" s="195" t="s">
        <v>97</v>
      </c>
      <c r="Z30" s="194" t="s">
        <v>88</v>
      </c>
      <c r="AA30" s="195" t="s">
        <v>47</v>
      </c>
      <c r="AB30" s="55" t="s">
        <v>344</v>
      </c>
    </row>
    <row r="31" spans="1:48" x14ac:dyDescent="0.15">
      <c r="A31" s="177" t="s">
        <v>34</v>
      </c>
      <c r="B31" s="177" t="s">
        <v>342</v>
      </c>
      <c r="C31" s="177">
        <v>2018</v>
      </c>
      <c r="D31" s="179" t="s">
        <v>525</v>
      </c>
      <c r="E31" s="178" t="s">
        <v>282</v>
      </c>
      <c r="F31" s="177" t="s">
        <v>283</v>
      </c>
      <c r="G31" s="180" t="s">
        <v>42</v>
      </c>
      <c r="H31" s="137" t="s">
        <v>160</v>
      </c>
      <c r="I31" s="137" t="s">
        <v>155</v>
      </c>
      <c r="J31" s="137" t="s">
        <v>38</v>
      </c>
      <c r="K31" s="137" t="s">
        <v>156</v>
      </c>
      <c r="L31" s="208">
        <v>3</v>
      </c>
      <c r="N31" s="208">
        <v>1</v>
      </c>
      <c r="O31" s="208">
        <v>0.45</v>
      </c>
      <c r="P31" s="208">
        <v>0.4</v>
      </c>
      <c r="Q31" s="245">
        <f t="shared" si="0"/>
        <v>0.42500000000000004</v>
      </c>
      <c r="R31" s="188">
        <v>16.2</v>
      </c>
      <c r="S31" s="188">
        <v>150</v>
      </c>
      <c r="T31" s="217">
        <f t="shared" si="1"/>
        <v>30</v>
      </c>
      <c r="U31" s="193">
        <v>127</v>
      </c>
      <c r="V31" s="184">
        <f t="shared" si="2"/>
        <v>3810</v>
      </c>
      <c r="W31" s="190">
        <v>10</v>
      </c>
      <c r="X31" s="186" t="s">
        <v>46</v>
      </c>
      <c r="Y31" s="195" t="s">
        <v>97</v>
      </c>
      <c r="Z31" s="194" t="s">
        <v>88</v>
      </c>
      <c r="AA31" s="195" t="s">
        <v>47</v>
      </c>
      <c r="AB31" s="55" t="s">
        <v>344</v>
      </c>
    </row>
    <row r="32" spans="1:48" ht="14.25" customHeight="1" x14ac:dyDescent="0.15">
      <c r="A32" s="177" t="s">
        <v>34</v>
      </c>
      <c r="B32" s="177" t="s">
        <v>342</v>
      </c>
      <c r="C32" s="178">
        <v>2018</v>
      </c>
      <c r="D32" s="179" t="s">
        <v>525</v>
      </c>
      <c r="E32" s="178" t="s">
        <v>541</v>
      </c>
      <c r="F32" s="177" t="s">
        <v>283</v>
      </c>
      <c r="G32" s="180" t="s">
        <v>42</v>
      </c>
      <c r="H32" s="137" t="s">
        <v>157</v>
      </c>
      <c r="I32" s="137" t="s">
        <v>155</v>
      </c>
      <c r="J32" s="137" t="s">
        <v>38</v>
      </c>
      <c r="K32" s="137" t="s">
        <v>156</v>
      </c>
      <c r="L32" s="208">
        <v>1</v>
      </c>
      <c r="N32" s="208">
        <v>1</v>
      </c>
      <c r="O32" s="208">
        <v>0.65</v>
      </c>
      <c r="P32" s="208">
        <v>0.55000000000000004</v>
      </c>
      <c r="Q32" s="245">
        <f t="shared" si="0"/>
        <v>0.60000000000000009</v>
      </c>
      <c r="R32" s="188">
        <v>14</v>
      </c>
      <c r="S32" s="188">
        <v>136</v>
      </c>
      <c r="T32" s="217">
        <f t="shared" si="1"/>
        <v>30</v>
      </c>
      <c r="U32" s="193">
        <v>129</v>
      </c>
      <c r="V32" s="184">
        <f t="shared" si="2"/>
        <v>3870</v>
      </c>
      <c r="W32" s="190">
        <v>2</v>
      </c>
      <c r="X32" s="186" t="s">
        <v>46</v>
      </c>
      <c r="Y32" s="195" t="s">
        <v>69</v>
      </c>
      <c r="Z32" s="194" t="s">
        <v>88</v>
      </c>
      <c r="AA32" s="194" t="s">
        <v>97</v>
      </c>
      <c r="AB32" s="55" t="s">
        <v>344</v>
      </c>
    </row>
    <row r="33" spans="1:28" x14ac:dyDescent="0.15">
      <c r="A33" s="177" t="s">
        <v>34</v>
      </c>
      <c r="B33" s="177" t="s">
        <v>342</v>
      </c>
      <c r="C33" s="177">
        <v>2018</v>
      </c>
      <c r="D33" s="179" t="s">
        <v>525</v>
      </c>
      <c r="E33" s="178" t="s">
        <v>541</v>
      </c>
      <c r="F33" s="177" t="s">
        <v>283</v>
      </c>
      <c r="G33" s="180" t="s">
        <v>42</v>
      </c>
      <c r="H33" s="137" t="s">
        <v>157</v>
      </c>
      <c r="I33" s="137" t="s">
        <v>155</v>
      </c>
      <c r="J33" s="137" t="s">
        <v>38</v>
      </c>
      <c r="K33" s="137" t="s">
        <v>156</v>
      </c>
      <c r="L33" s="208">
        <v>2</v>
      </c>
      <c r="N33" s="208">
        <v>1</v>
      </c>
      <c r="O33" s="208">
        <v>0.8</v>
      </c>
      <c r="P33" s="208">
        <v>0.6</v>
      </c>
      <c r="Q33" s="245">
        <f t="shared" si="0"/>
        <v>0.7</v>
      </c>
      <c r="R33" s="188">
        <v>13.7</v>
      </c>
      <c r="S33" s="188">
        <v>124</v>
      </c>
      <c r="T33" s="217">
        <f t="shared" si="1"/>
        <v>30</v>
      </c>
      <c r="U33" s="193">
        <v>129</v>
      </c>
      <c r="V33" s="184">
        <f t="shared" si="2"/>
        <v>3870</v>
      </c>
      <c r="W33" s="190">
        <v>2</v>
      </c>
      <c r="X33" s="186" t="s">
        <v>46</v>
      </c>
      <c r="Y33" s="195" t="s">
        <v>69</v>
      </c>
      <c r="Z33" s="194" t="s">
        <v>88</v>
      </c>
      <c r="AA33" s="194" t="s">
        <v>97</v>
      </c>
      <c r="AB33" s="55" t="s">
        <v>344</v>
      </c>
    </row>
    <row r="34" spans="1:28" x14ac:dyDescent="0.15">
      <c r="A34" s="177" t="s">
        <v>34</v>
      </c>
      <c r="B34" s="177" t="s">
        <v>342</v>
      </c>
      <c r="C34" s="178">
        <v>2018</v>
      </c>
      <c r="D34" s="179" t="s">
        <v>525</v>
      </c>
      <c r="E34" s="178" t="s">
        <v>541</v>
      </c>
      <c r="F34" s="177" t="s">
        <v>283</v>
      </c>
      <c r="G34" s="180" t="s">
        <v>42</v>
      </c>
      <c r="H34" s="137" t="s">
        <v>157</v>
      </c>
      <c r="I34" s="137" t="s">
        <v>155</v>
      </c>
      <c r="J34" s="137" t="s">
        <v>38</v>
      </c>
      <c r="K34" s="137" t="s">
        <v>156</v>
      </c>
      <c r="L34" s="208">
        <v>3</v>
      </c>
      <c r="N34" s="208">
        <v>1</v>
      </c>
      <c r="O34" s="208">
        <v>0.6</v>
      </c>
      <c r="P34" s="235">
        <v>0.65</v>
      </c>
      <c r="Q34" s="245">
        <f t="shared" si="0"/>
        <v>0.625</v>
      </c>
      <c r="R34" s="188">
        <v>14.4</v>
      </c>
      <c r="S34" s="188">
        <v>135</v>
      </c>
      <c r="T34" s="217">
        <f t="shared" si="1"/>
        <v>30</v>
      </c>
      <c r="U34" s="193">
        <v>129</v>
      </c>
      <c r="V34" s="184">
        <f t="shared" si="2"/>
        <v>3870</v>
      </c>
      <c r="W34" s="190">
        <v>2</v>
      </c>
      <c r="X34" s="186" t="s">
        <v>46</v>
      </c>
      <c r="Y34" s="195" t="s">
        <v>69</v>
      </c>
      <c r="Z34" s="194" t="s">
        <v>88</v>
      </c>
      <c r="AA34" s="194" t="s">
        <v>97</v>
      </c>
      <c r="AB34" s="55" t="s">
        <v>344</v>
      </c>
    </row>
    <row r="35" spans="1:28" x14ac:dyDescent="0.15">
      <c r="A35" s="177" t="s">
        <v>34</v>
      </c>
      <c r="B35" s="177" t="s">
        <v>342</v>
      </c>
      <c r="C35" s="177">
        <v>2018</v>
      </c>
      <c r="D35" s="179" t="s">
        <v>525</v>
      </c>
      <c r="E35" s="178" t="s">
        <v>541</v>
      </c>
      <c r="F35" s="177" t="s">
        <v>283</v>
      </c>
      <c r="G35" s="180" t="s">
        <v>42</v>
      </c>
      <c r="H35" s="137" t="s">
        <v>160</v>
      </c>
      <c r="I35" s="137" t="s">
        <v>155</v>
      </c>
      <c r="J35" s="137" t="s">
        <v>38</v>
      </c>
      <c r="K35" s="137" t="s">
        <v>156</v>
      </c>
      <c r="L35" s="208">
        <v>1</v>
      </c>
      <c r="N35" s="208">
        <v>1</v>
      </c>
      <c r="O35" s="208">
        <v>0.5</v>
      </c>
      <c r="P35" s="208">
        <v>0.55000000000000004</v>
      </c>
      <c r="Q35" s="245">
        <f t="shared" si="0"/>
        <v>0.52500000000000002</v>
      </c>
      <c r="R35" s="188">
        <v>15.5</v>
      </c>
      <c r="S35" s="188">
        <v>140</v>
      </c>
      <c r="T35" s="217">
        <f t="shared" si="1"/>
        <v>30</v>
      </c>
      <c r="U35" s="193">
        <v>129</v>
      </c>
      <c r="V35" s="184">
        <f t="shared" si="2"/>
        <v>3870</v>
      </c>
      <c r="W35" s="190">
        <v>2</v>
      </c>
      <c r="X35" s="186" t="s">
        <v>46</v>
      </c>
      <c r="Y35" s="194" t="s">
        <v>69</v>
      </c>
      <c r="Z35" s="194" t="s">
        <v>88</v>
      </c>
      <c r="AA35" s="194" t="s">
        <v>97</v>
      </c>
      <c r="AB35" s="55" t="s">
        <v>344</v>
      </c>
    </row>
    <row r="36" spans="1:28" x14ac:dyDescent="0.15">
      <c r="A36" s="177" t="s">
        <v>34</v>
      </c>
      <c r="B36" s="177" t="s">
        <v>342</v>
      </c>
      <c r="C36" s="178">
        <v>2018</v>
      </c>
      <c r="D36" s="179" t="s">
        <v>525</v>
      </c>
      <c r="E36" s="178" t="s">
        <v>541</v>
      </c>
      <c r="F36" s="177" t="s">
        <v>283</v>
      </c>
      <c r="G36" s="180" t="s">
        <v>42</v>
      </c>
      <c r="H36" s="137" t="s">
        <v>160</v>
      </c>
      <c r="I36" s="137" t="s">
        <v>155</v>
      </c>
      <c r="J36" s="137" t="s">
        <v>38</v>
      </c>
      <c r="K36" s="137" t="s">
        <v>156</v>
      </c>
      <c r="L36" s="208">
        <v>2</v>
      </c>
      <c r="N36" s="208">
        <v>1</v>
      </c>
      <c r="O36" s="208">
        <v>0.55000000000000004</v>
      </c>
      <c r="P36" s="208">
        <v>0.5</v>
      </c>
      <c r="Q36" s="245">
        <f t="shared" si="0"/>
        <v>0.52500000000000002</v>
      </c>
      <c r="R36" s="188">
        <v>15.8</v>
      </c>
      <c r="S36" s="188">
        <v>136</v>
      </c>
      <c r="T36" s="217">
        <f t="shared" si="1"/>
        <v>30</v>
      </c>
      <c r="U36" s="193">
        <v>129</v>
      </c>
      <c r="V36" s="184">
        <f t="shared" si="2"/>
        <v>3870</v>
      </c>
      <c r="W36" s="190">
        <v>2</v>
      </c>
      <c r="X36" s="186" t="s">
        <v>46</v>
      </c>
      <c r="Y36" s="194" t="s">
        <v>69</v>
      </c>
      <c r="Z36" s="194" t="s">
        <v>88</v>
      </c>
      <c r="AA36" s="194" t="s">
        <v>97</v>
      </c>
      <c r="AB36" s="55" t="s">
        <v>344</v>
      </c>
    </row>
    <row r="37" spans="1:28" x14ac:dyDescent="0.15">
      <c r="A37" s="177" t="s">
        <v>34</v>
      </c>
      <c r="B37" s="177" t="s">
        <v>342</v>
      </c>
      <c r="C37" s="177">
        <v>2018</v>
      </c>
      <c r="D37" s="179" t="s">
        <v>525</v>
      </c>
      <c r="E37" s="178" t="s">
        <v>541</v>
      </c>
      <c r="F37" s="177" t="s">
        <v>283</v>
      </c>
      <c r="G37" s="180" t="s">
        <v>42</v>
      </c>
      <c r="H37" s="137" t="s">
        <v>160</v>
      </c>
      <c r="I37" s="137" t="s">
        <v>155</v>
      </c>
      <c r="J37" s="137" t="s">
        <v>38</v>
      </c>
      <c r="K37" s="137" t="s">
        <v>156</v>
      </c>
      <c r="L37" s="208">
        <v>3</v>
      </c>
      <c r="N37" s="208">
        <v>1</v>
      </c>
      <c r="O37" s="208">
        <v>0.4</v>
      </c>
      <c r="P37" s="208">
        <v>0.4</v>
      </c>
      <c r="Q37" s="245">
        <f t="shared" si="0"/>
        <v>0.4</v>
      </c>
      <c r="R37" s="188">
        <v>15.4</v>
      </c>
      <c r="S37" s="188">
        <v>144</v>
      </c>
      <c r="T37" s="217">
        <f t="shared" si="1"/>
        <v>30</v>
      </c>
      <c r="U37" s="193">
        <v>129</v>
      </c>
      <c r="V37" s="184">
        <f t="shared" si="2"/>
        <v>3870</v>
      </c>
      <c r="W37" s="190">
        <v>2</v>
      </c>
      <c r="X37" s="186" t="s">
        <v>46</v>
      </c>
      <c r="Y37" s="194" t="s">
        <v>69</v>
      </c>
      <c r="Z37" s="194" t="s">
        <v>88</v>
      </c>
      <c r="AA37" s="194" t="s">
        <v>97</v>
      </c>
      <c r="AB37" s="55" t="s">
        <v>344</v>
      </c>
    </row>
    <row r="38" spans="1:28" x14ac:dyDescent="0.15">
      <c r="A38" s="177" t="s">
        <v>34</v>
      </c>
      <c r="B38" s="177" t="s">
        <v>342</v>
      </c>
      <c r="C38" s="178">
        <v>2018</v>
      </c>
      <c r="D38" s="179" t="s">
        <v>525</v>
      </c>
      <c r="E38" s="178" t="s">
        <v>282</v>
      </c>
      <c r="F38" s="177" t="s">
        <v>292</v>
      </c>
      <c r="G38" s="180" t="s">
        <v>42</v>
      </c>
      <c r="H38" s="137" t="s">
        <v>157</v>
      </c>
      <c r="I38" s="137" t="s">
        <v>155</v>
      </c>
      <c r="J38" s="137" t="s">
        <v>38</v>
      </c>
      <c r="K38" s="137" t="s">
        <v>156</v>
      </c>
      <c r="L38" s="208">
        <v>1</v>
      </c>
      <c r="N38" s="208">
        <v>1</v>
      </c>
      <c r="O38" s="208">
        <v>0.5</v>
      </c>
      <c r="P38" s="208">
        <v>0.45</v>
      </c>
      <c r="Q38" s="245">
        <f t="shared" si="0"/>
        <v>0.47499999999999998</v>
      </c>
      <c r="R38" s="188">
        <v>14.4</v>
      </c>
      <c r="S38" s="188">
        <v>142</v>
      </c>
      <c r="T38" s="217">
        <f t="shared" si="1"/>
        <v>30</v>
      </c>
      <c r="U38" s="193">
        <v>127</v>
      </c>
      <c r="V38" s="184">
        <f t="shared" si="2"/>
        <v>3810</v>
      </c>
      <c r="W38" s="190">
        <v>8</v>
      </c>
      <c r="X38" s="186" t="s">
        <v>46</v>
      </c>
      <c r="Y38" s="194" t="s">
        <v>88</v>
      </c>
      <c r="Z38" s="194" t="s">
        <v>69</v>
      </c>
      <c r="AA38" s="194" t="s">
        <v>97</v>
      </c>
      <c r="AB38" s="55" t="s">
        <v>344</v>
      </c>
    </row>
    <row r="39" spans="1:28" x14ac:dyDescent="0.15">
      <c r="A39" s="177" t="s">
        <v>34</v>
      </c>
      <c r="B39" s="177" t="s">
        <v>342</v>
      </c>
      <c r="C39" s="177">
        <v>2018</v>
      </c>
      <c r="D39" s="179" t="s">
        <v>525</v>
      </c>
      <c r="E39" s="178" t="s">
        <v>282</v>
      </c>
      <c r="F39" s="177" t="s">
        <v>292</v>
      </c>
      <c r="G39" s="180" t="s">
        <v>42</v>
      </c>
      <c r="H39" s="137" t="s">
        <v>157</v>
      </c>
      <c r="I39" s="137" t="s">
        <v>155</v>
      </c>
      <c r="J39" s="137" t="s">
        <v>38</v>
      </c>
      <c r="K39" s="137" t="s">
        <v>156</v>
      </c>
      <c r="L39" s="208">
        <v>2</v>
      </c>
      <c r="N39" s="208">
        <v>1</v>
      </c>
      <c r="O39" s="208">
        <v>0.45</v>
      </c>
      <c r="P39" s="208">
        <v>0.4</v>
      </c>
      <c r="Q39" s="245">
        <f t="shared" si="0"/>
        <v>0.42500000000000004</v>
      </c>
      <c r="R39" s="188">
        <v>15.4</v>
      </c>
      <c r="S39" s="188">
        <v>141</v>
      </c>
      <c r="T39" s="217">
        <f t="shared" si="1"/>
        <v>30</v>
      </c>
      <c r="U39" s="193">
        <v>127</v>
      </c>
      <c r="V39" s="184">
        <f t="shared" si="2"/>
        <v>3810</v>
      </c>
      <c r="W39" s="190">
        <v>8</v>
      </c>
      <c r="X39" s="186" t="s">
        <v>46</v>
      </c>
      <c r="Y39" s="194" t="s">
        <v>88</v>
      </c>
      <c r="Z39" s="194" t="s">
        <v>69</v>
      </c>
      <c r="AA39" s="194" t="s">
        <v>97</v>
      </c>
      <c r="AB39" s="55" t="s">
        <v>344</v>
      </c>
    </row>
    <row r="40" spans="1:28" ht="12.75" customHeight="1" x14ac:dyDescent="0.15">
      <c r="A40" s="177" t="s">
        <v>34</v>
      </c>
      <c r="B40" s="177" t="s">
        <v>342</v>
      </c>
      <c r="C40" s="178">
        <v>2018</v>
      </c>
      <c r="D40" s="179" t="s">
        <v>525</v>
      </c>
      <c r="E40" s="178" t="s">
        <v>282</v>
      </c>
      <c r="F40" s="177" t="s">
        <v>292</v>
      </c>
      <c r="G40" s="180" t="s">
        <v>42</v>
      </c>
      <c r="H40" s="137" t="s">
        <v>157</v>
      </c>
      <c r="I40" s="137" t="s">
        <v>155</v>
      </c>
      <c r="J40" s="137" t="s">
        <v>38</v>
      </c>
      <c r="K40" s="137" t="s">
        <v>156</v>
      </c>
      <c r="L40" s="208">
        <v>3</v>
      </c>
      <c r="N40" s="208">
        <v>1</v>
      </c>
      <c r="O40" s="208">
        <v>0.45</v>
      </c>
      <c r="P40" s="208">
        <v>0.4</v>
      </c>
      <c r="Q40" s="245">
        <f t="shared" si="0"/>
        <v>0.42500000000000004</v>
      </c>
      <c r="R40" s="188">
        <v>15.2</v>
      </c>
      <c r="S40" s="188">
        <v>138</v>
      </c>
      <c r="T40" s="217">
        <f t="shared" si="1"/>
        <v>30</v>
      </c>
      <c r="U40" s="193">
        <v>127</v>
      </c>
      <c r="V40" s="184">
        <f t="shared" si="2"/>
        <v>3810</v>
      </c>
      <c r="W40" s="190">
        <v>8</v>
      </c>
      <c r="X40" s="186" t="s">
        <v>46</v>
      </c>
      <c r="Y40" s="194" t="s">
        <v>88</v>
      </c>
      <c r="Z40" s="194" t="s">
        <v>69</v>
      </c>
      <c r="AA40" s="194" t="s">
        <v>97</v>
      </c>
      <c r="AB40" s="55" t="s">
        <v>344</v>
      </c>
    </row>
    <row r="41" spans="1:28" ht="12.75" customHeight="1" x14ac:dyDescent="0.15">
      <c r="A41" s="137" t="s">
        <v>34</v>
      </c>
      <c r="B41" s="177" t="s">
        <v>342</v>
      </c>
      <c r="C41" s="178">
        <v>2018</v>
      </c>
      <c r="D41" s="179" t="s">
        <v>525</v>
      </c>
      <c r="E41" s="178" t="s">
        <v>282</v>
      </c>
      <c r="F41" s="177" t="s">
        <v>292</v>
      </c>
      <c r="G41" s="180" t="s">
        <v>42</v>
      </c>
      <c r="H41" s="137" t="s">
        <v>160</v>
      </c>
      <c r="I41" s="137" t="s">
        <v>155</v>
      </c>
      <c r="J41" s="137" t="s">
        <v>38</v>
      </c>
      <c r="K41" s="137" t="s">
        <v>156</v>
      </c>
      <c r="L41" s="208">
        <v>1</v>
      </c>
      <c r="N41" s="208">
        <v>1</v>
      </c>
      <c r="O41" s="208">
        <v>0.5</v>
      </c>
      <c r="P41" s="208">
        <v>0.55000000000000004</v>
      </c>
      <c r="Q41" s="245">
        <f t="shared" si="0"/>
        <v>0.52500000000000002</v>
      </c>
      <c r="R41" s="188">
        <v>16.3</v>
      </c>
      <c r="S41" s="188">
        <v>155</v>
      </c>
      <c r="T41" s="217">
        <f t="shared" si="1"/>
        <v>30</v>
      </c>
      <c r="U41" s="193">
        <v>127</v>
      </c>
      <c r="V41" s="184">
        <f t="shared" si="2"/>
        <v>3810</v>
      </c>
      <c r="W41" s="247">
        <v>8</v>
      </c>
      <c r="X41" s="186" t="s">
        <v>46</v>
      </c>
      <c r="Y41" s="198" t="s">
        <v>88</v>
      </c>
      <c r="Z41" s="198" t="s">
        <v>69</v>
      </c>
      <c r="AA41" s="198" t="s">
        <v>97</v>
      </c>
      <c r="AB41" s="55" t="s">
        <v>344</v>
      </c>
    </row>
    <row r="42" spans="1:28" ht="12.75" customHeight="1" x14ac:dyDescent="0.15">
      <c r="A42" s="137" t="s">
        <v>34</v>
      </c>
      <c r="B42" s="177" t="s">
        <v>342</v>
      </c>
      <c r="C42" s="178">
        <v>2018</v>
      </c>
      <c r="D42" s="179" t="s">
        <v>525</v>
      </c>
      <c r="E42" s="178" t="s">
        <v>282</v>
      </c>
      <c r="F42" s="177" t="s">
        <v>292</v>
      </c>
      <c r="G42" s="180" t="s">
        <v>42</v>
      </c>
      <c r="H42" s="137" t="s">
        <v>160</v>
      </c>
      <c r="I42" s="137" t="s">
        <v>155</v>
      </c>
      <c r="J42" s="137" t="s">
        <v>38</v>
      </c>
      <c r="K42" s="137" t="s">
        <v>156</v>
      </c>
      <c r="L42" s="208">
        <v>2</v>
      </c>
      <c r="N42" s="208">
        <v>1</v>
      </c>
      <c r="O42" s="208">
        <v>0.45</v>
      </c>
      <c r="P42" s="208">
        <v>0.5</v>
      </c>
      <c r="Q42" s="245">
        <f t="shared" si="0"/>
        <v>0.47499999999999998</v>
      </c>
      <c r="R42" s="188">
        <v>15.7</v>
      </c>
      <c r="S42" s="188">
        <v>174</v>
      </c>
      <c r="T42" s="217">
        <f t="shared" si="1"/>
        <v>30</v>
      </c>
      <c r="U42" s="193">
        <v>127</v>
      </c>
      <c r="V42" s="184">
        <f t="shared" si="2"/>
        <v>3810</v>
      </c>
      <c r="W42" s="247">
        <v>8</v>
      </c>
      <c r="X42" s="186" t="s">
        <v>46</v>
      </c>
      <c r="Y42" s="198" t="s">
        <v>88</v>
      </c>
      <c r="Z42" s="198" t="s">
        <v>69</v>
      </c>
      <c r="AA42" s="198" t="s">
        <v>97</v>
      </c>
      <c r="AB42" s="55" t="s">
        <v>344</v>
      </c>
    </row>
    <row r="43" spans="1:28" ht="12.75" customHeight="1" x14ac:dyDescent="0.15">
      <c r="A43" s="137" t="s">
        <v>34</v>
      </c>
      <c r="B43" s="177" t="s">
        <v>342</v>
      </c>
      <c r="C43" s="178">
        <v>2018</v>
      </c>
      <c r="D43" s="179" t="s">
        <v>525</v>
      </c>
      <c r="E43" s="178" t="s">
        <v>282</v>
      </c>
      <c r="F43" s="177" t="s">
        <v>292</v>
      </c>
      <c r="G43" s="180" t="s">
        <v>42</v>
      </c>
      <c r="H43" s="137" t="s">
        <v>160</v>
      </c>
      <c r="I43" s="137" t="s">
        <v>155</v>
      </c>
      <c r="J43" s="137" t="s">
        <v>38</v>
      </c>
      <c r="K43" s="137" t="s">
        <v>156</v>
      </c>
      <c r="L43" s="208">
        <v>3</v>
      </c>
      <c r="N43" s="208">
        <v>1</v>
      </c>
      <c r="O43" s="208">
        <v>0.4</v>
      </c>
      <c r="P43" s="208">
        <v>0.4</v>
      </c>
      <c r="Q43" s="245">
        <f t="shared" si="0"/>
        <v>0.4</v>
      </c>
      <c r="R43" s="188">
        <v>16.2</v>
      </c>
      <c r="S43" s="188">
        <v>173</v>
      </c>
      <c r="T43" s="217">
        <f t="shared" si="1"/>
        <v>30</v>
      </c>
      <c r="U43" s="193">
        <v>127</v>
      </c>
      <c r="V43" s="184">
        <f t="shared" si="2"/>
        <v>3810</v>
      </c>
      <c r="W43" s="247">
        <v>8</v>
      </c>
      <c r="X43" s="186" t="s">
        <v>46</v>
      </c>
      <c r="Y43" s="198" t="s">
        <v>88</v>
      </c>
      <c r="Z43" s="198" t="s">
        <v>69</v>
      </c>
      <c r="AA43" s="198" t="s">
        <v>97</v>
      </c>
      <c r="AB43" s="55" t="s">
        <v>344</v>
      </c>
    </row>
    <row r="44" spans="1:28" x14ac:dyDescent="0.15">
      <c r="A44" s="208" t="s">
        <v>34</v>
      </c>
      <c r="B44" s="177" t="s">
        <v>342</v>
      </c>
      <c r="C44" s="178">
        <v>2018</v>
      </c>
      <c r="D44" s="179" t="s">
        <v>525</v>
      </c>
      <c r="E44" s="178" t="s">
        <v>139</v>
      </c>
      <c r="F44" s="177" t="s">
        <v>292</v>
      </c>
      <c r="G44" s="180" t="s">
        <v>36</v>
      </c>
      <c r="H44" s="137" t="s">
        <v>157</v>
      </c>
      <c r="I44" s="137" t="s">
        <v>155</v>
      </c>
      <c r="J44" s="247" t="s">
        <v>38</v>
      </c>
      <c r="K44" s="137" t="s">
        <v>156</v>
      </c>
      <c r="L44" s="208">
        <v>1</v>
      </c>
      <c r="N44" s="208">
        <v>1</v>
      </c>
      <c r="O44" s="208">
        <v>0.85</v>
      </c>
      <c r="P44" s="208">
        <v>0.7</v>
      </c>
      <c r="Q44" s="245">
        <f t="shared" si="0"/>
        <v>0.77499999999999991</v>
      </c>
      <c r="R44" s="188">
        <v>13.4</v>
      </c>
      <c r="S44" s="188">
        <v>138</v>
      </c>
      <c r="T44" s="217">
        <f t="shared" si="1"/>
        <v>30</v>
      </c>
      <c r="U44" s="193">
        <v>108</v>
      </c>
      <c r="V44" s="217">
        <f t="shared" si="2"/>
        <v>3240</v>
      </c>
      <c r="W44" s="208">
        <v>10</v>
      </c>
      <c r="X44" s="186" t="s">
        <v>46</v>
      </c>
      <c r="Y44" s="198" t="s">
        <v>88</v>
      </c>
      <c r="Z44" s="198" t="s">
        <v>97</v>
      </c>
      <c r="AA44" s="198" t="s">
        <v>86</v>
      </c>
      <c r="AB44" s="55" t="s">
        <v>344</v>
      </c>
    </row>
    <row r="45" spans="1:28" x14ac:dyDescent="0.15">
      <c r="A45" s="208" t="s">
        <v>34</v>
      </c>
      <c r="B45" s="177" t="s">
        <v>342</v>
      </c>
      <c r="C45" s="177">
        <v>2018</v>
      </c>
      <c r="D45" s="179" t="s">
        <v>525</v>
      </c>
      <c r="E45" s="178" t="s">
        <v>139</v>
      </c>
      <c r="F45" s="177" t="s">
        <v>292</v>
      </c>
      <c r="G45" s="180" t="s">
        <v>36</v>
      </c>
      <c r="H45" s="137" t="s">
        <v>157</v>
      </c>
      <c r="I45" s="137" t="s">
        <v>155</v>
      </c>
      <c r="J45" s="247" t="s">
        <v>38</v>
      </c>
      <c r="K45" s="137" t="s">
        <v>156</v>
      </c>
      <c r="L45" s="208">
        <v>2</v>
      </c>
      <c r="N45" s="208">
        <v>1</v>
      </c>
      <c r="O45" s="208">
        <v>0.7</v>
      </c>
      <c r="P45" s="208">
        <v>0.75</v>
      </c>
      <c r="Q45" s="245">
        <f t="shared" si="0"/>
        <v>0.72499999999999998</v>
      </c>
      <c r="R45" s="188">
        <v>14.1</v>
      </c>
      <c r="S45" s="188">
        <v>148</v>
      </c>
      <c r="T45" s="217">
        <f t="shared" si="1"/>
        <v>30</v>
      </c>
      <c r="U45" s="193">
        <v>108</v>
      </c>
      <c r="V45" s="217">
        <f t="shared" si="2"/>
        <v>3240</v>
      </c>
      <c r="W45" s="208">
        <v>10</v>
      </c>
      <c r="X45" s="186" t="s">
        <v>46</v>
      </c>
      <c r="Y45" s="198" t="s">
        <v>88</v>
      </c>
      <c r="Z45" s="198" t="s">
        <v>97</v>
      </c>
      <c r="AA45" s="198" t="s">
        <v>86</v>
      </c>
      <c r="AB45" s="55" t="s">
        <v>344</v>
      </c>
    </row>
    <row r="46" spans="1:28" x14ac:dyDescent="0.15">
      <c r="A46" s="208" t="s">
        <v>34</v>
      </c>
      <c r="B46" s="177" t="s">
        <v>342</v>
      </c>
      <c r="C46" s="178">
        <v>2018</v>
      </c>
      <c r="D46" s="179" t="s">
        <v>525</v>
      </c>
      <c r="E46" s="178" t="s">
        <v>139</v>
      </c>
      <c r="F46" s="177" t="s">
        <v>292</v>
      </c>
      <c r="G46" s="180" t="s">
        <v>36</v>
      </c>
      <c r="H46" s="137" t="s">
        <v>157</v>
      </c>
      <c r="I46" s="137" t="s">
        <v>155</v>
      </c>
      <c r="J46" s="247" t="s">
        <v>38</v>
      </c>
      <c r="K46" s="137" t="s">
        <v>156</v>
      </c>
      <c r="L46" s="208">
        <v>3</v>
      </c>
      <c r="N46" s="208">
        <v>1</v>
      </c>
      <c r="O46" s="208">
        <v>0.8</v>
      </c>
      <c r="P46" s="208">
        <v>0.65</v>
      </c>
      <c r="Q46" s="245">
        <f t="shared" si="0"/>
        <v>0.72500000000000009</v>
      </c>
      <c r="R46" s="188">
        <v>14.3</v>
      </c>
      <c r="S46" s="188">
        <v>141</v>
      </c>
      <c r="T46" s="217">
        <f t="shared" si="1"/>
        <v>30</v>
      </c>
      <c r="U46" s="193">
        <v>108</v>
      </c>
      <c r="V46" s="217">
        <f t="shared" si="2"/>
        <v>3240</v>
      </c>
      <c r="W46" s="208">
        <v>10</v>
      </c>
      <c r="X46" s="186" t="s">
        <v>46</v>
      </c>
      <c r="Y46" s="198" t="s">
        <v>88</v>
      </c>
      <c r="Z46" s="198" t="s">
        <v>97</v>
      </c>
      <c r="AA46" s="198" t="s">
        <v>86</v>
      </c>
      <c r="AB46" s="55" t="s">
        <v>344</v>
      </c>
    </row>
    <row r="47" spans="1:28" x14ac:dyDescent="0.15">
      <c r="A47" s="208" t="s">
        <v>34</v>
      </c>
      <c r="B47" s="235" t="s">
        <v>342</v>
      </c>
      <c r="C47" s="208">
        <v>2018</v>
      </c>
      <c r="D47" s="179" t="s">
        <v>525</v>
      </c>
      <c r="E47" s="208" t="s">
        <v>139</v>
      </c>
      <c r="F47" s="177" t="s">
        <v>292</v>
      </c>
      <c r="G47" s="180" t="s">
        <v>36</v>
      </c>
      <c r="H47" s="137" t="s">
        <v>160</v>
      </c>
      <c r="I47" s="137" t="s">
        <v>155</v>
      </c>
      <c r="J47" s="247" t="s">
        <v>38</v>
      </c>
      <c r="K47" s="137" t="s">
        <v>156</v>
      </c>
      <c r="L47" s="208">
        <v>1</v>
      </c>
      <c r="N47" s="208">
        <v>1</v>
      </c>
      <c r="O47" s="208">
        <v>0.6</v>
      </c>
      <c r="P47" s="208">
        <v>0.5</v>
      </c>
      <c r="Q47" s="245">
        <f t="shared" si="0"/>
        <v>0.55000000000000004</v>
      </c>
      <c r="R47" s="188">
        <v>15.5</v>
      </c>
      <c r="S47" s="188">
        <v>148</v>
      </c>
      <c r="T47" s="217">
        <f t="shared" si="1"/>
        <v>30</v>
      </c>
      <c r="U47" s="208">
        <v>148</v>
      </c>
      <c r="V47" s="217">
        <f t="shared" si="2"/>
        <v>4440</v>
      </c>
      <c r="W47" s="208">
        <v>10</v>
      </c>
      <c r="X47" s="186" t="s">
        <v>46</v>
      </c>
      <c r="Y47" s="208" t="s">
        <v>88</v>
      </c>
      <c r="Z47" s="208" t="s">
        <v>97</v>
      </c>
      <c r="AA47" s="208" t="s">
        <v>86</v>
      </c>
      <c r="AB47" s="55" t="s">
        <v>344</v>
      </c>
    </row>
    <row r="48" spans="1:28" x14ac:dyDescent="0.15">
      <c r="A48" s="208" t="s">
        <v>34</v>
      </c>
      <c r="B48" s="235" t="s">
        <v>342</v>
      </c>
      <c r="C48" s="208">
        <v>2018</v>
      </c>
      <c r="D48" s="179" t="s">
        <v>525</v>
      </c>
      <c r="E48" s="208" t="s">
        <v>139</v>
      </c>
      <c r="F48" s="177" t="s">
        <v>292</v>
      </c>
      <c r="G48" s="180" t="s">
        <v>36</v>
      </c>
      <c r="H48" s="137" t="s">
        <v>160</v>
      </c>
      <c r="I48" s="137" t="s">
        <v>155</v>
      </c>
      <c r="J48" s="247" t="s">
        <v>38</v>
      </c>
      <c r="K48" s="137" t="s">
        <v>156</v>
      </c>
      <c r="L48" s="208">
        <v>2</v>
      </c>
      <c r="N48" s="208">
        <v>1</v>
      </c>
      <c r="O48" s="208">
        <v>0.55000000000000004</v>
      </c>
      <c r="P48" s="208">
        <v>0.5</v>
      </c>
      <c r="Q48" s="245">
        <f t="shared" si="0"/>
        <v>0.52500000000000002</v>
      </c>
      <c r="R48" s="188">
        <v>16</v>
      </c>
      <c r="S48" s="188">
        <v>133</v>
      </c>
      <c r="T48" s="217">
        <f t="shared" si="1"/>
        <v>30</v>
      </c>
      <c r="U48" s="208">
        <v>148</v>
      </c>
      <c r="V48" s="217">
        <f t="shared" si="2"/>
        <v>4440</v>
      </c>
      <c r="W48" s="208">
        <v>10</v>
      </c>
      <c r="X48" s="186" t="s">
        <v>46</v>
      </c>
      <c r="Y48" s="208" t="s">
        <v>88</v>
      </c>
      <c r="Z48" s="208" t="s">
        <v>97</v>
      </c>
      <c r="AA48" s="208" t="s">
        <v>86</v>
      </c>
      <c r="AB48" s="55" t="s">
        <v>344</v>
      </c>
    </row>
    <row r="49" spans="1:28" x14ac:dyDescent="0.15">
      <c r="A49" s="208" t="s">
        <v>34</v>
      </c>
      <c r="B49" s="235" t="s">
        <v>342</v>
      </c>
      <c r="C49" s="208">
        <v>2018</v>
      </c>
      <c r="D49" s="179" t="s">
        <v>525</v>
      </c>
      <c r="E49" s="208" t="s">
        <v>139</v>
      </c>
      <c r="F49" s="177" t="s">
        <v>292</v>
      </c>
      <c r="G49" s="180" t="s">
        <v>36</v>
      </c>
      <c r="H49" s="137" t="s">
        <v>160</v>
      </c>
      <c r="I49" s="137" t="s">
        <v>155</v>
      </c>
      <c r="J49" s="247" t="s">
        <v>38</v>
      </c>
      <c r="K49" s="137" t="s">
        <v>156</v>
      </c>
      <c r="L49" s="208">
        <v>3</v>
      </c>
      <c r="N49" s="208">
        <v>1</v>
      </c>
      <c r="O49" s="208">
        <v>0.5</v>
      </c>
      <c r="P49" s="208">
        <v>0.4</v>
      </c>
      <c r="Q49" s="245">
        <f t="shared" si="0"/>
        <v>0.45</v>
      </c>
      <c r="R49" s="188">
        <v>16.2</v>
      </c>
      <c r="S49" s="188">
        <v>151</v>
      </c>
      <c r="T49" s="217">
        <f t="shared" si="1"/>
        <v>30</v>
      </c>
      <c r="U49" s="208">
        <v>148</v>
      </c>
      <c r="V49" s="217">
        <f t="shared" si="2"/>
        <v>4440</v>
      </c>
      <c r="W49" s="208">
        <v>10</v>
      </c>
      <c r="X49" s="186" t="s">
        <v>46</v>
      </c>
      <c r="Y49" s="208" t="s">
        <v>88</v>
      </c>
      <c r="Z49" s="208" t="s">
        <v>97</v>
      </c>
      <c r="AA49" s="208" t="s">
        <v>86</v>
      </c>
      <c r="AB49" s="55" t="s">
        <v>344</v>
      </c>
    </row>
    <row r="50" spans="1:28" x14ac:dyDescent="0.15">
      <c r="A50" s="208" t="s">
        <v>34</v>
      </c>
      <c r="B50" s="208" t="s">
        <v>342</v>
      </c>
      <c r="C50" s="208">
        <v>2018</v>
      </c>
      <c r="D50" s="179" t="s">
        <v>525</v>
      </c>
      <c r="E50" s="208" t="s">
        <v>133</v>
      </c>
      <c r="F50" s="177" t="s">
        <v>284</v>
      </c>
      <c r="G50" s="180" t="s">
        <v>36</v>
      </c>
      <c r="H50" s="247" t="s">
        <v>157</v>
      </c>
      <c r="I50" s="247" t="s">
        <v>155</v>
      </c>
      <c r="J50" s="247" t="s">
        <v>38</v>
      </c>
      <c r="K50" s="137" t="s">
        <v>156</v>
      </c>
      <c r="L50" s="208">
        <v>1</v>
      </c>
      <c r="N50" s="208">
        <v>1</v>
      </c>
      <c r="O50" s="208">
        <v>0.9</v>
      </c>
      <c r="P50" s="208">
        <v>1.1000000000000001</v>
      </c>
      <c r="Q50" s="245">
        <f t="shared" si="0"/>
        <v>1</v>
      </c>
      <c r="R50" s="208">
        <v>13.4</v>
      </c>
      <c r="S50" s="208">
        <v>156</v>
      </c>
      <c r="T50" s="217">
        <f t="shared" si="1"/>
        <v>30</v>
      </c>
      <c r="U50" s="208">
        <v>84</v>
      </c>
      <c r="V50" s="217">
        <f t="shared" si="2"/>
        <v>2520</v>
      </c>
      <c r="W50" s="208">
        <v>20</v>
      </c>
      <c r="X50" s="186" t="s">
        <v>46</v>
      </c>
      <c r="Y50" s="208" t="s">
        <v>97</v>
      </c>
      <c r="Z50" s="208" t="s">
        <v>88</v>
      </c>
      <c r="AA50" s="208" t="s">
        <v>47</v>
      </c>
      <c r="AB50" s="208" t="s">
        <v>344</v>
      </c>
    </row>
    <row r="51" spans="1:28" x14ac:dyDescent="0.15">
      <c r="A51" s="208" t="s">
        <v>34</v>
      </c>
      <c r="B51" s="208" t="s">
        <v>342</v>
      </c>
      <c r="C51" s="208">
        <v>2018</v>
      </c>
      <c r="D51" s="179" t="s">
        <v>525</v>
      </c>
      <c r="E51" s="208" t="s">
        <v>133</v>
      </c>
      <c r="F51" s="177" t="s">
        <v>284</v>
      </c>
      <c r="G51" s="180" t="s">
        <v>36</v>
      </c>
      <c r="H51" s="247" t="s">
        <v>157</v>
      </c>
      <c r="I51" s="247" t="s">
        <v>155</v>
      </c>
      <c r="J51" s="247" t="s">
        <v>38</v>
      </c>
      <c r="K51" s="137" t="s">
        <v>156</v>
      </c>
      <c r="L51" s="208">
        <v>2</v>
      </c>
      <c r="N51" s="208">
        <v>1</v>
      </c>
      <c r="O51" s="208">
        <v>0.75</v>
      </c>
      <c r="P51" s="208">
        <v>0.8</v>
      </c>
      <c r="Q51" s="245">
        <f t="shared" si="0"/>
        <v>0.77500000000000002</v>
      </c>
      <c r="R51" s="208">
        <v>14.1</v>
      </c>
      <c r="S51" s="208">
        <v>163</v>
      </c>
      <c r="T51" s="217">
        <f t="shared" si="1"/>
        <v>30</v>
      </c>
      <c r="U51" s="208">
        <v>84</v>
      </c>
      <c r="V51" s="217">
        <f t="shared" si="2"/>
        <v>2520</v>
      </c>
      <c r="W51" s="208">
        <v>20</v>
      </c>
      <c r="X51" s="186" t="s">
        <v>46</v>
      </c>
      <c r="Y51" s="208" t="s">
        <v>97</v>
      </c>
      <c r="Z51" s="208" t="s">
        <v>88</v>
      </c>
      <c r="AA51" s="208" t="s">
        <v>47</v>
      </c>
      <c r="AB51" s="208" t="s">
        <v>344</v>
      </c>
    </row>
    <row r="52" spans="1:28" x14ac:dyDescent="0.15">
      <c r="A52" s="208" t="s">
        <v>34</v>
      </c>
      <c r="B52" s="208" t="s">
        <v>342</v>
      </c>
      <c r="C52" s="208">
        <v>2018</v>
      </c>
      <c r="D52" s="179" t="s">
        <v>525</v>
      </c>
      <c r="E52" s="208" t="s">
        <v>133</v>
      </c>
      <c r="F52" s="177" t="s">
        <v>284</v>
      </c>
      <c r="G52" s="180" t="s">
        <v>36</v>
      </c>
      <c r="H52" s="247" t="s">
        <v>157</v>
      </c>
      <c r="I52" s="247" t="s">
        <v>155</v>
      </c>
      <c r="J52" s="247" t="s">
        <v>38</v>
      </c>
      <c r="K52" s="137" t="s">
        <v>156</v>
      </c>
      <c r="L52" s="208">
        <v>3</v>
      </c>
      <c r="N52" s="208">
        <v>1</v>
      </c>
      <c r="O52" s="208">
        <v>0.8</v>
      </c>
      <c r="P52" s="208">
        <v>0.75</v>
      </c>
      <c r="Q52" s="245">
        <f t="shared" si="0"/>
        <v>0.77500000000000002</v>
      </c>
      <c r="R52" s="208">
        <v>14.4</v>
      </c>
      <c r="S52" s="208">
        <v>176</v>
      </c>
      <c r="T52" s="217">
        <f t="shared" si="1"/>
        <v>30</v>
      </c>
      <c r="U52" s="208">
        <v>84</v>
      </c>
      <c r="V52" s="217">
        <f t="shared" si="2"/>
        <v>2520</v>
      </c>
      <c r="W52" s="208">
        <v>20</v>
      </c>
      <c r="X52" s="186" t="s">
        <v>46</v>
      </c>
      <c r="Y52" s="208" t="s">
        <v>97</v>
      </c>
      <c r="Z52" s="208" t="s">
        <v>88</v>
      </c>
      <c r="AA52" s="208" t="s">
        <v>47</v>
      </c>
      <c r="AB52" s="208" t="s">
        <v>344</v>
      </c>
    </row>
    <row r="53" spans="1:28" x14ac:dyDescent="0.15">
      <c r="A53" s="208" t="s">
        <v>34</v>
      </c>
      <c r="B53" s="208" t="s">
        <v>342</v>
      </c>
      <c r="C53" s="208">
        <v>2018</v>
      </c>
      <c r="D53" s="179" t="s">
        <v>525</v>
      </c>
      <c r="E53" s="208" t="s">
        <v>133</v>
      </c>
      <c r="F53" s="177" t="s">
        <v>284</v>
      </c>
      <c r="G53" s="180" t="s">
        <v>36</v>
      </c>
      <c r="H53" s="247" t="s">
        <v>160</v>
      </c>
      <c r="I53" s="247" t="s">
        <v>155</v>
      </c>
      <c r="J53" s="247" t="s">
        <v>38</v>
      </c>
      <c r="K53" s="137" t="s">
        <v>156</v>
      </c>
      <c r="L53" s="208">
        <v>1</v>
      </c>
      <c r="N53" s="208">
        <v>1</v>
      </c>
      <c r="O53" s="208">
        <v>0.7</v>
      </c>
      <c r="P53" s="208">
        <v>0.6</v>
      </c>
      <c r="Q53" s="245">
        <f t="shared" si="0"/>
        <v>0.64999999999999991</v>
      </c>
      <c r="R53" s="208">
        <v>15.5</v>
      </c>
      <c r="S53" s="208">
        <v>166</v>
      </c>
      <c r="T53" s="217">
        <f t="shared" si="1"/>
        <v>30</v>
      </c>
      <c r="U53" s="208">
        <v>149</v>
      </c>
      <c r="V53" s="217">
        <f t="shared" si="2"/>
        <v>4470</v>
      </c>
      <c r="W53" s="208">
        <v>20</v>
      </c>
      <c r="X53" s="186" t="s">
        <v>46</v>
      </c>
      <c r="Y53" s="208" t="s">
        <v>97</v>
      </c>
      <c r="Z53" s="208" t="s">
        <v>88</v>
      </c>
      <c r="AA53" s="208" t="s">
        <v>47</v>
      </c>
      <c r="AB53" s="208" t="s">
        <v>344</v>
      </c>
    </row>
    <row r="54" spans="1:28" x14ac:dyDescent="0.15">
      <c r="A54" s="208" t="s">
        <v>34</v>
      </c>
      <c r="B54" s="208" t="s">
        <v>342</v>
      </c>
      <c r="C54" s="208">
        <v>2018</v>
      </c>
      <c r="D54" s="179" t="s">
        <v>525</v>
      </c>
      <c r="E54" s="208" t="s">
        <v>133</v>
      </c>
      <c r="F54" s="177" t="s">
        <v>284</v>
      </c>
      <c r="G54" s="180" t="s">
        <v>36</v>
      </c>
      <c r="H54" s="247" t="s">
        <v>160</v>
      </c>
      <c r="I54" s="247" t="s">
        <v>155</v>
      </c>
      <c r="J54" s="247" t="s">
        <v>38</v>
      </c>
      <c r="K54" s="137" t="s">
        <v>156</v>
      </c>
      <c r="L54" s="208">
        <v>2</v>
      </c>
      <c r="N54" s="208">
        <v>1</v>
      </c>
      <c r="O54" s="208">
        <v>0.55000000000000004</v>
      </c>
      <c r="P54" s="208">
        <v>0.55000000000000004</v>
      </c>
      <c r="Q54" s="245">
        <f t="shared" si="0"/>
        <v>0.55000000000000004</v>
      </c>
      <c r="R54" s="208">
        <v>15.5</v>
      </c>
      <c r="S54" s="208">
        <v>166</v>
      </c>
      <c r="T54" s="217">
        <f t="shared" si="1"/>
        <v>30</v>
      </c>
      <c r="U54" s="208">
        <v>149</v>
      </c>
      <c r="V54" s="217">
        <f t="shared" si="2"/>
        <v>4470</v>
      </c>
      <c r="W54" s="208">
        <v>20</v>
      </c>
      <c r="X54" s="186" t="s">
        <v>46</v>
      </c>
      <c r="Y54" s="208" t="s">
        <v>97</v>
      </c>
      <c r="Z54" s="208" t="s">
        <v>88</v>
      </c>
      <c r="AA54" s="208" t="s">
        <v>47</v>
      </c>
      <c r="AB54" s="208" t="s">
        <v>344</v>
      </c>
    </row>
    <row r="55" spans="1:28" x14ac:dyDescent="0.15">
      <c r="A55" s="208" t="s">
        <v>34</v>
      </c>
      <c r="B55" s="208" t="s">
        <v>342</v>
      </c>
      <c r="C55" s="208">
        <v>2018</v>
      </c>
      <c r="D55" s="179" t="s">
        <v>525</v>
      </c>
      <c r="E55" s="208" t="s">
        <v>133</v>
      </c>
      <c r="F55" s="177" t="s">
        <v>284</v>
      </c>
      <c r="G55" s="180" t="s">
        <v>36</v>
      </c>
      <c r="H55" s="247" t="s">
        <v>160</v>
      </c>
      <c r="I55" s="247" t="s">
        <v>155</v>
      </c>
      <c r="J55" s="247" t="s">
        <v>38</v>
      </c>
      <c r="K55" s="137" t="s">
        <v>156</v>
      </c>
      <c r="L55" s="208">
        <v>3</v>
      </c>
      <c r="N55" s="208">
        <v>1</v>
      </c>
      <c r="O55" s="208">
        <v>0.6</v>
      </c>
      <c r="P55" s="208">
        <v>0.5</v>
      </c>
      <c r="Q55" s="245">
        <f t="shared" si="0"/>
        <v>0.55000000000000004</v>
      </c>
      <c r="R55" s="208">
        <v>15.8</v>
      </c>
      <c r="S55" s="208">
        <v>170</v>
      </c>
      <c r="T55" s="217">
        <f t="shared" si="1"/>
        <v>30</v>
      </c>
      <c r="U55" s="208">
        <v>149</v>
      </c>
      <c r="V55" s="217">
        <f t="shared" si="2"/>
        <v>4470</v>
      </c>
      <c r="W55" s="208">
        <v>20</v>
      </c>
      <c r="X55" s="186" t="s">
        <v>46</v>
      </c>
      <c r="Y55" s="208" t="s">
        <v>97</v>
      </c>
      <c r="Z55" s="208" t="s">
        <v>88</v>
      </c>
      <c r="AA55" s="208" t="s">
        <v>47</v>
      </c>
      <c r="AB55" s="208" t="s">
        <v>344</v>
      </c>
    </row>
    <row r="56" spans="1:28" x14ac:dyDescent="0.15">
      <c r="A56" s="208" t="s">
        <v>34</v>
      </c>
      <c r="B56" s="208" t="s">
        <v>342</v>
      </c>
      <c r="C56" s="208">
        <v>2018</v>
      </c>
      <c r="D56" s="179" t="s">
        <v>525</v>
      </c>
      <c r="E56" s="208" t="s">
        <v>199</v>
      </c>
      <c r="F56" s="177" t="s">
        <v>287</v>
      </c>
      <c r="G56" s="180" t="s">
        <v>36</v>
      </c>
      <c r="H56" s="247" t="s">
        <v>157</v>
      </c>
      <c r="I56" s="247" t="s">
        <v>155</v>
      </c>
      <c r="J56" s="247" t="s">
        <v>38</v>
      </c>
      <c r="K56" s="137" t="s">
        <v>156</v>
      </c>
      <c r="L56" s="208">
        <v>1</v>
      </c>
      <c r="N56" s="208">
        <v>1</v>
      </c>
      <c r="O56" s="208">
        <v>0.55000000000000004</v>
      </c>
      <c r="P56" s="208">
        <v>0.45</v>
      </c>
      <c r="Q56" s="245">
        <f t="shared" si="0"/>
        <v>0.5</v>
      </c>
      <c r="R56" s="208">
        <v>15.6</v>
      </c>
      <c r="S56" s="208">
        <v>135</v>
      </c>
      <c r="T56" s="217">
        <f t="shared" si="1"/>
        <v>30</v>
      </c>
      <c r="U56" s="208">
        <v>138</v>
      </c>
      <c r="V56" s="217">
        <f t="shared" si="2"/>
        <v>4140</v>
      </c>
      <c r="W56" s="208">
        <v>2</v>
      </c>
      <c r="X56" s="186" t="s">
        <v>46</v>
      </c>
      <c r="Y56" s="208" t="s">
        <v>69</v>
      </c>
      <c r="Z56" s="208" t="s">
        <v>84</v>
      </c>
      <c r="AA56" s="208" t="s">
        <v>88</v>
      </c>
      <c r="AB56" s="208" t="s">
        <v>344</v>
      </c>
    </row>
    <row r="57" spans="1:28" x14ac:dyDescent="0.15">
      <c r="A57" s="208" t="s">
        <v>34</v>
      </c>
      <c r="B57" s="208" t="s">
        <v>342</v>
      </c>
      <c r="C57" s="208">
        <v>2018</v>
      </c>
      <c r="D57" s="179" t="s">
        <v>525</v>
      </c>
      <c r="E57" s="208" t="s">
        <v>199</v>
      </c>
      <c r="F57" s="177" t="s">
        <v>287</v>
      </c>
      <c r="G57" s="180" t="s">
        <v>36</v>
      </c>
      <c r="H57" s="247" t="s">
        <v>157</v>
      </c>
      <c r="I57" s="247" t="s">
        <v>155</v>
      </c>
      <c r="J57" s="247" t="s">
        <v>38</v>
      </c>
      <c r="K57" s="137" t="s">
        <v>156</v>
      </c>
      <c r="L57" s="208">
        <v>2</v>
      </c>
      <c r="N57" s="208">
        <v>1</v>
      </c>
      <c r="O57" s="208">
        <v>0.5</v>
      </c>
      <c r="P57" s="208">
        <v>0.45</v>
      </c>
      <c r="Q57" s="245">
        <f t="shared" si="0"/>
        <v>0.47499999999999998</v>
      </c>
      <c r="R57" s="208">
        <v>15.4</v>
      </c>
      <c r="S57" s="208">
        <v>136</v>
      </c>
      <c r="T57" s="217">
        <f t="shared" si="1"/>
        <v>30</v>
      </c>
      <c r="U57" s="208">
        <v>138</v>
      </c>
      <c r="V57" s="217">
        <f t="shared" si="2"/>
        <v>4140</v>
      </c>
      <c r="W57" s="208">
        <v>2</v>
      </c>
      <c r="X57" s="186" t="s">
        <v>46</v>
      </c>
      <c r="Y57" s="208" t="s">
        <v>69</v>
      </c>
      <c r="Z57" s="208" t="s">
        <v>84</v>
      </c>
      <c r="AA57" s="208" t="s">
        <v>88</v>
      </c>
      <c r="AB57" s="208" t="s">
        <v>344</v>
      </c>
    </row>
    <row r="58" spans="1:28" x14ac:dyDescent="0.15">
      <c r="A58" s="208" t="s">
        <v>34</v>
      </c>
      <c r="B58" s="208" t="s">
        <v>342</v>
      </c>
      <c r="C58" s="208">
        <v>2018</v>
      </c>
      <c r="D58" s="179" t="s">
        <v>525</v>
      </c>
      <c r="E58" s="208" t="s">
        <v>199</v>
      </c>
      <c r="F58" s="177" t="s">
        <v>287</v>
      </c>
      <c r="G58" s="180" t="s">
        <v>36</v>
      </c>
      <c r="H58" s="247" t="s">
        <v>157</v>
      </c>
      <c r="I58" s="247" t="s">
        <v>155</v>
      </c>
      <c r="J58" s="247" t="s">
        <v>38</v>
      </c>
      <c r="K58" s="137" t="s">
        <v>156</v>
      </c>
      <c r="L58" s="208">
        <v>3</v>
      </c>
      <c r="N58" s="208">
        <v>1</v>
      </c>
      <c r="O58" s="208">
        <v>0.45</v>
      </c>
      <c r="P58" s="208">
        <v>0.5</v>
      </c>
      <c r="Q58" s="245">
        <f t="shared" si="0"/>
        <v>0.47499999999999998</v>
      </c>
      <c r="R58" s="208">
        <v>15.7</v>
      </c>
      <c r="S58" s="208">
        <v>134</v>
      </c>
      <c r="T58" s="217">
        <f t="shared" si="1"/>
        <v>30</v>
      </c>
      <c r="U58" s="208">
        <v>138</v>
      </c>
      <c r="V58" s="217">
        <f t="shared" si="2"/>
        <v>4140</v>
      </c>
      <c r="W58" s="208">
        <v>2</v>
      </c>
      <c r="X58" s="186" t="s">
        <v>46</v>
      </c>
      <c r="Y58" s="208" t="s">
        <v>69</v>
      </c>
      <c r="Z58" s="208" t="s">
        <v>84</v>
      </c>
      <c r="AA58" s="208" t="s">
        <v>88</v>
      </c>
      <c r="AB58" s="208" t="s">
        <v>344</v>
      </c>
    </row>
    <row r="59" spans="1:28" x14ac:dyDescent="0.15">
      <c r="A59" s="208" t="s">
        <v>34</v>
      </c>
      <c r="B59" s="208" t="s">
        <v>342</v>
      </c>
      <c r="C59" s="208">
        <v>2018</v>
      </c>
      <c r="D59" s="179" t="s">
        <v>525</v>
      </c>
      <c r="E59" s="208" t="s">
        <v>199</v>
      </c>
      <c r="F59" s="177" t="s">
        <v>287</v>
      </c>
      <c r="G59" s="180" t="s">
        <v>36</v>
      </c>
      <c r="H59" s="247" t="s">
        <v>160</v>
      </c>
      <c r="I59" s="247" t="s">
        <v>155</v>
      </c>
      <c r="J59" s="247" t="s">
        <v>38</v>
      </c>
      <c r="K59" s="137" t="s">
        <v>156</v>
      </c>
      <c r="L59" s="208">
        <v>1</v>
      </c>
      <c r="N59" s="208">
        <v>1</v>
      </c>
      <c r="O59" s="208">
        <v>0.4</v>
      </c>
      <c r="P59" s="208">
        <v>0.45</v>
      </c>
      <c r="Q59" s="245">
        <f t="shared" si="0"/>
        <v>0.42500000000000004</v>
      </c>
      <c r="R59" s="208">
        <v>16.3</v>
      </c>
      <c r="S59" s="208">
        <v>156</v>
      </c>
      <c r="T59" s="217">
        <f t="shared" si="1"/>
        <v>30</v>
      </c>
      <c r="U59" s="208">
        <v>138</v>
      </c>
      <c r="V59" s="217">
        <f t="shared" si="2"/>
        <v>4140</v>
      </c>
      <c r="W59" s="208">
        <v>2</v>
      </c>
      <c r="X59" s="186" t="s">
        <v>46</v>
      </c>
      <c r="Y59" s="208" t="s">
        <v>69</v>
      </c>
      <c r="Z59" s="208" t="s">
        <v>84</v>
      </c>
      <c r="AA59" s="208" t="s">
        <v>88</v>
      </c>
      <c r="AB59" s="208" t="s">
        <v>344</v>
      </c>
    </row>
    <row r="60" spans="1:28" x14ac:dyDescent="0.15">
      <c r="A60" s="208" t="s">
        <v>34</v>
      </c>
      <c r="B60" s="208" t="s">
        <v>342</v>
      </c>
      <c r="C60" s="208">
        <v>2018</v>
      </c>
      <c r="D60" s="179" t="s">
        <v>525</v>
      </c>
      <c r="E60" s="208" t="s">
        <v>199</v>
      </c>
      <c r="F60" s="177" t="s">
        <v>287</v>
      </c>
      <c r="G60" s="180" t="s">
        <v>36</v>
      </c>
      <c r="H60" s="247" t="s">
        <v>160</v>
      </c>
      <c r="I60" s="247" t="s">
        <v>155</v>
      </c>
      <c r="J60" s="247" t="s">
        <v>38</v>
      </c>
      <c r="K60" s="137" t="s">
        <v>156</v>
      </c>
      <c r="L60" s="208">
        <v>2</v>
      </c>
      <c r="N60" s="208">
        <v>1</v>
      </c>
      <c r="O60" s="208">
        <v>0.4</v>
      </c>
      <c r="P60" s="208">
        <v>0.4</v>
      </c>
      <c r="Q60" s="245">
        <f t="shared" si="0"/>
        <v>0.4</v>
      </c>
      <c r="R60" s="208">
        <v>16.2</v>
      </c>
      <c r="S60" s="208">
        <v>173</v>
      </c>
      <c r="T60" s="217">
        <f t="shared" si="1"/>
        <v>30</v>
      </c>
      <c r="U60" s="208">
        <v>138</v>
      </c>
      <c r="V60" s="217">
        <f t="shared" si="2"/>
        <v>4140</v>
      </c>
      <c r="W60" s="208">
        <v>2</v>
      </c>
      <c r="X60" s="186" t="s">
        <v>46</v>
      </c>
      <c r="Y60" s="208" t="s">
        <v>69</v>
      </c>
      <c r="Z60" s="208" t="s">
        <v>84</v>
      </c>
      <c r="AA60" s="208" t="s">
        <v>88</v>
      </c>
      <c r="AB60" s="208" t="s">
        <v>344</v>
      </c>
    </row>
    <row r="61" spans="1:28" x14ac:dyDescent="0.15">
      <c r="A61" s="208" t="s">
        <v>34</v>
      </c>
      <c r="B61" s="208" t="s">
        <v>342</v>
      </c>
      <c r="C61" s="208">
        <v>2018</v>
      </c>
      <c r="D61" s="179" t="s">
        <v>525</v>
      </c>
      <c r="E61" s="208" t="s">
        <v>199</v>
      </c>
      <c r="F61" s="177" t="s">
        <v>287</v>
      </c>
      <c r="G61" s="180" t="s">
        <v>36</v>
      </c>
      <c r="H61" s="247" t="s">
        <v>160</v>
      </c>
      <c r="I61" s="247" t="s">
        <v>155</v>
      </c>
      <c r="J61" s="247" t="s">
        <v>38</v>
      </c>
      <c r="K61" s="137" t="s">
        <v>156</v>
      </c>
      <c r="L61" s="208">
        <v>3</v>
      </c>
      <c r="N61" s="208">
        <v>1</v>
      </c>
      <c r="O61" s="208">
        <v>0.45</v>
      </c>
      <c r="P61" s="208">
        <v>0.4</v>
      </c>
      <c r="Q61" s="245">
        <f t="shared" si="0"/>
        <v>0.42500000000000004</v>
      </c>
      <c r="R61" s="208">
        <v>16.3</v>
      </c>
      <c r="S61" s="208">
        <v>163</v>
      </c>
      <c r="T61" s="217">
        <f t="shared" si="1"/>
        <v>30</v>
      </c>
      <c r="U61" s="208">
        <v>138</v>
      </c>
      <c r="V61" s="217">
        <f t="shared" si="2"/>
        <v>4140</v>
      </c>
      <c r="W61" s="208">
        <v>2</v>
      </c>
      <c r="X61" s="186" t="s">
        <v>46</v>
      </c>
      <c r="Y61" s="208" t="s">
        <v>69</v>
      </c>
      <c r="Z61" s="208" t="s">
        <v>84</v>
      </c>
      <c r="AA61" s="208" t="s">
        <v>88</v>
      </c>
      <c r="AB61" s="208" t="s">
        <v>344</v>
      </c>
    </row>
    <row r="62" spans="1:28" x14ac:dyDescent="0.15">
      <c r="D62" s="199"/>
      <c r="F62" s="177"/>
      <c r="G62" s="180"/>
      <c r="H62" s="247"/>
      <c r="I62" s="247"/>
      <c r="J62" s="247"/>
      <c r="K62" s="137"/>
      <c r="Q62" s="245" t="str">
        <f t="shared" si="0"/>
        <v/>
      </c>
      <c r="T62" s="217" t="str">
        <f t="shared" si="1"/>
        <v/>
      </c>
      <c r="V62" s="217" t="str">
        <f t="shared" si="2"/>
        <v/>
      </c>
      <c r="X62" s="186"/>
    </row>
    <row r="63" spans="1:28" x14ac:dyDescent="0.15">
      <c r="D63" s="199"/>
      <c r="F63" s="177"/>
      <c r="G63" s="180"/>
      <c r="H63" s="247"/>
      <c r="I63" s="247"/>
      <c r="J63" s="247"/>
      <c r="K63" s="137"/>
      <c r="Q63" s="245" t="str">
        <f t="shared" si="0"/>
        <v/>
      </c>
      <c r="T63" s="217" t="str">
        <f t="shared" si="1"/>
        <v/>
      </c>
      <c r="V63" s="217" t="str">
        <f t="shared" si="2"/>
        <v/>
      </c>
      <c r="X63" s="186"/>
    </row>
    <row r="64" spans="1:28" x14ac:dyDescent="0.15">
      <c r="D64" s="199"/>
      <c r="F64" s="177"/>
      <c r="G64" s="180"/>
      <c r="H64" s="247"/>
      <c r="I64" s="247"/>
      <c r="J64" s="247"/>
      <c r="K64" s="137"/>
      <c r="Q64" s="245" t="str">
        <f t="shared" si="0"/>
        <v/>
      </c>
      <c r="T64" s="217" t="str">
        <f t="shared" si="1"/>
        <v/>
      </c>
      <c r="V64" s="217" t="str">
        <f t="shared" si="2"/>
        <v/>
      </c>
      <c r="X64" s="186"/>
    </row>
    <row r="65" spans="4:24" x14ac:dyDescent="0.15">
      <c r="D65" s="199"/>
      <c r="F65" s="177"/>
      <c r="G65" s="180"/>
      <c r="H65" s="247"/>
      <c r="I65" s="247"/>
      <c r="J65" s="247"/>
      <c r="K65" s="137"/>
      <c r="Q65" s="245" t="str">
        <f t="shared" si="0"/>
        <v/>
      </c>
      <c r="T65" s="217" t="str">
        <f t="shared" si="1"/>
        <v/>
      </c>
      <c r="V65" s="217" t="str">
        <f t="shared" si="2"/>
        <v/>
      </c>
      <c r="X65" s="186"/>
    </row>
    <row r="66" spans="4:24" x14ac:dyDescent="0.15">
      <c r="D66" s="199"/>
      <c r="F66" s="177"/>
      <c r="G66" s="180"/>
      <c r="H66" s="247"/>
      <c r="I66" s="247"/>
      <c r="J66" s="247"/>
      <c r="K66" s="137"/>
      <c r="Q66" s="245" t="str">
        <f t="shared" ref="Q66:Q91" si="3">IF(OR(O66="",P66=""),"",AVERAGE(O66,P66))</f>
        <v/>
      </c>
      <c r="T66" s="217" t="str">
        <f t="shared" ref="T66:T91" si="4">IF(H66="","",IF(OR(H66="GREEN",H66="GK"),IF(S66&gt;=$AX$2,VLOOKUP(S66,$AX$2:$AY$7,2,1),""),IF(S66&gt;=$AZ$2,VLOOKUP(S66,$AZ$2:$BA$7,2,1),"")))</f>
        <v/>
      </c>
      <c r="V66" s="217" t="str">
        <f t="shared" ref="V66:V91" si="5">IF(OR(N66="",U66="",T66=""),"",U66/N66*T66)</f>
        <v/>
      </c>
      <c r="X66" s="186"/>
    </row>
    <row r="67" spans="4:24" x14ac:dyDescent="0.15">
      <c r="D67" s="199"/>
      <c r="F67" s="177"/>
      <c r="G67" s="180"/>
      <c r="H67" s="247"/>
      <c r="I67" s="247"/>
      <c r="J67" s="247"/>
      <c r="K67" s="137"/>
      <c r="Q67" s="245" t="str">
        <f t="shared" si="3"/>
        <v/>
      </c>
      <c r="T67" s="217" t="str">
        <f t="shared" si="4"/>
        <v/>
      </c>
      <c r="V67" s="217" t="str">
        <f t="shared" si="5"/>
        <v/>
      </c>
      <c r="X67" s="186"/>
    </row>
    <row r="68" spans="4:24" x14ac:dyDescent="0.15">
      <c r="D68" s="199"/>
      <c r="F68" s="177"/>
      <c r="G68" s="180"/>
      <c r="H68" s="247"/>
      <c r="I68" s="247"/>
      <c r="J68" s="247"/>
      <c r="K68" s="137"/>
      <c r="Q68" s="245" t="str">
        <f t="shared" si="3"/>
        <v/>
      </c>
      <c r="T68" s="217" t="str">
        <f t="shared" si="4"/>
        <v/>
      </c>
      <c r="V68" s="217" t="str">
        <f t="shared" si="5"/>
        <v/>
      </c>
      <c r="X68" s="186"/>
    </row>
    <row r="69" spans="4:24" x14ac:dyDescent="0.15">
      <c r="D69" s="199"/>
      <c r="F69" s="177"/>
      <c r="G69" s="180"/>
      <c r="H69" s="247"/>
      <c r="I69" s="247"/>
      <c r="J69" s="247"/>
      <c r="K69" s="137"/>
      <c r="Q69" s="245" t="str">
        <f t="shared" si="3"/>
        <v/>
      </c>
      <c r="T69" s="217" t="str">
        <f t="shared" si="4"/>
        <v/>
      </c>
      <c r="V69" s="217" t="str">
        <f t="shared" si="5"/>
        <v/>
      </c>
      <c r="X69" s="186"/>
    </row>
    <row r="70" spans="4:24" x14ac:dyDescent="0.15">
      <c r="D70" s="199"/>
      <c r="F70" s="177"/>
      <c r="G70" s="180"/>
      <c r="H70" s="247"/>
      <c r="I70" s="247"/>
      <c r="J70" s="247"/>
      <c r="K70" s="137"/>
      <c r="Q70" s="245" t="str">
        <f t="shared" si="3"/>
        <v/>
      </c>
      <c r="T70" s="217" t="str">
        <f t="shared" si="4"/>
        <v/>
      </c>
      <c r="V70" s="217" t="str">
        <f t="shared" si="5"/>
        <v/>
      </c>
      <c r="X70" s="186"/>
    </row>
    <row r="71" spans="4:24" x14ac:dyDescent="0.15">
      <c r="D71" s="199"/>
      <c r="F71" s="177"/>
      <c r="G71" s="180"/>
      <c r="H71" s="247"/>
      <c r="I71" s="247"/>
      <c r="J71" s="247"/>
      <c r="K71" s="137"/>
      <c r="Q71" s="245" t="str">
        <f t="shared" si="3"/>
        <v/>
      </c>
      <c r="T71" s="217" t="str">
        <f t="shared" si="4"/>
        <v/>
      </c>
      <c r="V71" s="217" t="str">
        <f t="shared" si="5"/>
        <v/>
      </c>
      <c r="X71" s="186"/>
    </row>
    <row r="72" spans="4:24" x14ac:dyDescent="0.15">
      <c r="D72" s="199"/>
      <c r="F72" s="177"/>
      <c r="G72" s="180"/>
      <c r="H72" s="247"/>
      <c r="I72" s="247"/>
      <c r="J72" s="247"/>
      <c r="K72" s="137"/>
      <c r="Q72" s="245" t="str">
        <f t="shared" si="3"/>
        <v/>
      </c>
      <c r="T72" s="217" t="str">
        <f t="shared" si="4"/>
        <v/>
      </c>
      <c r="V72" s="217" t="str">
        <f t="shared" si="5"/>
        <v/>
      </c>
      <c r="X72" s="186"/>
    </row>
    <row r="73" spans="4:24" x14ac:dyDescent="0.15">
      <c r="D73" s="199"/>
      <c r="F73" s="177"/>
      <c r="G73" s="180"/>
      <c r="H73" s="247"/>
      <c r="I73" s="247"/>
      <c r="J73" s="247"/>
      <c r="K73" s="137"/>
      <c r="Q73" s="245" t="str">
        <f t="shared" si="3"/>
        <v/>
      </c>
      <c r="T73" s="217" t="str">
        <f t="shared" si="4"/>
        <v/>
      </c>
      <c r="V73" s="217" t="str">
        <f t="shared" si="5"/>
        <v/>
      </c>
      <c r="X73" s="186"/>
    </row>
    <row r="74" spans="4:24" x14ac:dyDescent="0.15">
      <c r="D74" s="199"/>
      <c r="F74" s="177"/>
      <c r="G74" s="180"/>
      <c r="H74" s="247"/>
      <c r="I74" s="247"/>
      <c r="J74" s="247"/>
      <c r="K74" s="137"/>
      <c r="Q74" s="245" t="str">
        <f t="shared" si="3"/>
        <v/>
      </c>
      <c r="T74" s="217" t="str">
        <f t="shared" si="4"/>
        <v/>
      </c>
      <c r="V74" s="217" t="str">
        <f t="shared" si="5"/>
        <v/>
      </c>
      <c r="X74" s="186"/>
    </row>
    <row r="75" spans="4:24" x14ac:dyDescent="0.15">
      <c r="D75" s="199"/>
      <c r="F75" s="177"/>
      <c r="G75" s="180"/>
      <c r="H75" s="247"/>
      <c r="I75" s="247"/>
      <c r="J75" s="247"/>
      <c r="K75" s="137"/>
      <c r="Q75" s="245" t="str">
        <f t="shared" si="3"/>
        <v/>
      </c>
      <c r="T75" s="217" t="str">
        <f t="shared" si="4"/>
        <v/>
      </c>
      <c r="V75" s="217" t="str">
        <f t="shared" si="5"/>
        <v/>
      </c>
      <c r="X75" s="186"/>
    </row>
    <row r="76" spans="4:24" x14ac:dyDescent="0.15">
      <c r="D76" s="199"/>
      <c r="F76" s="177"/>
      <c r="G76" s="180"/>
      <c r="H76" s="247"/>
      <c r="I76" s="247"/>
      <c r="J76" s="247"/>
      <c r="K76" s="137"/>
      <c r="Q76" s="245" t="str">
        <f t="shared" si="3"/>
        <v/>
      </c>
      <c r="T76" s="217" t="str">
        <f t="shared" si="4"/>
        <v/>
      </c>
      <c r="V76" s="217" t="str">
        <f t="shared" si="5"/>
        <v/>
      </c>
      <c r="X76" s="186"/>
    </row>
    <row r="77" spans="4:24" x14ac:dyDescent="0.15">
      <c r="D77" s="199"/>
      <c r="F77" s="177"/>
      <c r="G77" s="180"/>
      <c r="H77" s="247"/>
      <c r="I77" s="247"/>
      <c r="J77" s="247"/>
      <c r="K77" s="137"/>
      <c r="Q77" s="245" t="str">
        <f t="shared" si="3"/>
        <v/>
      </c>
      <c r="T77" s="217" t="str">
        <f t="shared" si="4"/>
        <v/>
      </c>
      <c r="V77" s="217" t="str">
        <f t="shared" si="5"/>
        <v/>
      </c>
      <c r="X77" s="186"/>
    </row>
    <row r="78" spans="4:24" x14ac:dyDescent="0.15">
      <c r="D78" s="199"/>
      <c r="F78" s="177"/>
      <c r="G78" s="180"/>
      <c r="H78" s="247"/>
      <c r="I78" s="247"/>
      <c r="J78" s="247"/>
      <c r="K78" s="137"/>
      <c r="Q78" s="245" t="str">
        <f t="shared" si="3"/>
        <v/>
      </c>
      <c r="T78" s="217" t="str">
        <f t="shared" si="4"/>
        <v/>
      </c>
      <c r="V78" s="217" t="str">
        <f t="shared" si="5"/>
        <v/>
      </c>
      <c r="X78" s="186"/>
    </row>
    <row r="79" spans="4:24" x14ac:dyDescent="0.15">
      <c r="D79" s="199"/>
      <c r="F79" s="177"/>
      <c r="G79" s="180"/>
      <c r="H79" s="247"/>
      <c r="I79" s="247"/>
      <c r="J79" s="247"/>
      <c r="K79" s="137"/>
      <c r="Q79" s="245" t="str">
        <f t="shared" si="3"/>
        <v/>
      </c>
      <c r="T79" s="217" t="str">
        <f t="shared" si="4"/>
        <v/>
      </c>
      <c r="V79" s="217" t="str">
        <f t="shared" si="5"/>
        <v/>
      </c>
      <c r="X79" s="186"/>
    </row>
    <row r="80" spans="4:24" x14ac:dyDescent="0.15">
      <c r="H80" s="247"/>
      <c r="I80" s="247"/>
      <c r="J80" s="247"/>
      <c r="K80" s="137"/>
      <c r="Q80" s="245" t="str">
        <f t="shared" si="3"/>
        <v/>
      </c>
      <c r="T80" s="217" t="str">
        <f t="shared" si="4"/>
        <v/>
      </c>
      <c r="V80" s="217" t="str">
        <f t="shared" si="5"/>
        <v/>
      </c>
    </row>
    <row r="81" spans="8:22" x14ac:dyDescent="0.15">
      <c r="H81" s="247"/>
      <c r="I81" s="247"/>
      <c r="J81" s="247"/>
      <c r="K81" s="137"/>
      <c r="Q81" s="245" t="str">
        <f t="shared" si="3"/>
        <v/>
      </c>
      <c r="T81" s="217" t="str">
        <f t="shared" si="4"/>
        <v/>
      </c>
      <c r="V81" s="217" t="str">
        <f t="shared" si="5"/>
        <v/>
      </c>
    </row>
    <row r="82" spans="8:22" x14ac:dyDescent="0.15">
      <c r="H82" s="247"/>
      <c r="I82" s="247"/>
      <c r="J82" s="247"/>
      <c r="K82" s="137"/>
      <c r="Q82" s="245" t="str">
        <f t="shared" si="3"/>
        <v/>
      </c>
      <c r="T82" s="217" t="str">
        <f t="shared" si="4"/>
        <v/>
      </c>
      <c r="V82" s="217" t="str">
        <f t="shared" si="5"/>
        <v/>
      </c>
    </row>
    <row r="83" spans="8:22" x14ac:dyDescent="0.15">
      <c r="H83" s="247"/>
      <c r="I83" s="247"/>
      <c r="J83" s="247"/>
      <c r="K83" s="137"/>
      <c r="Q83" s="245" t="str">
        <f t="shared" si="3"/>
        <v/>
      </c>
      <c r="T83" s="217" t="str">
        <f t="shared" si="4"/>
        <v/>
      </c>
      <c r="V83" s="217" t="str">
        <f t="shared" si="5"/>
        <v/>
      </c>
    </row>
    <row r="84" spans="8:22" x14ac:dyDescent="0.15">
      <c r="H84" s="247"/>
      <c r="I84" s="247"/>
      <c r="J84" s="247"/>
      <c r="K84" s="137"/>
      <c r="Q84" s="245" t="str">
        <f t="shared" si="3"/>
        <v/>
      </c>
      <c r="T84" s="217" t="str">
        <f t="shared" si="4"/>
        <v/>
      </c>
      <c r="V84" s="217" t="str">
        <f t="shared" si="5"/>
        <v/>
      </c>
    </row>
    <row r="85" spans="8:22" x14ac:dyDescent="0.15">
      <c r="H85" s="247"/>
      <c r="I85" s="247"/>
      <c r="J85" s="247"/>
      <c r="K85" s="137"/>
      <c r="Q85" s="245" t="str">
        <f t="shared" si="3"/>
        <v/>
      </c>
      <c r="T85" s="217" t="str">
        <f t="shared" si="4"/>
        <v/>
      </c>
      <c r="V85" s="217" t="str">
        <f t="shared" si="5"/>
        <v/>
      </c>
    </row>
    <row r="86" spans="8:22" x14ac:dyDescent="0.15">
      <c r="H86" s="247"/>
      <c r="I86" s="247"/>
      <c r="J86" s="247"/>
      <c r="K86" s="137"/>
      <c r="Q86" s="245" t="str">
        <f t="shared" si="3"/>
        <v/>
      </c>
      <c r="T86" s="217" t="str">
        <f t="shared" si="4"/>
        <v/>
      </c>
      <c r="V86" s="217" t="str">
        <f t="shared" si="5"/>
        <v/>
      </c>
    </row>
    <row r="87" spans="8:22" x14ac:dyDescent="0.15">
      <c r="H87" s="247"/>
      <c r="I87" s="247"/>
      <c r="J87" s="247"/>
      <c r="K87" s="137"/>
      <c r="Q87" s="245" t="str">
        <f t="shared" si="3"/>
        <v/>
      </c>
      <c r="T87" s="217" t="str">
        <f t="shared" si="4"/>
        <v/>
      </c>
      <c r="V87" s="217" t="str">
        <f t="shared" si="5"/>
        <v/>
      </c>
    </row>
    <row r="88" spans="8:22" x14ac:dyDescent="0.15">
      <c r="H88" s="247"/>
      <c r="I88" s="247"/>
      <c r="J88" s="247"/>
      <c r="K88" s="137"/>
      <c r="Q88" s="245" t="str">
        <f t="shared" si="3"/>
        <v/>
      </c>
      <c r="T88" s="217" t="str">
        <f t="shared" si="4"/>
        <v/>
      </c>
      <c r="V88" s="217" t="str">
        <f t="shared" si="5"/>
        <v/>
      </c>
    </row>
    <row r="89" spans="8:22" x14ac:dyDescent="0.15">
      <c r="H89" s="247"/>
      <c r="I89" s="247"/>
      <c r="J89" s="247"/>
      <c r="K89" s="137"/>
      <c r="Q89" s="245" t="str">
        <f t="shared" si="3"/>
        <v/>
      </c>
      <c r="T89" s="217" t="str">
        <f t="shared" si="4"/>
        <v/>
      </c>
      <c r="V89" s="217" t="str">
        <f t="shared" si="5"/>
        <v/>
      </c>
    </row>
    <row r="90" spans="8:22" x14ac:dyDescent="0.15">
      <c r="H90" s="247"/>
      <c r="I90" s="247"/>
      <c r="J90" s="247"/>
      <c r="K90" s="137"/>
      <c r="Q90" s="245" t="str">
        <f t="shared" si="3"/>
        <v/>
      </c>
      <c r="T90" s="217" t="str">
        <f t="shared" si="4"/>
        <v/>
      </c>
      <c r="V90" s="217" t="str">
        <f t="shared" si="5"/>
        <v/>
      </c>
    </row>
    <row r="91" spans="8:22" x14ac:dyDescent="0.15">
      <c r="H91" s="247"/>
      <c r="I91" s="247"/>
      <c r="J91" s="247"/>
      <c r="K91" s="137"/>
      <c r="Q91" s="245" t="str">
        <f t="shared" si="3"/>
        <v/>
      </c>
      <c r="T91" s="217" t="str">
        <f t="shared" si="4"/>
        <v/>
      </c>
      <c r="V91" s="217" t="str">
        <f t="shared" si="5"/>
        <v/>
      </c>
    </row>
    <row r="92" spans="8:22" x14ac:dyDescent="0.15">
      <c r="H92" s="247"/>
      <c r="I92" s="247"/>
      <c r="J92" s="247"/>
      <c r="K92" s="137"/>
      <c r="Q92" s="245"/>
    </row>
    <row r="93" spans="8:22" x14ac:dyDescent="0.15">
      <c r="H93" s="247"/>
      <c r="I93" s="247"/>
      <c r="J93" s="247"/>
      <c r="K93" s="137"/>
      <c r="Q93" s="245"/>
    </row>
    <row r="94" spans="8:22" x14ac:dyDescent="0.15">
      <c r="H94" s="247"/>
      <c r="I94" s="247"/>
      <c r="J94" s="247"/>
      <c r="K94" s="137"/>
      <c r="Q94" s="245"/>
    </row>
    <row r="95" spans="8:22" x14ac:dyDescent="0.15">
      <c r="H95" s="247"/>
      <c r="I95" s="247"/>
      <c r="J95" s="247"/>
      <c r="K95" s="137"/>
      <c r="Q95" s="245"/>
    </row>
    <row r="96" spans="8:22" x14ac:dyDescent="0.15">
      <c r="H96" s="247"/>
      <c r="I96" s="247"/>
      <c r="J96" s="247"/>
      <c r="K96" s="137"/>
      <c r="Q96" s="245"/>
    </row>
    <row r="97" spans="8:17" x14ac:dyDescent="0.15">
      <c r="H97" s="247"/>
      <c r="I97" s="247"/>
      <c r="J97" s="247"/>
      <c r="K97" s="137"/>
      <c r="Q97" s="245"/>
    </row>
    <row r="98" spans="8:17" x14ac:dyDescent="0.15">
      <c r="H98" s="247"/>
      <c r="I98" s="247"/>
      <c r="J98" s="247"/>
      <c r="K98" s="137"/>
      <c r="Q98" s="245"/>
    </row>
    <row r="99" spans="8:17" x14ac:dyDescent="0.15">
      <c r="H99" s="247"/>
      <c r="I99" s="247"/>
      <c r="J99" s="247"/>
      <c r="K99" s="137"/>
      <c r="Q99" s="245"/>
    </row>
    <row r="100" spans="8:17" x14ac:dyDescent="0.15">
      <c r="H100" s="247"/>
      <c r="I100" s="247"/>
      <c r="J100" s="247"/>
      <c r="K100" s="137"/>
      <c r="Q100" s="245"/>
    </row>
    <row r="101" spans="8:17" x14ac:dyDescent="0.15">
      <c r="H101" s="247"/>
      <c r="I101" s="247"/>
      <c r="J101" s="247"/>
      <c r="K101" s="137"/>
      <c r="Q101" s="245"/>
    </row>
    <row r="102" spans="8:17" x14ac:dyDescent="0.15">
      <c r="H102" s="247"/>
      <c r="I102" s="247"/>
      <c r="J102" s="247"/>
      <c r="K102" s="137"/>
      <c r="Q102" s="245"/>
    </row>
    <row r="103" spans="8:17" x14ac:dyDescent="0.15">
      <c r="H103" s="247"/>
      <c r="I103" s="247"/>
      <c r="J103" s="247"/>
      <c r="K103" s="137"/>
      <c r="Q103" s="245"/>
    </row>
    <row r="104" spans="8:17" x14ac:dyDescent="0.15">
      <c r="H104" s="247"/>
      <c r="I104" s="247"/>
      <c r="J104" s="247"/>
      <c r="K104" s="137"/>
      <c r="Q104" s="245"/>
    </row>
    <row r="105" spans="8:17" x14ac:dyDescent="0.15">
      <c r="H105" s="247"/>
      <c r="I105" s="247"/>
      <c r="J105" s="247"/>
      <c r="K105" s="137"/>
      <c r="Q105" s="245"/>
    </row>
    <row r="106" spans="8:17" x14ac:dyDescent="0.15">
      <c r="H106" s="247"/>
      <c r="I106" s="247"/>
      <c r="J106" s="247"/>
      <c r="K106" s="137"/>
      <c r="Q106" s="245"/>
    </row>
    <row r="107" spans="8:17" x14ac:dyDescent="0.15">
      <c r="H107" s="247"/>
      <c r="I107" s="247"/>
      <c r="J107" s="247"/>
      <c r="K107" s="137"/>
      <c r="Q107" s="245"/>
    </row>
    <row r="108" spans="8:17" x14ac:dyDescent="0.15">
      <c r="H108" s="247"/>
      <c r="I108" s="247"/>
      <c r="J108" s="247"/>
      <c r="K108" s="137"/>
      <c r="Q108" s="245"/>
    </row>
    <row r="109" spans="8:17" x14ac:dyDescent="0.15">
      <c r="H109" s="247"/>
      <c r="I109" s="247"/>
      <c r="J109" s="247"/>
      <c r="K109" s="137"/>
      <c r="Q109" s="245"/>
    </row>
    <row r="110" spans="8:17" x14ac:dyDescent="0.15">
      <c r="H110" s="247"/>
      <c r="I110" s="247"/>
      <c r="J110" s="247"/>
      <c r="K110" s="137"/>
      <c r="Q110" s="245"/>
    </row>
    <row r="111" spans="8:17" x14ac:dyDescent="0.15">
      <c r="H111" s="247"/>
      <c r="I111" s="247"/>
      <c r="J111" s="247"/>
      <c r="K111" s="137"/>
      <c r="Q111" s="245"/>
    </row>
    <row r="112" spans="8:17" x14ac:dyDescent="0.15">
      <c r="H112" s="247"/>
      <c r="I112" s="247"/>
      <c r="J112" s="247"/>
      <c r="K112" s="137"/>
      <c r="Q112" s="245"/>
    </row>
    <row r="113" spans="8:17" x14ac:dyDescent="0.15">
      <c r="H113" s="247"/>
      <c r="I113" s="247"/>
      <c r="J113" s="247"/>
      <c r="K113" s="137"/>
      <c r="Q113" s="245"/>
    </row>
    <row r="114" spans="8:17" x14ac:dyDescent="0.15">
      <c r="H114" s="247"/>
      <c r="I114" s="247"/>
      <c r="J114" s="247"/>
      <c r="K114" s="137"/>
      <c r="Q114" s="245"/>
    </row>
    <row r="115" spans="8:17" x14ac:dyDescent="0.15">
      <c r="H115" s="247"/>
      <c r="I115" s="247"/>
      <c r="J115" s="247"/>
      <c r="K115" s="137"/>
      <c r="Q115" s="245"/>
    </row>
    <row r="116" spans="8:17" x14ac:dyDescent="0.15">
      <c r="H116" s="247"/>
      <c r="I116" s="247"/>
      <c r="J116" s="247"/>
      <c r="K116" s="137"/>
      <c r="Q116" s="245"/>
    </row>
    <row r="117" spans="8:17" x14ac:dyDescent="0.15">
      <c r="H117" s="247"/>
      <c r="I117" s="247"/>
      <c r="J117" s="247"/>
      <c r="K117" s="137"/>
      <c r="Q117" s="245"/>
    </row>
    <row r="118" spans="8:17" x14ac:dyDescent="0.15">
      <c r="H118" s="247"/>
      <c r="I118" s="247"/>
      <c r="J118" s="247"/>
      <c r="K118" s="137"/>
      <c r="Q118" s="245"/>
    </row>
    <row r="119" spans="8:17" x14ac:dyDescent="0.15">
      <c r="H119" s="247"/>
      <c r="I119" s="247"/>
      <c r="J119" s="247"/>
      <c r="K119" s="137"/>
      <c r="Q119" s="245"/>
    </row>
    <row r="120" spans="8:17" x14ac:dyDescent="0.15">
      <c r="H120" s="247"/>
      <c r="I120" s="247"/>
      <c r="J120" s="247"/>
      <c r="K120" s="137"/>
      <c r="Q120" s="245"/>
    </row>
    <row r="121" spans="8:17" x14ac:dyDescent="0.15">
      <c r="H121" s="247"/>
      <c r="I121" s="247"/>
      <c r="J121" s="247"/>
      <c r="K121" s="137"/>
      <c r="Q121" s="245"/>
    </row>
    <row r="122" spans="8:17" x14ac:dyDescent="0.15">
      <c r="H122" s="247"/>
      <c r="I122" s="247"/>
      <c r="J122" s="247"/>
      <c r="K122" s="137"/>
      <c r="Q122" s="245"/>
    </row>
    <row r="123" spans="8:17" x14ac:dyDescent="0.15">
      <c r="H123" s="247"/>
      <c r="I123" s="247"/>
      <c r="J123" s="247"/>
      <c r="K123" s="137"/>
      <c r="Q123" s="245"/>
    </row>
    <row r="124" spans="8:17" x14ac:dyDescent="0.15">
      <c r="H124" s="247"/>
      <c r="I124" s="247"/>
      <c r="J124" s="247"/>
      <c r="K124" s="137"/>
      <c r="Q124" s="245"/>
    </row>
    <row r="125" spans="8:17" x14ac:dyDescent="0.15">
      <c r="H125" s="247"/>
      <c r="I125" s="247"/>
      <c r="J125" s="247"/>
      <c r="K125" s="137"/>
      <c r="Q125" s="245"/>
    </row>
    <row r="126" spans="8:17" x14ac:dyDescent="0.15">
      <c r="H126" s="247"/>
      <c r="I126" s="247"/>
      <c r="J126" s="247"/>
      <c r="K126" s="137"/>
      <c r="Q126" s="245"/>
    </row>
    <row r="127" spans="8:17" x14ac:dyDescent="0.15">
      <c r="H127" s="247"/>
      <c r="I127" s="247"/>
      <c r="J127" s="247"/>
      <c r="K127" s="137"/>
      <c r="Q127" s="245"/>
    </row>
    <row r="128" spans="8:17" x14ac:dyDescent="0.15">
      <c r="H128" s="247"/>
      <c r="I128" s="247"/>
      <c r="J128" s="247"/>
      <c r="K128" s="137"/>
      <c r="Q128" s="245"/>
    </row>
    <row r="129" spans="8:17" x14ac:dyDescent="0.15">
      <c r="H129" s="247"/>
      <c r="I129" s="247"/>
      <c r="J129" s="247"/>
      <c r="K129" s="137"/>
      <c r="Q129" s="245"/>
    </row>
    <row r="130" spans="8:17" x14ac:dyDescent="0.15">
      <c r="H130" s="247"/>
      <c r="I130" s="247"/>
      <c r="J130" s="247"/>
      <c r="K130" s="137"/>
      <c r="Q130" s="245"/>
    </row>
    <row r="131" spans="8:17" x14ac:dyDescent="0.15">
      <c r="H131" s="247"/>
      <c r="I131" s="247"/>
      <c r="J131" s="247"/>
      <c r="K131" s="137"/>
      <c r="Q131" s="245"/>
    </row>
    <row r="132" spans="8:17" x14ac:dyDescent="0.15">
      <c r="H132" s="247"/>
      <c r="I132" s="247"/>
      <c r="J132" s="247"/>
      <c r="K132" s="137"/>
      <c r="Q132" s="245"/>
    </row>
    <row r="133" spans="8:17" x14ac:dyDescent="0.15">
      <c r="H133" s="247"/>
      <c r="I133" s="247"/>
      <c r="J133" s="247"/>
      <c r="K133" s="137"/>
      <c r="Q133" s="245"/>
    </row>
    <row r="134" spans="8:17" x14ac:dyDescent="0.15">
      <c r="H134" s="247"/>
      <c r="I134" s="247"/>
      <c r="J134" s="247"/>
      <c r="K134" s="137"/>
      <c r="Q134" s="245"/>
    </row>
    <row r="135" spans="8:17" x14ac:dyDescent="0.15">
      <c r="H135" s="247"/>
      <c r="I135" s="247"/>
      <c r="J135" s="247"/>
      <c r="K135" s="137"/>
      <c r="Q135" s="245"/>
    </row>
    <row r="136" spans="8:17" x14ac:dyDescent="0.15">
      <c r="H136" s="247"/>
      <c r="I136" s="247"/>
      <c r="J136" s="247"/>
      <c r="K136" s="137"/>
      <c r="Q136" s="245"/>
    </row>
    <row r="137" spans="8:17" x14ac:dyDescent="0.15">
      <c r="H137" s="247"/>
      <c r="I137" s="247"/>
      <c r="J137" s="247"/>
      <c r="K137" s="137"/>
      <c r="Q137" s="245"/>
    </row>
    <row r="138" spans="8:17" x14ac:dyDescent="0.15">
      <c r="H138" s="247"/>
      <c r="I138" s="247"/>
      <c r="J138" s="247"/>
      <c r="K138" s="137"/>
      <c r="Q138" s="245"/>
    </row>
    <row r="139" spans="8:17" x14ac:dyDescent="0.15">
      <c r="H139" s="247"/>
      <c r="I139" s="247"/>
      <c r="J139" s="247"/>
      <c r="K139" s="137"/>
      <c r="Q139" s="245"/>
    </row>
    <row r="140" spans="8:17" x14ac:dyDescent="0.15">
      <c r="H140" s="247"/>
      <c r="I140" s="247"/>
      <c r="J140" s="247"/>
      <c r="K140" s="137"/>
      <c r="Q140" s="245"/>
    </row>
    <row r="141" spans="8:17" x14ac:dyDescent="0.15">
      <c r="H141" s="247"/>
      <c r="I141" s="247"/>
      <c r="J141" s="247"/>
      <c r="K141" s="137"/>
      <c r="Q141" s="245"/>
    </row>
    <row r="142" spans="8:17" x14ac:dyDescent="0.15">
      <c r="K142" s="137"/>
      <c r="Q142" s="245"/>
    </row>
    <row r="143" spans="8:17" x14ac:dyDescent="0.15">
      <c r="K143" s="137"/>
      <c r="Q143" s="245"/>
    </row>
    <row r="144" spans="8:17" x14ac:dyDescent="0.15">
      <c r="K144" s="137"/>
      <c r="Q144" s="245"/>
    </row>
    <row r="145" spans="11:17" x14ac:dyDescent="0.15">
      <c r="K145" s="137"/>
      <c r="Q145" s="245"/>
    </row>
    <row r="146" spans="11:17" x14ac:dyDescent="0.15">
      <c r="K146" s="137"/>
      <c r="Q146" s="245"/>
    </row>
    <row r="147" spans="11:17" x14ac:dyDescent="0.15">
      <c r="K147" s="137"/>
      <c r="Q147" s="245"/>
    </row>
    <row r="148" spans="11:17" x14ac:dyDescent="0.15">
      <c r="K148" s="137"/>
      <c r="Q148" s="245"/>
    </row>
    <row r="149" spans="11:17" x14ac:dyDescent="0.15">
      <c r="K149" s="137"/>
      <c r="Q149" s="245"/>
    </row>
    <row r="150" spans="11:17" x14ac:dyDescent="0.15">
      <c r="K150" s="137"/>
      <c r="Q150" s="245"/>
    </row>
    <row r="151" spans="11:17" x14ac:dyDescent="0.15">
      <c r="K151" s="137"/>
      <c r="Q151" s="245"/>
    </row>
    <row r="152" spans="11:17" x14ac:dyDescent="0.15">
      <c r="K152" s="137"/>
      <c r="Q152" s="245"/>
    </row>
    <row r="153" spans="11:17" x14ac:dyDescent="0.15">
      <c r="K153" s="137"/>
      <c r="Q153" s="245"/>
    </row>
    <row r="154" spans="11:17" x14ac:dyDescent="0.15">
      <c r="K154" s="137"/>
      <c r="Q154" s="245"/>
    </row>
    <row r="155" spans="11:17" x14ac:dyDescent="0.15">
      <c r="K155" s="137"/>
      <c r="Q155" s="245"/>
    </row>
    <row r="156" spans="11:17" x14ac:dyDescent="0.15">
      <c r="K156" s="137"/>
      <c r="Q156" s="245"/>
    </row>
    <row r="157" spans="11:17" x14ac:dyDescent="0.15">
      <c r="K157" s="137"/>
      <c r="Q157" s="245"/>
    </row>
    <row r="158" spans="11:17" x14ac:dyDescent="0.15">
      <c r="K158" s="137"/>
      <c r="Q158" s="245"/>
    </row>
    <row r="159" spans="11:17" x14ac:dyDescent="0.15">
      <c r="K159" s="137"/>
      <c r="Q159" s="245"/>
    </row>
    <row r="160" spans="11:17" x14ac:dyDescent="0.15">
      <c r="K160" s="137"/>
      <c r="Q160" s="245"/>
    </row>
    <row r="161" spans="11:17" x14ac:dyDescent="0.15">
      <c r="K161" s="137"/>
      <c r="Q161" s="245"/>
    </row>
    <row r="162" spans="11:17" x14ac:dyDescent="0.15">
      <c r="K162" s="137"/>
      <c r="Q162" s="245"/>
    </row>
    <row r="163" spans="11:17" x14ac:dyDescent="0.15">
      <c r="K163" s="137"/>
      <c r="Q163" s="245"/>
    </row>
    <row r="164" spans="11:17" x14ac:dyDescent="0.15">
      <c r="K164" s="137"/>
      <c r="Q164" s="245"/>
    </row>
    <row r="165" spans="11:17" x14ac:dyDescent="0.15">
      <c r="K165" s="137"/>
      <c r="Q165" s="245"/>
    </row>
    <row r="166" spans="11:17" x14ac:dyDescent="0.15">
      <c r="K166" s="137"/>
      <c r="Q166" s="245"/>
    </row>
    <row r="167" spans="11:17" x14ac:dyDescent="0.15">
      <c r="K167" s="137"/>
      <c r="Q167" s="245"/>
    </row>
    <row r="168" spans="11:17" x14ac:dyDescent="0.15">
      <c r="K168" s="137"/>
      <c r="Q168" s="245"/>
    </row>
    <row r="169" spans="11:17" x14ac:dyDescent="0.15">
      <c r="K169" s="137"/>
      <c r="Q169" s="245"/>
    </row>
    <row r="170" spans="11:17" x14ac:dyDescent="0.15">
      <c r="K170" s="137"/>
      <c r="Q170" s="245"/>
    </row>
    <row r="171" spans="11:17" x14ac:dyDescent="0.15">
      <c r="K171" s="137"/>
      <c r="Q171" s="245"/>
    </row>
    <row r="172" spans="11:17" x14ac:dyDescent="0.15">
      <c r="K172" s="137"/>
      <c r="Q172" s="245"/>
    </row>
    <row r="173" spans="11:17" x14ac:dyDescent="0.15">
      <c r="K173" s="137"/>
      <c r="Q173" s="245"/>
    </row>
    <row r="174" spans="11:17" x14ac:dyDescent="0.15">
      <c r="K174" s="137"/>
      <c r="Q174" s="245"/>
    </row>
    <row r="175" spans="11:17" x14ac:dyDescent="0.15">
      <c r="K175" s="137"/>
      <c r="Q175" s="245"/>
    </row>
    <row r="176" spans="11:17" x14ac:dyDescent="0.15">
      <c r="K176" s="137"/>
      <c r="Q176" s="245"/>
    </row>
    <row r="177" spans="11:17" x14ac:dyDescent="0.15">
      <c r="K177" s="137"/>
      <c r="Q177" s="245"/>
    </row>
    <row r="178" spans="11:17" x14ac:dyDescent="0.15">
      <c r="K178" s="137"/>
      <c r="Q178" s="245"/>
    </row>
    <row r="179" spans="11:17" x14ac:dyDescent="0.15">
      <c r="K179" s="137"/>
      <c r="Q179" s="245"/>
    </row>
    <row r="180" spans="11:17" x14ac:dyDescent="0.15">
      <c r="K180" s="137"/>
      <c r="Q180" s="245"/>
    </row>
    <row r="181" spans="11:17" x14ac:dyDescent="0.15">
      <c r="K181" s="137"/>
      <c r="Q181" s="245"/>
    </row>
    <row r="182" spans="11:17" x14ac:dyDescent="0.15">
      <c r="K182" s="137"/>
      <c r="Q182" s="245"/>
    </row>
    <row r="183" spans="11:17" x14ac:dyDescent="0.15">
      <c r="K183" s="137"/>
      <c r="Q183" s="245"/>
    </row>
    <row r="184" spans="11:17" x14ac:dyDescent="0.15">
      <c r="K184" s="137"/>
      <c r="Q184" s="245"/>
    </row>
    <row r="185" spans="11:17" x14ac:dyDescent="0.15">
      <c r="K185" s="137"/>
      <c r="Q185" s="245"/>
    </row>
    <row r="186" spans="11:17" x14ac:dyDescent="0.15">
      <c r="K186" s="137"/>
      <c r="Q186" s="245"/>
    </row>
    <row r="187" spans="11:17" x14ac:dyDescent="0.15">
      <c r="K187" s="137"/>
      <c r="Q187" s="245"/>
    </row>
    <row r="188" spans="11:17" x14ac:dyDescent="0.15">
      <c r="K188" s="137"/>
      <c r="Q188" s="245"/>
    </row>
    <row r="189" spans="11:17" x14ac:dyDescent="0.15">
      <c r="K189" s="137"/>
      <c r="Q189" s="245"/>
    </row>
    <row r="190" spans="11:17" x14ac:dyDescent="0.15">
      <c r="K190" s="137"/>
      <c r="Q190" s="245"/>
    </row>
    <row r="191" spans="11:17" x14ac:dyDescent="0.15">
      <c r="K191" s="137"/>
      <c r="Q191" s="245"/>
    </row>
    <row r="192" spans="11:17" x14ac:dyDescent="0.15">
      <c r="K192" s="137"/>
      <c r="Q192" s="245"/>
    </row>
    <row r="193" spans="11:17" x14ac:dyDescent="0.15">
      <c r="K193" s="137"/>
      <c r="Q193" s="245"/>
    </row>
    <row r="194" spans="11:17" x14ac:dyDescent="0.15">
      <c r="K194" s="137"/>
      <c r="Q194" s="245"/>
    </row>
    <row r="195" spans="11:17" x14ac:dyDescent="0.15">
      <c r="K195" s="137"/>
      <c r="Q195" s="245"/>
    </row>
    <row r="196" spans="11:17" x14ac:dyDescent="0.15">
      <c r="K196" s="137"/>
      <c r="Q196" s="245"/>
    </row>
    <row r="197" spans="11:17" x14ac:dyDescent="0.15">
      <c r="K197" s="137"/>
      <c r="Q197" s="245"/>
    </row>
    <row r="198" spans="11:17" x14ac:dyDescent="0.15">
      <c r="K198" s="137"/>
      <c r="Q198" s="245"/>
    </row>
    <row r="199" spans="11:17" x14ac:dyDescent="0.15">
      <c r="K199" s="137"/>
      <c r="Q199" s="245"/>
    </row>
    <row r="200" spans="11:17" x14ac:dyDescent="0.15">
      <c r="K200" s="137"/>
      <c r="Q200" s="245"/>
    </row>
    <row r="201" spans="11:17" x14ac:dyDescent="0.15">
      <c r="K201" s="137"/>
      <c r="Q201" s="245"/>
    </row>
    <row r="202" spans="11:17" x14ac:dyDescent="0.15">
      <c r="K202" s="137"/>
      <c r="Q202" s="245"/>
    </row>
    <row r="203" spans="11:17" x14ac:dyDescent="0.15">
      <c r="K203" s="137"/>
      <c r="Q203" s="245"/>
    </row>
    <row r="204" spans="11:17" x14ac:dyDescent="0.15">
      <c r="K204" s="137"/>
      <c r="Q204" s="245"/>
    </row>
    <row r="205" spans="11:17" x14ac:dyDescent="0.15">
      <c r="K205" s="137"/>
      <c r="Q205" s="245"/>
    </row>
    <row r="206" spans="11:17" x14ac:dyDescent="0.15">
      <c r="K206" s="137"/>
      <c r="Q206" s="245"/>
    </row>
    <row r="207" spans="11:17" x14ac:dyDescent="0.15">
      <c r="K207" s="137"/>
      <c r="Q207" s="245"/>
    </row>
    <row r="208" spans="11:17" x14ac:dyDescent="0.15">
      <c r="K208" s="137"/>
      <c r="Q208" s="245"/>
    </row>
    <row r="209" spans="11:17" x14ac:dyDescent="0.15">
      <c r="K209" s="137"/>
      <c r="Q209" s="245"/>
    </row>
    <row r="210" spans="11:17" x14ac:dyDescent="0.15">
      <c r="K210" s="137"/>
      <c r="Q210" s="245"/>
    </row>
    <row r="211" spans="11:17" x14ac:dyDescent="0.15">
      <c r="K211" s="137"/>
      <c r="Q211" s="245"/>
    </row>
    <row r="212" spans="11:17" x14ac:dyDescent="0.15">
      <c r="K212" s="137"/>
      <c r="Q212" s="245"/>
    </row>
    <row r="213" spans="11:17" x14ac:dyDescent="0.15">
      <c r="K213" s="137"/>
      <c r="Q213" s="245"/>
    </row>
    <row r="214" spans="11:17" x14ac:dyDescent="0.15">
      <c r="K214" s="137"/>
      <c r="Q214" s="245"/>
    </row>
    <row r="215" spans="11:17" x14ac:dyDescent="0.15">
      <c r="K215" s="137"/>
      <c r="Q215" s="245"/>
    </row>
    <row r="216" spans="11:17" x14ac:dyDescent="0.15">
      <c r="K216" s="137"/>
      <c r="Q216" s="245"/>
    </row>
    <row r="217" spans="11:17" x14ac:dyDescent="0.15">
      <c r="K217" s="137"/>
      <c r="Q217" s="245"/>
    </row>
    <row r="218" spans="11:17" x14ac:dyDescent="0.15">
      <c r="K218" s="137"/>
      <c r="Q218" s="245"/>
    </row>
    <row r="219" spans="11:17" x14ac:dyDescent="0.15">
      <c r="K219" s="137"/>
      <c r="Q219" s="245"/>
    </row>
    <row r="220" spans="11:17" x14ac:dyDescent="0.15">
      <c r="K220" s="137"/>
      <c r="Q220" s="245"/>
    </row>
    <row r="221" spans="11:17" x14ac:dyDescent="0.15">
      <c r="K221" s="137"/>
      <c r="Q221" s="245"/>
    </row>
    <row r="222" spans="11:17" x14ac:dyDescent="0.15">
      <c r="K222" s="137"/>
      <c r="Q222" s="245"/>
    </row>
    <row r="223" spans="11:17" x14ac:dyDescent="0.15">
      <c r="K223" s="137"/>
      <c r="Q223" s="245"/>
    </row>
    <row r="224" spans="11:17" x14ac:dyDescent="0.15">
      <c r="K224" s="137"/>
      <c r="Q224" s="245"/>
    </row>
    <row r="225" spans="11:17" x14ac:dyDescent="0.15">
      <c r="K225" s="137"/>
      <c r="Q225" s="245"/>
    </row>
    <row r="226" spans="11:17" x14ac:dyDescent="0.15">
      <c r="K226" s="137"/>
      <c r="Q226" s="245"/>
    </row>
    <row r="227" spans="11:17" x14ac:dyDescent="0.15">
      <c r="K227" s="137"/>
      <c r="Q227" s="245"/>
    </row>
    <row r="228" spans="11:17" x14ac:dyDescent="0.15">
      <c r="K228" s="137"/>
      <c r="Q228" s="245"/>
    </row>
    <row r="229" spans="11:17" x14ac:dyDescent="0.15">
      <c r="K229" s="137"/>
      <c r="Q229" s="245"/>
    </row>
    <row r="230" spans="11:17" x14ac:dyDescent="0.15">
      <c r="K230" s="137"/>
      <c r="Q230" s="245"/>
    </row>
    <row r="231" spans="11:17" x14ac:dyDescent="0.15">
      <c r="K231" s="137"/>
      <c r="Q231" s="245"/>
    </row>
    <row r="232" spans="11:17" x14ac:dyDescent="0.15">
      <c r="K232" s="137"/>
      <c r="Q232" s="245"/>
    </row>
    <row r="233" spans="11:17" x14ac:dyDescent="0.15">
      <c r="K233" s="137"/>
      <c r="Q233" s="245"/>
    </row>
    <row r="234" spans="11:17" x14ac:dyDescent="0.15">
      <c r="K234" s="137"/>
      <c r="Q234" s="245"/>
    </row>
    <row r="235" spans="11:17" x14ac:dyDescent="0.15">
      <c r="K235" s="137"/>
      <c r="Q235" s="245"/>
    </row>
    <row r="236" spans="11:17" x14ac:dyDescent="0.15">
      <c r="K236" s="137"/>
      <c r="Q236" s="245"/>
    </row>
    <row r="237" spans="11:17" x14ac:dyDescent="0.15">
      <c r="K237" s="137"/>
      <c r="Q237" s="245"/>
    </row>
    <row r="238" spans="11:17" x14ac:dyDescent="0.15">
      <c r="K238" s="137"/>
      <c r="Q238" s="245"/>
    </row>
    <row r="239" spans="11:17" x14ac:dyDescent="0.15">
      <c r="K239" s="137"/>
      <c r="Q239" s="245"/>
    </row>
    <row r="240" spans="11:17" x14ac:dyDescent="0.15">
      <c r="K240" s="137"/>
      <c r="Q240" s="245"/>
    </row>
    <row r="241" spans="11:17" x14ac:dyDescent="0.15">
      <c r="K241" s="137"/>
      <c r="Q241" s="245"/>
    </row>
    <row r="242" spans="11:17" x14ac:dyDescent="0.15">
      <c r="K242" s="137"/>
      <c r="Q242" s="245"/>
    </row>
    <row r="243" spans="11:17" x14ac:dyDescent="0.15">
      <c r="K243" s="137"/>
      <c r="Q243" s="245"/>
    </row>
    <row r="244" spans="11:17" x14ac:dyDescent="0.15">
      <c r="K244" s="137"/>
      <c r="Q244" s="245"/>
    </row>
    <row r="245" spans="11:17" x14ac:dyDescent="0.15">
      <c r="K245" s="137"/>
      <c r="Q245" s="245"/>
    </row>
    <row r="246" spans="11:17" x14ac:dyDescent="0.15">
      <c r="K246" s="137"/>
      <c r="Q246" s="245"/>
    </row>
    <row r="247" spans="11:17" x14ac:dyDescent="0.15">
      <c r="K247" s="137"/>
      <c r="Q247" s="245"/>
    </row>
    <row r="248" spans="11:17" x14ac:dyDescent="0.15">
      <c r="K248" s="137"/>
      <c r="Q248" s="245"/>
    </row>
    <row r="249" spans="11:17" x14ac:dyDescent="0.15">
      <c r="K249" s="137"/>
      <c r="Q249" s="245"/>
    </row>
    <row r="250" spans="11:17" x14ac:dyDescent="0.15">
      <c r="K250" s="137"/>
      <c r="Q250" s="245"/>
    </row>
    <row r="251" spans="11:17" x14ac:dyDescent="0.15">
      <c r="K251" s="137"/>
      <c r="Q251" s="245"/>
    </row>
    <row r="252" spans="11:17" x14ac:dyDescent="0.15">
      <c r="K252" s="137"/>
      <c r="Q252" s="245"/>
    </row>
    <row r="253" spans="11:17" x14ac:dyDescent="0.15">
      <c r="K253" s="137"/>
      <c r="Q253" s="245"/>
    </row>
    <row r="254" spans="11:17" x14ac:dyDescent="0.15">
      <c r="K254" s="137"/>
      <c r="Q254" s="245"/>
    </row>
    <row r="255" spans="11:17" x14ac:dyDescent="0.15">
      <c r="K255" s="137"/>
      <c r="Q255" s="245"/>
    </row>
    <row r="256" spans="11:17" x14ac:dyDescent="0.15">
      <c r="K256" s="137"/>
      <c r="Q256" s="245"/>
    </row>
    <row r="257" spans="11:17" x14ac:dyDescent="0.15">
      <c r="K257" s="137"/>
      <c r="Q257" s="245"/>
    </row>
    <row r="258" spans="11:17" x14ac:dyDescent="0.15">
      <c r="K258" s="137"/>
      <c r="Q258" s="245"/>
    </row>
    <row r="259" spans="11:17" x14ac:dyDescent="0.15">
      <c r="K259" s="137"/>
      <c r="Q259" s="245"/>
    </row>
    <row r="260" spans="11:17" x14ac:dyDescent="0.15">
      <c r="K260" s="137"/>
      <c r="Q260" s="245"/>
    </row>
    <row r="261" spans="11:17" x14ac:dyDescent="0.15">
      <c r="K261" s="137"/>
      <c r="Q261" s="245"/>
    </row>
    <row r="262" spans="11:17" x14ac:dyDescent="0.15">
      <c r="K262" s="137"/>
      <c r="Q262" s="245"/>
    </row>
    <row r="263" spans="11:17" x14ac:dyDescent="0.15">
      <c r="K263" s="137"/>
      <c r="Q263" s="245"/>
    </row>
    <row r="264" spans="11:17" x14ac:dyDescent="0.15">
      <c r="K264" s="137"/>
      <c r="Q264" s="245"/>
    </row>
    <row r="265" spans="11:17" x14ac:dyDescent="0.15">
      <c r="K265" s="137"/>
      <c r="Q265" s="245"/>
    </row>
    <row r="266" spans="11:17" x14ac:dyDescent="0.15">
      <c r="K266" s="137"/>
      <c r="Q266" s="245"/>
    </row>
    <row r="267" spans="11:17" x14ac:dyDescent="0.15">
      <c r="K267" s="137"/>
      <c r="Q267" s="245"/>
    </row>
    <row r="268" spans="11:17" x14ac:dyDescent="0.15">
      <c r="K268" s="137"/>
      <c r="Q268" s="245"/>
    </row>
    <row r="269" spans="11:17" x14ac:dyDescent="0.15">
      <c r="K269" s="137"/>
      <c r="Q269" s="245"/>
    </row>
    <row r="270" spans="11:17" x14ac:dyDescent="0.15">
      <c r="K270" s="137"/>
      <c r="Q270" s="245"/>
    </row>
    <row r="271" spans="11:17" x14ac:dyDescent="0.15">
      <c r="K271" s="137"/>
      <c r="Q271" s="245"/>
    </row>
    <row r="272" spans="11:17" x14ac:dyDescent="0.15">
      <c r="K272" s="137"/>
      <c r="Q272" s="245"/>
    </row>
    <row r="273" spans="11:17" x14ac:dyDescent="0.15">
      <c r="K273" s="137"/>
      <c r="Q273" s="245"/>
    </row>
    <row r="274" spans="11:17" x14ac:dyDescent="0.15">
      <c r="K274" s="137"/>
      <c r="Q274" s="245"/>
    </row>
    <row r="275" spans="11:17" x14ac:dyDescent="0.15">
      <c r="K275" s="137"/>
      <c r="Q275" s="245"/>
    </row>
    <row r="276" spans="11:17" x14ac:dyDescent="0.15">
      <c r="K276" s="137"/>
      <c r="Q276" s="245"/>
    </row>
    <row r="277" spans="11:17" x14ac:dyDescent="0.15">
      <c r="K277" s="137"/>
      <c r="Q277" s="245"/>
    </row>
    <row r="278" spans="11:17" x14ac:dyDescent="0.15">
      <c r="K278" s="137"/>
      <c r="Q278" s="245"/>
    </row>
    <row r="279" spans="11:17" x14ac:dyDescent="0.15">
      <c r="K279" s="137"/>
      <c r="Q279" s="245"/>
    </row>
    <row r="280" spans="11:17" x14ac:dyDescent="0.15">
      <c r="K280" s="137"/>
      <c r="Q280" s="245"/>
    </row>
    <row r="281" spans="11:17" x14ac:dyDescent="0.15">
      <c r="K281" s="137"/>
      <c r="Q281" s="245"/>
    </row>
    <row r="282" spans="11:17" x14ac:dyDescent="0.15">
      <c r="K282" s="137"/>
      <c r="Q282" s="245"/>
    </row>
    <row r="283" spans="11:17" x14ac:dyDescent="0.15">
      <c r="K283" s="137"/>
      <c r="Q283" s="245"/>
    </row>
    <row r="284" spans="11:17" x14ac:dyDescent="0.15">
      <c r="K284" s="137"/>
      <c r="Q284" s="245"/>
    </row>
    <row r="285" spans="11:17" x14ac:dyDescent="0.15">
      <c r="K285" s="137"/>
      <c r="Q285" s="245"/>
    </row>
    <row r="286" spans="11:17" x14ac:dyDescent="0.15">
      <c r="K286" s="137"/>
      <c r="Q286" s="245"/>
    </row>
    <row r="287" spans="11:17" x14ac:dyDescent="0.15">
      <c r="K287" s="137"/>
      <c r="Q287" s="245"/>
    </row>
    <row r="288" spans="11:17" x14ac:dyDescent="0.15">
      <c r="K288" s="137"/>
      <c r="Q288" s="245"/>
    </row>
    <row r="289" spans="11:17" x14ac:dyDescent="0.15">
      <c r="K289" s="137"/>
      <c r="Q289" s="245"/>
    </row>
    <row r="290" spans="11:17" x14ac:dyDescent="0.15">
      <c r="K290" s="137"/>
      <c r="Q290" s="245"/>
    </row>
    <row r="291" spans="11:17" x14ac:dyDescent="0.15">
      <c r="K291" s="137"/>
      <c r="Q291" s="245"/>
    </row>
    <row r="292" spans="11:17" x14ac:dyDescent="0.15">
      <c r="K292" s="137"/>
    </row>
    <row r="293" spans="11:17" x14ac:dyDescent="0.15">
      <c r="K293" s="137"/>
    </row>
    <row r="294" spans="11:17" x14ac:dyDescent="0.15">
      <c r="K294" s="137"/>
    </row>
    <row r="295" spans="11:17" x14ac:dyDescent="0.15">
      <c r="K295" s="137"/>
    </row>
    <row r="296" spans="11:17" x14ac:dyDescent="0.15">
      <c r="K296" s="137"/>
    </row>
    <row r="297" spans="11:17" x14ac:dyDescent="0.15">
      <c r="K297" s="137"/>
    </row>
    <row r="298" spans="11:17" x14ac:dyDescent="0.15">
      <c r="K298" s="137"/>
    </row>
    <row r="299" spans="11:17" x14ac:dyDescent="0.15">
      <c r="K299" s="137"/>
    </row>
    <row r="300" spans="11:17" x14ac:dyDescent="0.15">
      <c r="K300" s="137"/>
    </row>
    <row r="301" spans="11:17" x14ac:dyDescent="0.15">
      <c r="K301" s="137"/>
    </row>
    <row r="302" spans="11:17" x14ac:dyDescent="0.15">
      <c r="K302" s="137"/>
    </row>
    <row r="303" spans="11:17" x14ac:dyDescent="0.15">
      <c r="K303" s="137"/>
    </row>
    <row r="304" spans="11:17"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row r="439" spans="11:11" x14ac:dyDescent="0.15">
      <c r="K439" s="137"/>
    </row>
    <row r="440" spans="11:11" x14ac:dyDescent="0.15">
      <c r="K440" s="137"/>
    </row>
    <row r="441" spans="11:11" x14ac:dyDescent="0.15">
      <c r="K441" s="137"/>
    </row>
    <row r="442" spans="11:11" x14ac:dyDescent="0.15">
      <c r="K442" s="137"/>
    </row>
    <row r="443" spans="11:11" x14ac:dyDescent="0.15">
      <c r="K443" s="137"/>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52"/>
  <sheetViews>
    <sheetView zoomScale="70" zoomScaleNormal="70" workbookViewId="0">
      <selection activeCell="AC37" sqref="AC37"/>
    </sheetView>
  </sheetViews>
  <sheetFormatPr defaultRowHeight="13.5" x14ac:dyDescent="0.15"/>
  <cols>
    <col min="1" max="3" width="9" style="208"/>
    <col min="4" max="4" width="10.5" style="208" bestFit="1" customWidth="1"/>
    <col min="5" max="5" width="10.875" style="208" bestFit="1" customWidth="1"/>
    <col min="6" max="6" width="18.875" style="208" bestFit="1" customWidth="1"/>
    <col min="7" max="9" width="9" style="208"/>
    <col min="10" max="10" width="9.25" style="208" customWidth="1"/>
    <col min="11" max="16" width="9" style="208"/>
    <col min="17" max="17" width="9" style="217"/>
    <col min="18" max="19" width="9" style="208"/>
    <col min="20" max="20" width="9" style="217"/>
    <col min="21" max="21" width="9" style="208"/>
    <col min="22" max="22" width="14.25" style="217" customWidth="1"/>
    <col min="23" max="23" width="9" style="208"/>
    <col min="24" max="24" width="9.625" style="208" customWidth="1"/>
    <col min="25" max="26" width="9" style="208"/>
    <col min="27" max="27" width="12.125" style="208" customWidth="1"/>
    <col min="28" max="32" width="9" style="208"/>
    <col min="33" max="33" width="15.125" style="208" bestFit="1" customWidth="1"/>
    <col min="34" max="34" width="19.625" style="208" bestFit="1" customWidth="1"/>
    <col min="35" max="16384" width="9" style="208"/>
  </cols>
  <sheetData>
    <row r="1" spans="1:53" ht="45" x14ac:dyDescent="0.15">
      <c r="A1" s="240" t="s">
        <v>0</v>
      </c>
      <c r="B1" s="202" t="s">
        <v>1</v>
      </c>
      <c r="C1" s="202" t="s">
        <v>542</v>
      </c>
      <c r="D1" s="203" t="s">
        <v>3</v>
      </c>
      <c r="E1" s="241" t="s">
        <v>4</v>
      </c>
      <c r="F1" s="241" t="s">
        <v>5</v>
      </c>
      <c r="G1" s="241" t="s">
        <v>6</v>
      </c>
      <c r="H1" s="241" t="s">
        <v>7</v>
      </c>
      <c r="I1" s="241" t="s">
        <v>8</v>
      </c>
      <c r="J1" s="241" t="s">
        <v>9</v>
      </c>
      <c r="K1" s="241" t="s">
        <v>10</v>
      </c>
      <c r="L1" s="203" t="s">
        <v>543</v>
      </c>
      <c r="M1" s="203" t="s">
        <v>12</v>
      </c>
      <c r="N1" s="203" t="s">
        <v>13</v>
      </c>
      <c r="O1" s="203" t="s">
        <v>544</v>
      </c>
      <c r="P1" s="203" t="s">
        <v>545</v>
      </c>
      <c r="Q1" s="204" t="s">
        <v>16</v>
      </c>
      <c r="R1" s="203" t="s">
        <v>546</v>
      </c>
      <c r="S1" s="203" t="s">
        <v>547</v>
      </c>
      <c r="T1" s="204" t="s">
        <v>19</v>
      </c>
      <c r="U1" s="205" t="s">
        <v>548</v>
      </c>
      <c r="V1" s="206" t="s">
        <v>20</v>
      </c>
      <c r="W1" s="203" t="s">
        <v>21</v>
      </c>
      <c r="X1" s="241" t="s">
        <v>22</v>
      </c>
      <c r="Y1" s="241" t="s">
        <v>23</v>
      </c>
      <c r="Z1" s="241" t="s">
        <v>549</v>
      </c>
      <c r="AA1" s="242" t="s">
        <v>25</v>
      </c>
      <c r="AB1" s="207" t="s">
        <v>550</v>
      </c>
      <c r="AE1" s="209" t="s">
        <v>0</v>
      </c>
      <c r="AF1" s="210"/>
      <c r="AG1" s="24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551</v>
      </c>
      <c r="AY1" s="214" t="s">
        <v>552</v>
      </c>
      <c r="AZ1" s="214" t="s">
        <v>553</v>
      </c>
      <c r="BA1" s="215" t="s">
        <v>554</v>
      </c>
    </row>
    <row r="2" spans="1:53" s="216" customFormat="1" x14ac:dyDescent="0.15">
      <c r="A2" s="216" t="s">
        <v>34</v>
      </c>
      <c r="B2" s="208" t="s">
        <v>342</v>
      </c>
      <c r="C2" s="208">
        <v>2018</v>
      </c>
      <c r="D2" s="250" t="s">
        <v>555</v>
      </c>
      <c r="E2" s="237" t="s">
        <v>199</v>
      </c>
      <c r="F2" s="237" t="s">
        <v>334</v>
      </c>
      <c r="G2" s="216" t="s">
        <v>36</v>
      </c>
      <c r="H2" s="208" t="s">
        <v>157</v>
      </c>
      <c r="I2" s="216" t="s">
        <v>155</v>
      </c>
      <c r="J2" s="216" t="s">
        <v>38</v>
      </c>
      <c r="K2" s="216" t="s">
        <v>156</v>
      </c>
      <c r="L2" s="216">
        <v>1</v>
      </c>
      <c r="N2" s="216">
        <v>1</v>
      </c>
      <c r="O2" s="216">
        <v>0.9</v>
      </c>
      <c r="P2" s="216">
        <v>0.9</v>
      </c>
      <c r="Q2" s="245">
        <f t="shared" ref="Q2:Q82" si="0">IF(OR(O2="",P2=""),"",AVERAGE(O2,P2))</f>
        <v>0.9</v>
      </c>
      <c r="R2" s="216">
        <v>13.2</v>
      </c>
      <c r="S2" s="216">
        <v>129</v>
      </c>
      <c r="T2" s="217">
        <f t="shared" ref="T2:T97" si="1">IF(H2="","",IF(OR(H2="GREEN",H2="GK"),IF(S2&gt;=$AX$2,VLOOKUP(S2,$AX$2:$AY$9,2,1),""),IF(S2&gt;=$AZ$2,VLOOKUP(S2,$AZ$2:$BA$9,2,1),"")))</f>
        <v>30</v>
      </c>
      <c r="U2" s="216">
        <v>105</v>
      </c>
      <c r="V2" s="217">
        <f t="shared" ref="V2:V97" si="2">IF(OR(N2="",U2="",T2=""),"",U2/N2*T2)</f>
        <v>3150</v>
      </c>
      <c r="W2" s="216">
        <v>3</v>
      </c>
      <c r="X2" s="216" t="s">
        <v>46</v>
      </c>
      <c r="Y2" s="216" t="s">
        <v>69</v>
      </c>
      <c r="Z2" s="216" t="s">
        <v>88</v>
      </c>
      <c r="AA2" s="216" t="s">
        <v>97</v>
      </c>
      <c r="AB2" s="216" t="s">
        <v>344</v>
      </c>
      <c r="AE2" s="218" t="s">
        <v>35</v>
      </c>
      <c r="AG2" s="251" t="s">
        <v>290</v>
      </c>
      <c r="AH2" s="243" t="s">
        <v>325</v>
      </c>
      <c r="AJ2" s="219" t="s">
        <v>36</v>
      </c>
      <c r="AL2" s="219" t="s">
        <v>127</v>
      </c>
      <c r="AN2" s="219" t="s">
        <v>37</v>
      </c>
      <c r="AP2" s="219" t="s">
        <v>38</v>
      </c>
      <c r="AR2" s="219" t="s">
        <v>556</v>
      </c>
      <c r="AT2" s="219" t="s">
        <v>39</v>
      </c>
      <c r="AV2" s="248" t="s">
        <v>40</v>
      </c>
      <c r="AX2" s="220">
        <v>1</v>
      </c>
      <c r="AY2" s="221">
        <v>50</v>
      </c>
      <c r="AZ2" s="221">
        <v>1</v>
      </c>
      <c r="BA2" s="222">
        <v>50</v>
      </c>
    </row>
    <row r="3" spans="1:53" x14ac:dyDescent="0.15">
      <c r="A3" s="216" t="s">
        <v>34</v>
      </c>
      <c r="B3" s="208" t="s">
        <v>342</v>
      </c>
      <c r="C3" s="208">
        <v>2018</v>
      </c>
      <c r="D3" s="250" t="s">
        <v>555</v>
      </c>
      <c r="E3" s="237" t="s">
        <v>199</v>
      </c>
      <c r="F3" s="237" t="s">
        <v>334</v>
      </c>
      <c r="G3" s="216" t="s">
        <v>36</v>
      </c>
      <c r="H3" s="208" t="s">
        <v>157</v>
      </c>
      <c r="I3" s="216" t="s">
        <v>155</v>
      </c>
      <c r="J3" s="216" t="s">
        <v>38</v>
      </c>
      <c r="K3" s="216" t="s">
        <v>156</v>
      </c>
      <c r="L3" s="208">
        <v>2</v>
      </c>
      <c r="N3" s="208">
        <v>1</v>
      </c>
      <c r="O3" s="208">
        <v>1</v>
      </c>
      <c r="P3" s="208">
        <v>0.9</v>
      </c>
      <c r="Q3" s="245">
        <f t="shared" si="0"/>
        <v>0.95</v>
      </c>
      <c r="R3" s="208">
        <v>9.6</v>
      </c>
      <c r="S3" s="208">
        <v>133</v>
      </c>
      <c r="T3" s="217">
        <f t="shared" si="1"/>
        <v>30</v>
      </c>
      <c r="U3" s="208">
        <v>105</v>
      </c>
      <c r="V3" s="217">
        <f t="shared" si="2"/>
        <v>3150</v>
      </c>
      <c r="W3" s="216">
        <v>3</v>
      </c>
      <c r="X3" s="216" t="s">
        <v>46</v>
      </c>
      <c r="Y3" s="216" t="s">
        <v>69</v>
      </c>
      <c r="Z3" s="216" t="s">
        <v>88</v>
      </c>
      <c r="AA3" s="216" t="s">
        <v>97</v>
      </c>
      <c r="AB3" s="216" t="s">
        <v>344</v>
      </c>
      <c r="AC3" s="216"/>
      <c r="AE3" s="223" t="s">
        <v>41</v>
      </c>
      <c r="AG3" s="252" t="s">
        <v>326</v>
      </c>
      <c r="AH3" s="243" t="s">
        <v>327</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216" t="s">
        <v>34</v>
      </c>
      <c r="B4" s="208" t="s">
        <v>342</v>
      </c>
      <c r="C4" s="208">
        <v>2018</v>
      </c>
      <c r="D4" s="250" t="s">
        <v>555</v>
      </c>
      <c r="E4" s="237" t="s">
        <v>199</v>
      </c>
      <c r="F4" s="237" t="s">
        <v>334</v>
      </c>
      <c r="G4" s="216" t="s">
        <v>36</v>
      </c>
      <c r="H4" s="208" t="s">
        <v>157</v>
      </c>
      <c r="I4" s="216" t="s">
        <v>155</v>
      </c>
      <c r="J4" s="216" t="s">
        <v>38</v>
      </c>
      <c r="K4" s="216" t="s">
        <v>156</v>
      </c>
      <c r="L4" s="208">
        <v>3</v>
      </c>
      <c r="N4" s="208">
        <v>1</v>
      </c>
      <c r="O4" s="208">
        <v>0.65</v>
      </c>
      <c r="P4" s="208">
        <v>0.75</v>
      </c>
      <c r="Q4" s="245">
        <f t="shared" si="0"/>
        <v>0.7</v>
      </c>
      <c r="R4" s="208">
        <v>11.8</v>
      </c>
      <c r="S4" s="208">
        <v>128</v>
      </c>
      <c r="T4" s="217">
        <f t="shared" si="1"/>
        <v>30</v>
      </c>
      <c r="U4" s="208">
        <v>105</v>
      </c>
      <c r="V4" s="217">
        <f t="shared" si="2"/>
        <v>3150</v>
      </c>
      <c r="W4" s="208">
        <v>3</v>
      </c>
      <c r="X4" s="216" t="s">
        <v>46</v>
      </c>
      <c r="Y4" s="216" t="s">
        <v>69</v>
      </c>
      <c r="Z4" s="216" t="s">
        <v>88</v>
      </c>
      <c r="AA4" s="216" t="s">
        <v>97</v>
      </c>
      <c r="AB4" s="216" t="s">
        <v>344</v>
      </c>
      <c r="AC4" s="216"/>
      <c r="AE4" s="223" t="s">
        <v>34</v>
      </c>
      <c r="AG4" s="252" t="s">
        <v>328</v>
      </c>
      <c r="AH4" s="243" t="s">
        <v>329</v>
      </c>
      <c r="AJ4" s="228" t="s">
        <v>48</v>
      </c>
      <c r="AL4" s="228" t="s">
        <v>129</v>
      </c>
      <c r="AN4" s="229" t="s">
        <v>49</v>
      </c>
      <c r="AP4" s="224" t="s">
        <v>557</v>
      </c>
      <c r="AR4" s="238" t="s">
        <v>558</v>
      </c>
      <c r="AT4" s="229"/>
      <c r="AV4" s="224" t="s">
        <v>50</v>
      </c>
      <c r="AX4" s="225">
        <v>75</v>
      </c>
      <c r="AY4" s="226">
        <v>42</v>
      </c>
      <c r="AZ4" s="226">
        <v>76</v>
      </c>
      <c r="BA4" s="227">
        <v>39</v>
      </c>
    </row>
    <row r="5" spans="1:53" x14ac:dyDescent="0.15">
      <c r="A5" s="216" t="s">
        <v>34</v>
      </c>
      <c r="B5" s="208" t="s">
        <v>342</v>
      </c>
      <c r="C5" s="208">
        <v>2018</v>
      </c>
      <c r="D5" s="250" t="s">
        <v>555</v>
      </c>
      <c r="E5" s="237" t="s">
        <v>199</v>
      </c>
      <c r="F5" s="237" t="s">
        <v>334</v>
      </c>
      <c r="G5" s="216" t="s">
        <v>36</v>
      </c>
      <c r="H5" s="208" t="s">
        <v>157</v>
      </c>
      <c r="I5" s="216" t="s">
        <v>155</v>
      </c>
      <c r="J5" s="216" t="s">
        <v>38</v>
      </c>
      <c r="K5" s="216" t="s">
        <v>156</v>
      </c>
      <c r="L5" s="216">
        <v>1</v>
      </c>
      <c r="N5" s="208">
        <v>5</v>
      </c>
      <c r="O5" s="208">
        <v>0.2</v>
      </c>
      <c r="P5" s="208">
        <v>0.2</v>
      </c>
      <c r="Q5" s="245">
        <f t="shared" si="0"/>
        <v>0.2</v>
      </c>
      <c r="R5" s="208">
        <v>12.4</v>
      </c>
      <c r="S5" s="208">
        <v>88</v>
      </c>
      <c r="T5" s="217">
        <f t="shared" si="1"/>
        <v>36</v>
      </c>
      <c r="U5" s="208">
        <v>429</v>
      </c>
      <c r="V5" s="217">
        <f t="shared" si="2"/>
        <v>3088.7999999999997</v>
      </c>
      <c r="W5" s="208">
        <v>3</v>
      </c>
      <c r="X5" s="216" t="s">
        <v>46</v>
      </c>
      <c r="Y5" s="216" t="s">
        <v>69</v>
      </c>
      <c r="Z5" s="216" t="s">
        <v>88</v>
      </c>
      <c r="AA5" s="216" t="s">
        <v>97</v>
      </c>
      <c r="AB5" s="216" t="s">
        <v>344</v>
      </c>
      <c r="AE5" s="223" t="s">
        <v>51</v>
      </c>
      <c r="AG5" s="252" t="s">
        <v>330</v>
      </c>
      <c r="AH5" s="243" t="s">
        <v>331</v>
      </c>
      <c r="AJ5" s="229"/>
      <c r="AL5" s="230" t="s">
        <v>559</v>
      </c>
      <c r="AN5" s="230" t="s">
        <v>560</v>
      </c>
      <c r="AP5" s="224" t="s">
        <v>561</v>
      </c>
      <c r="AR5" s="238" t="s">
        <v>54</v>
      </c>
      <c r="AV5" s="224" t="s">
        <v>55</v>
      </c>
      <c r="AX5" s="225">
        <v>84</v>
      </c>
      <c r="AY5" s="226">
        <v>39</v>
      </c>
      <c r="AZ5" s="226">
        <v>84</v>
      </c>
      <c r="BA5" s="227">
        <v>36</v>
      </c>
    </row>
    <row r="6" spans="1:53" x14ac:dyDescent="0.15">
      <c r="A6" s="216" t="s">
        <v>34</v>
      </c>
      <c r="B6" s="208" t="s">
        <v>342</v>
      </c>
      <c r="C6" s="208">
        <v>2018</v>
      </c>
      <c r="D6" s="250" t="s">
        <v>555</v>
      </c>
      <c r="E6" s="237" t="s">
        <v>199</v>
      </c>
      <c r="F6" s="237" t="s">
        <v>334</v>
      </c>
      <c r="G6" s="216" t="s">
        <v>36</v>
      </c>
      <c r="H6" s="208" t="s">
        <v>157</v>
      </c>
      <c r="I6" s="216" t="s">
        <v>155</v>
      </c>
      <c r="J6" s="216" t="s">
        <v>38</v>
      </c>
      <c r="K6" s="216" t="s">
        <v>156</v>
      </c>
      <c r="L6" s="208">
        <v>2</v>
      </c>
      <c r="N6" s="208">
        <v>5</v>
      </c>
      <c r="O6" s="208">
        <v>0.7</v>
      </c>
      <c r="P6" s="208">
        <v>0.55000000000000004</v>
      </c>
      <c r="Q6" s="245">
        <f t="shared" si="0"/>
        <v>0.625</v>
      </c>
      <c r="R6" s="208">
        <v>11.6</v>
      </c>
      <c r="S6" s="208">
        <v>91</v>
      </c>
      <c r="T6" s="217">
        <f t="shared" si="1"/>
        <v>36</v>
      </c>
      <c r="U6" s="208">
        <v>429</v>
      </c>
      <c r="V6" s="217">
        <f t="shared" si="2"/>
        <v>3088.7999999999997</v>
      </c>
      <c r="W6" s="208">
        <v>3</v>
      </c>
      <c r="X6" s="216" t="s">
        <v>46</v>
      </c>
      <c r="Y6" s="216" t="s">
        <v>69</v>
      </c>
      <c r="Z6" s="216" t="s">
        <v>88</v>
      </c>
      <c r="AA6" s="216" t="s">
        <v>97</v>
      </c>
      <c r="AB6" s="216" t="s">
        <v>344</v>
      </c>
      <c r="AE6" s="223" t="s">
        <v>56</v>
      </c>
      <c r="AG6" s="252" t="s">
        <v>332</v>
      </c>
      <c r="AH6" s="243" t="s">
        <v>333</v>
      </c>
      <c r="AL6" s="230" t="s">
        <v>562</v>
      </c>
      <c r="AN6" s="230" t="s">
        <v>563</v>
      </c>
      <c r="AP6" s="224" t="s">
        <v>53</v>
      </c>
      <c r="AR6" s="238" t="s">
        <v>59</v>
      </c>
      <c r="AV6" s="224" t="s">
        <v>60</v>
      </c>
      <c r="AX6" s="225">
        <v>97</v>
      </c>
      <c r="AY6" s="226">
        <v>36</v>
      </c>
      <c r="AZ6" s="226">
        <v>99</v>
      </c>
      <c r="BA6" s="227">
        <v>33</v>
      </c>
    </row>
    <row r="7" spans="1:53" x14ac:dyDescent="0.15">
      <c r="A7" s="216" t="s">
        <v>34</v>
      </c>
      <c r="B7" s="208" t="s">
        <v>342</v>
      </c>
      <c r="C7" s="208">
        <v>2018</v>
      </c>
      <c r="D7" s="250" t="s">
        <v>555</v>
      </c>
      <c r="E7" s="237" t="s">
        <v>199</v>
      </c>
      <c r="F7" s="237" t="s">
        <v>334</v>
      </c>
      <c r="G7" s="216" t="s">
        <v>36</v>
      </c>
      <c r="H7" s="208" t="s">
        <v>157</v>
      </c>
      <c r="I7" s="216" t="s">
        <v>155</v>
      </c>
      <c r="J7" s="216" t="s">
        <v>38</v>
      </c>
      <c r="K7" s="216" t="s">
        <v>156</v>
      </c>
      <c r="L7" s="208">
        <v>3</v>
      </c>
      <c r="N7" s="208">
        <v>5</v>
      </c>
      <c r="O7" s="208">
        <v>0.8</v>
      </c>
      <c r="P7" s="208">
        <v>0.8</v>
      </c>
      <c r="Q7" s="245">
        <f t="shared" si="0"/>
        <v>0.8</v>
      </c>
      <c r="R7" s="208">
        <v>9.9</v>
      </c>
      <c r="S7" s="208">
        <v>119</v>
      </c>
      <c r="T7" s="217">
        <f t="shared" si="1"/>
        <v>30</v>
      </c>
      <c r="U7" s="208">
        <v>429</v>
      </c>
      <c r="V7" s="217">
        <f t="shared" si="2"/>
        <v>2574</v>
      </c>
      <c r="W7" s="208">
        <v>3</v>
      </c>
      <c r="X7" s="216" t="s">
        <v>46</v>
      </c>
      <c r="Y7" s="216" t="s">
        <v>69</v>
      </c>
      <c r="Z7" s="216" t="s">
        <v>88</v>
      </c>
      <c r="AA7" s="216" t="s">
        <v>97</v>
      </c>
      <c r="AB7" s="216" t="s">
        <v>344</v>
      </c>
      <c r="AE7" s="223" t="s">
        <v>61</v>
      </c>
      <c r="AG7" s="252" t="s">
        <v>199</v>
      </c>
      <c r="AH7" s="243" t="s">
        <v>334</v>
      </c>
      <c r="AL7" s="235" t="s">
        <v>564</v>
      </c>
      <c r="AP7" s="224" t="s">
        <v>58</v>
      </c>
      <c r="AR7" s="231" t="s">
        <v>122</v>
      </c>
      <c r="AV7" s="224" t="s">
        <v>64</v>
      </c>
      <c r="AX7" s="225">
        <v>109</v>
      </c>
      <c r="AY7" s="226">
        <v>33</v>
      </c>
      <c r="AZ7" s="226">
        <v>113</v>
      </c>
      <c r="BA7" s="227">
        <v>30</v>
      </c>
    </row>
    <row r="8" spans="1:53" x14ac:dyDescent="0.15">
      <c r="A8" s="216" t="s">
        <v>34</v>
      </c>
      <c r="B8" s="208" t="s">
        <v>342</v>
      </c>
      <c r="C8" s="208">
        <v>2018</v>
      </c>
      <c r="D8" s="250" t="s">
        <v>565</v>
      </c>
      <c r="E8" s="237" t="s">
        <v>199</v>
      </c>
      <c r="F8" s="237" t="s">
        <v>334</v>
      </c>
      <c r="G8" s="216" t="s">
        <v>36</v>
      </c>
      <c r="H8" s="208" t="s">
        <v>160</v>
      </c>
      <c r="I8" s="216" t="s">
        <v>155</v>
      </c>
      <c r="J8" s="216" t="s">
        <v>38</v>
      </c>
      <c r="K8" s="216" t="s">
        <v>156</v>
      </c>
      <c r="L8" s="216">
        <v>1</v>
      </c>
      <c r="N8" s="208">
        <v>1</v>
      </c>
      <c r="O8" s="208">
        <v>0.85</v>
      </c>
      <c r="P8" s="208">
        <v>0.75</v>
      </c>
      <c r="Q8" s="245">
        <f t="shared" si="0"/>
        <v>0.8</v>
      </c>
      <c r="R8" s="208">
        <v>16.3</v>
      </c>
      <c r="S8" s="208">
        <v>165</v>
      </c>
      <c r="T8" s="217">
        <f t="shared" si="1"/>
        <v>18</v>
      </c>
      <c r="U8" s="208">
        <v>170</v>
      </c>
      <c r="V8" s="217">
        <f t="shared" si="2"/>
        <v>3060</v>
      </c>
      <c r="W8" s="208">
        <v>3</v>
      </c>
      <c r="X8" s="216" t="s">
        <v>46</v>
      </c>
      <c r="Y8" s="216" t="s">
        <v>69</v>
      </c>
      <c r="Z8" s="216" t="s">
        <v>88</v>
      </c>
      <c r="AA8" s="216" t="s">
        <v>97</v>
      </c>
      <c r="AB8" s="216" t="s">
        <v>344</v>
      </c>
      <c r="AE8" s="223" t="s">
        <v>59</v>
      </c>
      <c r="AG8" s="252" t="s">
        <v>335</v>
      </c>
      <c r="AH8" s="243" t="s">
        <v>336</v>
      </c>
      <c r="AL8" s="235" t="s">
        <v>372</v>
      </c>
      <c r="AP8" s="224" t="s">
        <v>62</v>
      </c>
      <c r="AR8" s="238" t="s">
        <v>81</v>
      </c>
      <c r="AV8" s="224" t="s">
        <v>97</v>
      </c>
      <c r="AX8" s="225">
        <v>151</v>
      </c>
      <c r="AY8" s="226">
        <v>22</v>
      </c>
      <c r="AZ8" s="226">
        <v>152</v>
      </c>
      <c r="BA8" s="227">
        <v>18</v>
      </c>
    </row>
    <row r="9" spans="1:53" x14ac:dyDescent="0.15">
      <c r="A9" s="216" t="s">
        <v>34</v>
      </c>
      <c r="B9" s="208" t="s">
        <v>342</v>
      </c>
      <c r="C9" s="208">
        <v>2018</v>
      </c>
      <c r="D9" s="250" t="s">
        <v>565</v>
      </c>
      <c r="E9" s="237" t="s">
        <v>199</v>
      </c>
      <c r="F9" s="237" t="s">
        <v>334</v>
      </c>
      <c r="G9" s="216" t="s">
        <v>36</v>
      </c>
      <c r="H9" s="208" t="s">
        <v>160</v>
      </c>
      <c r="I9" s="216" t="s">
        <v>155</v>
      </c>
      <c r="J9" s="216" t="s">
        <v>38</v>
      </c>
      <c r="K9" s="216" t="s">
        <v>156</v>
      </c>
      <c r="L9" s="208">
        <v>2</v>
      </c>
      <c r="N9" s="208">
        <v>1</v>
      </c>
      <c r="O9" s="208">
        <v>0.85</v>
      </c>
      <c r="P9" s="208">
        <v>0.65</v>
      </c>
      <c r="Q9" s="245">
        <f t="shared" si="0"/>
        <v>0.75</v>
      </c>
      <c r="R9" s="208">
        <v>14.4</v>
      </c>
      <c r="S9" s="208">
        <v>155</v>
      </c>
      <c r="T9" s="217">
        <f t="shared" si="1"/>
        <v>18</v>
      </c>
      <c r="U9" s="208">
        <v>170</v>
      </c>
      <c r="V9" s="217">
        <f t="shared" si="2"/>
        <v>3060</v>
      </c>
      <c r="W9" s="208">
        <v>3</v>
      </c>
      <c r="X9" s="216" t="s">
        <v>46</v>
      </c>
      <c r="Y9" s="216" t="s">
        <v>69</v>
      </c>
      <c r="Z9" s="216" t="s">
        <v>88</v>
      </c>
      <c r="AA9" s="216" t="s">
        <v>97</v>
      </c>
      <c r="AB9" s="216" t="s">
        <v>344</v>
      </c>
      <c r="AE9" s="223" t="s">
        <v>98</v>
      </c>
      <c r="AG9" s="252" t="s">
        <v>293</v>
      </c>
      <c r="AH9" s="243" t="s">
        <v>337</v>
      </c>
      <c r="AL9" s="230"/>
      <c r="AP9" s="224" t="s">
        <v>95</v>
      </c>
      <c r="AR9" s="231" t="s">
        <v>89</v>
      </c>
      <c r="AV9" s="224" t="s">
        <v>102</v>
      </c>
      <c r="AX9" s="232">
        <v>180</v>
      </c>
      <c r="AY9" s="233">
        <v>18</v>
      </c>
      <c r="AZ9" s="233">
        <v>181</v>
      </c>
      <c r="BA9" s="234">
        <v>16</v>
      </c>
    </row>
    <row r="10" spans="1:53" x14ac:dyDescent="0.15">
      <c r="A10" s="216" t="s">
        <v>34</v>
      </c>
      <c r="B10" s="208" t="s">
        <v>342</v>
      </c>
      <c r="C10" s="208">
        <v>2018</v>
      </c>
      <c r="D10" s="250" t="s">
        <v>488</v>
      </c>
      <c r="E10" s="237" t="s">
        <v>199</v>
      </c>
      <c r="F10" s="237" t="s">
        <v>334</v>
      </c>
      <c r="G10" s="216" t="s">
        <v>36</v>
      </c>
      <c r="H10" s="208" t="s">
        <v>160</v>
      </c>
      <c r="I10" s="216" t="s">
        <v>155</v>
      </c>
      <c r="J10" s="216" t="s">
        <v>38</v>
      </c>
      <c r="K10" s="216" t="s">
        <v>156</v>
      </c>
      <c r="L10" s="208">
        <v>3</v>
      </c>
      <c r="N10" s="208">
        <v>1</v>
      </c>
      <c r="O10" s="208">
        <v>0.65</v>
      </c>
      <c r="P10" s="208">
        <v>0.65</v>
      </c>
      <c r="Q10" s="245">
        <f t="shared" si="0"/>
        <v>0.65</v>
      </c>
      <c r="R10" s="208">
        <v>15.1</v>
      </c>
      <c r="S10" s="208">
        <v>155</v>
      </c>
      <c r="T10" s="217">
        <f t="shared" si="1"/>
        <v>18</v>
      </c>
      <c r="U10" s="208">
        <v>170</v>
      </c>
      <c r="V10" s="217">
        <f t="shared" si="2"/>
        <v>3060</v>
      </c>
      <c r="W10" s="208">
        <v>3</v>
      </c>
      <c r="X10" s="216" t="s">
        <v>46</v>
      </c>
      <c r="Y10" s="216" t="s">
        <v>69</v>
      </c>
      <c r="Z10" s="216" t="s">
        <v>88</v>
      </c>
      <c r="AA10" s="216" t="s">
        <v>97</v>
      </c>
      <c r="AB10" s="216" t="s">
        <v>344</v>
      </c>
      <c r="AE10" s="223" t="s">
        <v>103</v>
      </c>
      <c r="AG10" s="252" t="s">
        <v>338</v>
      </c>
      <c r="AH10" s="243" t="s">
        <v>339</v>
      </c>
      <c r="AL10" s="235"/>
      <c r="AP10" s="224" t="s">
        <v>100</v>
      </c>
      <c r="AR10" s="231" t="s">
        <v>123</v>
      </c>
      <c r="AV10" s="224" t="s">
        <v>106</v>
      </c>
    </row>
    <row r="11" spans="1:53" x14ac:dyDescent="0.15">
      <c r="A11" s="216" t="s">
        <v>34</v>
      </c>
      <c r="B11" s="208" t="s">
        <v>342</v>
      </c>
      <c r="C11" s="208">
        <v>2018</v>
      </c>
      <c r="D11" s="250" t="s">
        <v>488</v>
      </c>
      <c r="E11" s="237" t="s">
        <v>293</v>
      </c>
      <c r="F11" s="237" t="s">
        <v>337</v>
      </c>
      <c r="G11" s="216" t="s">
        <v>36</v>
      </c>
      <c r="H11" s="208" t="s">
        <v>157</v>
      </c>
      <c r="I11" s="216" t="s">
        <v>155</v>
      </c>
      <c r="J11" s="216" t="s">
        <v>38</v>
      </c>
      <c r="K11" s="216" t="s">
        <v>156</v>
      </c>
      <c r="L11" s="216">
        <v>1</v>
      </c>
      <c r="N11" s="208">
        <v>1</v>
      </c>
      <c r="O11" s="208">
        <v>0.6</v>
      </c>
      <c r="P11" s="208">
        <v>0.65</v>
      </c>
      <c r="Q11" s="245">
        <f t="shared" si="0"/>
        <v>0.625</v>
      </c>
      <c r="R11" s="208">
        <v>14.6</v>
      </c>
      <c r="S11" s="208">
        <v>118</v>
      </c>
      <c r="T11" s="217">
        <f t="shared" si="1"/>
        <v>30</v>
      </c>
      <c r="U11" s="208">
        <v>73</v>
      </c>
      <c r="V11" s="217">
        <f t="shared" si="2"/>
        <v>2190</v>
      </c>
      <c r="W11" s="208">
        <v>12</v>
      </c>
      <c r="X11" s="216" t="s">
        <v>46</v>
      </c>
      <c r="Y11" s="216" t="s">
        <v>55</v>
      </c>
      <c r="Z11" s="216" t="s">
        <v>69</v>
      </c>
      <c r="AA11" s="216" t="s">
        <v>88</v>
      </c>
      <c r="AB11" s="216" t="s">
        <v>344</v>
      </c>
      <c r="AE11" s="223" t="s">
        <v>65</v>
      </c>
      <c r="AG11" s="252" t="s">
        <v>164</v>
      </c>
      <c r="AH11" s="243" t="s">
        <v>340</v>
      </c>
      <c r="AL11" s="235"/>
      <c r="AP11" s="224" t="s">
        <v>104</v>
      </c>
      <c r="AR11" s="231" t="s">
        <v>87</v>
      </c>
      <c r="AV11" s="224" t="s">
        <v>69</v>
      </c>
    </row>
    <row r="12" spans="1:53" x14ac:dyDescent="0.15">
      <c r="A12" s="216" t="s">
        <v>34</v>
      </c>
      <c r="B12" s="208" t="s">
        <v>342</v>
      </c>
      <c r="C12" s="208">
        <v>2018</v>
      </c>
      <c r="D12" s="250" t="s">
        <v>481</v>
      </c>
      <c r="E12" s="237" t="s">
        <v>293</v>
      </c>
      <c r="F12" s="237" t="s">
        <v>337</v>
      </c>
      <c r="G12" s="216" t="s">
        <v>36</v>
      </c>
      <c r="H12" s="208" t="s">
        <v>157</v>
      </c>
      <c r="I12" s="216" t="s">
        <v>155</v>
      </c>
      <c r="J12" s="216" t="s">
        <v>38</v>
      </c>
      <c r="K12" s="216" t="s">
        <v>156</v>
      </c>
      <c r="L12" s="208">
        <v>2</v>
      </c>
      <c r="N12" s="208">
        <v>1</v>
      </c>
      <c r="O12" s="208">
        <v>0.5</v>
      </c>
      <c r="P12" s="208">
        <v>0.45</v>
      </c>
      <c r="Q12" s="245">
        <f t="shared" si="0"/>
        <v>0.47499999999999998</v>
      </c>
      <c r="R12" s="208">
        <v>16.399999999999999</v>
      </c>
      <c r="S12" s="208">
        <v>118</v>
      </c>
      <c r="T12" s="217">
        <f t="shared" si="1"/>
        <v>30</v>
      </c>
      <c r="U12" s="208">
        <v>73</v>
      </c>
      <c r="V12" s="217">
        <f t="shared" si="2"/>
        <v>2190</v>
      </c>
      <c r="W12" s="208">
        <v>12</v>
      </c>
      <c r="X12" s="216" t="s">
        <v>46</v>
      </c>
      <c r="Y12" s="216" t="s">
        <v>55</v>
      </c>
      <c r="Z12" s="216" t="s">
        <v>69</v>
      </c>
      <c r="AA12" s="216" t="s">
        <v>88</v>
      </c>
      <c r="AB12" s="216" t="s">
        <v>344</v>
      </c>
      <c r="AE12" s="223" t="s">
        <v>70</v>
      </c>
      <c r="AG12" s="244"/>
      <c r="AH12" s="224"/>
      <c r="AL12" s="235"/>
      <c r="AP12" s="224" t="s">
        <v>67</v>
      </c>
      <c r="AR12" s="231" t="s">
        <v>124</v>
      </c>
      <c r="AV12" s="224" t="s">
        <v>72</v>
      </c>
    </row>
    <row r="13" spans="1:53" x14ac:dyDescent="0.15">
      <c r="A13" s="216" t="s">
        <v>34</v>
      </c>
      <c r="B13" s="208" t="s">
        <v>342</v>
      </c>
      <c r="C13" s="208">
        <v>2018</v>
      </c>
      <c r="D13" s="250" t="s">
        <v>492</v>
      </c>
      <c r="E13" s="237" t="s">
        <v>293</v>
      </c>
      <c r="F13" s="237" t="s">
        <v>337</v>
      </c>
      <c r="G13" s="216" t="s">
        <v>36</v>
      </c>
      <c r="H13" s="208" t="s">
        <v>157</v>
      </c>
      <c r="I13" s="216" t="s">
        <v>155</v>
      </c>
      <c r="J13" s="216" t="s">
        <v>38</v>
      </c>
      <c r="K13" s="216" t="s">
        <v>156</v>
      </c>
      <c r="L13" s="208">
        <v>3</v>
      </c>
      <c r="N13" s="208">
        <v>1</v>
      </c>
      <c r="O13" s="208">
        <v>0.2</v>
      </c>
      <c r="P13" s="208">
        <v>0.45</v>
      </c>
      <c r="Q13" s="245">
        <f t="shared" si="0"/>
        <v>0.32500000000000001</v>
      </c>
      <c r="R13" s="208">
        <v>14.1</v>
      </c>
      <c r="S13" s="208">
        <v>122</v>
      </c>
      <c r="T13" s="217">
        <f t="shared" si="1"/>
        <v>30</v>
      </c>
      <c r="U13" s="208">
        <v>73</v>
      </c>
      <c r="V13" s="217">
        <f t="shared" si="2"/>
        <v>2190</v>
      </c>
      <c r="W13" s="208">
        <v>12</v>
      </c>
      <c r="X13" s="216" t="s">
        <v>46</v>
      </c>
      <c r="Y13" s="216" t="s">
        <v>55</v>
      </c>
      <c r="Z13" s="216" t="s">
        <v>69</v>
      </c>
      <c r="AA13" s="216" t="s">
        <v>88</v>
      </c>
      <c r="AB13" s="216" t="s">
        <v>344</v>
      </c>
      <c r="AE13" s="223" t="s">
        <v>73</v>
      </c>
      <c r="AG13" s="253"/>
      <c r="AH13" s="229"/>
      <c r="AP13" s="224" t="s">
        <v>71</v>
      </c>
      <c r="AR13" s="231" t="s">
        <v>103</v>
      </c>
      <c r="AV13" s="224" t="s">
        <v>75</v>
      </c>
    </row>
    <row r="14" spans="1:53" x14ac:dyDescent="0.15">
      <c r="A14" s="216" t="s">
        <v>34</v>
      </c>
      <c r="B14" s="208" t="s">
        <v>342</v>
      </c>
      <c r="C14" s="208">
        <v>2018</v>
      </c>
      <c r="D14" s="250" t="s">
        <v>493</v>
      </c>
      <c r="E14" s="237" t="s">
        <v>293</v>
      </c>
      <c r="F14" s="237" t="s">
        <v>337</v>
      </c>
      <c r="G14" s="216" t="s">
        <v>36</v>
      </c>
      <c r="H14" s="208" t="s">
        <v>157</v>
      </c>
      <c r="I14" s="216" t="s">
        <v>155</v>
      </c>
      <c r="J14" s="216" t="s">
        <v>38</v>
      </c>
      <c r="K14" s="216" t="s">
        <v>156</v>
      </c>
      <c r="L14" s="216">
        <v>1</v>
      </c>
      <c r="N14" s="208">
        <v>4</v>
      </c>
      <c r="O14" s="208">
        <v>0.2</v>
      </c>
      <c r="P14" s="208">
        <v>0.2</v>
      </c>
      <c r="Q14" s="245">
        <f t="shared" si="0"/>
        <v>0.2</v>
      </c>
      <c r="R14" s="208">
        <v>14.4</v>
      </c>
      <c r="S14" s="208">
        <v>96</v>
      </c>
      <c r="T14" s="217">
        <f t="shared" si="1"/>
        <v>36</v>
      </c>
      <c r="U14" s="208">
        <v>278</v>
      </c>
      <c r="V14" s="217">
        <f t="shared" si="2"/>
        <v>2502</v>
      </c>
      <c r="W14" s="208">
        <v>12</v>
      </c>
      <c r="X14" s="216" t="s">
        <v>46</v>
      </c>
      <c r="Y14" s="216" t="s">
        <v>55</v>
      </c>
      <c r="Z14" s="216" t="s">
        <v>69</v>
      </c>
      <c r="AA14" s="216" t="s">
        <v>88</v>
      </c>
      <c r="AB14" s="216" t="s">
        <v>344</v>
      </c>
      <c r="AE14" s="223" t="s">
        <v>76</v>
      </c>
      <c r="AG14" s="254"/>
      <c r="AL14" s="247"/>
      <c r="AP14" s="224" t="s">
        <v>74</v>
      </c>
      <c r="AR14" s="231" t="s">
        <v>125</v>
      </c>
      <c r="AV14" s="224" t="s">
        <v>78</v>
      </c>
    </row>
    <row r="15" spans="1:53" x14ac:dyDescent="0.15">
      <c r="A15" s="216" t="s">
        <v>34</v>
      </c>
      <c r="B15" s="208" t="s">
        <v>342</v>
      </c>
      <c r="C15" s="208">
        <v>2018</v>
      </c>
      <c r="D15" s="250" t="s">
        <v>493</v>
      </c>
      <c r="E15" s="237" t="s">
        <v>293</v>
      </c>
      <c r="F15" s="237" t="s">
        <v>337</v>
      </c>
      <c r="G15" s="216" t="s">
        <v>36</v>
      </c>
      <c r="H15" s="208" t="s">
        <v>157</v>
      </c>
      <c r="I15" s="216" t="s">
        <v>155</v>
      </c>
      <c r="J15" s="216" t="s">
        <v>38</v>
      </c>
      <c r="K15" s="216" t="s">
        <v>156</v>
      </c>
      <c r="L15" s="208">
        <v>2</v>
      </c>
      <c r="N15" s="208">
        <v>4</v>
      </c>
      <c r="O15" s="208">
        <v>0.2</v>
      </c>
      <c r="P15" s="208">
        <v>0.2</v>
      </c>
      <c r="Q15" s="245">
        <f t="shared" si="0"/>
        <v>0.2</v>
      </c>
      <c r="R15" s="208">
        <v>14.4</v>
      </c>
      <c r="S15" s="208">
        <v>94</v>
      </c>
      <c r="T15" s="217">
        <f t="shared" si="1"/>
        <v>36</v>
      </c>
      <c r="U15" s="208">
        <v>278</v>
      </c>
      <c r="V15" s="217">
        <f t="shared" si="2"/>
        <v>2502</v>
      </c>
      <c r="W15" s="208">
        <v>12</v>
      </c>
      <c r="X15" s="216" t="s">
        <v>46</v>
      </c>
      <c r="Y15" s="216" t="s">
        <v>55</v>
      </c>
      <c r="Z15" s="216" t="s">
        <v>69</v>
      </c>
      <c r="AA15" s="216" t="s">
        <v>88</v>
      </c>
      <c r="AB15" s="216" t="s">
        <v>344</v>
      </c>
      <c r="AE15" s="223" t="s">
        <v>79</v>
      </c>
      <c r="AL15" s="255"/>
      <c r="AP15" s="224" t="s">
        <v>77</v>
      </c>
      <c r="AR15" s="231" t="s">
        <v>94</v>
      </c>
      <c r="AV15" s="224" t="s">
        <v>107</v>
      </c>
    </row>
    <row r="16" spans="1:53" x14ac:dyDescent="0.15">
      <c r="A16" s="216" t="s">
        <v>34</v>
      </c>
      <c r="B16" s="208" t="s">
        <v>342</v>
      </c>
      <c r="C16" s="208">
        <v>2018</v>
      </c>
      <c r="D16" s="250" t="s">
        <v>495</v>
      </c>
      <c r="E16" s="237" t="s">
        <v>293</v>
      </c>
      <c r="F16" s="237" t="s">
        <v>337</v>
      </c>
      <c r="G16" s="216" t="s">
        <v>36</v>
      </c>
      <c r="H16" s="208" t="s">
        <v>157</v>
      </c>
      <c r="I16" s="216" t="s">
        <v>155</v>
      </c>
      <c r="J16" s="216" t="s">
        <v>38</v>
      </c>
      <c r="K16" s="216" t="s">
        <v>156</v>
      </c>
      <c r="L16" s="208">
        <v>3</v>
      </c>
      <c r="N16" s="208">
        <v>4</v>
      </c>
      <c r="O16" s="208">
        <v>0.45</v>
      </c>
      <c r="P16" s="208">
        <v>0.55000000000000004</v>
      </c>
      <c r="Q16" s="245">
        <f t="shared" si="0"/>
        <v>0.5</v>
      </c>
      <c r="R16" s="208">
        <v>14.9</v>
      </c>
      <c r="S16" s="208">
        <v>96</v>
      </c>
      <c r="T16" s="217">
        <f t="shared" si="1"/>
        <v>36</v>
      </c>
      <c r="U16" s="208">
        <v>278</v>
      </c>
      <c r="V16" s="217">
        <f t="shared" si="2"/>
        <v>2502</v>
      </c>
      <c r="W16" s="208">
        <v>12</v>
      </c>
      <c r="X16" s="216" t="s">
        <v>46</v>
      </c>
      <c r="Y16" s="216" t="s">
        <v>55</v>
      </c>
      <c r="Z16" s="216" t="s">
        <v>69</v>
      </c>
      <c r="AA16" s="216" t="s">
        <v>88</v>
      </c>
      <c r="AB16" s="216" t="s">
        <v>344</v>
      </c>
      <c r="AE16" s="223" t="s">
        <v>82</v>
      </c>
      <c r="AL16" s="255"/>
      <c r="AP16" s="224" t="s">
        <v>80</v>
      </c>
      <c r="AR16" s="238" t="s">
        <v>63</v>
      </c>
      <c r="AV16" s="224" t="s">
        <v>84</v>
      </c>
    </row>
    <row r="17" spans="1:48" x14ac:dyDescent="0.15">
      <c r="A17" s="216" t="s">
        <v>34</v>
      </c>
      <c r="B17" s="208" t="s">
        <v>342</v>
      </c>
      <c r="C17" s="208">
        <v>2018</v>
      </c>
      <c r="D17" s="250" t="s">
        <v>495</v>
      </c>
      <c r="E17" s="237" t="s">
        <v>293</v>
      </c>
      <c r="F17" s="237" t="s">
        <v>337</v>
      </c>
      <c r="G17" s="216" t="s">
        <v>36</v>
      </c>
      <c r="H17" s="208" t="s">
        <v>160</v>
      </c>
      <c r="I17" s="216" t="s">
        <v>155</v>
      </c>
      <c r="J17" s="216" t="s">
        <v>38</v>
      </c>
      <c r="K17" s="216" t="s">
        <v>156</v>
      </c>
      <c r="L17" s="216">
        <v>1</v>
      </c>
      <c r="N17" s="208">
        <v>1</v>
      </c>
      <c r="O17" s="208">
        <v>0.45</v>
      </c>
      <c r="P17" s="208">
        <v>0.2</v>
      </c>
      <c r="Q17" s="245">
        <f t="shared" si="0"/>
        <v>0.32500000000000001</v>
      </c>
      <c r="R17" s="208">
        <v>15.7</v>
      </c>
      <c r="S17" s="208">
        <v>128</v>
      </c>
      <c r="T17" s="217">
        <f t="shared" si="1"/>
        <v>30</v>
      </c>
      <c r="U17" s="208">
        <v>149</v>
      </c>
      <c r="V17" s="217">
        <f t="shared" si="2"/>
        <v>4470</v>
      </c>
      <c r="W17" s="208">
        <v>2</v>
      </c>
      <c r="X17" s="216" t="s">
        <v>46</v>
      </c>
      <c r="Y17" s="216" t="s">
        <v>55</v>
      </c>
      <c r="Z17" s="216" t="s">
        <v>69</v>
      </c>
      <c r="AA17" s="216" t="s">
        <v>88</v>
      </c>
      <c r="AB17" s="216" t="s">
        <v>344</v>
      </c>
      <c r="AE17" s="223" t="s">
        <v>85</v>
      </c>
      <c r="AL17" s="255"/>
      <c r="AP17" s="239" t="s">
        <v>110</v>
      </c>
      <c r="AR17" s="238" t="s">
        <v>96</v>
      </c>
      <c r="AV17" s="224" t="s">
        <v>86</v>
      </c>
    </row>
    <row r="18" spans="1:48" x14ac:dyDescent="0.15">
      <c r="A18" s="216" t="s">
        <v>34</v>
      </c>
      <c r="B18" s="208" t="s">
        <v>342</v>
      </c>
      <c r="C18" s="208">
        <v>2018</v>
      </c>
      <c r="D18" s="250" t="s">
        <v>495</v>
      </c>
      <c r="E18" s="237" t="s">
        <v>293</v>
      </c>
      <c r="F18" s="237" t="s">
        <v>337</v>
      </c>
      <c r="G18" s="216" t="s">
        <v>36</v>
      </c>
      <c r="H18" s="208" t="s">
        <v>160</v>
      </c>
      <c r="I18" s="216" t="s">
        <v>155</v>
      </c>
      <c r="J18" s="216" t="s">
        <v>38</v>
      </c>
      <c r="K18" s="216" t="s">
        <v>156</v>
      </c>
      <c r="L18" s="208">
        <v>2</v>
      </c>
      <c r="N18" s="208">
        <v>1</v>
      </c>
      <c r="O18" s="208">
        <v>0.45</v>
      </c>
      <c r="P18" s="208">
        <v>0.45</v>
      </c>
      <c r="Q18" s="245">
        <f t="shared" si="0"/>
        <v>0.45</v>
      </c>
      <c r="R18" s="208">
        <v>17.2</v>
      </c>
      <c r="S18" s="208">
        <v>130</v>
      </c>
      <c r="T18" s="217">
        <f t="shared" si="1"/>
        <v>30</v>
      </c>
      <c r="U18" s="208">
        <v>149</v>
      </c>
      <c r="V18" s="217">
        <f t="shared" si="2"/>
        <v>4470</v>
      </c>
      <c r="W18" s="208">
        <v>2</v>
      </c>
      <c r="X18" s="216" t="s">
        <v>46</v>
      </c>
      <c r="Y18" s="216" t="s">
        <v>55</v>
      </c>
      <c r="Z18" s="216" t="s">
        <v>69</v>
      </c>
      <c r="AA18" s="216" t="s">
        <v>88</v>
      </c>
      <c r="AB18" s="216" t="s">
        <v>344</v>
      </c>
      <c r="AE18" s="223" t="s">
        <v>87</v>
      </c>
      <c r="AL18" s="216"/>
      <c r="AP18" s="239" t="s">
        <v>111</v>
      </c>
      <c r="AR18" s="238" t="s">
        <v>101</v>
      </c>
      <c r="AV18" s="224" t="s">
        <v>88</v>
      </c>
    </row>
    <row r="19" spans="1:48" x14ac:dyDescent="0.15">
      <c r="A19" s="216" t="s">
        <v>34</v>
      </c>
      <c r="B19" s="208" t="s">
        <v>342</v>
      </c>
      <c r="C19" s="208">
        <v>2018</v>
      </c>
      <c r="D19" s="250" t="s">
        <v>481</v>
      </c>
      <c r="E19" s="237" t="s">
        <v>293</v>
      </c>
      <c r="F19" s="237" t="s">
        <v>337</v>
      </c>
      <c r="G19" s="216" t="s">
        <v>36</v>
      </c>
      <c r="H19" s="208" t="s">
        <v>160</v>
      </c>
      <c r="I19" s="216" t="s">
        <v>155</v>
      </c>
      <c r="J19" s="216" t="s">
        <v>38</v>
      </c>
      <c r="K19" s="216" t="s">
        <v>156</v>
      </c>
      <c r="L19" s="208">
        <v>3</v>
      </c>
      <c r="N19" s="208">
        <v>1</v>
      </c>
      <c r="O19" s="208">
        <v>0.2</v>
      </c>
      <c r="P19" s="208">
        <v>0.2</v>
      </c>
      <c r="Q19" s="245">
        <f t="shared" si="0"/>
        <v>0.2</v>
      </c>
      <c r="R19" s="208">
        <v>16.7</v>
      </c>
      <c r="S19" s="208">
        <v>130</v>
      </c>
      <c r="T19" s="217">
        <f t="shared" si="1"/>
        <v>30</v>
      </c>
      <c r="U19" s="208">
        <v>149</v>
      </c>
      <c r="V19" s="217">
        <f t="shared" si="2"/>
        <v>4470</v>
      </c>
      <c r="W19" s="208">
        <v>2</v>
      </c>
      <c r="X19" s="216" t="s">
        <v>46</v>
      </c>
      <c r="Y19" s="216" t="s">
        <v>55</v>
      </c>
      <c r="Z19" s="216" t="s">
        <v>69</v>
      </c>
      <c r="AA19" s="216" t="s">
        <v>88</v>
      </c>
      <c r="AB19" s="216" t="s">
        <v>344</v>
      </c>
      <c r="AE19" s="236" t="s">
        <v>89</v>
      </c>
      <c r="AP19" s="239" t="s">
        <v>112</v>
      </c>
      <c r="AR19" s="231" t="s">
        <v>126</v>
      </c>
      <c r="AV19" s="224" t="s">
        <v>90</v>
      </c>
    </row>
    <row r="20" spans="1:48" x14ac:dyDescent="0.15">
      <c r="A20" s="216" t="s">
        <v>34</v>
      </c>
      <c r="B20" s="208" t="s">
        <v>342</v>
      </c>
      <c r="C20" s="208">
        <v>2018</v>
      </c>
      <c r="D20" s="250" t="s">
        <v>481</v>
      </c>
      <c r="E20" s="237" t="s">
        <v>566</v>
      </c>
      <c r="F20" s="237" t="s">
        <v>339</v>
      </c>
      <c r="G20" s="216" t="s">
        <v>36</v>
      </c>
      <c r="H20" s="208" t="s">
        <v>157</v>
      </c>
      <c r="I20" s="216" t="s">
        <v>155</v>
      </c>
      <c r="J20" s="216" t="s">
        <v>38</v>
      </c>
      <c r="K20" s="216" t="s">
        <v>156</v>
      </c>
      <c r="L20" s="216">
        <v>1</v>
      </c>
      <c r="N20" s="208">
        <v>1</v>
      </c>
      <c r="O20" s="208">
        <v>0.75</v>
      </c>
      <c r="P20" s="208">
        <v>0.45</v>
      </c>
      <c r="Q20" s="245">
        <f t="shared" si="0"/>
        <v>0.6</v>
      </c>
      <c r="R20" s="208">
        <v>14.3</v>
      </c>
      <c r="S20" s="208">
        <v>136</v>
      </c>
      <c r="T20" s="217">
        <f t="shared" si="1"/>
        <v>30</v>
      </c>
      <c r="U20" s="208">
        <v>136</v>
      </c>
      <c r="V20" s="217">
        <f t="shared" si="2"/>
        <v>4080</v>
      </c>
      <c r="W20" s="208">
        <v>2</v>
      </c>
      <c r="X20" s="216" t="s">
        <v>46</v>
      </c>
      <c r="Y20" s="216" t="s">
        <v>69</v>
      </c>
      <c r="Z20" s="216" t="s">
        <v>60</v>
      </c>
      <c r="AA20" s="216" t="s">
        <v>97</v>
      </c>
      <c r="AB20" s="216" t="s">
        <v>344</v>
      </c>
      <c r="AP20" s="239" t="s">
        <v>113</v>
      </c>
      <c r="AR20" s="238" t="s">
        <v>105</v>
      </c>
      <c r="AV20" s="228" t="s">
        <v>373</v>
      </c>
    </row>
    <row r="21" spans="1:48" x14ac:dyDescent="0.15">
      <c r="A21" s="216" t="s">
        <v>34</v>
      </c>
      <c r="B21" s="208" t="s">
        <v>342</v>
      </c>
      <c r="C21" s="208">
        <v>2018</v>
      </c>
      <c r="D21" s="250" t="s">
        <v>481</v>
      </c>
      <c r="E21" s="237" t="s">
        <v>566</v>
      </c>
      <c r="F21" s="237" t="s">
        <v>339</v>
      </c>
      <c r="G21" s="216" t="s">
        <v>36</v>
      </c>
      <c r="H21" s="208" t="s">
        <v>157</v>
      </c>
      <c r="I21" s="216" t="s">
        <v>155</v>
      </c>
      <c r="J21" s="216" t="s">
        <v>38</v>
      </c>
      <c r="K21" s="216" t="s">
        <v>156</v>
      </c>
      <c r="L21" s="208">
        <v>2</v>
      </c>
      <c r="N21" s="208">
        <v>1</v>
      </c>
      <c r="O21" s="208">
        <v>0.55000000000000004</v>
      </c>
      <c r="P21" s="208">
        <v>0.5</v>
      </c>
      <c r="Q21" s="245">
        <f t="shared" si="0"/>
        <v>0.52500000000000002</v>
      </c>
      <c r="R21" s="208">
        <v>15.5</v>
      </c>
      <c r="S21" s="208">
        <v>136</v>
      </c>
      <c r="T21" s="217">
        <f t="shared" si="1"/>
        <v>30</v>
      </c>
      <c r="U21" s="208">
        <v>136</v>
      </c>
      <c r="V21" s="217">
        <f t="shared" si="2"/>
        <v>4080</v>
      </c>
      <c r="W21" s="208">
        <v>2</v>
      </c>
      <c r="X21" s="216" t="s">
        <v>46</v>
      </c>
      <c r="Y21" s="216" t="s">
        <v>69</v>
      </c>
      <c r="Z21" s="216" t="s">
        <v>60</v>
      </c>
      <c r="AA21" s="216" t="s">
        <v>97</v>
      </c>
      <c r="AB21" s="216" t="s">
        <v>344</v>
      </c>
      <c r="AP21" s="239" t="s">
        <v>114</v>
      </c>
      <c r="AR21" s="238" t="s">
        <v>68</v>
      </c>
      <c r="AV21" s="228" t="s">
        <v>374</v>
      </c>
    </row>
    <row r="22" spans="1:48" x14ac:dyDescent="0.15">
      <c r="A22" s="216" t="s">
        <v>34</v>
      </c>
      <c r="B22" s="208" t="s">
        <v>342</v>
      </c>
      <c r="C22" s="208">
        <v>2018</v>
      </c>
      <c r="D22" s="250" t="s">
        <v>481</v>
      </c>
      <c r="E22" s="237" t="s">
        <v>566</v>
      </c>
      <c r="F22" s="237" t="s">
        <v>339</v>
      </c>
      <c r="G22" s="216" t="s">
        <v>36</v>
      </c>
      <c r="H22" s="208" t="s">
        <v>157</v>
      </c>
      <c r="I22" s="216" t="s">
        <v>155</v>
      </c>
      <c r="J22" s="216" t="s">
        <v>38</v>
      </c>
      <c r="K22" s="216" t="s">
        <v>156</v>
      </c>
      <c r="L22" s="208">
        <v>3</v>
      </c>
      <c r="N22" s="208">
        <v>1</v>
      </c>
      <c r="O22" s="208">
        <v>0.75</v>
      </c>
      <c r="P22" s="208">
        <v>0.7</v>
      </c>
      <c r="Q22" s="245">
        <f t="shared" si="0"/>
        <v>0.72499999999999998</v>
      </c>
      <c r="R22" s="208">
        <v>15</v>
      </c>
      <c r="S22" s="208">
        <v>136</v>
      </c>
      <c r="T22" s="217">
        <f t="shared" si="1"/>
        <v>30</v>
      </c>
      <c r="U22" s="208">
        <v>136</v>
      </c>
      <c r="V22" s="217">
        <f t="shared" si="2"/>
        <v>4080</v>
      </c>
      <c r="W22" s="208">
        <v>2</v>
      </c>
      <c r="X22" s="216" t="s">
        <v>46</v>
      </c>
      <c r="Y22" s="216" t="s">
        <v>69</v>
      </c>
      <c r="Z22" s="216" t="s">
        <v>60</v>
      </c>
      <c r="AA22" s="216" t="s">
        <v>97</v>
      </c>
      <c r="AB22" s="216" t="s">
        <v>344</v>
      </c>
      <c r="AP22" s="239" t="s">
        <v>115</v>
      </c>
      <c r="AR22" s="238" t="s">
        <v>83</v>
      </c>
      <c r="AV22" s="228"/>
    </row>
    <row r="23" spans="1:48" x14ac:dyDescent="0.15">
      <c r="A23" s="216" t="s">
        <v>34</v>
      </c>
      <c r="B23" s="208" t="s">
        <v>342</v>
      </c>
      <c r="C23" s="208">
        <v>2018</v>
      </c>
      <c r="D23" s="250" t="s">
        <v>481</v>
      </c>
      <c r="E23" s="237" t="s">
        <v>566</v>
      </c>
      <c r="F23" s="237" t="s">
        <v>339</v>
      </c>
      <c r="G23" s="216" t="s">
        <v>36</v>
      </c>
      <c r="H23" s="208" t="s">
        <v>157</v>
      </c>
      <c r="I23" s="216" t="s">
        <v>155</v>
      </c>
      <c r="J23" s="216" t="s">
        <v>38</v>
      </c>
      <c r="K23" s="216" t="s">
        <v>156</v>
      </c>
      <c r="L23" s="216">
        <v>1</v>
      </c>
      <c r="N23" s="208">
        <v>5</v>
      </c>
      <c r="O23" s="208">
        <v>0.2</v>
      </c>
      <c r="P23" s="208">
        <v>0.2</v>
      </c>
      <c r="Q23" s="245">
        <f t="shared" si="0"/>
        <v>0.2</v>
      </c>
      <c r="R23" s="208">
        <v>10.7</v>
      </c>
      <c r="S23" s="208">
        <v>319</v>
      </c>
      <c r="T23" s="217">
        <f t="shared" si="1"/>
        <v>16</v>
      </c>
      <c r="U23" s="208">
        <v>319</v>
      </c>
      <c r="V23" s="217">
        <f t="shared" si="2"/>
        <v>1020.8</v>
      </c>
      <c r="W23" s="208">
        <v>2</v>
      </c>
      <c r="X23" s="216" t="s">
        <v>46</v>
      </c>
      <c r="Y23" s="216" t="s">
        <v>69</v>
      </c>
      <c r="Z23" s="216" t="s">
        <v>60</v>
      </c>
      <c r="AA23" s="216" t="s">
        <v>97</v>
      </c>
      <c r="AB23" s="216" t="s">
        <v>344</v>
      </c>
      <c r="AP23" s="239" t="s">
        <v>117</v>
      </c>
      <c r="AR23" s="238" t="s">
        <v>294</v>
      </c>
    </row>
    <row r="24" spans="1:48" x14ac:dyDescent="0.15">
      <c r="A24" s="216" t="s">
        <v>34</v>
      </c>
      <c r="B24" s="208" t="s">
        <v>342</v>
      </c>
      <c r="C24" s="208">
        <v>2018</v>
      </c>
      <c r="D24" s="250" t="s">
        <v>481</v>
      </c>
      <c r="E24" s="237" t="s">
        <v>566</v>
      </c>
      <c r="F24" s="237" t="s">
        <v>339</v>
      </c>
      <c r="G24" s="216" t="s">
        <v>36</v>
      </c>
      <c r="H24" s="208" t="s">
        <v>157</v>
      </c>
      <c r="I24" s="216" t="s">
        <v>155</v>
      </c>
      <c r="J24" s="216" t="s">
        <v>38</v>
      </c>
      <c r="K24" s="216" t="s">
        <v>156</v>
      </c>
      <c r="L24" s="208">
        <v>2</v>
      </c>
      <c r="N24" s="208">
        <v>5</v>
      </c>
      <c r="O24" s="208">
        <v>0.2</v>
      </c>
      <c r="P24" s="208">
        <v>0.2</v>
      </c>
      <c r="Q24" s="245">
        <f t="shared" si="0"/>
        <v>0.2</v>
      </c>
      <c r="R24" s="208">
        <v>13.8</v>
      </c>
      <c r="S24" s="208">
        <v>319</v>
      </c>
      <c r="T24" s="217">
        <f t="shared" si="1"/>
        <v>16</v>
      </c>
      <c r="U24" s="208">
        <v>319</v>
      </c>
      <c r="V24" s="217">
        <f t="shared" si="2"/>
        <v>1020.8</v>
      </c>
      <c r="W24" s="208">
        <v>2</v>
      </c>
      <c r="X24" s="216" t="s">
        <v>46</v>
      </c>
      <c r="Y24" s="216" t="s">
        <v>69</v>
      </c>
      <c r="Z24" s="216" t="s">
        <v>60</v>
      </c>
      <c r="AA24" s="216" t="s">
        <v>97</v>
      </c>
      <c r="AB24" s="216" t="s">
        <v>344</v>
      </c>
      <c r="AP24" s="239" t="s">
        <v>118</v>
      </c>
    </row>
    <row r="25" spans="1:48" x14ac:dyDescent="0.15">
      <c r="A25" s="216" t="s">
        <v>34</v>
      </c>
      <c r="B25" s="208" t="s">
        <v>342</v>
      </c>
      <c r="C25" s="208">
        <v>2018</v>
      </c>
      <c r="D25" s="250" t="s">
        <v>481</v>
      </c>
      <c r="E25" s="237" t="s">
        <v>566</v>
      </c>
      <c r="F25" s="237" t="s">
        <v>339</v>
      </c>
      <c r="G25" s="216" t="s">
        <v>36</v>
      </c>
      <c r="H25" s="208" t="s">
        <v>157</v>
      </c>
      <c r="I25" s="216" t="s">
        <v>155</v>
      </c>
      <c r="J25" s="216" t="s">
        <v>38</v>
      </c>
      <c r="K25" s="216" t="s">
        <v>156</v>
      </c>
      <c r="L25" s="208">
        <v>3</v>
      </c>
      <c r="N25" s="208">
        <v>5</v>
      </c>
      <c r="O25" s="208">
        <v>0.2</v>
      </c>
      <c r="P25" s="208">
        <v>0.2</v>
      </c>
      <c r="Q25" s="245">
        <f t="shared" si="0"/>
        <v>0.2</v>
      </c>
      <c r="R25" s="208">
        <v>13.1</v>
      </c>
      <c r="S25" s="208">
        <v>319</v>
      </c>
      <c r="T25" s="217">
        <f t="shared" si="1"/>
        <v>16</v>
      </c>
      <c r="U25" s="208">
        <v>319</v>
      </c>
      <c r="V25" s="217">
        <f t="shared" si="2"/>
        <v>1020.8</v>
      </c>
      <c r="W25" s="208">
        <v>2</v>
      </c>
      <c r="X25" s="216" t="s">
        <v>46</v>
      </c>
      <c r="Y25" s="216" t="s">
        <v>69</v>
      </c>
      <c r="Z25" s="216" t="s">
        <v>60</v>
      </c>
      <c r="AA25" s="216" t="s">
        <v>97</v>
      </c>
      <c r="AB25" s="216" t="s">
        <v>344</v>
      </c>
    </row>
    <row r="26" spans="1:48" x14ac:dyDescent="0.15">
      <c r="A26" s="216" t="s">
        <v>34</v>
      </c>
      <c r="B26" s="208" t="s">
        <v>342</v>
      </c>
      <c r="C26" s="208">
        <v>2018</v>
      </c>
      <c r="D26" s="250" t="s">
        <v>481</v>
      </c>
      <c r="E26" s="237" t="s">
        <v>566</v>
      </c>
      <c r="F26" s="237" t="s">
        <v>339</v>
      </c>
      <c r="G26" s="216" t="s">
        <v>36</v>
      </c>
      <c r="H26" s="208" t="s">
        <v>160</v>
      </c>
      <c r="I26" s="216" t="s">
        <v>155</v>
      </c>
      <c r="J26" s="216" t="s">
        <v>38</v>
      </c>
      <c r="K26" s="216" t="s">
        <v>156</v>
      </c>
      <c r="L26" s="216">
        <v>1</v>
      </c>
      <c r="N26" s="208">
        <v>1</v>
      </c>
      <c r="O26" s="208">
        <v>0.2</v>
      </c>
      <c r="P26" s="208">
        <v>0.45</v>
      </c>
      <c r="Q26" s="245">
        <f t="shared" si="0"/>
        <v>0.32500000000000001</v>
      </c>
      <c r="R26" s="208">
        <v>16.399999999999999</v>
      </c>
      <c r="S26" s="208">
        <v>136</v>
      </c>
      <c r="T26" s="217">
        <f t="shared" si="1"/>
        <v>30</v>
      </c>
      <c r="U26" s="208">
        <v>136</v>
      </c>
      <c r="V26" s="217">
        <f t="shared" si="2"/>
        <v>4080</v>
      </c>
      <c r="W26" s="208">
        <v>1</v>
      </c>
      <c r="X26" s="216" t="s">
        <v>46</v>
      </c>
      <c r="Y26" s="216" t="s">
        <v>69</v>
      </c>
      <c r="Z26" s="216" t="s">
        <v>60</v>
      </c>
      <c r="AA26" s="216" t="s">
        <v>97</v>
      </c>
      <c r="AB26" s="216" t="s">
        <v>344</v>
      </c>
    </row>
    <row r="27" spans="1:48" x14ac:dyDescent="0.15">
      <c r="A27" s="216" t="s">
        <v>34</v>
      </c>
      <c r="B27" s="208" t="s">
        <v>342</v>
      </c>
      <c r="C27" s="208">
        <v>2018</v>
      </c>
      <c r="D27" s="250" t="s">
        <v>481</v>
      </c>
      <c r="E27" s="237" t="s">
        <v>566</v>
      </c>
      <c r="F27" s="237" t="s">
        <v>339</v>
      </c>
      <c r="G27" s="216" t="s">
        <v>36</v>
      </c>
      <c r="H27" s="208" t="s">
        <v>160</v>
      </c>
      <c r="I27" s="216" t="s">
        <v>155</v>
      </c>
      <c r="J27" s="216" t="s">
        <v>38</v>
      </c>
      <c r="K27" s="216" t="s">
        <v>156</v>
      </c>
      <c r="L27" s="208">
        <v>2</v>
      </c>
      <c r="N27" s="208">
        <v>1</v>
      </c>
      <c r="O27" s="208">
        <v>0.5</v>
      </c>
      <c r="P27" s="208">
        <v>0.5</v>
      </c>
      <c r="Q27" s="245">
        <f t="shared" si="0"/>
        <v>0.5</v>
      </c>
      <c r="R27" s="208">
        <v>15.1</v>
      </c>
      <c r="S27" s="208">
        <v>136</v>
      </c>
      <c r="T27" s="217">
        <f t="shared" si="1"/>
        <v>30</v>
      </c>
      <c r="U27" s="208">
        <v>136</v>
      </c>
      <c r="V27" s="217">
        <f t="shared" si="2"/>
        <v>4080</v>
      </c>
      <c r="W27" s="208">
        <v>1</v>
      </c>
      <c r="X27" s="216" t="s">
        <v>46</v>
      </c>
      <c r="Y27" s="216" t="s">
        <v>69</v>
      </c>
      <c r="Z27" s="216" t="s">
        <v>60</v>
      </c>
      <c r="AA27" s="216" t="s">
        <v>97</v>
      </c>
      <c r="AB27" s="216" t="s">
        <v>344</v>
      </c>
    </row>
    <row r="28" spans="1:48" x14ac:dyDescent="0.15">
      <c r="A28" s="216" t="s">
        <v>34</v>
      </c>
      <c r="B28" s="208" t="s">
        <v>342</v>
      </c>
      <c r="C28" s="208">
        <v>2018</v>
      </c>
      <c r="D28" s="250" t="s">
        <v>481</v>
      </c>
      <c r="E28" s="237" t="s">
        <v>566</v>
      </c>
      <c r="F28" s="237" t="s">
        <v>339</v>
      </c>
      <c r="G28" s="216" t="s">
        <v>36</v>
      </c>
      <c r="H28" s="208" t="s">
        <v>160</v>
      </c>
      <c r="I28" s="216" t="s">
        <v>155</v>
      </c>
      <c r="J28" s="216" t="s">
        <v>38</v>
      </c>
      <c r="K28" s="216" t="s">
        <v>156</v>
      </c>
      <c r="L28" s="208">
        <v>3</v>
      </c>
      <c r="N28" s="208">
        <v>1</v>
      </c>
      <c r="O28" s="208">
        <v>0.45</v>
      </c>
      <c r="P28" s="208">
        <v>0.5</v>
      </c>
      <c r="Q28" s="245">
        <f t="shared" si="0"/>
        <v>0.47499999999999998</v>
      </c>
      <c r="R28" s="208">
        <v>19.399999999999999</v>
      </c>
      <c r="S28" s="208">
        <v>136</v>
      </c>
      <c r="T28" s="217">
        <f t="shared" si="1"/>
        <v>30</v>
      </c>
      <c r="U28" s="208">
        <v>136</v>
      </c>
      <c r="V28" s="217">
        <f t="shared" si="2"/>
        <v>4080</v>
      </c>
      <c r="W28" s="208">
        <v>1</v>
      </c>
      <c r="X28" s="216" t="s">
        <v>46</v>
      </c>
      <c r="Y28" s="216" t="s">
        <v>69</v>
      </c>
      <c r="Z28" s="216" t="s">
        <v>60</v>
      </c>
      <c r="AA28" s="216" t="s">
        <v>97</v>
      </c>
      <c r="AB28" s="216" t="s">
        <v>344</v>
      </c>
    </row>
    <row r="29" spans="1:48" x14ac:dyDescent="0.15">
      <c r="A29" s="216" t="s">
        <v>34</v>
      </c>
      <c r="B29" s="208" t="s">
        <v>342</v>
      </c>
      <c r="C29" s="208">
        <v>2018</v>
      </c>
      <c r="D29" s="250" t="s">
        <v>481</v>
      </c>
      <c r="E29" s="237" t="s">
        <v>567</v>
      </c>
      <c r="F29" s="237" t="s">
        <v>336</v>
      </c>
      <c r="G29" s="216" t="s">
        <v>36</v>
      </c>
      <c r="H29" s="208" t="s">
        <v>160</v>
      </c>
      <c r="I29" s="216" t="s">
        <v>155</v>
      </c>
      <c r="J29" s="216" t="s">
        <v>38</v>
      </c>
      <c r="K29" s="216" t="s">
        <v>156</v>
      </c>
      <c r="L29" s="216">
        <v>1</v>
      </c>
      <c r="N29" s="208">
        <v>1</v>
      </c>
      <c r="O29" s="208">
        <v>0.2</v>
      </c>
      <c r="P29" s="208">
        <v>0.2</v>
      </c>
      <c r="Q29" s="245">
        <f t="shared" si="0"/>
        <v>0.2</v>
      </c>
      <c r="R29" s="208">
        <v>14.6</v>
      </c>
      <c r="S29" s="208">
        <v>154</v>
      </c>
      <c r="T29" s="217">
        <f t="shared" si="1"/>
        <v>18</v>
      </c>
      <c r="U29" s="208">
        <v>105</v>
      </c>
      <c r="V29" s="217">
        <f t="shared" si="2"/>
        <v>1890</v>
      </c>
      <c r="W29" s="208">
        <v>5</v>
      </c>
      <c r="X29" s="216" t="s">
        <v>39</v>
      </c>
      <c r="Y29" s="216" t="s">
        <v>69</v>
      </c>
      <c r="Z29" s="216" t="s">
        <v>88</v>
      </c>
      <c r="AA29" s="216" t="s">
        <v>55</v>
      </c>
      <c r="AB29" s="216" t="s">
        <v>344</v>
      </c>
    </row>
    <row r="30" spans="1:48" x14ac:dyDescent="0.15">
      <c r="A30" s="216" t="s">
        <v>34</v>
      </c>
      <c r="B30" s="208" t="s">
        <v>342</v>
      </c>
      <c r="C30" s="208">
        <v>2018</v>
      </c>
      <c r="D30" s="250" t="s">
        <v>481</v>
      </c>
      <c r="E30" s="237" t="s">
        <v>567</v>
      </c>
      <c r="F30" s="237" t="s">
        <v>336</v>
      </c>
      <c r="G30" s="216" t="s">
        <v>36</v>
      </c>
      <c r="H30" s="208" t="s">
        <v>160</v>
      </c>
      <c r="I30" s="216" t="s">
        <v>155</v>
      </c>
      <c r="J30" s="216" t="s">
        <v>38</v>
      </c>
      <c r="K30" s="216" t="s">
        <v>156</v>
      </c>
      <c r="L30" s="208">
        <v>2</v>
      </c>
      <c r="N30" s="208">
        <v>1</v>
      </c>
      <c r="O30" s="208">
        <v>0.2</v>
      </c>
      <c r="P30" s="208">
        <v>0.2</v>
      </c>
      <c r="Q30" s="245">
        <f t="shared" si="0"/>
        <v>0.2</v>
      </c>
      <c r="R30" s="208">
        <v>14.4</v>
      </c>
      <c r="S30" s="208">
        <v>156</v>
      </c>
      <c r="T30" s="217">
        <f t="shared" si="1"/>
        <v>18</v>
      </c>
      <c r="U30" s="208">
        <v>105</v>
      </c>
      <c r="V30" s="217">
        <f t="shared" si="2"/>
        <v>1890</v>
      </c>
      <c r="W30" s="208">
        <v>5</v>
      </c>
      <c r="X30" s="216" t="s">
        <v>39</v>
      </c>
      <c r="Y30" s="216" t="s">
        <v>69</v>
      </c>
      <c r="Z30" s="216" t="s">
        <v>88</v>
      </c>
      <c r="AA30" s="216" t="s">
        <v>55</v>
      </c>
      <c r="AB30" s="216" t="s">
        <v>344</v>
      </c>
    </row>
    <row r="31" spans="1:48" x14ac:dyDescent="0.15">
      <c r="A31" s="216" t="s">
        <v>34</v>
      </c>
      <c r="B31" s="208" t="s">
        <v>342</v>
      </c>
      <c r="C31" s="208">
        <v>2018</v>
      </c>
      <c r="D31" s="250" t="s">
        <v>481</v>
      </c>
      <c r="E31" s="237" t="s">
        <v>567</v>
      </c>
      <c r="F31" s="237" t="s">
        <v>336</v>
      </c>
      <c r="G31" s="216" t="s">
        <v>36</v>
      </c>
      <c r="H31" s="208" t="s">
        <v>160</v>
      </c>
      <c r="I31" s="216" t="s">
        <v>155</v>
      </c>
      <c r="J31" s="216" t="s">
        <v>38</v>
      </c>
      <c r="K31" s="216" t="s">
        <v>156</v>
      </c>
      <c r="L31" s="208">
        <v>3</v>
      </c>
      <c r="N31" s="208">
        <v>1</v>
      </c>
      <c r="O31" s="208">
        <v>0.2</v>
      </c>
      <c r="P31" s="208">
        <v>0.2</v>
      </c>
      <c r="Q31" s="245">
        <f t="shared" si="0"/>
        <v>0.2</v>
      </c>
      <c r="R31" s="208">
        <v>15.3</v>
      </c>
      <c r="S31" s="208">
        <v>152</v>
      </c>
      <c r="T31" s="217">
        <f t="shared" si="1"/>
        <v>18</v>
      </c>
      <c r="U31" s="208">
        <v>105</v>
      </c>
      <c r="V31" s="217">
        <f t="shared" si="2"/>
        <v>1890</v>
      </c>
      <c r="W31" s="208">
        <v>5</v>
      </c>
      <c r="X31" s="216" t="s">
        <v>39</v>
      </c>
      <c r="Y31" s="216" t="s">
        <v>69</v>
      </c>
      <c r="Z31" s="216" t="s">
        <v>88</v>
      </c>
      <c r="AA31" s="216" t="s">
        <v>55</v>
      </c>
      <c r="AB31" s="216" t="s">
        <v>344</v>
      </c>
    </row>
    <row r="32" spans="1:48" x14ac:dyDescent="0.15">
      <c r="A32" s="216" t="s">
        <v>34</v>
      </c>
      <c r="B32" s="208" t="s">
        <v>342</v>
      </c>
      <c r="C32" s="208">
        <v>2018</v>
      </c>
      <c r="D32" s="250" t="s">
        <v>481</v>
      </c>
      <c r="E32" s="237" t="s">
        <v>567</v>
      </c>
      <c r="F32" s="237" t="s">
        <v>336</v>
      </c>
      <c r="G32" s="216" t="s">
        <v>36</v>
      </c>
      <c r="H32" s="208" t="s">
        <v>160</v>
      </c>
      <c r="I32" s="216" t="s">
        <v>155</v>
      </c>
      <c r="J32" s="216" t="s">
        <v>38</v>
      </c>
      <c r="K32" s="216" t="s">
        <v>156</v>
      </c>
      <c r="L32" s="216">
        <v>1</v>
      </c>
      <c r="N32" s="208">
        <v>4</v>
      </c>
      <c r="O32" s="208">
        <v>0.2</v>
      </c>
      <c r="P32" s="208">
        <v>0.2</v>
      </c>
      <c r="Q32" s="245">
        <f t="shared" si="0"/>
        <v>0.2</v>
      </c>
      <c r="R32" s="208">
        <v>14.1</v>
      </c>
      <c r="S32" s="208">
        <v>99</v>
      </c>
      <c r="T32" s="217">
        <f t="shared" si="1"/>
        <v>33</v>
      </c>
      <c r="U32" s="208">
        <v>429</v>
      </c>
      <c r="V32" s="217">
        <f t="shared" si="2"/>
        <v>3539.25</v>
      </c>
      <c r="W32" s="208">
        <v>5</v>
      </c>
      <c r="X32" s="216" t="s">
        <v>39</v>
      </c>
      <c r="Y32" s="216" t="s">
        <v>69</v>
      </c>
      <c r="Z32" s="216" t="s">
        <v>88</v>
      </c>
      <c r="AA32" s="216" t="s">
        <v>55</v>
      </c>
      <c r="AB32" s="216" t="s">
        <v>344</v>
      </c>
    </row>
    <row r="33" spans="1:28" x14ac:dyDescent="0.15">
      <c r="A33" s="216" t="s">
        <v>34</v>
      </c>
      <c r="B33" s="208" t="s">
        <v>342</v>
      </c>
      <c r="C33" s="208">
        <v>2018</v>
      </c>
      <c r="D33" s="250" t="s">
        <v>481</v>
      </c>
      <c r="E33" s="237" t="s">
        <v>567</v>
      </c>
      <c r="F33" s="237" t="s">
        <v>336</v>
      </c>
      <c r="G33" s="216" t="s">
        <v>36</v>
      </c>
      <c r="H33" s="208" t="s">
        <v>160</v>
      </c>
      <c r="I33" s="216" t="s">
        <v>155</v>
      </c>
      <c r="J33" s="216" t="s">
        <v>38</v>
      </c>
      <c r="K33" s="216" t="s">
        <v>156</v>
      </c>
      <c r="L33" s="208">
        <v>2</v>
      </c>
      <c r="N33" s="208">
        <v>4</v>
      </c>
      <c r="O33" s="208">
        <v>0.5</v>
      </c>
      <c r="P33" s="208">
        <v>0.5</v>
      </c>
      <c r="Q33" s="245">
        <f t="shared" si="0"/>
        <v>0.5</v>
      </c>
      <c r="R33" s="208">
        <v>14.6</v>
      </c>
      <c r="S33" s="208">
        <v>101</v>
      </c>
      <c r="T33" s="217">
        <f t="shared" si="1"/>
        <v>33</v>
      </c>
      <c r="U33" s="208">
        <v>429</v>
      </c>
      <c r="V33" s="217">
        <f t="shared" si="2"/>
        <v>3539.25</v>
      </c>
      <c r="W33" s="208">
        <v>5</v>
      </c>
      <c r="X33" s="216" t="s">
        <v>39</v>
      </c>
      <c r="Y33" s="216" t="s">
        <v>69</v>
      </c>
      <c r="Z33" s="216" t="s">
        <v>88</v>
      </c>
      <c r="AA33" s="216" t="s">
        <v>55</v>
      </c>
      <c r="AB33" s="216" t="s">
        <v>344</v>
      </c>
    </row>
    <row r="34" spans="1:28" x14ac:dyDescent="0.15">
      <c r="A34" s="216" t="s">
        <v>34</v>
      </c>
      <c r="B34" s="208" t="s">
        <v>342</v>
      </c>
      <c r="C34" s="208">
        <v>2018</v>
      </c>
      <c r="D34" s="250" t="s">
        <v>481</v>
      </c>
      <c r="E34" s="237" t="s">
        <v>567</v>
      </c>
      <c r="F34" s="237" t="s">
        <v>336</v>
      </c>
      <c r="G34" s="216" t="s">
        <v>36</v>
      </c>
      <c r="H34" s="208" t="s">
        <v>160</v>
      </c>
      <c r="I34" s="216" t="s">
        <v>155</v>
      </c>
      <c r="J34" s="216" t="s">
        <v>38</v>
      </c>
      <c r="K34" s="216" t="s">
        <v>156</v>
      </c>
      <c r="L34" s="208">
        <v>3</v>
      </c>
      <c r="N34" s="208">
        <v>4</v>
      </c>
      <c r="O34" s="208">
        <v>0.2</v>
      </c>
      <c r="P34" s="208">
        <v>0.5</v>
      </c>
      <c r="Q34" s="245">
        <f>IF(OR(O34="",P34=""),"",AVERAGE(O34,P34))</f>
        <v>0.35</v>
      </c>
      <c r="R34" s="208">
        <v>14.9</v>
      </c>
      <c r="S34" s="208">
        <v>97</v>
      </c>
      <c r="T34" s="217">
        <f t="shared" si="1"/>
        <v>36</v>
      </c>
      <c r="U34" s="208">
        <v>429</v>
      </c>
      <c r="V34" s="217">
        <f t="shared" si="2"/>
        <v>3861</v>
      </c>
      <c r="W34" s="208">
        <v>5</v>
      </c>
      <c r="X34" s="216" t="s">
        <v>39</v>
      </c>
      <c r="Y34" s="216" t="s">
        <v>69</v>
      </c>
      <c r="Z34" s="216" t="s">
        <v>88</v>
      </c>
      <c r="AA34" s="216" t="s">
        <v>55</v>
      </c>
      <c r="AB34" s="216" t="s">
        <v>344</v>
      </c>
    </row>
    <row r="35" spans="1:28" x14ac:dyDescent="0.15">
      <c r="A35" s="216" t="s">
        <v>34</v>
      </c>
      <c r="B35" s="208" t="s">
        <v>342</v>
      </c>
      <c r="C35" s="208">
        <v>2018</v>
      </c>
      <c r="D35" s="250" t="s">
        <v>481</v>
      </c>
      <c r="E35" s="237" t="s">
        <v>164</v>
      </c>
      <c r="F35" s="237" t="s">
        <v>340</v>
      </c>
      <c r="G35" s="216" t="s">
        <v>36</v>
      </c>
      <c r="H35" s="208" t="s">
        <v>157</v>
      </c>
      <c r="I35" s="216" t="s">
        <v>155</v>
      </c>
      <c r="J35" s="216" t="s">
        <v>38</v>
      </c>
      <c r="K35" s="216" t="s">
        <v>156</v>
      </c>
      <c r="L35" s="216">
        <v>1</v>
      </c>
      <c r="N35" s="208">
        <v>1</v>
      </c>
      <c r="O35" s="208">
        <v>0.45</v>
      </c>
      <c r="P35" s="208">
        <v>0.2</v>
      </c>
      <c r="Q35" s="245">
        <f t="shared" ref="Q35:Q36" si="3">IF(OR(O35="",P35=""),"",AVERAGE(O35,P35))</f>
        <v>0.32500000000000001</v>
      </c>
      <c r="R35" s="208">
        <v>14.2</v>
      </c>
      <c r="S35" s="208">
        <v>138</v>
      </c>
      <c r="T35" s="217">
        <f t="shared" si="1"/>
        <v>30</v>
      </c>
      <c r="U35" s="208">
        <v>137</v>
      </c>
      <c r="V35" s="217">
        <f t="shared" si="2"/>
        <v>4110</v>
      </c>
      <c r="W35" s="208">
        <v>2</v>
      </c>
      <c r="X35" s="216" t="s">
        <v>46</v>
      </c>
      <c r="Y35" s="216" t="s">
        <v>568</v>
      </c>
      <c r="Z35" s="216" t="s">
        <v>69</v>
      </c>
      <c r="AA35" s="216" t="s">
        <v>86</v>
      </c>
      <c r="AB35" s="216" t="s">
        <v>344</v>
      </c>
    </row>
    <row r="36" spans="1:28" x14ac:dyDescent="0.15">
      <c r="A36" s="216" t="s">
        <v>34</v>
      </c>
      <c r="B36" s="208" t="s">
        <v>342</v>
      </c>
      <c r="C36" s="208">
        <v>2018</v>
      </c>
      <c r="D36" s="250" t="s">
        <v>481</v>
      </c>
      <c r="E36" s="237" t="s">
        <v>164</v>
      </c>
      <c r="F36" s="237" t="s">
        <v>340</v>
      </c>
      <c r="G36" s="216" t="s">
        <v>36</v>
      </c>
      <c r="H36" s="208" t="s">
        <v>157</v>
      </c>
      <c r="I36" s="216" t="s">
        <v>155</v>
      </c>
      <c r="J36" s="216" t="s">
        <v>38</v>
      </c>
      <c r="K36" s="216" t="s">
        <v>156</v>
      </c>
      <c r="L36" s="208">
        <v>2</v>
      </c>
      <c r="N36" s="208">
        <v>1</v>
      </c>
      <c r="O36" s="208">
        <v>0.45</v>
      </c>
      <c r="P36" s="208">
        <v>0.45</v>
      </c>
      <c r="Q36" s="245">
        <f t="shared" si="3"/>
        <v>0.45</v>
      </c>
      <c r="R36" s="208">
        <v>14</v>
      </c>
      <c r="S36" s="208">
        <v>136</v>
      </c>
      <c r="T36" s="217">
        <f t="shared" si="1"/>
        <v>30</v>
      </c>
      <c r="U36" s="208">
        <v>137</v>
      </c>
      <c r="V36" s="217">
        <f t="shared" si="2"/>
        <v>4110</v>
      </c>
      <c r="W36" s="208">
        <v>2</v>
      </c>
      <c r="X36" s="216" t="s">
        <v>46</v>
      </c>
      <c r="Y36" s="216" t="s">
        <v>568</v>
      </c>
      <c r="Z36" s="216" t="s">
        <v>69</v>
      </c>
      <c r="AA36" s="216" t="s">
        <v>86</v>
      </c>
      <c r="AB36" s="216" t="s">
        <v>344</v>
      </c>
    </row>
    <row r="37" spans="1:28" x14ac:dyDescent="0.15">
      <c r="A37" s="216" t="s">
        <v>34</v>
      </c>
      <c r="B37" s="208" t="s">
        <v>342</v>
      </c>
      <c r="C37" s="208">
        <v>2018</v>
      </c>
      <c r="D37" s="250" t="s">
        <v>481</v>
      </c>
      <c r="E37" s="237" t="s">
        <v>164</v>
      </c>
      <c r="F37" s="237" t="s">
        <v>340</v>
      </c>
      <c r="G37" s="216" t="s">
        <v>36</v>
      </c>
      <c r="H37" s="208" t="s">
        <v>157</v>
      </c>
      <c r="I37" s="216" t="s">
        <v>155</v>
      </c>
      <c r="J37" s="216" t="s">
        <v>38</v>
      </c>
      <c r="K37" s="216" t="s">
        <v>156</v>
      </c>
      <c r="L37" s="208">
        <v>3</v>
      </c>
      <c r="N37" s="208">
        <v>1</v>
      </c>
      <c r="O37" s="208">
        <v>0.5</v>
      </c>
      <c r="P37" s="208">
        <v>0.55000000000000004</v>
      </c>
      <c r="Q37" s="245">
        <f>IF(OR(O37="",P37=""),"",AVERAGE(O37,P37))</f>
        <v>0.52500000000000002</v>
      </c>
      <c r="R37" s="208">
        <v>14.7</v>
      </c>
      <c r="S37" s="208">
        <v>140</v>
      </c>
      <c r="T37" s="217">
        <f t="shared" si="1"/>
        <v>30</v>
      </c>
      <c r="U37" s="208">
        <v>137</v>
      </c>
      <c r="V37" s="217">
        <f t="shared" si="2"/>
        <v>4110</v>
      </c>
      <c r="W37" s="208">
        <v>2</v>
      </c>
      <c r="X37" s="216" t="s">
        <v>46</v>
      </c>
      <c r="Y37" s="216" t="s">
        <v>568</v>
      </c>
      <c r="Z37" s="216" t="s">
        <v>69</v>
      </c>
      <c r="AA37" s="216" t="s">
        <v>86</v>
      </c>
      <c r="AB37" s="216" t="s">
        <v>344</v>
      </c>
    </row>
    <row r="38" spans="1:28" x14ac:dyDescent="0.15">
      <c r="A38" s="216" t="s">
        <v>34</v>
      </c>
      <c r="B38" s="208" t="s">
        <v>342</v>
      </c>
      <c r="C38" s="208">
        <v>2018</v>
      </c>
      <c r="D38" s="250" t="s">
        <v>481</v>
      </c>
      <c r="E38" s="237" t="s">
        <v>164</v>
      </c>
      <c r="F38" s="237" t="s">
        <v>340</v>
      </c>
      <c r="G38" s="216" t="s">
        <v>36</v>
      </c>
      <c r="H38" s="208" t="s">
        <v>157</v>
      </c>
      <c r="I38" s="216" t="s">
        <v>155</v>
      </c>
      <c r="J38" s="216" t="s">
        <v>38</v>
      </c>
      <c r="K38" s="216" t="s">
        <v>156</v>
      </c>
      <c r="L38" s="216">
        <v>1</v>
      </c>
      <c r="N38" s="208">
        <v>4</v>
      </c>
      <c r="O38" s="208">
        <v>0.2</v>
      </c>
      <c r="P38" s="208">
        <v>0.2</v>
      </c>
      <c r="Q38" s="245">
        <f t="shared" ref="Q38:Q39" si="4">IF(OR(O38="",P38=""),"",AVERAGE(O38,P38))</f>
        <v>0.2</v>
      </c>
      <c r="R38" s="208">
        <v>16.3</v>
      </c>
      <c r="S38" s="208">
        <v>113</v>
      </c>
      <c r="T38" s="217">
        <f t="shared" si="1"/>
        <v>30</v>
      </c>
      <c r="U38" s="208">
        <v>471</v>
      </c>
      <c r="V38" s="217">
        <f t="shared" si="2"/>
        <v>3532.5</v>
      </c>
      <c r="W38" s="208">
        <v>2</v>
      </c>
      <c r="X38" s="216" t="s">
        <v>46</v>
      </c>
      <c r="Y38" s="216" t="s">
        <v>568</v>
      </c>
      <c r="Z38" s="216" t="s">
        <v>69</v>
      </c>
      <c r="AA38" s="216" t="s">
        <v>86</v>
      </c>
      <c r="AB38" s="216" t="s">
        <v>344</v>
      </c>
    </row>
    <row r="39" spans="1:28" x14ac:dyDescent="0.15">
      <c r="A39" s="216" t="s">
        <v>34</v>
      </c>
      <c r="B39" s="208" t="s">
        <v>342</v>
      </c>
      <c r="C39" s="208">
        <v>2018</v>
      </c>
      <c r="D39" s="250" t="s">
        <v>481</v>
      </c>
      <c r="E39" s="237" t="s">
        <v>164</v>
      </c>
      <c r="F39" s="237" t="s">
        <v>340</v>
      </c>
      <c r="G39" s="216" t="s">
        <v>36</v>
      </c>
      <c r="H39" s="208" t="s">
        <v>157</v>
      </c>
      <c r="I39" s="216" t="s">
        <v>155</v>
      </c>
      <c r="J39" s="216" t="s">
        <v>38</v>
      </c>
      <c r="K39" s="216" t="s">
        <v>156</v>
      </c>
      <c r="L39" s="208">
        <v>2</v>
      </c>
      <c r="N39" s="208">
        <v>4</v>
      </c>
      <c r="O39" s="208">
        <v>0.2</v>
      </c>
      <c r="P39" s="208">
        <v>0.2</v>
      </c>
      <c r="Q39" s="245">
        <f t="shared" si="4"/>
        <v>0.2</v>
      </c>
      <c r="R39" s="208">
        <v>15.6</v>
      </c>
      <c r="S39" s="208">
        <v>115</v>
      </c>
      <c r="T39" s="217">
        <f t="shared" si="1"/>
        <v>30</v>
      </c>
      <c r="U39" s="208">
        <v>471</v>
      </c>
      <c r="V39" s="217">
        <f t="shared" si="2"/>
        <v>3532.5</v>
      </c>
      <c r="W39" s="208">
        <v>2</v>
      </c>
      <c r="X39" s="216" t="s">
        <v>46</v>
      </c>
      <c r="Y39" s="216" t="s">
        <v>568</v>
      </c>
      <c r="Z39" s="216" t="s">
        <v>69</v>
      </c>
      <c r="AA39" s="216" t="s">
        <v>86</v>
      </c>
      <c r="AB39" s="216" t="s">
        <v>344</v>
      </c>
    </row>
    <row r="40" spans="1:28" x14ac:dyDescent="0.15">
      <c r="A40" s="216" t="s">
        <v>34</v>
      </c>
      <c r="B40" s="208" t="s">
        <v>342</v>
      </c>
      <c r="C40" s="208">
        <v>2018</v>
      </c>
      <c r="D40" s="250" t="s">
        <v>481</v>
      </c>
      <c r="E40" s="237" t="s">
        <v>164</v>
      </c>
      <c r="F40" s="237" t="s">
        <v>340</v>
      </c>
      <c r="G40" s="216" t="s">
        <v>36</v>
      </c>
      <c r="H40" s="208" t="s">
        <v>157</v>
      </c>
      <c r="I40" s="216" t="s">
        <v>155</v>
      </c>
      <c r="J40" s="216" t="s">
        <v>38</v>
      </c>
      <c r="K40" s="216" t="s">
        <v>156</v>
      </c>
      <c r="L40" s="208">
        <v>3</v>
      </c>
      <c r="N40" s="208">
        <v>4</v>
      </c>
      <c r="O40" s="208">
        <v>0.2</v>
      </c>
      <c r="P40" s="208">
        <v>0.2</v>
      </c>
      <c r="Q40" s="245">
        <f>IF(OR(O40="",P40=""),"",AVERAGE(O40,P40))</f>
        <v>0.2</v>
      </c>
      <c r="R40" s="208">
        <v>14.9</v>
      </c>
      <c r="S40" s="208">
        <v>113</v>
      </c>
      <c r="T40" s="217">
        <f t="shared" si="1"/>
        <v>30</v>
      </c>
      <c r="U40" s="208">
        <v>471</v>
      </c>
      <c r="V40" s="217">
        <f t="shared" si="2"/>
        <v>3532.5</v>
      </c>
      <c r="W40" s="208">
        <v>2</v>
      </c>
      <c r="X40" s="216" t="s">
        <v>46</v>
      </c>
      <c r="Y40" s="216" t="s">
        <v>568</v>
      </c>
      <c r="Z40" s="216" t="s">
        <v>69</v>
      </c>
      <c r="AA40" s="216" t="s">
        <v>86</v>
      </c>
      <c r="AB40" s="216" t="s">
        <v>344</v>
      </c>
    </row>
    <row r="41" spans="1:28" x14ac:dyDescent="0.15">
      <c r="A41" s="216" t="s">
        <v>34</v>
      </c>
      <c r="B41" s="208" t="s">
        <v>342</v>
      </c>
      <c r="C41" s="208">
        <v>2018</v>
      </c>
      <c r="D41" s="250" t="s">
        <v>481</v>
      </c>
      <c r="E41" s="237" t="s">
        <v>164</v>
      </c>
      <c r="F41" s="237" t="s">
        <v>340</v>
      </c>
      <c r="G41" s="216" t="s">
        <v>36</v>
      </c>
      <c r="H41" s="208" t="s">
        <v>160</v>
      </c>
      <c r="I41" s="216" t="s">
        <v>155</v>
      </c>
      <c r="J41" s="216" t="s">
        <v>38</v>
      </c>
      <c r="K41" s="216" t="s">
        <v>156</v>
      </c>
      <c r="L41" s="216">
        <v>1</v>
      </c>
      <c r="N41" s="208">
        <v>1</v>
      </c>
      <c r="O41" s="208">
        <v>0.55000000000000004</v>
      </c>
      <c r="P41" s="208">
        <v>0.5</v>
      </c>
      <c r="Q41" s="245">
        <f t="shared" si="0"/>
        <v>0.52500000000000002</v>
      </c>
      <c r="R41" s="208">
        <v>18</v>
      </c>
      <c r="S41" s="208">
        <v>199</v>
      </c>
      <c r="T41" s="217">
        <f t="shared" si="1"/>
        <v>16</v>
      </c>
      <c r="U41" s="208">
        <v>137</v>
      </c>
      <c r="V41" s="217">
        <f t="shared" si="2"/>
        <v>2192</v>
      </c>
      <c r="W41" s="208">
        <v>6</v>
      </c>
      <c r="X41" s="216" t="s">
        <v>46</v>
      </c>
      <c r="Y41" s="216" t="s">
        <v>568</v>
      </c>
      <c r="Z41" s="216" t="s">
        <v>69</v>
      </c>
      <c r="AA41" s="216" t="s">
        <v>86</v>
      </c>
      <c r="AB41" s="216" t="s">
        <v>344</v>
      </c>
    </row>
    <row r="42" spans="1:28" x14ac:dyDescent="0.15">
      <c r="A42" s="216" t="s">
        <v>34</v>
      </c>
      <c r="B42" s="208" t="s">
        <v>342</v>
      </c>
      <c r="C42" s="208">
        <v>2018</v>
      </c>
      <c r="D42" s="250" t="s">
        <v>481</v>
      </c>
      <c r="E42" s="237" t="s">
        <v>164</v>
      </c>
      <c r="F42" s="237" t="s">
        <v>340</v>
      </c>
      <c r="G42" s="216" t="s">
        <v>36</v>
      </c>
      <c r="H42" s="208" t="s">
        <v>160</v>
      </c>
      <c r="I42" s="216" t="s">
        <v>155</v>
      </c>
      <c r="J42" s="216" t="s">
        <v>38</v>
      </c>
      <c r="K42" s="216" t="s">
        <v>156</v>
      </c>
      <c r="L42" s="208">
        <v>2</v>
      </c>
      <c r="N42" s="208">
        <v>1</v>
      </c>
      <c r="O42" s="208">
        <v>0.45</v>
      </c>
      <c r="P42" s="208">
        <v>0.65</v>
      </c>
      <c r="Q42" s="245">
        <f t="shared" si="0"/>
        <v>0.55000000000000004</v>
      </c>
      <c r="R42" s="208">
        <v>17.3</v>
      </c>
      <c r="S42" s="208">
        <v>196</v>
      </c>
      <c r="T42" s="217">
        <f t="shared" si="1"/>
        <v>16</v>
      </c>
      <c r="U42" s="208">
        <v>137</v>
      </c>
      <c r="V42" s="217">
        <f t="shared" si="2"/>
        <v>2192</v>
      </c>
      <c r="W42" s="208">
        <v>6</v>
      </c>
      <c r="X42" s="216" t="s">
        <v>46</v>
      </c>
      <c r="Y42" s="216" t="s">
        <v>568</v>
      </c>
      <c r="Z42" s="216" t="s">
        <v>69</v>
      </c>
      <c r="AA42" s="216" t="s">
        <v>86</v>
      </c>
      <c r="AB42" s="216" t="s">
        <v>344</v>
      </c>
    </row>
    <row r="43" spans="1:28" x14ac:dyDescent="0.15">
      <c r="A43" s="216" t="s">
        <v>34</v>
      </c>
      <c r="B43" s="208" t="s">
        <v>342</v>
      </c>
      <c r="C43" s="208">
        <v>2018</v>
      </c>
      <c r="D43" s="250" t="s">
        <v>481</v>
      </c>
      <c r="E43" s="237" t="s">
        <v>164</v>
      </c>
      <c r="F43" s="237" t="s">
        <v>340</v>
      </c>
      <c r="G43" s="216" t="s">
        <v>36</v>
      </c>
      <c r="H43" s="208" t="s">
        <v>160</v>
      </c>
      <c r="I43" s="216" t="s">
        <v>155</v>
      </c>
      <c r="J43" s="216" t="s">
        <v>38</v>
      </c>
      <c r="K43" s="216" t="s">
        <v>156</v>
      </c>
      <c r="L43" s="208">
        <v>3</v>
      </c>
      <c r="N43" s="208">
        <v>1</v>
      </c>
      <c r="O43" s="208">
        <v>0.45</v>
      </c>
      <c r="P43" s="208">
        <v>0.5</v>
      </c>
      <c r="Q43" s="245">
        <f t="shared" si="0"/>
        <v>0.47499999999999998</v>
      </c>
      <c r="R43" s="208">
        <v>16.100000000000001</v>
      </c>
      <c r="S43" s="208">
        <v>174</v>
      </c>
      <c r="T43" s="217">
        <f t="shared" si="1"/>
        <v>18</v>
      </c>
      <c r="U43" s="208">
        <v>137</v>
      </c>
      <c r="V43" s="217">
        <f t="shared" si="2"/>
        <v>2466</v>
      </c>
      <c r="W43" s="208">
        <v>6</v>
      </c>
      <c r="X43" s="216" t="s">
        <v>46</v>
      </c>
      <c r="Y43" s="216" t="s">
        <v>568</v>
      </c>
      <c r="Z43" s="216" t="s">
        <v>69</v>
      </c>
      <c r="AA43" s="216" t="s">
        <v>86</v>
      </c>
      <c r="AB43" s="216" t="s">
        <v>344</v>
      </c>
    </row>
    <row r="44" spans="1:28" x14ac:dyDescent="0.15">
      <c r="A44" s="216" t="s">
        <v>34</v>
      </c>
      <c r="B44" s="208" t="s">
        <v>342</v>
      </c>
      <c r="C44" s="208">
        <v>2018</v>
      </c>
      <c r="D44" s="250" t="s">
        <v>481</v>
      </c>
      <c r="E44" s="237" t="s">
        <v>164</v>
      </c>
      <c r="F44" s="237" t="s">
        <v>340</v>
      </c>
      <c r="G44" s="216" t="s">
        <v>36</v>
      </c>
      <c r="H44" s="208" t="s">
        <v>160</v>
      </c>
      <c r="I44" s="216" t="s">
        <v>155</v>
      </c>
      <c r="J44" s="216" t="s">
        <v>38</v>
      </c>
      <c r="K44" s="216" t="s">
        <v>156</v>
      </c>
      <c r="L44" s="216">
        <v>1</v>
      </c>
      <c r="N44" s="208">
        <v>4</v>
      </c>
      <c r="O44" s="208">
        <v>0.75</v>
      </c>
      <c r="P44" s="208">
        <v>0.75</v>
      </c>
      <c r="Q44" s="245">
        <f t="shared" si="0"/>
        <v>0.75</v>
      </c>
      <c r="R44" s="208">
        <v>14.6</v>
      </c>
      <c r="S44" s="208">
        <v>120</v>
      </c>
      <c r="T44" s="217">
        <f t="shared" si="1"/>
        <v>30</v>
      </c>
      <c r="U44" s="208">
        <v>471</v>
      </c>
      <c r="V44" s="217">
        <f t="shared" si="2"/>
        <v>3532.5</v>
      </c>
      <c r="W44" s="208">
        <v>6</v>
      </c>
      <c r="X44" s="216" t="s">
        <v>46</v>
      </c>
      <c r="Y44" s="216" t="s">
        <v>568</v>
      </c>
      <c r="Z44" s="216" t="s">
        <v>69</v>
      </c>
      <c r="AA44" s="216" t="s">
        <v>86</v>
      </c>
      <c r="AB44" s="216" t="s">
        <v>344</v>
      </c>
    </row>
    <row r="45" spans="1:28" x14ac:dyDescent="0.15">
      <c r="A45" s="216" t="s">
        <v>34</v>
      </c>
      <c r="B45" s="208" t="s">
        <v>342</v>
      </c>
      <c r="C45" s="208">
        <v>2018</v>
      </c>
      <c r="D45" s="250" t="s">
        <v>481</v>
      </c>
      <c r="E45" s="237" t="s">
        <v>164</v>
      </c>
      <c r="F45" s="237" t="s">
        <v>340</v>
      </c>
      <c r="G45" s="216" t="s">
        <v>36</v>
      </c>
      <c r="H45" s="208" t="s">
        <v>160</v>
      </c>
      <c r="I45" s="216" t="s">
        <v>155</v>
      </c>
      <c r="J45" s="216" t="s">
        <v>38</v>
      </c>
      <c r="K45" s="216" t="s">
        <v>156</v>
      </c>
      <c r="L45" s="208">
        <v>2</v>
      </c>
      <c r="N45" s="208">
        <v>4</v>
      </c>
      <c r="O45" s="208">
        <v>0.5</v>
      </c>
      <c r="P45" s="208">
        <v>0.6</v>
      </c>
      <c r="Q45" s="245">
        <f t="shared" si="0"/>
        <v>0.55000000000000004</v>
      </c>
      <c r="R45" s="208">
        <v>14.8</v>
      </c>
      <c r="S45" s="208">
        <v>119</v>
      </c>
      <c r="T45" s="217">
        <f t="shared" si="1"/>
        <v>30</v>
      </c>
      <c r="U45" s="208">
        <v>471</v>
      </c>
      <c r="V45" s="217">
        <f t="shared" si="2"/>
        <v>3532.5</v>
      </c>
      <c r="W45" s="208">
        <v>6</v>
      </c>
      <c r="X45" s="216" t="s">
        <v>46</v>
      </c>
      <c r="Y45" s="216" t="s">
        <v>568</v>
      </c>
      <c r="Z45" s="216" t="s">
        <v>69</v>
      </c>
      <c r="AA45" s="216" t="s">
        <v>86</v>
      </c>
      <c r="AB45" s="216" t="s">
        <v>344</v>
      </c>
    </row>
    <row r="46" spans="1:28" x14ac:dyDescent="0.15">
      <c r="A46" s="216" t="s">
        <v>34</v>
      </c>
      <c r="B46" s="208" t="s">
        <v>342</v>
      </c>
      <c r="C46" s="208">
        <v>2018</v>
      </c>
      <c r="D46" s="250" t="s">
        <v>481</v>
      </c>
      <c r="E46" s="237" t="s">
        <v>164</v>
      </c>
      <c r="F46" s="237" t="s">
        <v>340</v>
      </c>
      <c r="G46" s="216" t="s">
        <v>36</v>
      </c>
      <c r="H46" s="208" t="s">
        <v>160</v>
      </c>
      <c r="I46" s="216" t="s">
        <v>155</v>
      </c>
      <c r="J46" s="216" t="s">
        <v>38</v>
      </c>
      <c r="K46" s="216" t="s">
        <v>156</v>
      </c>
      <c r="L46" s="208">
        <v>3</v>
      </c>
      <c r="N46" s="208">
        <v>4</v>
      </c>
      <c r="O46" s="208">
        <v>0.55000000000000004</v>
      </c>
      <c r="P46" s="208">
        <v>0.6</v>
      </c>
      <c r="Q46" s="245">
        <f t="shared" si="0"/>
        <v>0.57499999999999996</v>
      </c>
      <c r="R46" s="208">
        <v>14.4</v>
      </c>
      <c r="S46" s="208">
        <v>119</v>
      </c>
      <c r="T46" s="217">
        <f t="shared" si="1"/>
        <v>30</v>
      </c>
      <c r="U46" s="208">
        <v>471</v>
      </c>
      <c r="V46" s="217">
        <f t="shared" si="2"/>
        <v>3532.5</v>
      </c>
      <c r="W46" s="208">
        <v>6</v>
      </c>
      <c r="X46" s="216" t="s">
        <v>46</v>
      </c>
      <c r="Y46" s="216" t="s">
        <v>568</v>
      </c>
      <c r="Z46" s="216" t="s">
        <v>69</v>
      </c>
      <c r="AA46" s="216" t="s">
        <v>86</v>
      </c>
      <c r="AB46" s="216" t="s">
        <v>344</v>
      </c>
    </row>
    <row r="47" spans="1:28" x14ac:dyDescent="0.15">
      <c r="A47" s="216" t="s">
        <v>34</v>
      </c>
      <c r="B47" s="208" t="s">
        <v>342</v>
      </c>
      <c r="C47" s="208">
        <v>2018</v>
      </c>
      <c r="D47" s="250" t="s">
        <v>481</v>
      </c>
      <c r="E47" s="237" t="s">
        <v>326</v>
      </c>
      <c r="F47" s="237" t="s">
        <v>327</v>
      </c>
      <c r="G47" s="216" t="s">
        <v>36</v>
      </c>
      <c r="H47" s="208" t="s">
        <v>157</v>
      </c>
      <c r="I47" s="216" t="s">
        <v>155</v>
      </c>
      <c r="J47" s="216" t="s">
        <v>38</v>
      </c>
      <c r="K47" s="216" t="s">
        <v>156</v>
      </c>
      <c r="L47" s="216">
        <v>1</v>
      </c>
      <c r="N47" s="208">
        <v>1</v>
      </c>
      <c r="O47" s="208">
        <v>0.9</v>
      </c>
      <c r="P47" s="208">
        <v>0.2</v>
      </c>
      <c r="Q47" s="245">
        <f t="shared" si="0"/>
        <v>0.55000000000000004</v>
      </c>
      <c r="R47" s="208">
        <v>14.2</v>
      </c>
      <c r="S47" s="208">
        <v>128</v>
      </c>
      <c r="T47" s="217">
        <f t="shared" si="1"/>
        <v>30</v>
      </c>
      <c r="U47" s="208">
        <v>138</v>
      </c>
      <c r="V47" s="217">
        <f t="shared" si="2"/>
        <v>4140</v>
      </c>
      <c r="W47" s="208">
        <v>2</v>
      </c>
      <c r="X47" s="216" t="s">
        <v>46</v>
      </c>
      <c r="Y47" s="216" t="s">
        <v>69</v>
      </c>
      <c r="Z47" s="216" t="s">
        <v>88</v>
      </c>
      <c r="AA47" s="216" t="s">
        <v>78</v>
      </c>
      <c r="AB47" s="216" t="s">
        <v>344</v>
      </c>
    </row>
    <row r="48" spans="1:28" x14ac:dyDescent="0.15">
      <c r="A48" s="216" t="s">
        <v>34</v>
      </c>
      <c r="B48" s="208" t="s">
        <v>342</v>
      </c>
      <c r="C48" s="208">
        <v>2018</v>
      </c>
      <c r="D48" s="250" t="s">
        <v>481</v>
      </c>
      <c r="E48" s="237" t="s">
        <v>326</v>
      </c>
      <c r="F48" s="237" t="s">
        <v>327</v>
      </c>
      <c r="G48" s="216" t="s">
        <v>36</v>
      </c>
      <c r="H48" s="208" t="s">
        <v>157</v>
      </c>
      <c r="I48" s="216" t="s">
        <v>155</v>
      </c>
      <c r="J48" s="216" t="s">
        <v>38</v>
      </c>
      <c r="K48" s="216" t="s">
        <v>156</v>
      </c>
      <c r="L48" s="208">
        <v>2</v>
      </c>
      <c r="N48" s="208">
        <v>1</v>
      </c>
      <c r="O48" s="208">
        <v>0.7</v>
      </c>
      <c r="P48" s="208">
        <v>0.45</v>
      </c>
      <c r="Q48" s="245">
        <f t="shared" si="0"/>
        <v>0.57499999999999996</v>
      </c>
      <c r="R48" s="208">
        <v>14</v>
      </c>
      <c r="S48" s="208">
        <v>128</v>
      </c>
      <c r="T48" s="217">
        <f t="shared" si="1"/>
        <v>30</v>
      </c>
      <c r="U48" s="208">
        <v>138</v>
      </c>
      <c r="V48" s="217">
        <f t="shared" si="2"/>
        <v>4140</v>
      </c>
      <c r="W48" s="208">
        <v>2</v>
      </c>
      <c r="X48" s="216" t="s">
        <v>46</v>
      </c>
      <c r="Y48" s="216" t="s">
        <v>69</v>
      </c>
      <c r="Z48" s="216" t="s">
        <v>88</v>
      </c>
      <c r="AA48" s="216" t="s">
        <v>78</v>
      </c>
      <c r="AB48" s="216" t="s">
        <v>344</v>
      </c>
    </row>
    <row r="49" spans="1:28" x14ac:dyDescent="0.15">
      <c r="A49" s="216" t="s">
        <v>34</v>
      </c>
      <c r="B49" s="208" t="s">
        <v>342</v>
      </c>
      <c r="C49" s="208">
        <v>2018</v>
      </c>
      <c r="D49" s="250" t="s">
        <v>481</v>
      </c>
      <c r="E49" s="237" t="s">
        <v>326</v>
      </c>
      <c r="F49" s="237" t="s">
        <v>327</v>
      </c>
      <c r="G49" s="216" t="s">
        <v>36</v>
      </c>
      <c r="H49" s="208" t="s">
        <v>157</v>
      </c>
      <c r="I49" s="216" t="s">
        <v>155</v>
      </c>
      <c r="J49" s="216" t="s">
        <v>38</v>
      </c>
      <c r="K49" s="216" t="s">
        <v>156</v>
      </c>
      <c r="L49" s="208">
        <v>3</v>
      </c>
      <c r="N49" s="208">
        <v>1</v>
      </c>
      <c r="O49" s="208">
        <v>0.7</v>
      </c>
      <c r="P49" s="208">
        <v>0.55000000000000004</v>
      </c>
      <c r="Q49" s="245">
        <f t="shared" si="0"/>
        <v>0.625</v>
      </c>
      <c r="R49" s="208">
        <v>14.7</v>
      </c>
      <c r="S49" s="208">
        <v>126</v>
      </c>
      <c r="T49" s="217">
        <f t="shared" si="1"/>
        <v>30</v>
      </c>
      <c r="U49" s="208">
        <v>138</v>
      </c>
      <c r="V49" s="217">
        <f t="shared" si="2"/>
        <v>4140</v>
      </c>
      <c r="W49" s="208">
        <v>2</v>
      </c>
      <c r="X49" s="216" t="s">
        <v>46</v>
      </c>
      <c r="Y49" s="216" t="s">
        <v>69</v>
      </c>
      <c r="Z49" s="216" t="s">
        <v>88</v>
      </c>
      <c r="AA49" s="216" t="s">
        <v>78</v>
      </c>
      <c r="AB49" s="216" t="s">
        <v>344</v>
      </c>
    </row>
    <row r="50" spans="1:28" x14ac:dyDescent="0.15">
      <c r="A50" s="216" t="s">
        <v>34</v>
      </c>
      <c r="B50" s="208" t="s">
        <v>342</v>
      </c>
      <c r="C50" s="208">
        <v>2018</v>
      </c>
      <c r="D50" s="250" t="s">
        <v>481</v>
      </c>
      <c r="E50" s="237" t="s">
        <v>326</v>
      </c>
      <c r="F50" s="237" t="s">
        <v>327</v>
      </c>
      <c r="G50" s="216" t="s">
        <v>36</v>
      </c>
      <c r="H50" s="208" t="s">
        <v>157</v>
      </c>
      <c r="I50" s="216" t="s">
        <v>155</v>
      </c>
      <c r="J50" s="216" t="s">
        <v>38</v>
      </c>
      <c r="K50" s="216" t="s">
        <v>156</v>
      </c>
      <c r="L50" s="216">
        <v>1</v>
      </c>
      <c r="N50" s="208">
        <v>1</v>
      </c>
      <c r="O50" s="208">
        <v>0.45</v>
      </c>
      <c r="P50" s="208">
        <v>0.2</v>
      </c>
      <c r="Q50" s="245">
        <f t="shared" si="0"/>
        <v>0.32500000000000001</v>
      </c>
      <c r="R50" s="208">
        <v>16.3</v>
      </c>
      <c r="S50" s="208">
        <v>130</v>
      </c>
      <c r="T50" s="217">
        <f t="shared" si="1"/>
        <v>30</v>
      </c>
      <c r="U50" s="208">
        <v>138</v>
      </c>
      <c r="V50" s="217">
        <f t="shared" si="2"/>
        <v>4140</v>
      </c>
      <c r="W50" s="208">
        <v>2</v>
      </c>
      <c r="X50" s="216" t="s">
        <v>46</v>
      </c>
      <c r="Y50" s="216" t="s">
        <v>69</v>
      </c>
      <c r="Z50" s="216" t="s">
        <v>88</v>
      </c>
      <c r="AA50" s="216" t="s">
        <v>78</v>
      </c>
      <c r="AB50" s="216" t="s">
        <v>344</v>
      </c>
    </row>
    <row r="51" spans="1:28" x14ac:dyDescent="0.15">
      <c r="A51" s="216" t="s">
        <v>34</v>
      </c>
      <c r="B51" s="208" t="s">
        <v>342</v>
      </c>
      <c r="C51" s="208">
        <v>2018</v>
      </c>
      <c r="D51" s="250" t="s">
        <v>481</v>
      </c>
      <c r="E51" s="237" t="s">
        <v>326</v>
      </c>
      <c r="F51" s="237" t="s">
        <v>327</v>
      </c>
      <c r="G51" s="216" t="s">
        <v>36</v>
      </c>
      <c r="H51" s="208" t="s">
        <v>157</v>
      </c>
      <c r="I51" s="216" t="s">
        <v>155</v>
      </c>
      <c r="J51" s="216" t="s">
        <v>38</v>
      </c>
      <c r="K51" s="216" t="s">
        <v>156</v>
      </c>
      <c r="L51" s="208">
        <v>2</v>
      </c>
      <c r="N51" s="208">
        <v>1</v>
      </c>
      <c r="O51" s="208">
        <v>0.7</v>
      </c>
      <c r="P51" s="208">
        <v>0.2</v>
      </c>
      <c r="Q51" s="245">
        <f t="shared" si="0"/>
        <v>0.44999999999999996</v>
      </c>
      <c r="R51" s="208">
        <v>15.6</v>
      </c>
      <c r="S51" s="208">
        <v>132</v>
      </c>
      <c r="T51" s="217">
        <f t="shared" si="1"/>
        <v>30</v>
      </c>
      <c r="U51" s="208">
        <v>138</v>
      </c>
      <c r="V51" s="217">
        <f t="shared" si="2"/>
        <v>4140</v>
      </c>
      <c r="W51" s="208">
        <v>2</v>
      </c>
      <c r="X51" s="216" t="s">
        <v>46</v>
      </c>
      <c r="Y51" s="216" t="s">
        <v>69</v>
      </c>
      <c r="Z51" s="216" t="s">
        <v>88</v>
      </c>
      <c r="AA51" s="216" t="s">
        <v>78</v>
      </c>
      <c r="AB51" s="216" t="s">
        <v>344</v>
      </c>
    </row>
    <row r="52" spans="1:28" x14ac:dyDescent="0.15">
      <c r="A52" s="216" t="s">
        <v>34</v>
      </c>
      <c r="B52" s="208" t="s">
        <v>342</v>
      </c>
      <c r="C52" s="208">
        <v>2018</v>
      </c>
      <c r="D52" s="250" t="s">
        <v>481</v>
      </c>
      <c r="E52" s="237" t="s">
        <v>326</v>
      </c>
      <c r="F52" s="237" t="s">
        <v>327</v>
      </c>
      <c r="G52" s="216" t="s">
        <v>36</v>
      </c>
      <c r="H52" s="208" t="s">
        <v>157</v>
      </c>
      <c r="I52" s="216" t="s">
        <v>155</v>
      </c>
      <c r="J52" s="216" t="s">
        <v>38</v>
      </c>
      <c r="K52" s="216" t="s">
        <v>156</v>
      </c>
      <c r="L52" s="208">
        <v>3</v>
      </c>
      <c r="N52" s="208">
        <v>1</v>
      </c>
      <c r="O52" s="208">
        <v>0.55000000000000004</v>
      </c>
      <c r="P52" s="208">
        <v>0.2</v>
      </c>
      <c r="Q52" s="245">
        <f t="shared" si="0"/>
        <v>0.375</v>
      </c>
      <c r="R52" s="208">
        <v>14.9</v>
      </c>
      <c r="S52" s="208">
        <v>128</v>
      </c>
      <c r="T52" s="217">
        <f t="shared" si="1"/>
        <v>30</v>
      </c>
      <c r="U52" s="208">
        <v>138</v>
      </c>
      <c r="V52" s="217">
        <f t="shared" si="2"/>
        <v>4140</v>
      </c>
      <c r="W52" s="208">
        <v>2</v>
      </c>
      <c r="X52" s="216" t="s">
        <v>46</v>
      </c>
      <c r="Y52" s="216" t="s">
        <v>69</v>
      </c>
      <c r="Z52" s="216" t="s">
        <v>88</v>
      </c>
      <c r="AA52" s="216" t="s">
        <v>78</v>
      </c>
      <c r="AB52" s="216" t="s">
        <v>344</v>
      </c>
    </row>
    <row r="53" spans="1:28" x14ac:dyDescent="0.15">
      <c r="A53" s="216" t="s">
        <v>34</v>
      </c>
      <c r="B53" s="208" t="s">
        <v>342</v>
      </c>
      <c r="C53" s="208">
        <v>2018</v>
      </c>
      <c r="D53" s="250" t="s">
        <v>481</v>
      </c>
      <c r="E53" s="237" t="s">
        <v>326</v>
      </c>
      <c r="F53" s="237" t="s">
        <v>327</v>
      </c>
      <c r="G53" s="216" t="s">
        <v>36</v>
      </c>
      <c r="H53" s="208" t="s">
        <v>205</v>
      </c>
      <c r="I53" s="216" t="s">
        <v>155</v>
      </c>
      <c r="J53" s="216" t="s">
        <v>38</v>
      </c>
      <c r="K53" s="216" t="s">
        <v>156</v>
      </c>
      <c r="L53" s="216">
        <v>1</v>
      </c>
      <c r="N53" s="208">
        <v>1</v>
      </c>
      <c r="O53" s="208">
        <v>0.2</v>
      </c>
      <c r="P53" s="208">
        <v>0.5</v>
      </c>
      <c r="Q53" s="245">
        <f t="shared" si="0"/>
        <v>0.35</v>
      </c>
      <c r="R53" s="208">
        <v>18</v>
      </c>
      <c r="S53" s="208">
        <v>112</v>
      </c>
      <c r="T53" s="217">
        <f t="shared" si="1"/>
        <v>33</v>
      </c>
      <c r="U53" s="208">
        <v>430</v>
      </c>
      <c r="V53" s="217">
        <f t="shared" si="2"/>
        <v>14190</v>
      </c>
      <c r="W53" s="208">
        <v>2</v>
      </c>
      <c r="X53" s="216" t="s">
        <v>46</v>
      </c>
      <c r="Y53" s="216" t="s">
        <v>69</v>
      </c>
      <c r="Z53" s="216" t="s">
        <v>88</v>
      </c>
      <c r="AA53" s="216" t="s">
        <v>78</v>
      </c>
      <c r="AB53" s="216" t="s">
        <v>344</v>
      </c>
    </row>
    <row r="54" spans="1:28" x14ac:dyDescent="0.15">
      <c r="A54" s="216" t="s">
        <v>34</v>
      </c>
      <c r="B54" s="208" t="s">
        <v>342</v>
      </c>
      <c r="C54" s="208">
        <v>2018</v>
      </c>
      <c r="D54" s="250" t="s">
        <v>481</v>
      </c>
      <c r="E54" s="237" t="s">
        <v>326</v>
      </c>
      <c r="F54" s="237" t="s">
        <v>327</v>
      </c>
      <c r="G54" s="216" t="s">
        <v>36</v>
      </c>
      <c r="H54" s="208" t="s">
        <v>205</v>
      </c>
      <c r="I54" s="216" t="s">
        <v>155</v>
      </c>
      <c r="J54" s="216" t="s">
        <v>38</v>
      </c>
      <c r="K54" s="216" t="s">
        <v>156</v>
      </c>
      <c r="L54" s="208">
        <v>2</v>
      </c>
      <c r="N54" s="208">
        <v>1</v>
      </c>
      <c r="O54" s="208">
        <v>0.45</v>
      </c>
      <c r="P54" s="208">
        <v>0.65</v>
      </c>
      <c r="Q54" s="245">
        <f t="shared" si="0"/>
        <v>0.55000000000000004</v>
      </c>
      <c r="R54" s="208">
        <v>17.3</v>
      </c>
      <c r="S54" s="208">
        <v>112</v>
      </c>
      <c r="T54" s="217">
        <f t="shared" si="1"/>
        <v>33</v>
      </c>
      <c r="U54" s="208">
        <v>430</v>
      </c>
      <c r="V54" s="217">
        <f t="shared" si="2"/>
        <v>14190</v>
      </c>
      <c r="W54" s="208">
        <v>2</v>
      </c>
      <c r="X54" s="216" t="s">
        <v>46</v>
      </c>
      <c r="Y54" s="216" t="s">
        <v>69</v>
      </c>
      <c r="Z54" s="216" t="s">
        <v>88</v>
      </c>
      <c r="AA54" s="216" t="s">
        <v>78</v>
      </c>
      <c r="AB54" s="216" t="s">
        <v>344</v>
      </c>
    </row>
    <row r="55" spans="1:28" x14ac:dyDescent="0.15">
      <c r="A55" s="216" t="s">
        <v>34</v>
      </c>
      <c r="B55" s="208" t="s">
        <v>342</v>
      </c>
      <c r="C55" s="208">
        <v>2018</v>
      </c>
      <c r="D55" s="250" t="s">
        <v>481</v>
      </c>
      <c r="E55" s="237" t="s">
        <v>326</v>
      </c>
      <c r="F55" s="237" t="s">
        <v>327</v>
      </c>
      <c r="G55" s="216" t="s">
        <v>36</v>
      </c>
      <c r="H55" s="208" t="s">
        <v>205</v>
      </c>
      <c r="I55" s="216" t="s">
        <v>155</v>
      </c>
      <c r="J55" s="216" t="s">
        <v>38</v>
      </c>
      <c r="K55" s="216" t="s">
        <v>156</v>
      </c>
      <c r="L55" s="208">
        <v>3</v>
      </c>
      <c r="N55" s="208">
        <v>1</v>
      </c>
      <c r="O55" s="208">
        <v>0.45</v>
      </c>
      <c r="P55" s="208">
        <v>0.5</v>
      </c>
      <c r="Q55" s="245">
        <f t="shared" si="0"/>
        <v>0.47499999999999998</v>
      </c>
      <c r="R55" s="208">
        <v>16.100000000000001</v>
      </c>
      <c r="S55" s="208">
        <v>110</v>
      </c>
      <c r="T55" s="217">
        <f t="shared" si="1"/>
        <v>33</v>
      </c>
      <c r="U55" s="208">
        <v>430</v>
      </c>
      <c r="V55" s="217">
        <f t="shared" si="2"/>
        <v>14190</v>
      </c>
      <c r="W55" s="208">
        <v>2</v>
      </c>
      <c r="X55" s="216" t="s">
        <v>46</v>
      </c>
      <c r="Y55" s="216" t="s">
        <v>69</v>
      </c>
      <c r="Z55" s="216" t="s">
        <v>88</v>
      </c>
      <c r="AA55" s="216" t="s">
        <v>78</v>
      </c>
      <c r="AB55" s="216" t="s">
        <v>344</v>
      </c>
    </row>
    <row r="56" spans="1:28" x14ac:dyDescent="0.15">
      <c r="A56" s="216" t="s">
        <v>34</v>
      </c>
      <c r="B56" s="208" t="s">
        <v>342</v>
      </c>
      <c r="C56" s="208">
        <v>2018</v>
      </c>
      <c r="D56" s="250" t="s">
        <v>481</v>
      </c>
      <c r="E56" s="237" t="s">
        <v>326</v>
      </c>
      <c r="F56" s="237" t="s">
        <v>327</v>
      </c>
      <c r="G56" s="216" t="s">
        <v>36</v>
      </c>
      <c r="H56" s="208" t="s">
        <v>160</v>
      </c>
      <c r="I56" s="216" t="s">
        <v>155</v>
      </c>
      <c r="J56" s="216" t="s">
        <v>38</v>
      </c>
      <c r="K56" s="216" t="s">
        <v>156</v>
      </c>
      <c r="L56" s="216">
        <v>1</v>
      </c>
      <c r="N56" s="208">
        <v>4</v>
      </c>
      <c r="O56" s="208">
        <v>0.2</v>
      </c>
      <c r="P56" s="208">
        <v>0.75</v>
      </c>
      <c r="Q56" s="245">
        <f t="shared" si="0"/>
        <v>0.47499999999999998</v>
      </c>
      <c r="R56" s="208">
        <v>14.6</v>
      </c>
      <c r="S56" s="208">
        <v>125</v>
      </c>
      <c r="T56" s="217">
        <f t="shared" si="1"/>
        <v>30</v>
      </c>
      <c r="U56" s="208">
        <v>171</v>
      </c>
      <c r="V56" s="217">
        <f t="shared" si="2"/>
        <v>1282.5</v>
      </c>
      <c r="W56" s="208">
        <v>2</v>
      </c>
      <c r="X56" s="216" t="s">
        <v>46</v>
      </c>
      <c r="Y56" s="216" t="s">
        <v>69</v>
      </c>
      <c r="Z56" s="216" t="s">
        <v>88</v>
      </c>
      <c r="AA56" s="216" t="s">
        <v>78</v>
      </c>
      <c r="AB56" s="216" t="s">
        <v>344</v>
      </c>
    </row>
    <row r="57" spans="1:28" x14ac:dyDescent="0.15">
      <c r="A57" s="216" t="s">
        <v>34</v>
      </c>
      <c r="B57" s="208" t="s">
        <v>342</v>
      </c>
      <c r="C57" s="208">
        <v>2018</v>
      </c>
      <c r="D57" s="250" t="s">
        <v>481</v>
      </c>
      <c r="E57" s="237" t="s">
        <v>326</v>
      </c>
      <c r="F57" s="237" t="s">
        <v>327</v>
      </c>
      <c r="G57" s="216" t="s">
        <v>36</v>
      </c>
      <c r="H57" s="208" t="s">
        <v>160</v>
      </c>
      <c r="I57" s="216" t="s">
        <v>155</v>
      </c>
      <c r="J57" s="216" t="s">
        <v>38</v>
      </c>
      <c r="K57" s="216" t="s">
        <v>156</v>
      </c>
      <c r="L57" s="208">
        <v>2</v>
      </c>
      <c r="N57" s="208">
        <v>4</v>
      </c>
      <c r="O57" s="208">
        <v>0.2</v>
      </c>
      <c r="P57" s="208">
        <v>0.6</v>
      </c>
      <c r="Q57" s="245">
        <f t="shared" si="0"/>
        <v>0.4</v>
      </c>
      <c r="R57" s="208">
        <v>14.8</v>
      </c>
      <c r="S57" s="208">
        <v>125</v>
      </c>
      <c r="T57" s="217">
        <f t="shared" si="1"/>
        <v>30</v>
      </c>
      <c r="U57" s="208">
        <v>171</v>
      </c>
      <c r="V57" s="217">
        <f t="shared" si="2"/>
        <v>1282.5</v>
      </c>
      <c r="W57" s="208">
        <v>2</v>
      </c>
      <c r="X57" s="216" t="s">
        <v>46</v>
      </c>
      <c r="Y57" s="216" t="s">
        <v>69</v>
      </c>
      <c r="Z57" s="216" t="s">
        <v>88</v>
      </c>
      <c r="AA57" s="216" t="s">
        <v>78</v>
      </c>
      <c r="AB57" s="216" t="s">
        <v>344</v>
      </c>
    </row>
    <row r="58" spans="1:28" x14ac:dyDescent="0.15">
      <c r="A58" s="216" t="s">
        <v>34</v>
      </c>
      <c r="B58" s="208" t="s">
        <v>342</v>
      </c>
      <c r="C58" s="208">
        <v>2018</v>
      </c>
      <c r="D58" s="250" t="s">
        <v>481</v>
      </c>
      <c r="E58" s="237" t="s">
        <v>326</v>
      </c>
      <c r="F58" s="237" t="s">
        <v>327</v>
      </c>
      <c r="G58" s="216" t="s">
        <v>36</v>
      </c>
      <c r="H58" s="208" t="s">
        <v>160</v>
      </c>
      <c r="I58" s="216" t="s">
        <v>155</v>
      </c>
      <c r="J58" s="216" t="s">
        <v>38</v>
      </c>
      <c r="K58" s="216" t="s">
        <v>156</v>
      </c>
      <c r="L58" s="208">
        <v>3</v>
      </c>
      <c r="N58" s="208">
        <v>4</v>
      </c>
      <c r="O58" s="208">
        <v>0.2</v>
      </c>
      <c r="P58" s="208">
        <v>0.6</v>
      </c>
      <c r="Q58" s="245">
        <f t="shared" si="0"/>
        <v>0.4</v>
      </c>
      <c r="R58" s="208">
        <v>14.4</v>
      </c>
      <c r="S58" s="208">
        <v>130</v>
      </c>
      <c r="T58" s="217">
        <f t="shared" si="1"/>
        <v>30</v>
      </c>
      <c r="U58" s="208">
        <v>171</v>
      </c>
      <c r="V58" s="217">
        <f t="shared" si="2"/>
        <v>1282.5</v>
      </c>
      <c r="W58" s="208">
        <v>2</v>
      </c>
      <c r="X58" s="216" t="s">
        <v>46</v>
      </c>
      <c r="Y58" s="216" t="s">
        <v>69</v>
      </c>
      <c r="Z58" s="216" t="s">
        <v>88</v>
      </c>
      <c r="AA58" s="216" t="s">
        <v>78</v>
      </c>
      <c r="AB58" s="216" t="s">
        <v>344</v>
      </c>
    </row>
    <row r="59" spans="1:28" x14ac:dyDescent="0.15">
      <c r="A59" s="216" t="s">
        <v>34</v>
      </c>
      <c r="B59" s="208" t="s">
        <v>342</v>
      </c>
      <c r="C59" s="208">
        <v>2018</v>
      </c>
      <c r="D59" s="250" t="s">
        <v>481</v>
      </c>
      <c r="E59" s="237" t="s">
        <v>328</v>
      </c>
      <c r="F59" s="237" t="s">
        <v>329</v>
      </c>
      <c r="G59" s="216" t="s">
        <v>36</v>
      </c>
      <c r="H59" s="208" t="s">
        <v>157</v>
      </c>
      <c r="I59" s="216" t="s">
        <v>155</v>
      </c>
      <c r="J59" s="216" t="s">
        <v>38</v>
      </c>
      <c r="K59" s="216" t="s">
        <v>156</v>
      </c>
      <c r="L59" s="216">
        <v>1</v>
      </c>
      <c r="N59" s="208">
        <v>1</v>
      </c>
      <c r="O59" s="208">
        <v>0.8</v>
      </c>
      <c r="P59" s="208">
        <v>0.7</v>
      </c>
      <c r="Q59" s="245">
        <f t="shared" si="0"/>
        <v>0.75</v>
      </c>
      <c r="R59" s="208">
        <v>14.6</v>
      </c>
      <c r="S59" s="208">
        <v>140</v>
      </c>
      <c r="T59" s="217">
        <f t="shared" si="1"/>
        <v>30</v>
      </c>
      <c r="U59" s="208">
        <v>108</v>
      </c>
      <c r="V59" s="217">
        <f t="shared" si="2"/>
        <v>3240</v>
      </c>
      <c r="W59" s="208">
        <v>3</v>
      </c>
      <c r="X59" s="216" t="s">
        <v>46</v>
      </c>
      <c r="Y59" s="216" t="s">
        <v>88</v>
      </c>
      <c r="Z59" s="216" t="s">
        <v>69</v>
      </c>
      <c r="AA59" s="216" t="s">
        <v>55</v>
      </c>
      <c r="AB59" s="216" t="s">
        <v>344</v>
      </c>
    </row>
    <row r="60" spans="1:28" x14ac:dyDescent="0.15">
      <c r="A60" s="216" t="s">
        <v>34</v>
      </c>
      <c r="B60" s="208" t="s">
        <v>342</v>
      </c>
      <c r="C60" s="208">
        <v>2018</v>
      </c>
      <c r="D60" s="250" t="s">
        <v>481</v>
      </c>
      <c r="E60" s="237" t="s">
        <v>328</v>
      </c>
      <c r="F60" s="237" t="s">
        <v>329</v>
      </c>
      <c r="G60" s="216" t="s">
        <v>36</v>
      </c>
      <c r="H60" s="208" t="s">
        <v>157</v>
      </c>
      <c r="I60" s="216" t="s">
        <v>155</v>
      </c>
      <c r="J60" s="216" t="s">
        <v>38</v>
      </c>
      <c r="K60" s="216" t="s">
        <v>156</v>
      </c>
      <c r="L60" s="208">
        <v>2</v>
      </c>
      <c r="N60" s="208">
        <v>1</v>
      </c>
      <c r="O60" s="208">
        <v>1</v>
      </c>
      <c r="P60" s="208">
        <v>0.9</v>
      </c>
      <c r="Q60" s="245">
        <f t="shared" si="0"/>
        <v>0.95</v>
      </c>
      <c r="R60" s="208">
        <v>15.2</v>
      </c>
      <c r="S60" s="208">
        <v>138</v>
      </c>
      <c r="T60" s="217">
        <f t="shared" si="1"/>
        <v>30</v>
      </c>
      <c r="U60" s="208">
        <v>108</v>
      </c>
      <c r="V60" s="217">
        <f t="shared" si="2"/>
        <v>3240</v>
      </c>
      <c r="W60" s="208">
        <v>3</v>
      </c>
      <c r="X60" s="216" t="s">
        <v>46</v>
      </c>
      <c r="Y60" s="216" t="s">
        <v>88</v>
      </c>
      <c r="Z60" s="216" t="s">
        <v>69</v>
      </c>
      <c r="AA60" s="216" t="s">
        <v>55</v>
      </c>
      <c r="AB60" s="216" t="s">
        <v>344</v>
      </c>
    </row>
    <row r="61" spans="1:28" x14ac:dyDescent="0.15">
      <c r="A61" s="216" t="s">
        <v>34</v>
      </c>
      <c r="B61" s="208" t="s">
        <v>342</v>
      </c>
      <c r="C61" s="208">
        <v>2018</v>
      </c>
      <c r="D61" s="250" t="s">
        <v>481</v>
      </c>
      <c r="E61" s="237" t="s">
        <v>328</v>
      </c>
      <c r="F61" s="237" t="s">
        <v>329</v>
      </c>
      <c r="G61" s="216" t="s">
        <v>36</v>
      </c>
      <c r="H61" s="208" t="s">
        <v>157</v>
      </c>
      <c r="I61" s="216" t="s">
        <v>155</v>
      </c>
      <c r="J61" s="216" t="s">
        <v>38</v>
      </c>
      <c r="K61" s="216" t="s">
        <v>156</v>
      </c>
      <c r="L61" s="208">
        <v>3</v>
      </c>
      <c r="N61" s="208">
        <v>1</v>
      </c>
      <c r="O61" s="208">
        <v>1.05</v>
      </c>
      <c r="P61" s="208">
        <v>1</v>
      </c>
      <c r="Q61" s="245">
        <f t="shared" si="0"/>
        <v>1.0249999999999999</v>
      </c>
      <c r="R61" s="208">
        <v>14.4</v>
      </c>
      <c r="S61" s="208">
        <v>145</v>
      </c>
      <c r="T61" s="217">
        <f t="shared" si="1"/>
        <v>30</v>
      </c>
      <c r="U61" s="208">
        <v>108</v>
      </c>
      <c r="V61" s="217">
        <f t="shared" si="2"/>
        <v>3240</v>
      </c>
      <c r="W61" s="208">
        <v>3</v>
      </c>
      <c r="X61" s="216" t="s">
        <v>46</v>
      </c>
      <c r="Y61" s="216" t="s">
        <v>88</v>
      </c>
      <c r="Z61" s="216" t="s">
        <v>69</v>
      </c>
      <c r="AA61" s="216" t="s">
        <v>55</v>
      </c>
      <c r="AB61" s="216" t="s">
        <v>344</v>
      </c>
    </row>
    <row r="62" spans="1:28" x14ac:dyDescent="0.15">
      <c r="A62" s="216" t="s">
        <v>34</v>
      </c>
      <c r="B62" s="208" t="s">
        <v>342</v>
      </c>
      <c r="C62" s="208">
        <v>2018</v>
      </c>
      <c r="D62" s="250" t="s">
        <v>481</v>
      </c>
      <c r="E62" s="237" t="s">
        <v>328</v>
      </c>
      <c r="F62" s="237" t="s">
        <v>329</v>
      </c>
      <c r="G62" s="216" t="s">
        <v>36</v>
      </c>
      <c r="H62" s="208" t="s">
        <v>157</v>
      </c>
      <c r="I62" s="216" t="s">
        <v>155</v>
      </c>
      <c r="J62" s="216" t="s">
        <v>38</v>
      </c>
      <c r="K62" s="216" t="s">
        <v>156</v>
      </c>
      <c r="L62" s="216">
        <v>1</v>
      </c>
      <c r="N62" s="208">
        <v>4</v>
      </c>
      <c r="O62" s="208">
        <v>0.55000000000000004</v>
      </c>
      <c r="P62" s="208">
        <v>0.2</v>
      </c>
      <c r="Q62" s="245">
        <f t="shared" si="0"/>
        <v>0.375</v>
      </c>
      <c r="R62" s="208">
        <v>14.3</v>
      </c>
      <c r="S62" s="208">
        <v>106</v>
      </c>
      <c r="T62" s="217">
        <f t="shared" si="1"/>
        <v>33</v>
      </c>
      <c r="U62" s="208">
        <v>321</v>
      </c>
      <c r="V62" s="217">
        <f t="shared" si="2"/>
        <v>2648.25</v>
      </c>
      <c r="W62" s="208">
        <v>3</v>
      </c>
      <c r="X62" s="216" t="s">
        <v>46</v>
      </c>
      <c r="Y62" s="216" t="s">
        <v>88</v>
      </c>
      <c r="Z62" s="216" t="s">
        <v>69</v>
      </c>
      <c r="AA62" s="216" t="s">
        <v>55</v>
      </c>
      <c r="AB62" s="216" t="s">
        <v>344</v>
      </c>
    </row>
    <row r="63" spans="1:28" x14ac:dyDescent="0.15">
      <c r="A63" s="216" t="s">
        <v>34</v>
      </c>
      <c r="B63" s="208" t="s">
        <v>342</v>
      </c>
      <c r="C63" s="208">
        <v>2018</v>
      </c>
      <c r="D63" s="250" t="s">
        <v>481</v>
      </c>
      <c r="E63" s="237" t="s">
        <v>328</v>
      </c>
      <c r="F63" s="237" t="s">
        <v>329</v>
      </c>
      <c r="G63" s="216" t="s">
        <v>36</v>
      </c>
      <c r="H63" s="208" t="s">
        <v>157</v>
      </c>
      <c r="I63" s="216" t="s">
        <v>155</v>
      </c>
      <c r="J63" s="216" t="s">
        <v>38</v>
      </c>
      <c r="K63" s="216" t="s">
        <v>156</v>
      </c>
      <c r="L63" s="208">
        <v>2</v>
      </c>
      <c r="N63" s="208">
        <v>4</v>
      </c>
      <c r="O63" s="208">
        <v>0.2</v>
      </c>
      <c r="P63" s="208">
        <v>0.2</v>
      </c>
      <c r="Q63" s="245">
        <f t="shared" si="0"/>
        <v>0.2</v>
      </c>
      <c r="R63" s="208">
        <v>14.5</v>
      </c>
      <c r="S63" s="208">
        <v>100</v>
      </c>
      <c r="T63" s="217">
        <f t="shared" si="1"/>
        <v>33</v>
      </c>
      <c r="U63" s="208">
        <v>321</v>
      </c>
      <c r="V63" s="217">
        <f t="shared" si="2"/>
        <v>2648.25</v>
      </c>
      <c r="W63" s="208">
        <v>3</v>
      </c>
      <c r="X63" s="216" t="s">
        <v>46</v>
      </c>
      <c r="Y63" s="216" t="s">
        <v>88</v>
      </c>
      <c r="Z63" s="216" t="s">
        <v>69</v>
      </c>
      <c r="AA63" s="216" t="s">
        <v>55</v>
      </c>
      <c r="AB63" s="216" t="s">
        <v>344</v>
      </c>
    </row>
    <row r="64" spans="1:28" x14ac:dyDescent="0.15">
      <c r="A64" s="216" t="s">
        <v>34</v>
      </c>
      <c r="B64" s="208" t="s">
        <v>342</v>
      </c>
      <c r="C64" s="208">
        <v>2018</v>
      </c>
      <c r="D64" s="250" t="s">
        <v>481</v>
      </c>
      <c r="E64" s="237" t="s">
        <v>328</v>
      </c>
      <c r="F64" s="237" t="s">
        <v>329</v>
      </c>
      <c r="G64" s="216" t="s">
        <v>36</v>
      </c>
      <c r="H64" s="208" t="s">
        <v>157</v>
      </c>
      <c r="I64" s="216" t="s">
        <v>155</v>
      </c>
      <c r="J64" s="216" t="s">
        <v>38</v>
      </c>
      <c r="K64" s="216" t="s">
        <v>156</v>
      </c>
      <c r="L64" s="208">
        <v>3</v>
      </c>
      <c r="N64" s="208">
        <v>4</v>
      </c>
      <c r="O64" s="208">
        <v>0.5</v>
      </c>
      <c r="P64" s="208">
        <v>0.2</v>
      </c>
      <c r="Q64" s="245">
        <f t="shared" si="0"/>
        <v>0.35</v>
      </c>
      <c r="R64" s="208">
        <v>14</v>
      </c>
      <c r="S64" s="208">
        <v>96</v>
      </c>
      <c r="T64" s="217">
        <f t="shared" si="1"/>
        <v>36</v>
      </c>
      <c r="U64" s="208">
        <v>321</v>
      </c>
      <c r="V64" s="217">
        <f t="shared" si="2"/>
        <v>2889</v>
      </c>
      <c r="W64" s="208">
        <v>3</v>
      </c>
      <c r="X64" s="216" t="s">
        <v>46</v>
      </c>
      <c r="Y64" s="216" t="s">
        <v>88</v>
      </c>
      <c r="Z64" s="216" t="s">
        <v>69</v>
      </c>
      <c r="AA64" s="216" t="s">
        <v>55</v>
      </c>
      <c r="AB64" s="216" t="s">
        <v>344</v>
      </c>
    </row>
    <row r="65" spans="1:28" x14ac:dyDescent="0.15">
      <c r="A65" s="216" t="s">
        <v>34</v>
      </c>
      <c r="B65" s="208" t="s">
        <v>342</v>
      </c>
      <c r="C65" s="208">
        <v>2018</v>
      </c>
      <c r="D65" s="250" t="s">
        <v>481</v>
      </c>
      <c r="E65" s="237" t="s">
        <v>328</v>
      </c>
      <c r="F65" s="237" t="s">
        <v>329</v>
      </c>
      <c r="G65" s="216" t="s">
        <v>36</v>
      </c>
      <c r="H65" s="208" t="s">
        <v>160</v>
      </c>
      <c r="I65" s="216" t="s">
        <v>155</v>
      </c>
      <c r="J65" s="216" t="s">
        <v>38</v>
      </c>
      <c r="K65" s="216" t="s">
        <v>156</v>
      </c>
      <c r="L65" s="216">
        <v>1</v>
      </c>
      <c r="N65" s="208">
        <v>1</v>
      </c>
      <c r="O65" s="208">
        <v>0.55000000000000004</v>
      </c>
      <c r="P65" s="208">
        <v>0.55000000000000004</v>
      </c>
      <c r="Q65" s="245">
        <f t="shared" si="0"/>
        <v>0.55000000000000004</v>
      </c>
      <c r="R65" s="208">
        <v>15</v>
      </c>
      <c r="S65" s="208">
        <v>152</v>
      </c>
      <c r="T65" s="217">
        <f t="shared" si="1"/>
        <v>18</v>
      </c>
      <c r="U65" s="208">
        <v>108</v>
      </c>
      <c r="V65" s="217">
        <f t="shared" si="2"/>
        <v>1944</v>
      </c>
      <c r="W65" s="208">
        <v>3</v>
      </c>
      <c r="X65" s="216" t="s">
        <v>46</v>
      </c>
      <c r="Y65" s="216" t="s">
        <v>88</v>
      </c>
      <c r="Z65" s="216" t="s">
        <v>69</v>
      </c>
      <c r="AA65" s="216" t="s">
        <v>55</v>
      </c>
      <c r="AB65" s="216" t="s">
        <v>344</v>
      </c>
    </row>
    <row r="66" spans="1:28" x14ac:dyDescent="0.15">
      <c r="A66" s="216" t="s">
        <v>34</v>
      </c>
      <c r="B66" s="208" t="s">
        <v>342</v>
      </c>
      <c r="C66" s="208">
        <v>2018</v>
      </c>
      <c r="D66" s="250" t="s">
        <v>481</v>
      </c>
      <c r="E66" s="237" t="s">
        <v>328</v>
      </c>
      <c r="F66" s="237" t="s">
        <v>329</v>
      </c>
      <c r="G66" s="216" t="s">
        <v>36</v>
      </c>
      <c r="H66" s="208" t="s">
        <v>160</v>
      </c>
      <c r="I66" s="216" t="s">
        <v>155</v>
      </c>
      <c r="J66" s="216" t="s">
        <v>38</v>
      </c>
      <c r="K66" s="216" t="s">
        <v>156</v>
      </c>
      <c r="L66" s="208">
        <v>2</v>
      </c>
      <c r="N66" s="208">
        <v>1</v>
      </c>
      <c r="O66" s="208">
        <v>0.6</v>
      </c>
      <c r="P66" s="208">
        <v>0.5</v>
      </c>
      <c r="Q66" s="245">
        <f t="shared" si="0"/>
        <v>0.55000000000000004</v>
      </c>
      <c r="R66" s="208">
        <v>15.4</v>
      </c>
      <c r="S66" s="208">
        <v>150</v>
      </c>
      <c r="T66" s="217">
        <f t="shared" si="1"/>
        <v>30</v>
      </c>
      <c r="U66" s="208">
        <v>108</v>
      </c>
      <c r="V66" s="217">
        <f t="shared" si="2"/>
        <v>3240</v>
      </c>
      <c r="W66" s="208">
        <v>3</v>
      </c>
      <c r="X66" s="216" t="s">
        <v>46</v>
      </c>
      <c r="Y66" s="216" t="s">
        <v>88</v>
      </c>
      <c r="Z66" s="216" t="s">
        <v>69</v>
      </c>
      <c r="AA66" s="216" t="s">
        <v>55</v>
      </c>
      <c r="AB66" s="216" t="s">
        <v>344</v>
      </c>
    </row>
    <row r="67" spans="1:28" x14ac:dyDescent="0.15">
      <c r="A67" s="216" t="s">
        <v>34</v>
      </c>
      <c r="B67" s="208" t="s">
        <v>342</v>
      </c>
      <c r="C67" s="208">
        <v>2018</v>
      </c>
      <c r="D67" s="250" t="s">
        <v>481</v>
      </c>
      <c r="E67" s="237" t="s">
        <v>328</v>
      </c>
      <c r="F67" s="237" t="s">
        <v>329</v>
      </c>
      <c r="G67" s="216" t="s">
        <v>36</v>
      </c>
      <c r="H67" s="208" t="s">
        <v>160</v>
      </c>
      <c r="I67" s="216" t="s">
        <v>155</v>
      </c>
      <c r="J67" s="216" t="s">
        <v>38</v>
      </c>
      <c r="K67" s="216" t="s">
        <v>156</v>
      </c>
      <c r="L67" s="208">
        <v>3</v>
      </c>
      <c r="N67" s="208">
        <v>1</v>
      </c>
      <c r="O67" s="208">
        <v>0.45</v>
      </c>
      <c r="P67" s="208">
        <v>0.5</v>
      </c>
      <c r="Q67" s="245">
        <f t="shared" si="0"/>
        <v>0.47499999999999998</v>
      </c>
      <c r="R67" s="208">
        <v>15.9</v>
      </c>
      <c r="S67" s="208">
        <v>149</v>
      </c>
      <c r="T67" s="217">
        <f t="shared" si="1"/>
        <v>30</v>
      </c>
      <c r="U67" s="208">
        <v>108</v>
      </c>
      <c r="V67" s="217">
        <f t="shared" si="2"/>
        <v>3240</v>
      </c>
      <c r="W67" s="208">
        <v>3</v>
      </c>
      <c r="X67" s="216" t="s">
        <v>46</v>
      </c>
      <c r="Y67" s="216" t="s">
        <v>88</v>
      </c>
      <c r="Z67" s="216" t="s">
        <v>69</v>
      </c>
      <c r="AA67" s="216" t="s">
        <v>55</v>
      </c>
      <c r="AB67" s="216" t="s">
        <v>344</v>
      </c>
    </row>
    <row r="68" spans="1:28" x14ac:dyDescent="0.15">
      <c r="A68" s="216" t="s">
        <v>34</v>
      </c>
      <c r="B68" s="208" t="s">
        <v>342</v>
      </c>
      <c r="C68" s="208">
        <v>2018</v>
      </c>
      <c r="D68" s="250" t="s">
        <v>481</v>
      </c>
      <c r="E68" s="237" t="s">
        <v>328</v>
      </c>
      <c r="F68" s="237" t="s">
        <v>329</v>
      </c>
      <c r="G68" s="216" t="s">
        <v>36</v>
      </c>
      <c r="H68" s="208" t="s">
        <v>160</v>
      </c>
      <c r="I68" s="216" t="s">
        <v>155</v>
      </c>
      <c r="J68" s="216" t="s">
        <v>38</v>
      </c>
      <c r="K68" s="216" t="s">
        <v>156</v>
      </c>
      <c r="L68" s="216">
        <v>1</v>
      </c>
      <c r="N68" s="208">
        <v>4</v>
      </c>
      <c r="O68" s="208">
        <v>0.2</v>
      </c>
      <c r="P68" s="208">
        <v>0.2</v>
      </c>
      <c r="Q68" s="245">
        <f t="shared" si="0"/>
        <v>0.2</v>
      </c>
      <c r="R68" s="208">
        <v>15.3</v>
      </c>
      <c r="S68" s="208">
        <v>113</v>
      </c>
      <c r="T68" s="217">
        <f t="shared" si="1"/>
        <v>30</v>
      </c>
      <c r="U68" s="208">
        <v>429</v>
      </c>
      <c r="V68" s="217">
        <f t="shared" si="2"/>
        <v>3217.5</v>
      </c>
      <c r="W68" s="208">
        <v>3</v>
      </c>
      <c r="X68" s="216" t="s">
        <v>46</v>
      </c>
      <c r="Y68" s="216" t="s">
        <v>88</v>
      </c>
      <c r="Z68" s="216" t="s">
        <v>69</v>
      </c>
      <c r="AA68" s="216" t="s">
        <v>55</v>
      </c>
      <c r="AB68" s="216" t="s">
        <v>344</v>
      </c>
    </row>
    <row r="69" spans="1:28" x14ac:dyDescent="0.15">
      <c r="A69" s="216" t="s">
        <v>34</v>
      </c>
      <c r="B69" s="208" t="s">
        <v>342</v>
      </c>
      <c r="C69" s="208">
        <v>2018</v>
      </c>
      <c r="D69" s="250" t="s">
        <v>481</v>
      </c>
      <c r="E69" s="237" t="s">
        <v>328</v>
      </c>
      <c r="F69" s="237" t="s">
        <v>329</v>
      </c>
      <c r="G69" s="216" t="s">
        <v>36</v>
      </c>
      <c r="H69" s="208" t="s">
        <v>160</v>
      </c>
      <c r="I69" s="216" t="s">
        <v>155</v>
      </c>
      <c r="J69" s="216" t="s">
        <v>38</v>
      </c>
      <c r="K69" s="216" t="s">
        <v>156</v>
      </c>
      <c r="L69" s="208">
        <v>2</v>
      </c>
      <c r="N69" s="208">
        <v>4</v>
      </c>
      <c r="O69" s="208">
        <v>0.2</v>
      </c>
      <c r="P69" s="208">
        <v>0.2</v>
      </c>
      <c r="Q69" s="245">
        <f t="shared" si="0"/>
        <v>0.2</v>
      </c>
      <c r="R69" s="208">
        <v>14.7</v>
      </c>
      <c r="S69" s="208">
        <v>111</v>
      </c>
      <c r="T69" s="217">
        <f t="shared" si="1"/>
        <v>33</v>
      </c>
      <c r="U69" s="208">
        <v>429</v>
      </c>
      <c r="V69" s="217">
        <f t="shared" si="2"/>
        <v>3539.25</v>
      </c>
      <c r="W69" s="208">
        <v>3</v>
      </c>
      <c r="X69" s="216" t="s">
        <v>46</v>
      </c>
      <c r="Y69" s="216" t="s">
        <v>88</v>
      </c>
      <c r="Z69" s="216" t="s">
        <v>69</v>
      </c>
      <c r="AA69" s="216" t="s">
        <v>55</v>
      </c>
      <c r="AB69" s="216" t="s">
        <v>344</v>
      </c>
    </row>
    <row r="70" spans="1:28" x14ac:dyDescent="0.15">
      <c r="A70" s="216" t="s">
        <v>34</v>
      </c>
      <c r="B70" s="208" t="s">
        <v>342</v>
      </c>
      <c r="C70" s="208">
        <v>2018</v>
      </c>
      <c r="D70" s="250" t="s">
        <v>481</v>
      </c>
      <c r="E70" s="237" t="s">
        <v>328</v>
      </c>
      <c r="F70" s="237" t="s">
        <v>329</v>
      </c>
      <c r="G70" s="216" t="s">
        <v>36</v>
      </c>
      <c r="H70" s="208" t="s">
        <v>160</v>
      </c>
      <c r="I70" s="216" t="s">
        <v>155</v>
      </c>
      <c r="J70" s="216" t="s">
        <v>38</v>
      </c>
      <c r="K70" s="216" t="s">
        <v>156</v>
      </c>
      <c r="L70" s="208">
        <v>3</v>
      </c>
      <c r="N70" s="208">
        <v>4</v>
      </c>
      <c r="O70" s="208">
        <v>0.2</v>
      </c>
      <c r="P70" s="208">
        <v>0.2</v>
      </c>
      <c r="Q70" s="245">
        <f t="shared" si="0"/>
        <v>0.2</v>
      </c>
      <c r="R70" s="208">
        <v>15.2</v>
      </c>
      <c r="S70" s="208">
        <v>111</v>
      </c>
      <c r="T70" s="217">
        <f t="shared" si="1"/>
        <v>33</v>
      </c>
      <c r="U70" s="208">
        <v>429</v>
      </c>
      <c r="V70" s="217">
        <f t="shared" si="2"/>
        <v>3539.25</v>
      </c>
      <c r="W70" s="208">
        <v>3</v>
      </c>
      <c r="X70" s="216" t="s">
        <v>46</v>
      </c>
      <c r="Y70" s="216" t="s">
        <v>88</v>
      </c>
      <c r="Z70" s="216" t="s">
        <v>69</v>
      </c>
      <c r="AA70" s="216" t="s">
        <v>55</v>
      </c>
      <c r="AB70" s="216" t="s">
        <v>344</v>
      </c>
    </row>
    <row r="71" spans="1:28" x14ac:dyDescent="0.15">
      <c r="A71" s="216" t="s">
        <v>34</v>
      </c>
      <c r="B71" s="208" t="s">
        <v>342</v>
      </c>
      <c r="C71" s="208">
        <v>2018</v>
      </c>
      <c r="D71" s="250" t="s">
        <v>481</v>
      </c>
      <c r="E71" s="237" t="s">
        <v>330</v>
      </c>
      <c r="F71" s="237" t="s">
        <v>331</v>
      </c>
      <c r="G71" s="216" t="s">
        <v>36</v>
      </c>
      <c r="H71" s="208" t="s">
        <v>157</v>
      </c>
      <c r="I71" s="216" t="s">
        <v>155</v>
      </c>
      <c r="J71" s="216" t="s">
        <v>38</v>
      </c>
      <c r="K71" s="216" t="s">
        <v>156</v>
      </c>
      <c r="L71" s="216">
        <v>1</v>
      </c>
      <c r="N71" s="208">
        <v>1</v>
      </c>
      <c r="O71" s="208">
        <v>0.7</v>
      </c>
      <c r="P71" s="208">
        <v>0.65</v>
      </c>
      <c r="Q71" s="245">
        <f t="shared" si="0"/>
        <v>0.67500000000000004</v>
      </c>
      <c r="R71" s="208">
        <v>14.1</v>
      </c>
      <c r="S71" s="208">
        <v>136</v>
      </c>
      <c r="T71" s="217">
        <f t="shared" si="1"/>
        <v>30</v>
      </c>
      <c r="U71" s="208">
        <v>108</v>
      </c>
      <c r="V71" s="217">
        <f t="shared" si="2"/>
        <v>3240</v>
      </c>
      <c r="W71" s="208">
        <v>2</v>
      </c>
      <c r="X71" s="216" t="s">
        <v>46</v>
      </c>
      <c r="Y71" s="216" t="s">
        <v>97</v>
      </c>
      <c r="Z71" s="216" t="s">
        <v>90</v>
      </c>
      <c r="AA71" s="216" t="s">
        <v>78</v>
      </c>
      <c r="AB71" s="216" t="s">
        <v>344</v>
      </c>
    </row>
    <row r="72" spans="1:28" x14ac:dyDescent="0.15">
      <c r="A72" s="216" t="s">
        <v>34</v>
      </c>
      <c r="B72" s="208" t="s">
        <v>342</v>
      </c>
      <c r="C72" s="208">
        <v>2018</v>
      </c>
      <c r="D72" s="250" t="s">
        <v>481</v>
      </c>
      <c r="E72" s="237" t="s">
        <v>330</v>
      </c>
      <c r="F72" s="237" t="s">
        <v>331</v>
      </c>
      <c r="G72" s="216" t="s">
        <v>36</v>
      </c>
      <c r="H72" s="208" t="s">
        <v>157</v>
      </c>
      <c r="I72" s="216" t="s">
        <v>155</v>
      </c>
      <c r="J72" s="216" t="s">
        <v>38</v>
      </c>
      <c r="K72" s="216" t="s">
        <v>156</v>
      </c>
      <c r="L72" s="208">
        <v>2</v>
      </c>
      <c r="N72" s="208">
        <v>1</v>
      </c>
      <c r="O72" s="208">
        <v>0.85</v>
      </c>
      <c r="P72" s="208">
        <v>0.95</v>
      </c>
      <c r="Q72" s="245">
        <f t="shared" si="0"/>
        <v>0.89999999999999991</v>
      </c>
      <c r="R72" s="208">
        <v>14.3</v>
      </c>
      <c r="S72" s="208">
        <v>147</v>
      </c>
      <c r="T72" s="217">
        <f t="shared" si="1"/>
        <v>30</v>
      </c>
      <c r="U72" s="208">
        <v>108</v>
      </c>
      <c r="V72" s="217">
        <f t="shared" si="2"/>
        <v>3240</v>
      </c>
      <c r="W72" s="208">
        <v>2</v>
      </c>
      <c r="X72" s="216" t="s">
        <v>46</v>
      </c>
      <c r="Y72" s="216" t="s">
        <v>97</v>
      </c>
      <c r="Z72" s="216" t="s">
        <v>90</v>
      </c>
      <c r="AA72" s="216" t="s">
        <v>78</v>
      </c>
      <c r="AB72" s="216" t="s">
        <v>344</v>
      </c>
    </row>
    <row r="73" spans="1:28" x14ac:dyDescent="0.15">
      <c r="A73" s="216" t="s">
        <v>34</v>
      </c>
      <c r="B73" s="208" t="s">
        <v>342</v>
      </c>
      <c r="C73" s="208">
        <v>2018</v>
      </c>
      <c r="D73" s="250" t="s">
        <v>481</v>
      </c>
      <c r="E73" s="237" t="s">
        <v>330</v>
      </c>
      <c r="F73" s="237" t="s">
        <v>331</v>
      </c>
      <c r="G73" s="216" t="s">
        <v>36</v>
      </c>
      <c r="H73" s="208" t="s">
        <v>157</v>
      </c>
      <c r="I73" s="216" t="s">
        <v>155</v>
      </c>
      <c r="J73" s="216" t="s">
        <v>38</v>
      </c>
      <c r="K73" s="216" t="s">
        <v>156</v>
      </c>
      <c r="L73" s="208">
        <v>3</v>
      </c>
      <c r="N73" s="208">
        <v>1</v>
      </c>
      <c r="O73" s="208">
        <v>0.7</v>
      </c>
      <c r="P73" s="208">
        <v>0.8</v>
      </c>
      <c r="Q73" s="245">
        <f t="shared" si="0"/>
        <v>0.75</v>
      </c>
      <c r="R73" s="208">
        <v>14.7</v>
      </c>
      <c r="S73" s="208">
        <v>140</v>
      </c>
      <c r="T73" s="217">
        <f t="shared" si="1"/>
        <v>30</v>
      </c>
      <c r="U73" s="208">
        <v>108</v>
      </c>
      <c r="V73" s="217">
        <f t="shared" si="2"/>
        <v>3240</v>
      </c>
      <c r="W73" s="208">
        <v>2</v>
      </c>
      <c r="X73" s="216" t="s">
        <v>46</v>
      </c>
      <c r="Y73" s="216" t="s">
        <v>97</v>
      </c>
      <c r="Z73" s="216" t="s">
        <v>90</v>
      </c>
      <c r="AA73" s="216" t="s">
        <v>78</v>
      </c>
      <c r="AB73" s="216" t="s">
        <v>344</v>
      </c>
    </row>
    <row r="74" spans="1:28" x14ac:dyDescent="0.15">
      <c r="A74" s="216" t="s">
        <v>34</v>
      </c>
      <c r="B74" s="208" t="s">
        <v>342</v>
      </c>
      <c r="C74" s="208">
        <v>2018</v>
      </c>
      <c r="D74" s="250" t="s">
        <v>481</v>
      </c>
      <c r="E74" s="237" t="s">
        <v>330</v>
      </c>
      <c r="F74" s="237" t="s">
        <v>331</v>
      </c>
      <c r="G74" s="216" t="s">
        <v>36</v>
      </c>
      <c r="H74" s="208" t="s">
        <v>160</v>
      </c>
      <c r="I74" s="216" t="s">
        <v>155</v>
      </c>
      <c r="J74" s="216" t="s">
        <v>38</v>
      </c>
      <c r="K74" s="216" t="s">
        <v>156</v>
      </c>
      <c r="L74" s="216">
        <v>1</v>
      </c>
      <c r="N74" s="208">
        <v>1</v>
      </c>
      <c r="O74" s="208">
        <v>0.2</v>
      </c>
      <c r="P74" s="208">
        <v>0.5</v>
      </c>
      <c r="Q74" s="245">
        <f t="shared" si="0"/>
        <v>0.35</v>
      </c>
      <c r="R74" s="208">
        <v>16.8</v>
      </c>
      <c r="S74" s="208">
        <v>143</v>
      </c>
      <c r="T74" s="217">
        <f t="shared" si="1"/>
        <v>30</v>
      </c>
      <c r="U74" s="208">
        <v>97</v>
      </c>
      <c r="V74" s="217">
        <f t="shared" si="2"/>
        <v>2910</v>
      </c>
      <c r="W74" s="208">
        <v>6</v>
      </c>
      <c r="X74" s="216" t="s">
        <v>46</v>
      </c>
      <c r="Y74" s="216" t="s">
        <v>97</v>
      </c>
      <c r="Z74" s="216" t="s">
        <v>90</v>
      </c>
      <c r="AA74" s="216" t="s">
        <v>78</v>
      </c>
      <c r="AB74" s="216" t="s">
        <v>344</v>
      </c>
    </row>
    <row r="75" spans="1:28" x14ac:dyDescent="0.15">
      <c r="A75" s="216" t="s">
        <v>34</v>
      </c>
      <c r="B75" s="208" t="s">
        <v>342</v>
      </c>
      <c r="C75" s="208">
        <v>2018</v>
      </c>
      <c r="D75" s="250" t="s">
        <v>481</v>
      </c>
      <c r="E75" s="237" t="s">
        <v>330</v>
      </c>
      <c r="F75" s="237" t="s">
        <v>331</v>
      </c>
      <c r="G75" s="216" t="s">
        <v>36</v>
      </c>
      <c r="H75" s="208" t="s">
        <v>160</v>
      </c>
      <c r="I75" s="216" t="s">
        <v>155</v>
      </c>
      <c r="J75" s="216" t="s">
        <v>38</v>
      </c>
      <c r="K75" s="216" t="s">
        <v>156</v>
      </c>
      <c r="L75" s="208">
        <v>2</v>
      </c>
      <c r="N75" s="208">
        <v>1</v>
      </c>
      <c r="O75" s="208">
        <v>0.6</v>
      </c>
      <c r="P75" s="208">
        <v>0.65</v>
      </c>
      <c r="Q75" s="245">
        <f t="shared" si="0"/>
        <v>0.625</v>
      </c>
      <c r="R75" s="208">
        <v>15.8</v>
      </c>
      <c r="S75" s="208">
        <v>142</v>
      </c>
      <c r="T75" s="217">
        <f t="shared" si="1"/>
        <v>30</v>
      </c>
      <c r="U75" s="208">
        <v>97</v>
      </c>
      <c r="V75" s="217">
        <f t="shared" si="2"/>
        <v>2910</v>
      </c>
      <c r="W75" s="208">
        <v>6</v>
      </c>
      <c r="X75" s="216" t="s">
        <v>46</v>
      </c>
      <c r="Y75" s="216" t="s">
        <v>97</v>
      </c>
      <c r="Z75" s="216" t="s">
        <v>90</v>
      </c>
      <c r="AA75" s="216" t="s">
        <v>78</v>
      </c>
      <c r="AB75" s="216" t="s">
        <v>344</v>
      </c>
    </row>
    <row r="76" spans="1:28" x14ac:dyDescent="0.15">
      <c r="A76" s="216" t="s">
        <v>34</v>
      </c>
      <c r="B76" s="208" t="s">
        <v>342</v>
      </c>
      <c r="C76" s="208">
        <v>2018</v>
      </c>
      <c r="D76" s="250" t="s">
        <v>481</v>
      </c>
      <c r="E76" s="237" t="s">
        <v>330</v>
      </c>
      <c r="F76" s="237" t="s">
        <v>331</v>
      </c>
      <c r="G76" s="216" t="s">
        <v>36</v>
      </c>
      <c r="H76" s="208" t="s">
        <v>160</v>
      </c>
      <c r="I76" s="216" t="s">
        <v>155</v>
      </c>
      <c r="J76" s="216" t="s">
        <v>38</v>
      </c>
      <c r="K76" s="216" t="s">
        <v>156</v>
      </c>
      <c r="L76" s="208">
        <v>3</v>
      </c>
      <c r="N76" s="208">
        <v>1</v>
      </c>
      <c r="O76" s="208">
        <v>0.2</v>
      </c>
      <c r="P76" s="208">
        <v>0.2</v>
      </c>
      <c r="Q76" s="245">
        <f t="shared" si="0"/>
        <v>0.2</v>
      </c>
      <c r="R76" s="208">
        <v>15.5</v>
      </c>
      <c r="S76" s="208">
        <v>138</v>
      </c>
      <c r="T76" s="217">
        <f t="shared" si="1"/>
        <v>30</v>
      </c>
      <c r="U76" s="208">
        <v>97</v>
      </c>
      <c r="V76" s="217">
        <f t="shared" si="2"/>
        <v>2910</v>
      </c>
      <c r="W76" s="208">
        <v>6</v>
      </c>
      <c r="X76" s="216" t="s">
        <v>46</v>
      </c>
      <c r="Y76" s="216" t="s">
        <v>97</v>
      </c>
      <c r="Z76" s="216" t="s">
        <v>90</v>
      </c>
      <c r="AA76" s="216" t="s">
        <v>78</v>
      </c>
      <c r="AB76" s="216" t="s">
        <v>344</v>
      </c>
    </row>
    <row r="77" spans="1:28" x14ac:dyDescent="0.15">
      <c r="A77" s="216" t="s">
        <v>34</v>
      </c>
      <c r="B77" s="208" t="s">
        <v>342</v>
      </c>
      <c r="C77" s="208">
        <v>2018</v>
      </c>
      <c r="D77" s="250" t="s">
        <v>481</v>
      </c>
      <c r="E77" s="237" t="s">
        <v>330</v>
      </c>
      <c r="F77" s="237" t="s">
        <v>331</v>
      </c>
      <c r="G77" s="216" t="s">
        <v>36</v>
      </c>
      <c r="H77" s="208" t="s">
        <v>160</v>
      </c>
      <c r="I77" s="216" t="s">
        <v>155</v>
      </c>
      <c r="J77" s="216" t="s">
        <v>38</v>
      </c>
      <c r="K77" s="216" t="s">
        <v>156</v>
      </c>
      <c r="L77" s="216">
        <v>1</v>
      </c>
      <c r="N77" s="208">
        <v>3</v>
      </c>
      <c r="O77" s="208">
        <v>0.55000000000000004</v>
      </c>
      <c r="P77" s="208">
        <v>0.45</v>
      </c>
      <c r="Q77" s="245">
        <f t="shared" si="0"/>
        <v>0.5</v>
      </c>
      <c r="R77" s="208">
        <v>14.2</v>
      </c>
      <c r="S77" s="208">
        <v>139</v>
      </c>
      <c r="T77" s="217">
        <f t="shared" si="1"/>
        <v>30</v>
      </c>
      <c r="U77" s="208">
        <v>538</v>
      </c>
      <c r="V77" s="217">
        <f t="shared" si="2"/>
        <v>5380</v>
      </c>
      <c r="W77" s="208">
        <v>6</v>
      </c>
      <c r="X77" s="216" t="s">
        <v>46</v>
      </c>
      <c r="Y77" s="216" t="s">
        <v>97</v>
      </c>
      <c r="Z77" s="216" t="s">
        <v>90</v>
      </c>
      <c r="AA77" s="216" t="s">
        <v>78</v>
      </c>
      <c r="AB77" s="216" t="s">
        <v>344</v>
      </c>
    </row>
    <row r="78" spans="1:28" x14ac:dyDescent="0.15">
      <c r="A78" s="216" t="s">
        <v>34</v>
      </c>
      <c r="B78" s="208" t="s">
        <v>342</v>
      </c>
      <c r="C78" s="208">
        <v>2018</v>
      </c>
      <c r="D78" s="250" t="s">
        <v>481</v>
      </c>
      <c r="E78" s="237" t="s">
        <v>330</v>
      </c>
      <c r="F78" s="237" t="s">
        <v>331</v>
      </c>
      <c r="G78" s="216" t="s">
        <v>36</v>
      </c>
      <c r="H78" s="208" t="s">
        <v>160</v>
      </c>
      <c r="I78" s="216" t="s">
        <v>155</v>
      </c>
      <c r="J78" s="216" t="s">
        <v>38</v>
      </c>
      <c r="K78" s="216" t="s">
        <v>156</v>
      </c>
      <c r="L78" s="208">
        <v>2</v>
      </c>
      <c r="N78" s="208">
        <v>3</v>
      </c>
      <c r="O78" s="208">
        <v>0.6</v>
      </c>
      <c r="P78" s="208">
        <v>0.55000000000000004</v>
      </c>
      <c r="Q78" s="245">
        <f t="shared" si="0"/>
        <v>0.57499999999999996</v>
      </c>
      <c r="R78" s="208">
        <v>14.9</v>
      </c>
      <c r="S78" s="208">
        <v>128</v>
      </c>
      <c r="T78" s="217">
        <f t="shared" si="1"/>
        <v>30</v>
      </c>
      <c r="U78" s="208">
        <v>538</v>
      </c>
      <c r="V78" s="217">
        <f t="shared" si="2"/>
        <v>5380</v>
      </c>
      <c r="W78" s="208">
        <v>6</v>
      </c>
      <c r="X78" s="216" t="s">
        <v>46</v>
      </c>
      <c r="Y78" s="216" t="s">
        <v>97</v>
      </c>
      <c r="Z78" s="216" t="s">
        <v>90</v>
      </c>
      <c r="AA78" s="216" t="s">
        <v>78</v>
      </c>
      <c r="AB78" s="216" t="s">
        <v>344</v>
      </c>
    </row>
    <row r="79" spans="1:28" x14ac:dyDescent="0.15">
      <c r="A79" s="216" t="s">
        <v>34</v>
      </c>
      <c r="B79" s="208" t="s">
        <v>342</v>
      </c>
      <c r="C79" s="208">
        <v>2018</v>
      </c>
      <c r="D79" s="250" t="s">
        <v>481</v>
      </c>
      <c r="E79" s="237" t="s">
        <v>330</v>
      </c>
      <c r="F79" s="237" t="s">
        <v>331</v>
      </c>
      <c r="G79" s="216" t="s">
        <v>36</v>
      </c>
      <c r="H79" s="208" t="s">
        <v>160</v>
      </c>
      <c r="I79" s="216" t="s">
        <v>155</v>
      </c>
      <c r="J79" s="216" t="s">
        <v>38</v>
      </c>
      <c r="K79" s="216" t="s">
        <v>156</v>
      </c>
      <c r="L79" s="208">
        <v>3</v>
      </c>
      <c r="N79" s="208">
        <v>3</v>
      </c>
      <c r="O79" s="208">
        <v>0.5</v>
      </c>
      <c r="P79" s="208">
        <v>0.2</v>
      </c>
      <c r="Q79" s="245">
        <f t="shared" si="0"/>
        <v>0.35</v>
      </c>
      <c r="R79" s="208">
        <v>15.7</v>
      </c>
      <c r="S79" s="208">
        <v>146</v>
      </c>
      <c r="T79" s="217">
        <f t="shared" si="1"/>
        <v>30</v>
      </c>
      <c r="U79" s="208">
        <v>538</v>
      </c>
      <c r="V79" s="217">
        <f t="shared" si="2"/>
        <v>5380</v>
      </c>
      <c r="W79" s="208">
        <v>6</v>
      </c>
      <c r="X79" s="216" t="s">
        <v>46</v>
      </c>
      <c r="Y79" s="216" t="s">
        <v>97</v>
      </c>
      <c r="Z79" s="216" t="s">
        <v>90</v>
      </c>
      <c r="AA79" s="216" t="s">
        <v>78</v>
      </c>
      <c r="AB79" s="216" t="s">
        <v>344</v>
      </c>
    </row>
    <row r="80" spans="1:28" x14ac:dyDescent="0.15">
      <c r="A80" s="216" t="s">
        <v>34</v>
      </c>
      <c r="B80" s="208" t="s">
        <v>342</v>
      </c>
      <c r="C80" s="208">
        <v>2018</v>
      </c>
      <c r="D80" s="250" t="s">
        <v>481</v>
      </c>
      <c r="E80" s="237" t="s">
        <v>332</v>
      </c>
      <c r="F80" s="237" t="s">
        <v>329</v>
      </c>
      <c r="G80" s="216" t="s">
        <v>36</v>
      </c>
      <c r="H80" s="208" t="s">
        <v>157</v>
      </c>
      <c r="I80" s="216" t="s">
        <v>155</v>
      </c>
      <c r="J80" s="216" t="s">
        <v>38</v>
      </c>
      <c r="K80" s="216" t="s">
        <v>156</v>
      </c>
      <c r="L80" s="216">
        <v>1</v>
      </c>
      <c r="N80" s="208">
        <v>1</v>
      </c>
      <c r="O80" s="208">
        <v>0.45</v>
      </c>
      <c r="P80" s="208">
        <v>0.45</v>
      </c>
      <c r="Q80" s="245">
        <f t="shared" si="0"/>
        <v>0.45</v>
      </c>
      <c r="R80" s="208">
        <v>14.3</v>
      </c>
      <c r="S80" s="208">
        <v>118</v>
      </c>
      <c r="T80" s="217">
        <f t="shared" si="1"/>
        <v>30</v>
      </c>
      <c r="U80" s="208">
        <v>75</v>
      </c>
      <c r="V80" s="217">
        <f t="shared" si="2"/>
        <v>2250</v>
      </c>
      <c r="W80" s="208">
        <v>7</v>
      </c>
      <c r="X80" s="216" t="s">
        <v>46</v>
      </c>
      <c r="Y80" s="216" t="s">
        <v>69</v>
      </c>
      <c r="Z80" s="216" t="s">
        <v>88</v>
      </c>
      <c r="AA80" s="208" t="s">
        <v>55</v>
      </c>
      <c r="AB80" s="216" t="s">
        <v>344</v>
      </c>
    </row>
    <row r="81" spans="1:28" x14ac:dyDescent="0.15">
      <c r="A81" s="216" t="s">
        <v>34</v>
      </c>
      <c r="B81" s="208" t="s">
        <v>342</v>
      </c>
      <c r="C81" s="208">
        <v>2018</v>
      </c>
      <c r="D81" s="250" t="s">
        <v>481</v>
      </c>
      <c r="E81" s="237" t="s">
        <v>332</v>
      </c>
      <c r="F81" s="237" t="s">
        <v>329</v>
      </c>
      <c r="G81" s="216" t="s">
        <v>36</v>
      </c>
      <c r="H81" s="208" t="s">
        <v>157</v>
      </c>
      <c r="I81" s="216" t="s">
        <v>155</v>
      </c>
      <c r="J81" s="216" t="s">
        <v>38</v>
      </c>
      <c r="K81" s="216" t="s">
        <v>156</v>
      </c>
      <c r="L81" s="208">
        <v>2</v>
      </c>
      <c r="N81" s="208">
        <v>1</v>
      </c>
      <c r="O81" s="208">
        <v>0.6</v>
      </c>
      <c r="P81" s="208">
        <v>0.6</v>
      </c>
      <c r="Q81" s="245">
        <f t="shared" si="0"/>
        <v>0.6</v>
      </c>
      <c r="R81" s="208">
        <v>15.2</v>
      </c>
      <c r="S81" s="208">
        <v>125</v>
      </c>
      <c r="T81" s="217">
        <f t="shared" si="1"/>
        <v>30</v>
      </c>
      <c r="U81" s="208">
        <v>75</v>
      </c>
      <c r="V81" s="217">
        <f t="shared" si="2"/>
        <v>2250</v>
      </c>
      <c r="W81" s="208">
        <v>7</v>
      </c>
      <c r="X81" s="216" t="s">
        <v>46</v>
      </c>
      <c r="Y81" s="216" t="s">
        <v>69</v>
      </c>
      <c r="Z81" s="216" t="s">
        <v>88</v>
      </c>
      <c r="AA81" s="208" t="s">
        <v>55</v>
      </c>
      <c r="AB81" s="216" t="s">
        <v>344</v>
      </c>
    </row>
    <row r="82" spans="1:28" x14ac:dyDescent="0.15">
      <c r="A82" s="216" t="s">
        <v>34</v>
      </c>
      <c r="B82" s="208" t="s">
        <v>342</v>
      </c>
      <c r="C82" s="208">
        <v>2018</v>
      </c>
      <c r="D82" s="250" t="s">
        <v>481</v>
      </c>
      <c r="E82" s="237" t="s">
        <v>332</v>
      </c>
      <c r="F82" s="237" t="s">
        <v>329</v>
      </c>
      <c r="G82" s="216" t="s">
        <v>36</v>
      </c>
      <c r="H82" s="208" t="s">
        <v>157</v>
      </c>
      <c r="I82" s="216" t="s">
        <v>155</v>
      </c>
      <c r="J82" s="216" t="s">
        <v>38</v>
      </c>
      <c r="K82" s="216" t="s">
        <v>156</v>
      </c>
      <c r="L82" s="208">
        <v>3</v>
      </c>
      <c r="N82" s="208">
        <v>1</v>
      </c>
      <c r="O82" s="208">
        <v>0.45</v>
      </c>
      <c r="P82" s="208">
        <v>0.2</v>
      </c>
      <c r="Q82" s="245">
        <f t="shared" si="0"/>
        <v>0.32500000000000001</v>
      </c>
      <c r="R82" s="208">
        <v>15.4</v>
      </c>
      <c r="S82" s="208">
        <v>124</v>
      </c>
      <c r="T82" s="217">
        <f t="shared" si="1"/>
        <v>30</v>
      </c>
      <c r="U82" s="208">
        <v>75</v>
      </c>
      <c r="V82" s="217">
        <f t="shared" si="2"/>
        <v>2250</v>
      </c>
      <c r="W82" s="208">
        <v>7</v>
      </c>
      <c r="X82" s="216" t="s">
        <v>46</v>
      </c>
      <c r="Y82" s="216" t="s">
        <v>69</v>
      </c>
      <c r="Z82" s="216" t="s">
        <v>88</v>
      </c>
      <c r="AA82" s="208" t="s">
        <v>55</v>
      </c>
      <c r="AB82" s="216" t="s">
        <v>344</v>
      </c>
    </row>
    <row r="83" spans="1:28" x14ac:dyDescent="0.15">
      <c r="A83" s="216" t="s">
        <v>34</v>
      </c>
      <c r="B83" s="208" t="s">
        <v>342</v>
      </c>
      <c r="C83" s="208">
        <v>2018</v>
      </c>
      <c r="D83" s="250" t="s">
        <v>481</v>
      </c>
      <c r="E83" s="237" t="s">
        <v>332</v>
      </c>
      <c r="F83" s="237" t="s">
        <v>329</v>
      </c>
      <c r="G83" s="216" t="s">
        <v>36</v>
      </c>
      <c r="H83" s="208" t="s">
        <v>157</v>
      </c>
      <c r="I83" s="216" t="s">
        <v>155</v>
      </c>
      <c r="J83" s="216" t="s">
        <v>38</v>
      </c>
      <c r="K83" s="216" t="s">
        <v>156</v>
      </c>
      <c r="L83" s="216">
        <v>1</v>
      </c>
      <c r="N83" s="208">
        <v>6</v>
      </c>
      <c r="O83" s="208">
        <v>0.2</v>
      </c>
      <c r="P83" s="208">
        <v>0.2</v>
      </c>
      <c r="Q83" s="245">
        <f t="shared" ref="Q83:Q97" si="5">IF(OR(O83="",P83=""),"",AVERAGE(O83,P83))</f>
        <v>0.2</v>
      </c>
      <c r="R83" s="208">
        <v>14.3</v>
      </c>
      <c r="S83" s="208">
        <v>94</v>
      </c>
      <c r="T83" s="217">
        <f t="shared" si="1"/>
        <v>36</v>
      </c>
      <c r="U83" s="208">
        <v>429</v>
      </c>
      <c r="V83" s="217">
        <f t="shared" si="2"/>
        <v>2574</v>
      </c>
      <c r="W83" s="208">
        <v>7</v>
      </c>
      <c r="X83" s="216" t="s">
        <v>46</v>
      </c>
      <c r="Y83" s="216" t="s">
        <v>69</v>
      </c>
      <c r="Z83" s="216" t="s">
        <v>88</v>
      </c>
      <c r="AA83" s="208" t="s">
        <v>55</v>
      </c>
      <c r="AB83" s="216" t="s">
        <v>344</v>
      </c>
    </row>
    <row r="84" spans="1:28" x14ac:dyDescent="0.15">
      <c r="A84" s="216" t="s">
        <v>34</v>
      </c>
      <c r="B84" s="208" t="s">
        <v>342</v>
      </c>
      <c r="C84" s="208">
        <v>2018</v>
      </c>
      <c r="D84" s="250" t="s">
        <v>481</v>
      </c>
      <c r="E84" s="237" t="s">
        <v>332</v>
      </c>
      <c r="F84" s="237" t="s">
        <v>329</v>
      </c>
      <c r="G84" s="216" t="s">
        <v>36</v>
      </c>
      <c r="H84" s="208" t="s">
        <v>157</v>
      </c>
      <c r="I84" s="216" t="s">
        <v>155</v>
      </c>
      <c r="J84" s="216" t="s">
        <v>38</v>
      </c>
      <c r="K84" s="216" t="s">
        <v>156</v>
      </c>
      <c r="L84" s="208">
        <v>2</v>
      </c>
      <c r="N84" s="208">
        <v>6</v>
      </c>
      <c r="O84" s="208">
        <v>0.2</v>
      </c>
      <c r="P84" s="208">
        <v>0.2</v>
      </c>
      <c r="Q84" s="245">
        <f t="shared" si="5"/>
        <v>0.2</v>
      </c>
      <c r="R84" s="208">
        <v>13.7</v>
      </c>
      <c r="S84" s="208">
        <v>90</v>
      </c>
      <c r="T84" s="217">
        <f t="shared" si="1"/>
        <v>36</v>
      </c>
      <c r="U84" s="208">
        <v>429</v>
      </c>
      <c r="V84" s="217">
        <f t="shared" si="2"/>
        <v>2574</v>
      </c>
      <c r="W84" s="208">
        <v>7</v>
      </c>
      <c r="X84" s="216" t="s">
        <v>46</v>
      </c>
      <c r="Y84" s="216" t="s">
        <v>69</v>
      </c>
      <c r="Z84" s="216" t="s">
        <v>88</v>
      </c>
      <c r="AA84" s="208" t="s">
        <v>55</v>
      </c>
      <c r="AB84" s="216" t="s">
        <v>344</v>
      </c>
    </row>
    <row r="85" spans="1:28" x14ac:dyDescent="0.15">
      <c r="A85" s="216" t="s">
        <v>34</v>
      </c>
      <c r="B85" s="208" t="s">
        <v>342</v>
      </c>
      <c r="C85" s="208">
        <v>2018</v>
      </c>
      <c r="D85" s="250" t="s">
        <v>481</v>
      </c>
      <c r="E85" s="237" t="s">
        <v>332</v>
      </c>
      <c r="F85" s="237" t="s">
        <v>329</v>
      </c>
      <c r="G85" s="216" t="s">
        <v>36</v>
      </c>
      <c r="H85" s="208" t="s">
        <v>157</v>
      </c>
      <c r="I85" s="216" t="s">
        <v>155</v>
      </c>
      <c r="J85" s="216" t="s">
        <v>38</v>
      </c>
      <c r="K85" s="216" t="s">
        <v>156</v>
      </c>
      <c r="L85" s="208">
        <v>3</v>
      </c>
      <c r="N85" s="208">
        <v>6</v>
      </c>
      <c r="O85" s="208">
        <v>0.2</v>
      </c>
      <c r="P85" s="208">
        <v>0.2</v>
      </c>
      <c r="Q85" s="245">
        <f t="shared" si="5"/>
        <v>0.2</v>
      </c>
      <c r="R85" s="208">
        <v>15.3</v>
      </c>
      <c r="S85" s="208">
        <v>95</v>
      </c>
      <c r="T85" s="217">
        <f t="shared" si="1"/>
        <v>36</v>
      </c>
      <c r="U85" s="208">
        <v>429</v>
      </c>
      <c r="V85" s="217">
        <f t="shared" si="2"/>
        <v>2574</v>
      </c>
      <c r="W85" s="208">
        <v>7</v>
      </c>
      <c r="X85" s="216" t="s">
        <v>46</v>
      </c>
      <c r="Y85" s="216" t="s">
        <v>69</v>
      </c>
      <c r="Z85" s="216" t="s">
        <v>88</v>
      </c>
      <c r="AA85" s="208" t="s">
        <v>55</v>
      </c>
      <c r="AB85" s="216" t="s">
        <v>344</v>
      </c>
    </row>
    <row r="86" spans="1:28" x14ac:dyDescent="0.15">
      <c r="A86" s="216" t="s">
        <v>34</v>
      </c>
      <c r="B86" s="208" t="s">
        <v>342</v>
      </c>
      <c r="C86" s="208">
        <v>2018</v>
      </c>
      <c r="D86" s="250" t="s">
        <v>481</v>
      </c>
      <c r="E86" s="237" t="s">
        <v>332</v>
      </c>
      <c r="F86" s="237" t="s">
        <v>329</v>
      </c>
      <c r="G86" s="216" t="s">
        <v>36</v>
      </c>
      <c r="H86" s="208" t="s">
        <v>157</v>
      </c>
      <c r="I86" s="216" t="s">
        <v>158</v>
      </c>
      <c r="J86" s="216" t="s">
        <v>38</v>
      </c>
      <c r="K86" s="216" t="s">
        <v>156</v>
      </c>
      <c r="L86" s="216">
        <v>1</v>
      </c>
      <c r="N86" s="208">
        <v>5</v>
      </c>
      <c r="O86" s="208">
        <v>0.2</v>
      </c>
      <c r="P86" s="208">
        <v>0.2</v>
      </c>
      <c r="Q86" s="245">
        <f t="shared" si="5"/>
        <v>0.2</v>
      </c>
      <c r="R86" s="208">
        <v>14.4</v>
      </c>
      <c r="S86" s="208">
        <v>86</v>
      </c>
      <c r="T86" s="217">
        <f t="shared" si="1"/>
        <v>36</v>
      </c>
      <c r="U86" s="208">
        <v>378</v>
      </c>
      <c r="V86" s="217">
        <f t="shared" si="2"/>
        <v>2721.6</v>
      </c>
      <c r="W86" s="208">
        <v>7</v>
      </c>
      <c r="X86" s="216" t="s">
        <v>46</v>
      </c>
      <c r="Y86" s="216" t="s">
        <v>69</v>
      </c>
      <c r="Z86" s="216" t="s">
        <v>88</v>
      </c>
      <c r="AA86" s="208" t="s">
        <v>55</v>
      </c>
      <c r="AB86" s="216" t="s">
        <v>344</v>
      </c>
    </row>
    <row r="87" spans="1:28" x14ac:dyDescent="0.15">
      <c r="A87" s="216" t="s">
        <v>34</v>
      </c>
      <c r="B87" s="208" t="s">
        <v>342</v>
      </c>
      <c r="C87" s="208">
        <v>2018</v>
      </c>
      <c r="D87" s="250" t="s">
        <v>481</v>
      </c>
      <c r="E87" s="237" t="s">
        <v>332</v>
      </c>
      <c r="F87" s="237" t="s">
        <v>329</v>
      </c>
      <c r="G87" s="216" t="s">
        <v>36</v>
      </c>
      <c r="H87" s="208" t="s">
        <v>157</v>
      </c>
      <c r="I87" s="216" t="s">
        <v>158</v>
      </c>
      <c r="J87" s="216" t="s">
        <v>38</v>
      </c>
      <c r="K87" s="216" t="s">
        <v>156</v>
      </c>
      <c r="L87" s="208">
        <v>2</v>
      </c>
      <c r="N87" s="208">
        <v>5</v>
      </c>
      <c r="O87" s="208">
        <v>0.2</v>
      </c>
      <c r="P87" s="208">
        <v>0.2</v>
      </c>
      <c r="Q87" s="245">
        <f t="shared" si="5"/>
        <v>0.2</v>
      </c>
      <c r="R87" s="208">
        <v>12.8</v>
      </c>
      <c r="S87" s="208">
        <v>88</v>
      </c>
      <c r="T87" s="217">
        <f t="shared" si="1"/>
        <v>36</v>
      </c>
      <c r="U87" s="208">
        <v>378</v>
      </c>
      <c r="V87" s="217">
        <f t="shared" si="2"/>
        <v>2721.6</v>
      </c>
      <c r="W87" s="208">
        <v>7</v>
      </c>
      <c r="X87" s="216" t="s">
        <v>46</v>
      </c>
      <c r="Y87" s="216" t="s">
        <v>69</v>
      </c>
      <c r="Z87" s="216" t="s">
        <v>88</v>
      </c>
      <c r="AA87" s="208" t="s">
        <v>55</v>
      </c>
      <c r="AB87" s="216" t="s">
        <v>344</v>
      </c>
    </row>
    <row r="88" spans="1:28" x14ac:dyDescent="0.15">
      <c r="A88" s="216" t="s">
        <v>34</v>
      </c>
      <c r="B88" s="208" t="s">
        <v>342</v>
      </c>
      <c r="C88" s="208">
        <v>2018</v>
      </c>
      <c r="D88" s="250" t="s">
        <v>481</v>
      </c>
      <c r="E88" s="237" t="s">
        <v>332</v>
      </c>
      <c r="F88" s="237" t="s">
        <v>329</v>
      </c>
      <c r="G88" s="216" t="s">
        <v>36</v>
      </c>
      <c r="H88" s="208" t="s">
        <v>157</v>
      </c>
      <c r="I88" s="216" t="s">
        <v>158</v>
      </c>
      <c r="J88" s="216" t="s">
        <v>38</v>
      </c>
      <c r="K88" s="216" t="s">
        <v>156</v>
      </c>
      <c r="L88" s="208">
        <v>3</v>
      </c>
      <c r="N88" s="208">
        <v>5</v>
      </c>
      <c r="O88" s="208">
        <v>0.2</v>
      </c>
      <c r="P88" s="208">
        <v>0.2</v>
      </c>
      <c r="Q88" s="245">
        <f t="shared" si="5"/>
        <v>0.2</v>
      </c>
      <c r="R88" s="208">
        <v>13.2</v>
      </c>
      <c r="S88" s="208">
        <v>81</v>
      </c>
      <c r="T88" s="217">
        <f t="shared" si="1"/>
        <v>39</v>
      </c>
      <c r="U88" s="208">
        <v>378</v>
      </c>
      <c r="V88" s="217">
        <f t="shared" si="2"/>
        <v>2948.3999999999996</v>
      </c>
      <c r="W88" s="208">
        <v>7</v>
      </c>
      <c r="X88" s="216" t="s">
        <v>46</v>
      </c>
      <c r="Y88" s="216" t="s">
        <v>69</v>
      </c>
      <c r="Z88" s="216" t="s">
        <v>88</v>
      </c>
      <c r="AA88" s="208" t="s">
        <v>55</v>
      </c>
      <c r="AB88" s="216" t="s">
        <v>344</v>
      </c>
    </row>
    <row r="89" spans="1:28" x14ac:dyDescent="0.15">
      <c r="A89" s="216" t="s">
        <v>34</v>
      </c>
      <c r="B89" s="208" t="s">
        <v>342</v>
      </c>
      <c r="C89" s="208">
        <v>2018</v>
      </c>
      <c r="D89" s="250" t="s">
        <v>481</v>
      </c>
      <c r="E89" s="237" t="s">
        <v>332</v>
      </c>
      <c r="F89" s="237" t="s">
        <v>329</v>
      </c>
      <c r="G89" s="216" t="s">
        <v>36</v>
      </c>
      <c r="H89" s="208" t="s">
        <v>160</v>
      </c>
      <c r="I89" s="216" t="s">
        <v>155</v>
      </c>
      <c r="J89" s="216" t="s">
        <v>38</v>
      </c>
      <c r="K89" s="216" t="s">
        <v>156</v>
      </c>
      <c r="L89" s="216">
        <v>1</v>
      </c>
      <c r="N89" s="208">
        <v>1</v>
      </c>
      <c r="O89" s="208">
        <v>0.55000000000000004</v>
      </c>
      <c r="P89" s="208">
        <v>0.5</v>
      </c>
      <c r="Q89" s="245">
        <f t="shared" si="5"/>
        <v>0.52500000000000002</v>
      </c>
      <c r="R89" s="208">
        <v>14.6</v>
      </c>
      <c r="S89" s="208">
        <v>146</v>
      </c>
      <c r="T89" s="217">
        <f t="shared" si="1"/>
        <v>30</v>
      </c>
      <c r="U89" s="208">
        <v>158</v>
      </c>
      <c r="V89" s="217">
        <f t="shared" si="2"/>
        <v>4740</v>
      </c>
      <c r="W89" s="208">
        <v>5</v>
      </c>
      <c r="X89" s="216" t="s">
        <v>46</v>
      </c>
      <c r="Y89" s="216" t="s">
        <v>69</v>
      </c>
      <c r="Z89" s="216" t="s">
        <v>88</v>
      </c>
      <c r="AA89" s="208" t="s">
        <v>55</v>
      </c>
      <c r="AB89" s="216" t="s">
        <v>344</v>
      </c>
    </row>
    <row r="90" spans="1:28" x14ac:dyDescent="0.15">
      <c r="A90" s="216" t="s">
        <v>34</v>
      </c>
      <c r="B90" s="208" t="s">
        <v>342</v>
      </c>
      <c r="C90" s="208">
        <v>2018</v>
      </c>
      <c r="D90" s="250" t="s">
        <v>481</v>
      </c>
      <c r="E90" s="237" t="s">
        <v>332</v>
      </c>
      <c r="F90" s="237" t="s">
        <v>329</v>
      </c>
      <c r="G90" s="216" t="s">
        <v>36</v>
      </c>
      <c r="H90" s="208" t="s">
        <v>160</v>
      </c>
      <c r="I90" s="216" t="s">
        <v>155</v>
      </c>
      <c r="J90" s="216" t="s">
        <v>38</v>
      </c>
      <c r="K90" s="216" t="s">
        <v>156</v>
      </c>
      <c r="L90" s="208">
        <v>2</v>
      </c>
      <c r="N90" s="208">
        <v>1</v>
      </c>
      <c r="O90" s="208">
        <v>0.45</v>
      </c>
      <c r="P90" s="208">
        <v>0.5</v>
      </c>
      <c r="Q90" s="245">
        <f t="shared" si="5"/>
        <v>0.47499999999999998</v>
      </c>
      <c r="R90" s="208">
        <v>17.2</v>
      </c>
      <c r="S90" s="208">
        <v>144</v>
      </c>
      <c r="T90" s="217">
        <f t="shared" si="1"/>
        <v>30</v>
      </c>
      <c r="U90" s="208">
        <v>158</v>
      </c>
      <c r="V90" s="217">
        <f t="shared" si="2"/>
        <v>4740</v>
      </c>
      <c r="W90" s="208">
        <v>5</v>
      </c>
      <c r="X90" s="216" t="s">
        <v>46</v>
      </c>
      <c r="Y90" s="216" t="s">
        <v>69</v>
      </c>
      <c r="Z90" s="216" t="s">
        <v>88</v>
      </c>
      <c r="AA90" s="208" t="s">
        <v>55</v>
      </c>
      <c r="AB90" s="216" t="s">
        <v>344</v>
      </c>
    </row>
    <row r="91" spans="1:28" x14ac:dyDescent="0.15">
      <c r="A91" s="216" t="s">
        <v>34</v>
      </c>
      <c r="B91" s="208" t="s">
        <v>342</v>
      </c>
      <c r="C91" s="208">
        <v>2018</v>
      </c>
      <c r="D91" s="250" t="s">
        <v>481</v>
      </c>
      <c r="E91" s="237" t="s">
        <v>332</v>
      </c>
      <c r="F91" s="237" t="s">
        <v>329</v>
      </c>
      <c r="G91" s="216" t="s">
        <v>36</v>
      </c>
      <c r="H91" s="208" t="s">
        <v>160</v>
      </c>
      <c r="I91" s="216" t="s">
        <v>155</v>
      </c>
      <c r="J91" s="216" t="s">
        <v>38</v>
      </c>
      <c r="K91" s="216" t="s">
        <v>156</v>
      </c>
      <c r="L91" s="208">
        <v>3</v>
      </c>
      <c r="N91" s="208">
        <v>1</v>
      </c>
      <c r="O91" s="208">
        <v>0.55000000000000004</v>
      </c>
      <c r="P91" s="208">
        <v>0.5</v>
      </c>
      <c r="Q91" s="245">
        <f t="shared" si="5"/>
        <v>0.52500000000000002</v>
      </c>
      <c r="R91" s="208">
        <v>14.4</v>
      </c>
      <c r="S91" s="208">
        <v>139</v>
      </c>
      <c r="T91" s="217">
        <f t="shared" si="1"/>
        <v>30</v>
      </c>
      <c r="U91" s="208">
        <v>158</v>
      </c>
      <c r="V91" s="217">
        <f t="shared" si="2"/>
        <v>4740</v>
      </c>
      <c r="W91" s="208">
        <v>5</v>
      </c>
      <c r="X91" s="216" t="s">
        <v>46</v>
      </c>
      <c r="Y91" s="216" t="s">
        <v>69</v>
      </c>
      <c r="Z91" s="216" t="s">
        <v>88</v>
      </c>
      <c r="AA91" s="208" t="s">
        <v>55</v>
      </c>
      <c r="AB91" s="216" t="s">
        <v>344</v>
      </c>
    </row>
    <row r="92" spans="1:28" x14ac:dyDescent="0.15">
      <c r="A92" s="216" t="s">
        <v>34</v>
      </c>
      <c r="B92" s="208" t="s">
        <v>342</v>
      </c>
      <c r="C92" s="208">
        <v>2018</v>
      </c>
      <c r="D92" s="250" t="s">
        <v>481</v>
      </c>
      <c r="E92" s="237" t="s">
        <v>332</v>
      </c>
      <c r="F92" s="237" t="s">
        <v>329</v>
      </c>
      <c r="G92" s="216" t="s">
        <v>36</v>
      </c>
      <c r="H92" s="208" t="s">
        <v>160</v>
      </c>
      <c r="I92" s="216" t="s">
        <v>155</v>
      </c>
      <c r="J92" s="216" t="s">
        <v>38</v>
      </c>
      <c r="K92" s="216" t="s">
        <v>156</v>
      </c>
      <c r="L92" s="216">
        <v>1</v>
      </c>
      <c r="N92" s="208">
        <v>4</v>
      </c>
      <c r="O92" s="208">
        <v>0.2</v>
      </c>
      <c r="P92" s="208">
        <v>0.2</v>
      </c>
      <c r="Q92" s="245">
        <f t="shared" si="5"/>
        <v>0.2</v>
      </c>
      <c r="R92" s="208">
        <v>18.2</v>
      </c>
      <c r="S92" s="208">
        <v>120</v>
      </c>
      <c r="T92" s="217">
        <f t="shared" si="1"/>
        <v>30</v>
      </c>
      <c r="U92" s="208">
        <v>380</v>
      </c>
      <c r="V92" s="217">
        <f t="shared" si="2"/>
        <v>2850</v>
      </c>
      <c r="W92" s="208">
        <v>5</v>
      </c>
      <c r="X92" s="216" t="s">
        <v>46</v>
      </c>
      <c r="Y92" s="216" t="s">
        <v>69</v>
      </c>
      <c r="Z92" s="216" t="s">
        <v>88</v>
      </c>
      <c r="AA92" s="208" t="s">
        <v>55</v>
      </c>
      <c r="AB92" s="216" t="s">
        <v>344</v>
      </c>
    </row>
    <row r="93" spans="1:28" x14ac:dyDescent="0.15">
      <c r="A93" s="216" t="s">
        <v>34</v>
      </c>
      <c r="B93" s="208" t="s">
        <v>342</v>
      </c>
      <c r="C93" s="208">
        <v>2018</v>
      </c>
      <c r="D93" s="250" t="s">
        <v>481</v>
      </c>
      <c r="E93" s="237" t="s">
        <v>332</v>
      </c>
      <c r="F93" s="237" t="s">
        <v>329</v>
      </c>
      <c r="G93" s="216" t="s">
        <v>36</v>
      </c>
      <c r="H93" s="208" t="s">
        <v>160</v>
      </c>
      <c r="I93" s="216" t="s">
        <v>155</v>
      </c>
      <c r="J93" s="216" t="s">
        <v>38</v>
      </c>
      <c r="K93" s="216" t="s">
        <v>156</v>
      </c>
      <c r="L93" s="208">
        <v>2</v>
      </c>
      <c r="N93" s="208">
        <v>4</v>
      </c>
      <c r="O93" s="208">
        <v>0.2</v>
      </c>
      <c r="P93" s="208">
        <v>0.2</v>
      </c>
      <c r="Q93" s="245">
        <f t="shared" si="5"/>
        <v>0.2</v>
      </c>
      <c r="R93" s="208">
        <v>20.100000000000001</v>
      </c>
      <c r="S93" s="208">
        <v>119</v>
      </c>
      <c r="T93" s="217">
        <f t="shared" si="1"/>
        <v>30</v>
      </c>
      <c r="U93" s="208">
        <v>380</v>
      </c>
      <c r="V93" s="217">
        <f t="shared" si="2"/>
        <v>2850</v>
      </c>
      <c r="W93" s="208">
        <v>5</v>
      </c>
      <c r="X93" s="216" t="s">
        <v>46</v>
      </c>
      <c r="Y93" s="216" t="s">
        <v>69</v>
      </c>
      <c r="Z93" s="216" t="s">
        <v>88</v>
      </c>
      <c r="AA93" s="208" t="s">
        <v>55</v>
      </c>
      <c r="AB93" s="216" t="s">
        <v>344</v>
      </c>
    </row>
    <row r="94" spans="1:28" x14ac:dyDescent="0.15">
      <c r="A94" s="216" t="s">
        <v>34</v>
      </c>
      <c r="B94" s="208" t="s">
        <v>342</v>
      </c>
      <c r="C94" s="208">
        <v>2018</v>
      </c>
      <c r="D94" s="250" t="s">
        <v>481</v>
      </c>
      <c r="E94" s="237" t="s">
        <v>332</v>
      </c>
      <c r="F94" s="237" t="s">
        <v>329</v>
      </c>
      <c r="G94" s="216" t="s">
        <v>36</v>
      </c>
      <c r="H94" s="208" t="s">
        <v>160</v>
      </c>
      <c r="I94" s="216" t="s">
        <v>155</v>
      </c>
      <c r="J94" s="216" t="s">
        <v>38</v>
      </c>
      <c r="K94" s="216" t="s">
        <v>156</v>
      </c>
      <c r="L94" s="208">
        <v>3</v>
      </c>
      <c r="N94" s="208">
        <v>4</v>
      </c>
      <c r="O94" s="208">
        <v>0.2</v>
      </c>
      <c r="P94" s="208">
        <v>0.45</v>
      </c>
      <c r="Q94" s="245">
        <f t="shared" si="5"/>
        <v>0.32500000000000001</v>
      </c>
      <c r="R94" s="208">
        <v>16.399999999999999</v>
      </c>
      <c r="S94" s="208">
        <v>117</v>
      </c>
      <c r="T94" s="217">
        <f t="shared" si="1"/>
        <v>30</v>
      </c>
      <c r="U94" s="208">
        <v>380</v>
      </c>
      <c r="V94" s="217">
        <f t="shared" si="2"/>
        <v>2850</v>
      </c>
      <c r="W94" s="208">
        <v>5</v>
      </c>
      <c r="X94" s="216" t="s">
        <v>46</v>
      </c>
      <c r="Y94" s="216" t="s">
        <v>69</v>
      </c>
      <c r="Z94" s="216" t="s">
        <v>88</v>
      </c>
      <c r="AA94" s="208" t="s">
        <v>55</v>
      </c>
      <c r="AB94" s="216" t="s">
        <v>344</v>
      </c>
    </row>
    <row r="95" spans="1:28" x14ac:dyDescent="0.15">
      <c r="A95" s="216" t="s">
        <v>34</v>
      </c>
      <c r="B95" s="208" t="s">
        <v>342</v>
      </c>
      <c r="C95" s="208">
        <v>2018</v>
      </c>
      <c r="D95" s="250" t="s">
        <v>481</v>
      </c>
      <c r="E95" s="237" t="s">
        <v>332</v>
      </c>
      <c r="F95" s="237" t="s">
        <v>329</v>
      </c>
      <c r="G95" s="216" t="s">
        <v>36</v>
      </c>
      <c r="H95" s="208" t="s">
        <v>160</v>
      </c>
      <c r="I95" s="216" t="s">
        <v>158</v>
      </c>
      <c r="J95" s="216" t="s">
        <v>38</v>
      </c>
      <c r="K95" s="216" t="s">
        <v>156</v>
      </c>
      <c r="L95" s="216">
        <v>1</v>
      </c>
      <c r="N95" s="208">
        <v>3</v>
      </c>
      <c r="O95" s="208">
        <v>0.2</v>
      </c>
      <c r="P95" s="208">
        <v>0.2</v>
      </c>
      <c r="Q95" s="245">
        <f t="shared" si="5"/>
        <v>0.2</v>
      </c>
      <c r="R95" s="208">
        <v>11.3</v>
      </c>
      <c r="S95" s="208">
        <v>126</v>
      </c>
      <c r="T95" s="217">
        <f t="shared" si="1"/>
        <v>30</v>
      </c>
      <c r="U95" s="208">
        <v>498</v>
      </c>
      <c r="V95" s="217">
        <f t="shared" si="2"/>
        <v>4980</v>
      </c>
      <c r="W95" s="208">
        <v>5</v>
      </c>
      <c r="X95" s="216" t="s">
        <v>46</v>
      </c>
      <c r="Y95" s="216" t="s">
        <v>69</v>
      </c>
      <c r="Z95" s="216" t="s">
        <v>88</v>
      </c>
      <c r="AA95" s="208" t="s">
        <v>55</v>
      </c>
      <c r="AB95" s="216" t="s">
        <v>344</v>
      </c>
    </row>
    <row r="96" spans="1:28" x14ac:dyDescent="0.15">
      <c r="A96" s="216" t="s">
        <v>34</v>
      </c>
      <c r="B96" s="208" t="s">
        <v>342</v>
      </c>
      <c r="C96" s="208">
        <v>2018</v>
      </c>
      <c r="D96" s="250" t="s">
        <v>481</v>
      </c>
      <c r="E96" s="237" t="s">
        <v>332</v>
      </c>
      <c r="F96" s="237" t="s">
        <v>329</v>
      </c>
      <c r="G96" s="216" t="s">
        <v>36</v>
      </c>
      <c r="H96" s="208" t="s">
        <v>160</v>
      </c>
      <c r="I96" s="216" t="s">
        <v>158</v>
      </c>
      <c r="J96" s="216" t="s">
        <v>38</v>
      </c>
      <c r="K96" s="216" t="s">
        <v>156</v>
      </c>
      <c r="L96" s="208">
        <v>2</v>
      </c>
      <c r="N96" s="208">
        <v>3</v>
      </c>
      <c r="O96" s="208">
        <v>0.2</v>
      </c>
      <c r="P96" s="208">
        <v>0.2</v>
      </c>
      <c r="Q96" s="245">
        <f t="shared" si="5"/>
        <v>0.2</v>
      </c>
      <c r="R96" s="208">
        <v>14.7</v>
      </c>
      <c r="S96" s="208">
        <v>131</v>
      </c>
      <c r="T96" s="217">
        <f t="shared" si="1"/>
        <v>30</v>
      </c>
      <c r="U96" s="208">
        <v>498</v>
      </c>
      <c r="V96" s="217">
        <f t="shared" si="2"/>
        <v>4980</v>
      </c>
      <c r="W96" s="208">
        <v>5</v>
      </c>
      <c r="X96" s="216" t="s">
        <v>46</v>
      </c>
      <c r="Y96" s="216" t="s">
        <v>69</v>
      </c>
      <c r="Z96" s="216" t="s">
        <v>88</v>
      </c>
      <c r="AA96" s="208" t="s">
        <v>55</v>
      </c>
      <c r="AB96" s="216" t="s">
        <v>344</v>
      </c>
    </row>
    <row r="97" spans="1:28" x14ac:dyDescent="0.15">
      <c r="A97" s="216" t="s">
        <v>34</v>
      </c>
      <c r="B97" s="208" t="s">
        <v>342</v>
      </c>
      <c r="C97" s="208">
        <v>2018</v>
      </c>
      <c r="D97" s="250" t="s">
        <v>481</v>
      </c>
      <c r="E97" s="237" t="s">
        <v>332</v>
      </c>
      <c r="F97" s="237" t="s">
        <v>329</v>
      </c>
      <c r="G97" s="216" t="s">
        <v>36</v>
      </c>
      <c r="H97" s="208" t="s">
        <v>160</v>
      </c>
      <c r="I97" s="216" t="s">
        <v>158</v>
      </c>
      <c r="J97" s="216" t="s">
        <v>38</v>
      </c>
      <c r="K97" s="216" t="s">
        <v>156</v>
      </c>
      <c r="L97" s="208">
        <v>3</v>
      </c>
      <c r="N97" s="208">
        <v>3</v>
      </c>
      <c r="O97" s="208">
        <v>0.2</v>
      </c>
      <c r="P97" s="208">
        <v>0.2</v>
      </c>
      <c r="Q97" s="245">
        <f t="shared" si="5"/>
        <v>0.2</v>
      </c>
      <c r="R97" s="208">
        <v>15.6</v>
      </c>
      <c r="S97" s="208">
        <v>126</v>
      </c>
      <c r="T97" s="217">
        <f t="shared" si="1"/>
        <v>30</v>
      </c>
      <c r="U97" s="208">
        <v>498</v>
      </c>
      <c r="V97" s="217">
        <f t="shared" si="2"/>
        <v>4980</v>
      </c>
      <c r="W97" s="208">
        <v>5</v>
      </c>
      <c r="X97" s="216" t="s">
        <v>46</v>
      </c>
      <c r="Y97" s="216" t="s">
        <v>69</v>
      </c>
      <c r="Z97" s="216" t="s">
        <v>88</v>
      </c>
      <c r="AA97" s="208" t="s">
        <v>55</v>
      </c>
      <c r="AB97" s="216" t="s">
        <v>344</v>
      </c>
    </row>
    <row r="98" spans="1:28" x14ac:dyDescent="0.15">
      <c r="K98" s="216"/>
    </row>
    <row r="99" spans="1:28" x14ac:dyDescent="0.15">
      <c r="K99" s="216"/>
    </row>
    <row r="100" spans="1:28" x14ac:dyDescent="0.15">
      <c r="K100" s="216"/>
    </row>
    <row r="101" spans="1:28" x14ac:dyDescent="0.15">
      <c r="K101" s="216"/>
    </row>
    <row r="102" spans="1:28" x14ac:dyDescent="0.15">
      <c r="K102" s="216"/>
    </row>
    <row r="103" spans="1:28" x14ac:dyDescent="0.15">
      <c r="K103" s="216"/>
    </row>
    <row r="104" spans="1:28" x14ac:dyDescent="0.15">
      <c r="K104" s="216"/>
    </row>
    <row r="105" spans="1:28" x14ac:dyDescent="0.15">
      <c r="K105" s="216"/>
    </row>
    <row r="106" spans="1:28" x14ac:dyDescent="0.15">
      <c r="K106" s="216"/>
    </row>
    <row r="107" spans="1:28" x14ac:dyDescent="0.15">
      <c r="K107" s="216"/>
    </row>
    <row r="108" spans="1:28" x14ac:dyDescent="0.15">
      <c r="K108" s="216"/>
    </row>
    <row r="109" spans="1:28" x14ac:dyDescent="0.15">
      <c r="K109" s="216"/>
    </row>
    <row r="110" spans="1:28" x14ac:dyDescent="0.15">
      <c r="K110" s="216"/>
    </row>
    <row r="111" spans="1:28" x14ac:dyDescent="0.15">
      <c r="K111" s="216"/>
    </row>
    <row r="112" spans="1:28"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row r="451" spans="11:11" x14ac:dyDescent="0.15">
      <c r="K451" s="216"/>
    </row>
    <row r="452" spans="11:11" x14ac:dyDescent="0.15">
      <c r="K452" s="216"/>
    </row>
    <row r="453" spans="11:11" x14ac:dyDescent="0.15">
      <c r="K453" s="216"/>
    </row>
    <row r="454" spans="11:11" x14ac:dyDescent="0.15">
      <c r="K454" s="216"/>
    </row>
    <row r="455" spans="11:11" x14ac:dyDescent="0.15">
      <c r="K455" s="216"/>
    </row>
    <row r="456" spans="11:11" x14ac:dyDescent="0.15">
      <c r="K456" s="216"/>
    </row>
    <row r="457" spans="11:11" x14ac:dyDescent="0.15">
      <c r="K457" s="216"/>
    </row>
    <row r="458" spans="11:11" x14ac:dyDescent="0.15">
      <c r="K458" s="216"/>
    </row>
    <row r="459" spans="11:11" x14ac:dyDescent="0.15">
      <c r="K459" s="216"/>
    </row>
    <row r="460" spans="11:11" x14ac:dyDescent="0.15">
      <c r="K460" s="216"/>
    </row>
    <row r="461" spans="11:11" x14ac:dyDescent="0.15">
      <c r="K461" s="216"/>
    </row>
    <row r="462" spans="11:11" x14ac:dyDescent="0.15">
      <c r="K462" s="216"/>
    </row>
    <row r="463" spans="11:11" x14ac:dyDescent="0.15">
      <c r="K463" s="216"/>
    </row>
    <row r="464" spans="11:11" x14ac:dyDescent="0.15">
      <c r="K464" s="216"/>
    </row>
    <row r="465" spans="11:11" x14ac:dyDescent="0.15">
      <c r="K465" s="216"/>
    </row>
    <row r="466" spans="11:11" x14ac:dyDescent="0.15">
      <c r="K466" s="216"/>
    </row>
    <row r="467" spans="11:11" x14ac:dyDescent="0.15">
      <c r="K467" s="216"/>
    </row>
    <row r="468" spans="11:11" x14ac:dyDescent="0.15">
      <c r="K468" s="216"/>
    </row>
    <row r="469" spans="11:11" x14ac:dyDescent="0.15">
      <c r="K469" s="216"/>
    </row>
    <row r="470" spans="11:11" x14ac:dyDescent="0.15">
      <c r="K470" s="216"/>
    </row>
    <row r="471" spans="11:11" x14ac:dyDescent="0.15">
      <c r="K471" s="216"/>
    </row>
    <row r="472" spans="11:11" x14ac:dyDescent="0.15">
      <c r="K472" s="216"/>
    </row>
    <row r="473" spans="11:11" x14ac:dyDescent="0.15">
      <c r="K473" s="216"/>
    </row>
    <row r="474" spans="11:11" x14ac:dyDescent="0.15">
      <c r="K474" s="216"/>
    </row>
    <row r="475" spans="11:11" x14ac:dyDescent="0.15">
      <c r="K475" s="216"/>
    </row>
    <row r="476" spans="11:11" x14ac:dyDescent="0.15">
      <c r="K476" s="216"/>
    </row>
    <row r="477" spans="11:11" x14ac:dyDescent="0.15">
      <c r="K477" s="216"/>
    </row>
    <row r="478" spans="11:11" x14ac:dyDescent="0.15">
      <c r="K478" s="216"/>
    </row>
    <row r="479" spans="11:11" x14ac:dyDescent="0.15">
      <c r="K479" s="216"/>
    </row>
    <row r="480" spans="11:11" x14ac:dyDescent="0.15">
      <c r="K480" s="216"/>
    </row>
    <row r="481" spans="11:11" x14ac:dyDescent="0.15">
      <c r="K481" s="216"/>
    </row>
    <row r="482" spans="11:11" x14ac:dyDescent="0.15">
      <c r="K482" s="216"/>
    </row>
    <row r="483" spans="11:11" x14ac:dyDescent="0.15">
      <c r="K483" s="216"/>
    </row>
    <row r="484" spans="11:11" x14ac:dyDescent="0.15">
      <c r="K484" s="216"/>
    </row>
    <row r="485" spans="11:11" x14ac:dyDescent="0.15">
      <c r="K485" s="216"/>
    </row>
    <row r="486" spans="11:11" x14ac:dyDescent="0.15">
      <c r="K486" s="216"/>
    </row>
    <row r="487" spans="11:11" x14ac:dyDescent="0.15">
      <c r="K487" s="216"/>
    </row>
    <row r="488" spans="11:11" x14ac:dyDescent="0.15">
      <c r="K488" s="216"/>
    </row>
    <row r="489" spans="11:11" x14ac:dyDescent="0.15">
      <c r="K489" s="216"/>
    </row>
    <row r="490" spans="11:11" x14ac:dyDescent="0.15">
      <c r="K490" s="216"/>
    </row>
    <row r="491" spans="11:11" x14ac:dyDescent="0.15">
      <c r="K491" s="216"/>
    </row>
    <row r="492" spans="11:11" x14ac:dyDescent="0.15">
      <c r="K492" s="216"/>
    </row>
    <row r="493" spans="11:11" x14ac:dyDescent="0.15">
      <c r="K493" s="216"/>
    </row>
    <row r="494" spans="11:11" x14ac:dyDescent="0.15">
      <c r="K494" s="216"/>
    </row>
    <row r="495" spans="11:11" x14ac:dyDescent="0.15">
      <c r="K495" s="216"/>
    </row>
    <row r="496" spans="11:11" x14ac:dyDescent="0.15">
      <c r="K496" s="216"/>
    </row>
    <row r="497" spans="11:11" x14ac:dyDescent="0.15">
      <c r="K497" s="216"/>
    </row>
    <row r="498" spans="11:11" x14ac:dyDescent="0.15">
      <c r="K498" s="216"/>
    </row>
    <row r="499" spans="11:11" x14ac:dyDescent="0.15">
      <c r="K499" s="216"/>
    </row>
    <row r="500" spans="11:11" x14ac:dyDescent="0.15">
      <c r="K500" s="216"/>
    </row>
    <row r="501" spans="11:11" x14ac:dyDescent="0.15">
      <c r="K501" s="216"/>
    </row>
    <row r="502" spans="11:11" x14ac:dyDescent="0.15">
      <c r="K502" s="216"/>
    </row>
    <row r="503" spans="11:11" x14ac:dyDescent="0.15">
      <c r="K503" s="216"/>
    </row>
    <row r="504" spans="11:11" x14ac:dyDescent="0.15">
      <c r="K504" s="216"/>
    </row>
    <row r="505" spans="11:11" x14ac:dyDescent="0.15">
      <c r="K505" s="216"/>
    </row>
    <row r="506" spans="11:11" x14ac:dyDescent="0.15">
      <c r="K506" s="216"/>
    </row>
    <row r="507" spans="11:11" x14ac:dyDescent="0.15">
      <c r="K507" s="216"/>
    </row>
    <row r="508" spans="11:11" x14ac:dyDescent="0.15">
      <c r="K508" s="216"/>
    </row>
    <row r="509" spans="11:11" x14ac:dyDescent="0.15">
      <c r="K509" s="216"/>
    </row>
    <row r="510" spans="11:11" x14ac:dyDescent="0.15">
      <c r="K510" s="216"/>
    </row>
    <row r="511" spans="11:11" x14ac:dyDescent="0.15">
      <c r="K511" s="216"/>
    </row>
    <row r="512" spans="11:11" x14ac:dyDescent="0.15">
      <c r="K512" s="216"/>
    </row>
    <row r="513" spans="11:11" x14ac:dyDescent="0.15">
      <c r="K513" s="216"/>
    </row>
    <row r="514" spans="11:11" x14ac:dyDescent="0.15">
      <c r="K514" s="216"/>
    </row>
    <row r="515" spans="11:11" x14ac:dyDescent="0.15">
      <c r="K515" s="216"/>
    </row>
    <row r="516" spans="11:11" x14ac:dyDescent="0.15">
      <c r="K516" s="216"/>
    </row>
    <row r="517" spans="11:11" x14ac:dyDescent="0.15">
      <c r="K517" s="216"/>
    </row>
    <row r="518" spans="11:11" x14ac:dyDescent="0.15">
      <c r="K518" s="216"/>
    </row>
    <row r="519" spans="11:11" x14ac:dyDescent="0.15">
      <c r="K519" s="216"/>
    </row>
    <row r="520" spans="11:11" x14ac:dyDescent="0.15">
      <c r="K520" s="216"/>
    </row>
    <row r="521" spans="11:11" x14ac:dyDescent="0.15">
      <c r="K521" s="216"/>
    </row>
    <row r="522" spans="11:11" x14ac:dyDescent="0.15">
      <c r="K522" s="216"/>
    </row>
    <row r="523" spans="11:11" x14ac:dyDescent="0.15">
      <c r="K523" s="216"/>
    </row>
    <row r="524" spans="11:11" x14ac:dyDescent="0.15">
      <c r="K524" s="216"/>
    </row>
    <row r="525" spans="11:11" x14ac:dyDescent="0.15">
      <c r="K525" s="216"/>
    </row>
    <row r="526" spans="11:11" x14ac:dyDescent="0.15">
      <c r="K526" s="216"/>
    </row>
    <row r="527" spans="11:11" x14ac:dyDescent="0.15">
      <c r="K527" s="216"/>
    </row>
    <row r="528" spans="11:11" x14ac:dyDescent="0.15">
      <c r="K528" s="216"/>
    </row>
    <row r="529" spans="11:11" x14ac:dyDescent="0.15">
      <c r="K529" s="216"/>
    </row>
    <row r="530" spans="11:11" x14ac:dyDescent="0.15">
      <c r="K530" s="216"/>
    </row>
    <row r="531" spans="11:11" x14ac:dyDescent="0.15">
      <c r="K531" s="216"/>
    </row>
    <row r="532" spans="11:11" x14ac:dyDescent="0.15">
      <c r="K532" s="216"/>
    </row>
    <row r="533" spans="11:11" x14ac:dyDescent="0.15">
      <c r="K533" s="216"/>
    </row>
    <row r="534" spans="11:11" x14ac:dyDescent="0.15">
      <c r="K534" s="216"/>
    </row>
    <row r="535" spans="11:11" x14ac:dyDescent="0.15">
      <c r="K535" s="216"/>
    </row>
    <row r="536" spans="11:11" x14ac:dyDescent="0.15">
      <c r="K536" s="216"/>
    </row>
    <row r="537" spans="11:11" x14ac:dyDescent="0.15">
      <c r="K537" s="216"/>
    </row>
    <row r="538" spans="11:11" x14ac:dyDescent="0.15">
      <c r="K538" s="216"/>
    </row>
    <row r="539" spans="11:11" x14ac:dyDescent="0.15">
      <c r="K539" s="216"/>
    </row>
    <row r="540" spans="11:11" x14ac:dyDescent="0.15">
      <c r="K540" s="216"/>
    </row>
    <row r="541" spans="11:11" x14ac:dyDescent="0.15">
      <c r="K541" s="216"/>
    </row>
    <row r="542" spans="11:11" x14ac:dyDescent="0.15">
      <c r="K542" s="216"/>
    </row>
    <row r="543" spans="11:11" x14ac:dyDescent="0.15">
      <c r="K543" s="216"/>
    </row>
    <row r="544" spans="11:11" x14ac:dyDescent="0.15">
      <c r="K544" s="216"/>
    </row>
    <row r="545" spans="11:11" x14ac:dyDescent="0.15">
      <c r="K545" s="216"/>
    </row>
    <row r="546" spans="11:11" x14ac:dyDescent="0.15">
      <c r="K546" s="216"/>
    </row>
    <row r="547" spans="11:11" x14ac:dyDescent="0.15">
      <c r="K547" s="216"/>
    </row>
    <row r="548" spans="11:11" x14ac:dyDescent="0.15">
      <c r="K548" s="216"/>
    </row>
    <row r="549" spans="11:11" x14ac:dyDescent="0.15">
      <c r="K549" s="216"/>
    </row>
    <row r="550" spans="11:11" x14ac:dyDescent="0.15">
      <c r="K550" s="216"/>
    </row>
    <row r="551" spans="11:11" x14ac:dyDescent="0.15">
      <c r="K551" s="216"/>
    </row>
    <row r="552" spans="11:11" x14ac:dyDescent="0.15">
      <c r="K552" s="216"/>
    </row>
    <row r="553" spans="11:11" x14ac:dyDescent="0.15">
      <c r="K553" s="216"/>
    </row>
    <row r="554" spans="11:11" x14ac:dyDescent="0.15">
      <c r="K554" s="216"/>
    </row>
    <row r="555" spans="11:11" x14ac:dyDescent="0.15">
      <c r="K555" s="216"/>
    </row>
    <row r="556" spans="11:11" x14ac:dyDescent="0.15">
      <c r="K556" s="216"/>
    </row>
    <row r="557" spans="11:11" x14ac:dyDescent="0.15">
      <c r="K557" s="216"/>
    </row>
    <row r="558" spans="11:11" x14ac:dyDescent="0.15">
      <c r="K558" s="216"/>
    </row>
    <row r="559" spans="11:11" x14ac:dyDescent="0.15">
      <c r="K559" s="216"/>
    </row>
    <row r="560" spans="11:11" x14ac:dyDescent="0.15">
      <c r="K560" s="216"/>
    </row>
    <row r="561" spans="11:11" x14ac:dyDescent="0.15">
      <c r="K561" s="216"/>
    </row>
    <row r="562" spans="11:11" x14ac:dyDescent="0.15">
      <c r="K562" s="216"/>
    </row>
    <row r="563" spans="11:11" x14ac:dyDescent="0.15">
      <c r="K563" s="216"/>
    </row>
    <row r="564" spans="11:11" x14ac:dyDescent="0.15">
      <c r="K564" s="216"/>
    </row>
    <row r="565" spans="11:11" x14ac:dyDescent="0.15">
      <c r="K565" s="216"/>
    </row>
    <row r="566" spans="11:11" x14ac:dyDescent="0.15">
      <c r="K566" s="216"/>
    </row>
    <row r="567" spans="11:11" x14ac:dyDescent="0.15">
      <c r="K567" s="216"/>
    </row>
    <row r="568" spans="11:11" x14ac:dyDescent="0.15">
      <c r="K568" s="216"/>
    </row>
    <row r="569" spans="11:11" x14ac:dyDescent="0.15">
      <c r="K569" s="216"/>
    </row>
    <row r="570" spans="11:11" x14ac:dyDescent="0.15">
      <c r="K570" s="216"/>
    </row>
    <row r="571" spans="11:11" x14ac:dyDescent="0.15">
      <c r="K571" s="216"/>
    </row>
    <row r="572" spans="11:11" x14ac:dyDescent="0.15">
      <c r="K572" s="216"/>
    </row>
    <row r="573" spans="11:11" x14ac:dyDescent="0.15">
      <c r="K573" s="216"/>
    </row>
    <row r="574" spans="11:11" x14ac:dyDescent="0.15">
      <c r="K574" s="216"/>
    </row>
    <row r="575" spans="11:11" x14ac:dyDescent="0.15">
      <c r="K575" s="216"/>
    </row>
    <row r="576" spans="11:11" x14ac:dyDescent="0.15">
      <c r="K576" s="216"/>
    </row>
    <row r="577" spans="11:11" x14ac:dyDescent="0.15">
      <c r="K577" s="216"/>
    </row>
    <row r="578" spans="11:11" x14ac:dyDescent="0.15">
      <c r="K578" s="216"/>
    </row>
    <row r="579" spans="11:11" x14ac:dyDescent="0.15">
      <c r="K579" s="216"/>
    </row>
    <row r="580" spans="11:11" x14ac:dyDescent="0.15">
      <c r="K580" s="216"/>
    </row>
    <row r="581" spans="11:11" x14ac:dyDescent="0.15">
      <c r="K581" s="216"/>
    </row>
    <row r="582" spans="11:11" x14ac:dyDescent="0.15">
      <c r="K582" s="216"/>
    </row>
    <row r="583" spans="11:11" x14ac:dyDescent="0.15">
      <c r="K583" s="216"/>
    </row>
    <row r="584" spans="11:11" x14ac:dyDescent="0.15">
      <c r="K584" s="216"/>
    </row>
    <row r="585" spans="11:11" x14ac:dyDescent="0.15">
      <c r="K585" s="216"/>
    </row>
    <row r="586" spans="11:11" x14ac:dyDescent="0.15">
      <c r="K586" s="216"/>
    </row>
    <row r="587" spans="11:11" x14ac:dyDescent="0.15">
      <c r="K587" s="216"/>
    </row>
    <row r="588" spans="11:11" x14ac:dyDescent="0.15">
      <c r="K588" s="216"/>
    </row>
    <row r="589" spans="11:11" x14ac:dyDescent="0.15">
      <c r="K589" s="216"/>
    </row>
    <row r="590" spans="11:11" x14ac:dyDescent="0.15">
      <c r="K590" s="216"/>
    </row>
    <row r="591" spans="11:11" x14ac:dyDescent="0.15">
      <c r="K591" s="216"/>
    </row>
    <row r="592" spans="11:11" x14ac:dyDescent="0.15">
      <c r="K592" s="216"/>
    </row>
    <row r="593" spans="11:11" x14ac:dyDescent="0.15">
      <c r="K593" s="216"/>
    </row>
    <row r="594" spans="11:11" x14ac:dyDescent="0.15">
      <c r="K594" s="216"/>
    </row>
    <row r="595" spans="11:11" x14ac:dyDescent="0.15">
      <c r="K595" s="216"/>
    </row>
    <row r="596" spans="11:11" x14ac:dyDescent="0.15">
      <c r="K596" s="216"/>
    </row>
    <row r="597" spans="11:11" x14ac:dyDescent="0.15">
      <c r="K597" s="216"/>
    </row>
    <row r="598" spans="11:11" x14ac:dyDescent="0.15">
      <c r="K598" s="216"/>
    </row>
    <row r="599" spans="11:11" x14ac:dyDescent="0.15">
      <c r="K599" s="216"/>
    </row>
    <row r="600" spans="11:11" x14ac:dyDescent="0.15">
      <c r="K600" s="216"/>
    </row>
    <row r="601" spans="11:11" x14ac:dyDescent="0.15">
      <c r="K601" s="216"/>
    </row>
    <row r="602" spans="11:11" x14ac:dyDescent="0.15">
      <c r="K602" s="216"/>
    </row>
    <row r="603" spans="11:11" x14ac:dyDescent="0.15">
      <c r="K603" s="216"/>
    </row>
    <row r="604" spans="11:11" x14ac:dyDescent="0.15">
      <c r="K604" s="216"/>
    </row>
    <row r="605" spans="11:11" x14ac:dyDescent="0.15">
      <c r="K605" s="216"/>
    </row>
    <row r="606" spans="11:11" x14ac:dyDescent="0.15">
      <c r="K606" s="216"/>
    </row>
    <row r="607" spans="11:11" x14ac:dyDescent="0.15">
      <c r="K607" s="216"/>
    </row>
    <row r="608" spans="11:11" x14ac:dyDescent="0.15">
      <c r="K608" s="216"/>
    </row>
    <row r="609" spans="11:11" x14ac:dyDescent="0.15">
      <c r="K609" s="216"/>
    </row>
    <row r="610" spans="11:11" x14ac:dyDescent="0.15">
      <c r="K610" s="216"/>
    </row>
    <row r="611" spans="11:11" x14ac:dyDescent="0.15">
      <c r="K611" s="216"/>
    </row>
    <row r="612" spans="11:11" x14ac:dyDescent="0.15">
      <c r="K612" s="216"/>
    </row>
    <row r="613" spans="11:11" x14ac:dyDescent="0.15">
      <c r="K613" s="216"/>
    </row>
    <row r="614" spans="11:11" x14ac:dyDescent="0.15">
      <c r="K614" s="216"/>
    </row>
    <row r="615" spans="11:11" x14ac:dyDescent="0.15">
      <c r="K615" s="216"/>
    </row>
    <row r="616" spans="11:11" x14ac:dyDescent="0.15">
      <c r="K616" s="216"/>
    </row>
    <row r="617" spans="11:11" x14ac:dyDescent="0.15">
      <c r="K617" s="216"/>
    </row>
    <row r="618" spans="11:11" x14ac:dyDescent="0.15">
      <c r="K618" s="216"/>
    </row>
    <row r="619" spans="11:11" x14ac:dyDescent="0.15">
      <c r="K619" s="216"/>
    </row>
    <row r="620" spans="11:11" x14ac:dyDescent="0.15">
      <c r="K620" s="216"/>
    </row>
    <row r="621" spans="11:11" x14ac:dyDescent="0.15">
      <c r="K621" s="216"/>
    </row>
    <row r="622" spans="11:11" x14ac:dyDescent="0.15">
      <c r="K622" s="216"/>
    </row>
    <row r="623" spans="11:11" x14ac:dyDescent="0.15">
      <c r="K623" s="216"/>
    </row>
    <row r="624" spans="11:11" x14ac:dyDescent="0.15">
      <c r="K624" s="216"/>
    </row>
    <row r="625" spans="11:11" x14ac:dyDescent="0.15">
      <c r="K625" s="216"/>
    </row>
    <row r="626" spans="11:11" x14ac:dyDescent="0.15">
      <c r="K626" s="216"/>
    </row>
    <row r="627" spans="11:11" x14ac:dyDescent="0.15">
      <c r="K627" s="216"/>
    </row>
    <row r="628" spans="11:11" x14ac:dyDescent="0.15">
      <c r="K628" s="216"/>
    </row>
    <row r="629" spans="11:11" x14ac:dyDescent="0.15">
      <c r="K629" s="216"/>
    </row>
    <row r="630" spans="11:11" x14ac:dyDescent="0.15">
      <c r="K630" s="216"/>
    </row>
    <row r="631" spans="11:11" x14ac:dyDescent="0.15">
      <c r="K631" s="216"/>
    </row>
    <row r="632" spans="11:11" x14ac:dyDescent="0.15">
      <c r="K632" s="216"/>
    </row>
    <row r="633" spans="11:11" x14ac:dyDescent="0.15">
      <c r="K633" s="216"/>
    </row>
    <row r="634" spans="11:11" x14ac:dyDescent="0.15">
      <c r="K634" s="216"/>
    </row>
    <row r="635" spans="11:11" x14ac:dyDescent="0.15">
      <c r="K635" s="216"/>
    </row>
    <row r="636" spans="11:11" x14ac:dyDescent="0.15">
      <c r="K636" s="216"/>
    </row>
    <row r="637" spans="11:11" x14ac:dyDescent="0.15">
      <c r="K637" s="216"/>
    </row>
    <row r="638" spans="11:11" x14ac:dyDescent="0.15">
      <c r="K638" s="216"/>
    </row>
    <row r="639" spans="11:11" x14ac:dyDescent="0.15">
      <c r="K639" s="216"/>
    </row>
    <row r="640" spans="11:11" x14ac:dyDescent="0.15">
      <c r="K640" s="216"/>
    </row>
    <row r="641" spans="11:11" x14ac:dyDescent="0.15">
      <c r="K641" s="216"/>
    </row>
    <row r="642" spans="11:11" x14ac:dyDescent="0.15">
      <c r="K642" s="216"/>
    </row>
    <row r="643" spans="11:11" x14ac:dyDescent="0.15">
      <c r="K643" s="216"/>
    </row>
    <row r="644" spans="11:11" x14ac:dyDescent="0.15">
      <c r="K644" s="216"/>
    </row>
    <row r="645" spans="11:11" x14ac:dyDescent="0.15">
      <c r="K645" s="216"/>
    </row>
    <row r="646" spans="11:11" x14ac:dyDescent="0.15">
      <c r="K646" s="216"/>
    </row>
    <row r="647" spans="11:11" x14ac:dyDescent="0.15">
      <c r="K647" s="216"/>
    </row>
    <row r="648" spans="11:11" x14ac:dyDescent="0.15">
      <c r="K648" s="216"/>
    </row>
    <row r="649" spans="11:11" x14ac:dyDescent="0.15">
      <c r="K649" s="216"/>
    </row>
    <row r="650" spans="11:11" x14ac:dyDescent="0.15">
      <c r="K650" s="216"/>
    </row>
    <row r="651" spans="11:11" x14ac:dyDescent="0.15">
      <c r="K651" s="216"/>
    </row>
    <row r="652" spans="11:11" x14ac:dyDescent="0.15">
      <c r="K652" s="216"/>
    </row>
    <row r="653" spans="11:11" x14ac:dyDescent="0.15">
      <c r="K653" s="216"/>
    </row>
    <row r="654" spans="11:11" x14ac:dyDescent="0.15">
      <c r="K654" s="216"/>
    </row>
    <row r="655" spans="11:11" x14ac:dyDescent="0.15">
      <c r="K655" s="216"/>
    </row>
    <row r="656" spans="11:11" x14ac:dyDescent="0.15">
      <c r="K656" s="216"/>
    </row>
    <row r="657" spans="11:11" x14ac:dyDescent="0.15">
      <c r="K657" s="216"/>
    </row>
    <row r="658" spans="11:11" x14ac:dyDescent="0.15">
      <c r="K658" s="216"/>
    </row>
    <row r="659" spans="11:11" x14ac:dyDescent="0.15">
      <c r="K659" s="216"/>
    </row>
    <row r="660" spans="11:11" x14ac:dyDescent="0.15">
      <c r="K660" s="216"/>
    </row>
    <row r="661" spans="11:11" x14ac:dyDescent="0.15">
      <c r="K661" s="216"/>
    </row>
    <row r="662" spans="11:11" x14ac:dyDescent="0.15">
      <c r="K662" s="216"/>
    </row>
    <row r="663" spans="11:11" x14ac:dyDescent="0.15">
      <c r="K663" s="216"/>
    </row>
    <row r="664" spans="11:11" x14ac:dyDescent="0.15">
      <c r="K664" s="216"/>
    </row>
    <row r="665" spans="11:11" x14ac:dyDescent="0.15">
      <c r="K665" s="216"/>
    </row>
    <row r="666" spans="11:11" x14ac:dyDescent="0.15">
      <c r="K666" s="216"/>
    </row>
    <row r="667" spans="11:11" x14ac:dyDescent="0.15">
      <c r="K667" s="216"/>
    </row>
    <row r="668" spans="11:11" x14ac:dyDescent="0.15">
      <c r="K668" s="216"/>
    </row>
    <row r="669" spans="11:11" x14ac:dyDescent="0.15">
      <c r="K669" s="216"/>
    </row>
    <row r="670" spans="11:11" x14ac:dyDescent="0.15">
      <c r="K670" s="216"/>
    </row>
    <row r="671" spans="11:11" x14ac:dyDescent="0.15">
      <c r="K671" s="216"/>
    </row>
    <row r="672" spans="11:11" x14ac:dyDescent="0.15">
      <c r="K672" s="216"/>
    </row>
    <row r="673" spans="11:11" x14ac:dyDescent="0.15">
      <c r="K673" s="216"/>
    </row>
    <row r="674" spans="11:11" x14ac:dyDescent="0.15">
      <c r="K674" s="216"/>
    </row>
    <row r="675" spans="11:11" x14ac:dyDescent="0.15">
      <c r="K675" s="216"/>
    </row>
    <row r="676" spans="11:11" x14ac:dyDescent="0.15">
      <c r="K676" s="216"/>
    </row>
    <row r="677" spans="11:11" x14ac:dyDescent="0.15">
      <c r="K677" s="216"/>
    </row>
    <row r="678" spans="11:11" x14ac:dyDescent="0.15">
      <c r="K678" s="216"/>
    </row>
    <row r="679" spans="11:11" x14ac:dyDescent="0.15">
      <c r="K679" s="216"/>
    </row>
    <row r="680" spans="11:11" x14ac:dyDescent="0.15">
      <c r="K680" s="216"/>
    </row>
    <row r="681" spans="11:11" x14ac:dyDescent="0.15">
      <c r="K681" s="216"/>
    </row>
    <row r="682" spans="11:11" x14ac:dyDescent="0.15">
      <c r="K682" s="216"/>
    </row>
    <row r="683" spans="11:11" x14ac:dyDescent="0.15">
      <c r="K683" s="216"/>
    </row>
    <row r="684" spans="11:11" x14ac:dyDescent="0.15">
      <c r="K684" s="216"/>
    </row>
    <row r="685" spans="11:11" x14ac:dyDescent="0.15">
      <c r="K685" s="216"/>
    </row>
    <row r="686" spans="11:11" x14ac:dyDescent="0.15">
      <c r="K686" s="216"/>
    </row>
    <row r="687" spans="11:11" x14ac:dyDescent="0.15">
      <c r="K687" s="216"/>
    </row>
    <row r="688" spans="11:11" x14ac:dyDescent="0.15">
      <c r="K688" s="216"/>
    </row>
    <row r="689" spans="11:11" x14ac:dyDescent="0.15">
      <c r="K689" s="216"/>
    </row>
    <row r="690" spans="11:11" x14ac:dyDescent="0.15">
      <c r="K690" s="216"/>
    </row>
    <row r="691" spans="11:11" x14ac:dyDescent="0.15">
      <c r="K691" s="216"/>
    </row>
    <row r="692" spans="11:11" x14ac:dyDescent="0.15">
      <c r="K692" s="216"/>
    </row>
    <row r="693" spans="11:11" x14ac:dyDescent="0.15">
      <c r="K693" s="216"/>
    </row>
    <row r="694" spans="11:11" x14ac:dyDescent="0.15">
      <c r="K694" s="216"/>
    </row>
    <row r="695" spans="11:11" x14ac:dyDescent="0.15">
      <c r="K695" s="216"/>
    </row>
    <row r="696" spans="11:11" x14ac:dyDescent="0.15">
      <c r="K696" s="216"/>
    </row>
    <row r="697" spans="11:11" x14ac:dyDescent="0.15">
      <c r="K697" s="216"/>
    </row>
    <row r="698" spans="11:11" x14ac:dyDescent="0.15">
      <c r="K698" s="216"/>
    </row>
    <row r="699" spans="11:11" x14ac:dyDescent="0.15">
      <c r="K699" s="216"/>
    </row>
    <row r="700" spans="11:11" x14ac:dyDescent="0.15">
      <c r="K700" s="216"/>
    </row>
    <row r="701" spans="11:11" x14ac:dyDescent="0.15">
      <c r="K701" s="216"/>
    </row>
    <row r="702" spans="11:11" x14ac:dyDescent="0.15">
      <c r="K702" s="216"/>
    </row>
    <row r="703" spans="11:11" x14ac:dyDescent="0.15">
      <c r="K703" s="216"/>
    </row>
    <row r="704" spans="11:11" x14ac:dyDescent="0.15">
      <c r="K704" s="216"/>
    </row>
    <row r="705" spans="11:11" x14ac:dyDescent="0.15">
      <c r="K705" s="216"/>
    </row>
    <row r="706" spans="11:11" x14ac:dyDescent="0.15">
      <c r="K706" s="216"/>
    </row>
    <row r="707" spans="11:11" x14ac:dyDescent="0.15">
      <c r="K707" s="216"/>
    </row>
    <row r="708" spans="11:11" x14ac:dyDescent="0.15">
      <c r="K708" s="216"/>
    </row>
    <row r="709" spans="11:11" x14ac:dyDescent="0.15">
      <c r="K709" s="216"/>
    </row>
    <row r="710" spans="11:11" x14ac:dyDescent="0.15">
      <c r="K710" s="216"/>
    </row>
    <row r="711" spans="11:11" x14ac:dyDescent="0.15">
      <c r="K711" s="216"/>
    </row>
    <row r="712" spans="11:11" x14ac:dyDescent="0.15">
      <c r="K712" s="216"/>
    </row>
    <row r="713" spans="11:11" x14ac:dyDescent="0.15">
      <c r="K713" s="216"/>
    </row>
    <row r="714" spans="11:11" x14ac:dyDescent="0.15">
      <c r="K714" s="216"/>
    </row>
    <row r="715" spans="11:11" x14ac:dyDescent="0.15">
      <c r="K715" s="216"/>
    </row>
    <row r="716" spans="11:11" x14ac:dyDescent="0.15">
      <c r="K716" s="216"/>
    </row>
    <row r="717" spans="11:11" x14ac:dyDescent="0.15">
      <c r="K717" s="216"/>
    </row>
    <row r="718" spans="11:11" x14ac:dyDescent="0.15">
      <c r="K718" s="216"/>
    </row>
    <row r="719" spans="11:11" x14ac:dyDescent="0.15">
      <c r="K719" s="216"/>
    </row>
    <row r="720" spans="11:11" x14ac:dyDescent="0.15">
      <c r="K720" s="216"/>
    </row>
    <row r="721" spans="11:11" x14ac:dyDescent="0.15">
      <c r="K721" s="216"/>
    </row>
    <row r="722" spans="11:11" x14ac:dyDescent="0.15">
      <c r="K722" s="216"/>
    </row>
    <row r="723" spans="11:11" x14ac:dyDescent="0.15">
      <c r="K723" s="216"/>
    </row>
    <row r="724" spans="11:11" x14ac:dyDescent="0.15">
      <c r="K724" s="216"/>
    </row>
    <row r="725" spans="11:11" x14ac:dyDescent="0.15">
      <c r="K725" s="216"/>
    </row>
    <row r="726" spans="11:11" x14ac:dyDescent="0.15">
      <c r="K726" s="216"/>
    </row>
    <row r="727" spans="11:11" x14ac:dyDescent="0.15">
      <c r="K727" s="216"/>
    </row>
    <row r="728" spans="11:11" x14ac:dyDescent="0.15">
      <c r="K728" s="216"/>
    </row>
    <row r="729" spans="11:11" x14ac:dyDescent="0.15">
      <c r="K729" s="216"/>
    </row>
    <row r="730" spans="11:11" x14ac:dyDescent="0.15">
      <c r="K730" s="216"/>
    </row>
    <row r="731" spans="11:11" x14ac:dyDescent="0.15">
      <c r="K731" s="216"/>
    </row>
    <row r="732" spans="11:11" x14ac:dyDescent="0.15">
      <c r="K732" s="216"/>
    </row>
    <row r="733" spans="11:11" x14ac:dyDescent="0.15">
      <c r="K733" s="216"/>
    </row>
    <row r="734" spans="11:11" x14ac:dyDescent="0.15">
      <c r="K734" s="216"/>
    </row>
    <row r="735" spans="11:11" x14ac:dyDescent="0.15">
      <c r="K735" s="216"/>
    </row>
    <row r="736" spans="11:11" x14ac:dyDescent="0.15">
      <c r="K736" s="216"/>
    </row>
    <row r="737" spans="11:11" x14ac:dyDescent="0.15">
      <c r="K737" s="216"/>
    </row>
    <row r="738" spans="11:11" x14ac:dyDescent="0.15">
      <c r="K738" s="216"/>
    </row>
    <row r="739" spans="11:11" x14ac:dyDescent="0.15">
      <c r="K739" s="216"/>
    </row>
    <row r="740" spans="11:11" x14ac:dyDescent="0.15">
      <c r="K740" s="216"/>
    </row>
    <row r="741" spans="11:11" x14ac:dyDescent="0.15">
      <c r="K741" s="216"/>
    </row>
    <row r="742" spans="11:11" x14ac:dyDescent="0.15">
      <c r="K742" s="216"/>
    </row>
    <row r="743" spans="11:11" x14ac:dyDescent="0.15">
      <c r="K743" s="216"/>
    </row>
    <row r="744" spans="11:11" x14ac:dyDescent="0.15">
      <c r="K744" s="216"/>
    </row>
    <row r="745" spans="11:11" x14ac:dyDescent="0.15">
      <c r="K745" s="216"/>
    </row>
    <row r="746" spans="11:11" x14ac:dyDescent="0.15">
      <c r="K746" s="216"/>
    </row>
    <row r="747" spans="11:11" x14ac:dyDescent="0.15">
      <c r="K747" s="216"/>
    </row>
    <row r="748" spans="11:11" x14ac:dyDescent="0.15">
      <c r="K748" s="216"/>
    </row>
    <row r="749" spans="11:11" x14ac:dyDescent="0.15">
      <c r="K749" s="216"/>
    </row>
    <row r="750" spans="11:11" x14ac:dyDescent="0.15">
      <c r="K750" s="216"/>
    </row>
    <row r="751" spans="11:11" x14ac:dyDescent="0.15">
      <c r="K751" s="216"/>
    </row>
    <row r="752" spans="11:11" x14ac:dyDescent="0.15">
      <c r="K752" s="216"/>
    </row>
  </sheetData>
  <autoFilter ref="A1:BA84"/>
  <phoneticPr fontId="3"/>
  <dataValidations count="12">
    <dataValidation type="list" allowBlank="1" showInputMessage="1" showErrorMessage="1" sqref="K2:K752">
      <formula1>$AR$2:$AR$23</formula1>
    </dataValidation>
    <dataValidation type="list" allowBlank="1" showInputMessage="1" showErrorMessage="1" sqref="A2:A439">
      <formula1>$AE$2:$AE$19</formula1>
    </dataValidation>
    <dataValidation type="list" allowBlank="1" showInputMessage="1" showErrorMessage="1" sqref="Y2:AA440">
      <formula1>$AV$2:$AV$21</formula1>
    </dataValidation>
    <dataValidation type="list" allowBlank="1" showInputMessage="1" showErrorMessage="1" sqref="H2:H440">
      <formula1>$AL$2:$AL$8</formula1>
    </dataValidation>
    <dataValidation type="list" allowBlank="1" showInputMessage="1" showErrorMessage="1" sqref="X2:X440">
      <formula1>$AT$2:$AT$3</formula1>
    </dataValidation>
    <dataValidation type="list" allowBlank="1" showInputMessage="1" showErrorMessage="1" sqref="G2:G440">
      <formula1>$AJ$2:$AJ$4</formula1>
    </dataValidation>
    <dataValidation type="list" allowBlank="1" showInputMessage="1" showErrorMessage="1" sqref="I2:I440">
      <formula1>$AN$5:$AN$6</formula1>
    </dataValidation>
    <dataValidation type="list" allowBlank="1" showInputMessage="1" showErrorMessage="1" sqref="J2:J440">
      <formula1>$AP$2:$AP$24</formula1>
    </dataValidation>
    <dataValidation type="list" allowBlank="1" showInputMessage="1" showErrorMessage="1" sqref="F2:F440">
      <formula1>$AH$2:$AH$11</formula1>
    </dataValidation>
    <dataValidation type="list" allowBlank="1" showInputMessage="1" showErrorMessage="1" sqref="E2:E440">
      <formula1>$AG$2:$AG$11</formula1>
    </dataValidation>
    <dataValidation type="decimal" allowBlank="1" showInputMessage="1" showErrorMessage="1" error="硬度を正しく入力して下さい。" sqref="O2:P49 O59:P440">
      <formula1>0</formula1>
      <formula2>7</formula2>
    </dataValidation>
    <dataValidation operator="equal" allowBlank="1" showInputMessage="1" showErrorMessage="1" sqref="B2:B97"/>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82FF137-87E2-4A0B-89A0-97A910A26632}"/>
</file>

<file path=customXml/itemProps2.xml><?xml version="1.0" encoding="utf-8"?>
<ds:datastoreItem xmlns:ds="http://schemas.openxmlformats.org/officeDocument/2006/customXml" ds:itemID="{772664B6-CB49-4C48-9D7B-9351E9BADE67}"/>
</file>

<file path=customXml/itemProps3.xml><?xml version="1.0" encoding="utf-8"?>
<ds:datastoreItem xmlns:ds="http://schemas.openxmlformats.org/officeDocument/2006/customXml" ds:itemID="{8130BE94-3A41-4A6F-85D3-042AE212D70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2018-07-30T03:23:43Z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