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629"/>
  <workbookPr defaultThemeVersion="124226"/>
  <mc:AlternateContent xmlns:mc="http://schemas.openxmlformats.org/markup-compatibility/2006">
    <mc:Choice Requires="x15">
      <x15ac:absPath xmlns:x15ac="http://schemas.microsoft.com/office/spreadsheetml/2010/11/ac" url="\\192.168.11.200\000_全国共有\2-Zespri\品質調査\2019\24週\"/>
    </mc:Choice>
  </mc:AlternateContent>
  <xr:revisionPtr revIDLastSave="0" documentId="13_ncr:1_{DD98BAB0-67AA-4E29-ABAD-876463DD81C2}" xr6:coauthVersionLast="43" xr6:coauthVersionMax="43"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24" r:id="rId3"/>
    <sheet name="osaka" sheetId="19" r:id="rId4"/>
    <sheet name="hiroshima" sheetId="20" r:id="rId5"/>
    <sheet name="fukuoka" sheetId="21" r:id="rId6"/>
    <sheet name="tokyo-east(ota)" sheetId="22" r:id="rId7"/>
    <sheet name="tokyo-west(kato)" sheetId="23" r:id="rId8"/>
  </sheets>
  <definedNames>
    <definedName name="_xlnm._FilterDatabase" localSheetId="5" hidden="1">fukuoka!$A$1:$BA$152</definedName>
    <definedName name="_xlnm._FilterDatabase" localSheetId="4" hidden="1">hiroshima!$A$1:$BA$1</definedName>
    <definedName name="_xlnm._FilterDatabase" localSheetId="1" hidden="1">miyagi!$A$1:$BA$426</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'tokyo-west(kato)'!$A$1:$BA$82</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T58" i="24" l="1"/>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136" i="23" l="1"/>
  <c r="V136" i="23" s="1"/>
  <c r="Q136" i="23"/>
  <c r="T135" i="23"/>
  <c r="V135" i="23" s="1"/>
  <c r="Q135" i="23"/>
  <c r="T134" i="23"/>
  <c r="V134" i="23" s="1"/>
  <c r="Q134" i="23"/>
  <c r="T133" i="23"/>
  <c r="V133" i="23" s="1"/>
  <c r="Q133" i="23"/>
  <c r="T132" i="23"/>
  <c r="V132" i="23" s="1"/>
  <c r="Q132" i="23"/>
  <c r="T131" i="23"/>
  <c r="V131" i="23" s="1"/>
  <c r="Q131" i="23"/>
  <c r="T130" i="23"/>
  <c r="V130" i="23" s="1"/>
  <c r="Q130" i="23"/>
  <c r="T129" i="23"/>
  <c r="V129" i="23" s="1"/>
  <c r="Q129" i="23"/>
  <c r="T128" i="23"/>
  <c r="V128" i="23" s="1"/>
  <c r="Q128" i="23"/>
  <c r="T127" i="23"/>
  <c r="V127" i="23" s="1"/>
  <c r="Q127" i="23"/>
  <c r="T126" i="23"/>
  <c r="V126" i="23" s="1"/>
  <c r="Q126" i="23"/>
  <c r="T125" i="23"/>
  <c r="V125" i="23" s="1"/>
  <c r="Q125" i="23"/>
  <c r="T124" i="23"/>
  <c r="V124" i="23" s="1"/>
  <c r="Q124" i="23"/>
  <c r="T123" i="23"/>
  <c r="V123" i="23" s="1"/>
  <c r="Q123" i="23"/>
  <c r="T122" i="23"/>
  <c r="V122" i="23" s="1"/>
  <c r="Q122" i="23"/>
  <c r="T121" i="23"/>
  <c r="V121" i="23" s="1"/>
  <c r="Q121" i="23"/>
  <c r="T120" i="23"/>
  <c r="V120" i="23" s="1"/>
  <c r="Q120" i="23"/>
  <c r="T119" i="23"/>
  <c r="V119" i="23" s="1"/>
  <c r="Q119" i="23"/>
  <c r="T118" i="23"/>
  <c r="V118" i="23" s="1"/>
  <c r="Q118" i="23"/>
  <c r="T117" i="23"/>
  <c r="V117" i="23" s="1"/>
  <c r="Q117" i="23"/>
  <c r="T116" i="23"/>
  <c r="V116" i="23" s="1"/>
  <c r="Q116" i="23"/>
  <c r="T115" i="23"/>
  <c r="V115" i="23" s="1"/>
  <c r="Q115" i="23"/>
  <c r="T114" i="23"/>
  <c r="V114" i="23" s="1"/>
  <c r="Q114" i="23"/>
  <c r="T113" i="23"/>
  <c r="V113" i="23" s="1"/>
  <c r="Q113" i="23"/>
  <c r="T112" i="23"/>
  <c r="V112" i="23" s="1"/>
  <c r="Q112" i="23"/>
  <c r="T111" i="23"/>
  <c r="V111" i="23" s="1"/>
  <c r="Q111" i="23"/>
  <c r="T110" i="23"/>
  <c r="V110" i="23" s="1"/>
  <c r="Q110" i="23"/>
  <c r="T109" i="23"/>
  <c r="V109" i="23" s="1"/>
  <c r="Q109" i="23"/>
  <c r="T108" i="23"/>
  <c r="V108" i="23" s="1"/>
  <c r="Q108" i="23"/>
  <c r="T107" i="23"/>
  <c r="V107" i="23" s="1"/>
  <c r="Q107" i="23"/>
  <c r="T106" i="23"/>
  <c r="V106" i="23" s="1"/>
  <c r="Q106" i="23"/>
  <c r="T105" i="23"/>
  <c r="V105" i="23" s="1"/>
  <c r="Q105" i="23"/>
  <c r="T104" i="23"/>
  <c r="V104" i="23" s="1"/>
  <c r="Q104" i="23"/>
  <c r="T103" i="23"/>
  <c r="V103" i="23" s="1"/>
  <c r="Q103" i="23"/>
  <c r="T102" i="23"/>
  <c r="V102" i="23" s="1"/>
  <c r="Q102" i="23"/>
  <c r="T101" i="23"/>
  <c r="V101" i="23" s="1"/>
  <c r="Q101" i="23"/>
  <c r="T100" i="23"/>
  <c r="V100" i="23" s="1"/>
  <c r="Q100" i="23"/>
  <c r="T99" i="23"/>
  <c r="V99" i="23" s="1"/>
  <c r="Q99" i="23"/>
  <c r="T98" i="23"/>
  <c r="V98" i="23" s="1"/>
  <c r="Q98" i="23"/>
  <c r="T97" i="23"/>
  <c r="V97" i="23" s="1"/>
  <c r="Q97" i="23"/>
  <c r="T96" i="23"/>
  <c r="V96" i="23" s="1"/>
  <c r="Q96" i="23"/>
  <c r="T95" i="23"/>
  <c r="V95" i="23" s="1"/>
  <c r="Q95" i="23"/>
  <c r="T94" i="23"/>
  <c r="V94" i="23" s="1"/>
  <c r="Q94" i="23"/>
  <c r="T93" i="23"/>
  <c r="V93" i="23" s="1"/>
  <c r="Q93" i="23"/>
  <c r="T92" i="23"/>
  <c r="V92" i="23" s="1"/>
  <c r="Q92" i="23"/>
  <c r="T91" i="23"/>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T91" i="22" l="1"/>
  <c r="V91" i="22" s="1"/>
  <c r="Q91" i="22"/>
  <c r="T90" i="22"/>
  <c r="V90" i="22" s="1"/>
  <c r="Q90" i="22"/>
  <c r="T89" i="22"/>
  <c r="V89" i="22" s="1"/>
  <c r="Q89" i="22"/>
  <c r="T88" i="22"/>
  <c r="V88" i="22" s="1"/>
  <c r="Q88" i="22"/>
  <c r="T87" i="22"/>
  <c r="V87" i="22" s="1"/>
  <c r="Q87" i="22"/>
  <c r="T86" i="22"/>
  <c r="V86" i="22" s="1"/>
  <c r="Q86" i="22"/>
  <c r="T85" i="22"/>
  <c r="V85" i="22" s="1"/>
  <c r="Q85" i="22"/>
  <c r="T84" i="22"/>
  <c r="V84" i="22" s="1"/>
  <c r="Q84" i="22"/>
  <c r="T83" i="22"/>
  <c r="V83" i="22" s="1"/>
  <c r="Q83" i="22"/>
  <c r="T82" i="22"/>
  <c r="V82" i="22" s="1"/>
  <c r="Q82" i="22"/>
  <c r="T81" i="22"/>
  <c r="V81" i="22" s="1"/>
  <c r="Q81" i="22"/>
  <c r="T80" i="22"/>
  <c r="V80" i="22" s="1"/>
  <c r="Q80" i="22"/>
  <c r="T79" i="22"/>
  <c r="V79" i="22" s="1"/>
  <c r="Q79" i="22"/>
  <c r="T78" i="22"/>
  <c r="V78" i="22" s="1"/>
  <c r="Q78" i="22"/>
  <c r="T77" i="22"/>
  <c r="V77" i="22" s="1"/>
  <c r="Q77" i="22"/>
  <c r="T76" i="22"/>
  <c r="V76" i="22" s="1"/>
  <c r="Q76" i="22"/>
  <c r="T75" i="22"/>
  <c r="V75" i="22" s="1"/>
  <c r="Q75" i="22"/>
  <c r="T74" i="22"/>
  <c r="V74" i="22" s="1"/>
  <c r="Q74" i="22"/>
  <c r="T73" i="22"/>
  <c r="V73" i="22" s="1"/>
  <c r="Q73" i="22"/>
  <c r="T72" i="22"/>
  <c r="V72" i="22" s="1"/>
  <c r="Q72" i="22"/>
  <c r="T71" i="22"/>
  <c r="V71" i="22" s="1"/>
  <c r="Q71" i="22"/>
  <c r="T70" i="22"/>
  <c r="V70" i="22" s="1"/>
  <c r="Q70" i="22"/>
  <c r="T69" i="22"/>
  <c r="V69" i="22" s="1"/>
  <c r="Q69" i="22"/>
  <c r="T68" i="22"/>
  <c r="V68" i="22" s="1"/>
  <c r="Q68" i="22"/>
  <c r="T67" i="22"/>
  <c r="V67" i="22" s="1"/>
  <c r="Q67" i="22"/>
  <c r="T66" i="22"/>
  <c r="V66" i="22" s="1"/>
  <c r="Q66" i="22"/>
  <c r="T65" i="22"/>
  <c r="V65" i="22" s="1"/>
  <c r="Q65" i="22"/>
  <c r="T64" i="22"/>
  <c r="V64" i="22" s="1"/>
  <c r="Q64" i="22"/>
  <c r="T63" i="22"/>
  <c r="V63" i="22" s="1"/>
  <c r="Q63" i="22"/>
  <c r="T62" i="22"/>
  <c r="V62" i="22" s="1"/>
  <c r="Q62" i="22"/>
  <c r="T61" i="22"/>
  <c r="V61" i="22" s="1"/>
  <c r="Q61" i="22"/>
  <c r="T60" i="22"/>
  <c r="V60" i="22" s="1"/>
  <c r="Q60" i="22"/>
  <c r="T59" i="22"/>
  <c r="V59" i="22" s="1"/>
  <c r="Q59" i="22"/>
  <c r="T58" i="22"/>
  <c r="V58" i="22" s="1"/>
  <c r="Q58" i="22"/>
  <c r="T57" i="22"/>
  <c r="V57" i="22" s="1"/>
  <c r="Q57" i="22"/>
  <c r="T56" i="22"/>
  <c r="V56" i="22" s="1"/>
  <c r="Q56" i="22"/>
  <c r="T55" i="22"/>
  <c r="V55" i="22" s="1"/>
  <c r="Q55" i="22"/>
  <c r="T54" i="22"/>
  <c r="V54" i="22" s="1"/>
  <c r="Q54" i="22"/>
  <c r="T53" i="22"/>
  <c r="V53" i="22" s="1"/>
  <c r="Q53" i="22"/>
  <c r="T52" i="22"/>
  <c r="V52" i="22" s="1"/>
  <c r="Q52" i="22"/>
  <c r="T51" i="22"/>
  <c r="V51" i="22" s="1"/>
  <c r="Q51" i="22"/>
  <c r="T50" i="22"/>
  <c r="V50" i="22" s="1"/>
  <c r="Q50" i="22"/>
  <c r="T49" i="22"/>
  <c r="V49" i="22" s="1"/>
  <c r="Q49" i="22"/>
  <c r="T48" i="22"/>
  <c r="V48" i="22" s="1"/>
  <c r="Q48" i="22"/>
  <c r="T47" i="22"/>
  <c r="V47" i="22" s="1"/>
  <c r="Q47" i="22"/>
  <c r="T46" i="22"/>
  <c r="V46" i="22" s="1"/>
  <c r="Q46" i="22"/>
  <c r="T45" i="22"/>
  <c r="V45" i="22" s="1"/>
  <c r="Q45" i="22"/>
  <c r="T44" i="22"/>
  <c r="V44" i="22" s="1"/>
  <c r="Q44" i="22"/>
  <c r="T43" i="22"/>
  <c r="V43" i="22" s="1"/>
  <c r="Q43" i="22"/>
  <c r="T42" i="22"/>
  <c r="V42" i="22" s="1"/>
  <c r="Q42" i="22"/>
  <c r="T41" i="22"/>
  <c r="V41" i="22" s="1"/>
  <c r="Q41" i="22"/>
  <c r="T40" i="22"/>
  <c r="V40" i="22" s="1"/>
  <c r="Q40" i="22"/>
  <c r="T39" i="22"/>
  <c r="V39" i="22" s="1"/>
  <c r="Q39" i="22"/>
  <c r="T38" i="22"/>
  <c r="V38" i="22" s="1"/>
  <c r="Q38" i="22"/>
  <c r="T37" i="22"/>
  <c r="V37" i="22" s="1"/>
  <c r="Q37" i="22"/>
  <c r="T36" i="22"/>
  <c r="V36" i="22" s="1"/>
  <c r="Q36" i="22"/>
  <c r="T35" i="22"/>
  <c r="V35" i="22" s="1"/>
  <c r="Q35" i="22"/>
  <c r="T34" i="22"/>
  <c r="V34" i="22" s="1"/>
  <c r="Q34" i="22"/>
  <c r="T33" i="22"/>
  <c r="V33" i="22" s="1"/>
  <c r="Q33" i="22"/>
  <c r="T32" i="22"/>
  <c r="V32" i="22" s="1"/>
  <c r="Q32" i="22"/>
  <c r="T31" i="22"/>
  <c r="V31" i="22" s="1"/>
  <c r="Q31" i="22"/>
  <c r="T30" i="22"/>
  <c r="V30" i="22" s="1"/>
  <c r="Q30" i="22"/>
  <c r="T29" i="22"/>
  <c r="V29" i="22" s="1"/>
  <c r="Q29" i="22"/>
  <c r="T28" i="22"/>
  <c r="V28" i="22" s="1"/>
  <c r="Q28" i="22"/>
  <c r="T27" i="22"/>
  <c r="V27" i="22" s="1"/>
  <c r="Q27" i="22"/>
  <c r="T26" i="22"/>
  <c r="V26" i="22" s="1"/>
  <c r="Q26" i="22"/>
  <c r="T25" i="22"/>
  <c r="V25" i="22" s="1"/>
  <c r="Q25" i="22"/>
  <c r="T24" i="22"/>
  <c r="V24" i="22" s="1"/>
  <c r="Q24" i="22"/>
  <c r="T23" i="22"/>
  <c r="V23" i="22" s="1"/>
  <c r="Q23" i="22"/>
  <c r="T22" i="22"/>
  <c r="V22" i="22" s="1"/>
  <c r="Q22" i="22"/>
  <c r="T21" i="22"/>
  <c r="V21" i="22" s="1"/>
  <c r="Q21" i="22"/>
  <c r="T20" i="22"/>
  <c r="V20" i="22" s="1"/>
  <c r="Q20" i="22"/>
  <c r="T19" i="22"/>
  <c r="V19" i="22" s="1"/>
  <c r="Q19" i="22"/>
  <c r="T18" i="22"/>
  <c r="V18" i="22" s="1"/>
  <c r="Q18" i="22"/>
  <c r="T17" i="22"/>
  <c r="V17" i="22" s="1"/>
  <c r="Q17" i="22"/>
  <c r="T16" i="22"/>
  <c r="V16" i="22" s="1"/>
  <c r="Q16" i="22"/>
  <c r="T15" i="22"/>
  <c r="V15" i="22" s="1"/>
  <c r="Q15" i="22"/>
  <c r="T14" i="22"/>
  <c r="V14" i="22" s="1"/>
  <c r="Q14" i="22"/>
  <c r="T13" i="22"/>
  <c r="V13" i="22" s="1"/>
  <c r="Q13" i="22"/>
  <c r="T12" i="22"/>
  <c r="V12" i="22" s="1"/>
  <c r="Q12" i="22"/>
  <c r="T11" i="22"/>
  <c r="V11" i="22" s="1"/>
  <c r="Q11" i="22"/>
  <c r="T10" i="22"/>
  <c r="V10" i="22" s="1"/>
  <c r="Q10" i="22"/>
  <c r="T9" i="22"/>
  <c r="V9" i="22" s="1"/>
  <c r="Q9" i="22"/>
  <c r="T8" i="22"/>
  <c r="V8" i="22" s="1"/>
  <c r="Q8" i="22"/>
  <c r="T7" i="22"/>
  <c r="V7" i="22" s="1"/>
  <c r="Q7" i="22"/>
  <c r="T6" i="22"/>
  <c r="V6" i="22" s="1"/>
  <c r="Q6" i="22"/>
  <c r="T5" i="22"/>
  <c r="V5" i="22" s="1"/>
  <c r="Q5" i="22"/>
  <c r="T4" i="22"/>
  <c r="V4" i="22" s="1"/>
  <c r="Q4" i="22"/>
  <c r="T3" i="22"/>
  <c r="V3" i="22" s="1"/>
  <c r="Q3" i="22"/>
  <c r="T2" i="22"/>
  <c r="V2" i="22" s="1"/>
  <c r="Q2" i="22"/>
  <c r="V152" i="21" l="1"/>
  <c r="T152" i="21"/>
  <c r="Q152" i="21"/>
  <c r="V151" i="21"/>
  <c r="T151" i="21"/>
  <c r="Q151" i="21"/>
  <c r="V150" i="21"/>
  <c r="T150" i="21"/>
  <c r="Q150" i="21"/>
  <c r="V149" i="21"/>
  <c r="T149" i="21"/>
  <c r="Q149" i="21"/>
  <c r="V148" i="21"/>
  <c r="T148" i="21"/>
  <c r="Q148" i="21"/>
  <c r="V147" i="21"/>
  <c r="T147" i="21"/>
  <c r="Q147" i="21"/>
  <c r="V146" i="21"/>
  <c r="T146" i="21"/>
  <c r="Q146" i="21"/>
  <c r="V145" i="21"/>
  <c r="T145" i="21"/>
  <c r="Q145" i="21"/>
  <c r="V144" i="21"/>
  <c r="T144" i="21"/>
  <c r="Q144" i="21"/>
  <c r="V143" i="21"/>
  <c r="T143" i="21"/>
  <c r="Q143" i="21"/>
  <c r="V142" i="21"/>
  <c r="T142" i="21"/>
  <c r="Q142" i="21"/>
  <c r="V141" i="21"/>
  <c r="T141" i="21"/>
  <c r="Q141" i="21"/>
  <c r="V140" i="21"/>
  <c r="T140" i="21"/>
  <c r="Q140" i="21"/>
  <c r="V139" i="21"/>
  <c r="T139" i="21"/>
  <c r="Q139" i="21"/>
  <c r="V138" i="21"/>
  <c r="T138" i="21"/>
  <c r="Q138" i="21"/>
  <c r="V137" i="21"/>
  <c r="T137" i="21"/>
  <c r="Q137" i="21"/>
  <c r="V136" i="21"/>
  <c r="T136" i="21"/>
  <c r="Q136" i="21"/>
  <c r="V135" i="21"/>
  <c r="T135" i="21"/>
  <c r="Q135" i="21"/>
  <c r="V134" i="21"/>
  <c r="T134" i="21"/>
  <c r="Q134" i="21"/>
  <c r="V133" i="21"/>
  <c r="T133" i="21"/>
  <c r="Q133" i="21"/>
  <c r="V132" i="21"/>
  <c r="T132" i="21"/>
  <c r="Q132" i="21"/>
  <c r="V131" i="21"/>
  <c r="T131" i="21"/>
  <c r="Q131" i="21"/>
  <c r="V130" i="21"/>
  <c r="T130" i="21"/>
  <c r="Q130" i="21"/>
  <c r="V129" i="21"/>
  <c r="T129" i="21"/>
  <c r="Q129" i="21"/>
  <c r="V128" i="21"/>
  <c r="T128" i="21"/>
  <c r="Q128" i="21"/>
  <c r="V127" i="21"/>
  <c r="T127" i="21"/>
  <c r="Q127" i="21"/>
  <c r="V126" i="21"/>
  <c r="T126" i="21"/>
  <c r="Q126" i="21"/>
  <c r="V125" i="21"/>
  <c r="T125" i="21"/>
  <c r="Q125" i="21"/>
  <c r="V124" i="21"/>
  <c r="T124" i="21"/>
  <c r="Q124" i="21"/>
  <c r="V123" i="21"/>
  <c r="T123" i="21"/>
  <c r="Q123" i="21"/>
  <c r="V122" i="21"/>
  <c r="T122" i="21"/>
  <c r="Q122" i="21"/>
  <c r="V121" i="21"/>
  <c r="T121" i="21"/>
  <c r="Q121" i="21"/>
  <c r="V120" i="21"/>
  <c r="T120" i="21"/>
  <c r="Q120" i="21"/>
  <c r="V119" i="21"/>
  <c r="T119" i="21"/>
  <c r="Q119" i="21"/>
  <c r="V118" i="21"/>
  <c r="T118" i="21"/>
  <c r="Q118" i="21"/>
  <c r="V117" i="21"/>
  <c r="T117" i="21"/>
  <c r="Q117" i="21"/>
  <c r="V116" i="21"/>
  <c r="T116" i="21"/>
  <c r="Q116" i="21"/>
  <c r="V115" i="21"/>
  <c r="T115" i="21"/>
  <c r="Q115" i="21"/>
  <c r="V114" i="21"/>
  <c r="T114" i="21"/>
  <c r="Q114" i="21"/>
  <c r="V113" i="21"/>
  <c r="T113" i="21"/>
  <c r="Q113" i="21"/>
  <c r="V112" i="21"/>
  <c r="T112" i="21"/>
  <c r="Q112" i="21"/>
  <c r="V111" i="21"/>
  <c r="T111" i="21"/>
  <c r="Q111" i="21"/>
  <c r="V110" i="21"/>
  <c r="T110" i="21"/>
  <c r="Q110" i="21"/>
  <c r="V109" i="21"/>
  <c r="T109" i="21"/>
  <c r="Q109" i="21"/>
  <c r="V108" i="21"/>
  <c r="T108" i="21"/>
  <c r="Q108" i="21"/>
  <c r="V107" i="21"/>
  <c r="T107" i="21"/>
  <c r="Q107" i="21"/>
  <c r="V106" i="21"/>
  <c r="T106" i="21"/>
  <c r="Q106" i="21"/>
  <c r="V105" i="21"/>
  <c r="T105" i="21"/>
  <c r="Q105" i="21"/>
  <c r="V104" i="21"/>
  <c r="T104" i="21"/>
  <c r="Q104" i="21"/>
  <c r="V103" i="21"/>
  <c r="T103" i="21"/>
  <c r="Q103" i="21"/>
  <c r="V102" i="21"/>
  <c r="T102" i="21"/>
  <c r="Q102" i="21"/>
  <c r="V101" i="21"/>
  <c r="T101" i="21"/>
  <c r="Q101" i="21"/>
  <c r="V61" i="21"/>
  <c r="T61" i="21"/>
  <c r="Q61" i="21"/>
  <c r="V60" i="21"/>
  <c r="T60" i="21"/>
  <c r="Q60" i="21"/>
  <c r="V59" i="21"/>
  <c r="T59" i="21"/>
  <c r="Q59" i="21"/>
  <c r="V58" i="21"/>
  <c r="T58" i="21"/>
  <c r="Q58" i="21"/>
  <c r="V57" i="21"/>
  <c r="T57" i="21"/>
  <c r="Q57" i="21"/>
  <c r="V56" i="21"/>
  <c r="T56" i="21"/>
  <c r="Q56" i="21"/>
  <c r="V55" i="21"/>
  <c r="T55" i="21"/>
  <c r="Q55" i="21"/>
  <c r="V54" i="21"/>
  <c r="T54" i="21"/>
  <c r="Q54" i="21"/>
  <c r="V53" i="21"/>
  <c r="T53" i="21"/>
  <c r="Q53" i="21"/>
  <c r="V52" i="21"/>
  <c r="T52" i="21"/>
  <c r="Q52" i="21"/>
  <c r="V51" i="21"/>
  <c r="T51" i="21"/>
  <c r="Q51" i="21"/>
  <c r="V50" i="21"/>
  <c r="T50" i="21"/>
  <c r="Q50" i="21"/>
  <c r="V49" i="21"/>
  <c r="T49" i="21"/>
  <c r="Q49" i="21"/>
  <c r="V48" i="21"/>
  <c r="T48" i="21"/>
  <c r="Q48" i="21"/>
  <c r="V47" i="21"/>
  <c r="T47" i="21"/>
  <c r="Q47" i="21"/>
  <c r="V46" i="21"/>
  <c r="T46" i="21"/>
  <c r="Q46" i="21"/>
  <c r="V45" i="21"/>
  <c r="T45" i="21"/>
  <c r="Q45" i="21"/>
  <c r="V44" i="21"/>
  <c r="T44" i="21"/>
  <c r="Q44" i="21"/>
  <c r="V43" i="21"/>
  <c r="T43" i="21"/>
  <c r="Q43" i="21"/>
  <c r="V42" i="21"/>
  <c r="T42" i="21"/>
  <c r="Q42" i="21"/>
  <c r="V41" i="21"/>
  <c r="T41" i="21"/>
  <c r="Q41" i="21"/>
  <c r="V40" i="21"/>
  <c r="T40" i="21"/>
  <c r="Q40" i="21"/>
  <c r="V39" i="21"/>
  <c r="T39" i="21"/>
  <c r="Q39" i="21"/>
  <c r="V38" i="21"/>
  <c r="T38" i="21"/>
  <c r="Q38" i="21"/>
  <c r="V37" i="21"/>
  <c r="T37" i="21"/>
  <c r="Q37" i="21"/>
  <c r="V36" i="21"/>
  <c r="T36" i="21"/>
  <c r="Q36" i="21"/>
  <c r="V35" i="21"/>
  <c r="T35" i="21"/>
  <c r="Q35" i="21"/>
  <c r="V34" i="21"/>
  <c r="T34" i="21"/>
  <c r="Q34" i="21"/>
  <c r="V33" i="21"/>
  <c r="T33" i="21"/>
  <c r="Q33" i="21"/>
  <c r="V32" i="21"/>
  <c r="T32" i="21"/>
  <c r="Q32" i="21"/>
  <c r="V31" i="21"/>
  <c r="T31" i="21"/>
  <c r="Q31" i="21"/>
  <c r="V30" i="21"/>
  <c r="T30" i="21"/>
  <c r="Q30" i="21"/>
  <c r="V29" i="21"/>
  <c r="T29" i="21"/>
  <c r="Q29" i="21"/>
  <c r="V28" i="21"/>
  <c r="T28" i="21"/>
  <c r="Q28" i="21"/>
  <c r="V27" i="21"/>
  <c r="T27" i="21"/>
  <c r="Q27" i="21"/>
  <c r="V26" i="21"/>
  <c r="T26" i="21"/>
  <c r="Q26" i="21"/>
  <c r="V25" i="21"/>
  <c r="T25" i="21"/>
  <c r="Q25" i="21"/>
  <c r="V24" i="21"/>
  <c r="T24" i="21"/>
  <c r="Q24" i="21"/>
  <c r="V23" i="21"/>
  <c r="T23" i="21"/>
  <c r="Q23" i="21"/>
  <c r="V22" i="21"/>
  <c r="T22" i="21"/>
  <c r="Q22" i="21"/>
  <c r="V21" i="21"/>
  <c r="T21" i="21"/>
  <c r="Q21" i="21"/>
  <c r="V20" i="21"/>
  <c r="T20" i="21"/>
  <c r="Q20" i="21"/>
  <c r="V19" i="21"/>
  <c r="T19" i="21"/>
  <c r="Q19" i="21"/>
  <c r="V18" i="21"/>
  <c r="T18" i="21"/>
  <c r="Q18" i="21"/>
  <c r="V17" i="21"/>
  <c r="T17" i="21"/>
  <c r="Q17" i="21"/>
  <c r="V16" i="21"/>
  <c r="T16" i="21"/>
  <c r="Q16" i="21"/>
  <c r="V15" i="21"/>
  <c r="T15" i="21"/>
  <c r="Q15" i="21"/>
  <c r="V14" i="21"/>
  <c r="T14" i="21"/>
  <c r="Q14" i="21"/>
  <c r="V13" i="21"/>
  <c r="T13" i="21"/>
  <c r="Q13" i="21"/>
  <c r="V12" i="21"/>
  <c r="T12" i="21"/>
  <c r="Q12" i="21"/>
  <c r="V11" i="21"/>
  <c r="T11" i="21"/>
  <c r="Q11" i="21"/>
  <c r="V10" i="21"/>
  <c r="T10" i="21"/>
  <c r="Q10" i="21"/>
  <c r="V9" i="21"/>
  <c r="T9" i="21"/>
  <c r="Q9" i="21"/>
  <c r="V8" i="21"/>
  <c r="T8" i="21"/>
  <c r="Q8" i="21"/>
  <c r="V7" i="21"/>
  <c r="T7" i="21"/>
  <c r="Q7" i="21"/>
  <c r="V6" i="21"/>
  <c r="T6" i="21"/>
  <c r="Q6" i="21"/>
  <c r="V5" i="21"/>
  <c r="T5" i="21"/>
  <c r="Q5" i="21"/>
  <c r="V4" i="21"/>
  <c r="T4" i="21"/>
  <c r="Q4" i="21"/>
  <c r="V3" i="21"/>
  <c r="T3" i="21"/>
  <c r="Q3" i="21"/>
  <c r="V2" i="21"/>
  <c r="T2" i="21"/>
  <c r="Q2" i="21"/>
  <c r="T88" i="20" l="1"/>
  <c r="V88" i="20" s="1"/>
  <c r="Q88" i="20"/>
  <c r="T87" i="20"/>
  <c r="V87" i="20" s="1"/>
  <c r="Q87" i="20"/>
  <c r="T86" i="20"/>
  <c r="V86" i="20" s="1"/>
  <c r="Q86"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85" i="19" l="1"/>
  <c r="V85" i="19" s="1"/>
  <c r="Q85" i="19"/>
  <c r="T84" i="19"/>
  <c r="V84" i="19" s="1"/>
  <c r="Q84" i="19"/>
  <c r="T83" i="19"/>
  <c r="V83" i="19" s="1"/>
  <c r="Q83" i="19"/>
  <c r="T82" i="19"/>
  <c r="V82" i="19" s="1"/>
  <c r="Q82" i="19"/>
  <c r="T81" i="19"/>
  <c r="V81" i="19" s="1"/>
  <c r="Q81" i="19"/>
  <c r="T80" i="19"/>
  <c r="V80" i="19" s="1"/>
  <c r="Q80" i="19"/>
  <c r="T79" i="19"/>
  <c r="V79" i="19" s="1"/>
  <c r="Q79" i="19"/>
  <c r="T78" i="19"/>
  <c r="V78" i="19" s="1"/>
  <c r="Q78" i="19"/>
  <c r="T77" i="19"/>
  <c r="V77" i="19" s="1"/>
  <c r="Q77" i="19"/>
  <c r="T76" i="19"/>
  <c r="V76" i="19" s="1"/>
  <c r="Q76" i="19"/>
  <c r="T75" i="19"/>
  <c r="V75" i="19" s="1"/>
  <c r="Q75" i="19"/>
  <c r="T74" i="19"/>
  <c r="V74" i="19" s="1"/>
  <c r="Q74" i="19"/>
  <c r="T73" i="19"/>
  <c r="V73" i="19" s="1"/>
  <c r="Q73" i="19"/>
  <c r="T72" i="19"/>
  <c r="V72" i="19" s="1"/>
  <c r="Q72" i="19"/>
  <c r="T71" i="19"/>
  <c r="V71" i="19" s="1"/>
  <c r="Q71" i="19"/>
  <c r="T70" i="19"/>
  <c r="V70" i="19" s="1"/>
  <c r="Q70" i="19"/>
  <c r="T69" i="19"/>
  <c r="V69" i="19" s="1"/>
  <c r="Q69" i="19"/>
  <c r="T68" i="19"/>
  <c r="V68" i="19" s="1"/>
  <c r="Q68" i="19"/>
  <c r="T67" i="19"/>
  <c r="V67" i="19" s="1"/>
  <c r="Q67" i="19"/>
  <c r="T66" i="19"/>
  <c r="V66" i="19" s="1"/>
  <c r="Q66" i="19"/>
  <c r="T65" i="19"/>
  <c r="V65" i="19" s="1"/>
  <c r="Q65" i="19"/>
  <c r="T64" i="19"/>
  <c r="V64" i="19" s="1"/>
  <c r="Q64" i="19"/>
  <c r="T63" i="19"/>
  <c r="V63" i="19" s="1"/>
  <c r="Q63" i="19"/>
  <c r="T62" i="19"/>
  <c r="V62" i="19" s="1"/>
  <c r="Q62" i="19"/>
  <c r="T61" i="19"/>
  <c r="V61" i="19" s="1"/>
  <c r="Q61" i="19"/>
  <c r="T60" i="19"/>
  <c r="V60" i="19" s="1"/>
  <c r="Q60" i="19"/>
  <c r="T59" i="19"/>
  <c r="V59" i="19" s="1"/>
  <c r="Q59" i="19"/>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426" i="18"/>
  <c r="T425" i="18"/>
  <c r="T424" i="18"/>
  <c r="T423" i="18"/>
  <c r="T422" i="18"/>
  <c r="T421" i="18"/>
  <c r="T420" i="18"/>
  <c r="T419" i="18"/>
  <c r="T418" i="18"/>
  <c r="T417" i="18"/>
  <c r="T416" i="18"/>
  <c r="T415" i="18"/>
  <c r="T414" i="18"/>
  <c r="T413" i="18"/>
  <c r="T412" i="18"/>
  <c r="T411" i="18"/>
  <c r="T410" i="18"/>
  <c r="T409" i="18"/>
  <c r="T408" i="18"/>
  <c r="T407" i="18"/>
  <c r="T406" i="18"/>
  <c r="V406" i="18" s="1"/>
  <c r="T405" i="18"/>
  <c r="V405" i="18" s="1"/>
  <c r="T404" i="18"/>
  <c r="V404" i="18" s="1"/>
  <c r="T403" i="18"/>
  <c r="V403" i="18" s="1"/>
  <c r="T402" i="18"/>
  <c r="V402" i="18" s="1"/>
  <c r="T401" i="18"/>
  <c r="V401" i="18" s="1"/>
  <c r="T400" i="18"/>
  <c r="V400" i="18" s="1"/>
  <c r="T399" i="18"/>
  <c r="V399" i="18" s="1"/>
  <c r="T398" i="18"/>
  <c r="V398" i="18" s="1"/>
  <c r="Q398" i="18"/>
  <c r="V397" i="18"/>
  <c r="T397" i="18"/>
  <c r="Q397" i="18"/>
  <c r="T396" i="18"/>
  <c r="V396" i="18" s="1"/>
  <c r="Q396" i="18"/>
  <c r="T395" i="18"/>
  <c r="V395" i="18" s="1"/>
  <c r="Q395" i="18"/>
  <c r="T394" i="18"/>
  <c r="V394" i="18" s="1"/>
  <c r="Q394" i="18"/>
  <c r="V393" i="18"/>
  <c r="T393" i="18"/>
  <c r="Q393" i="18"/>
  <c r="T392" i="18"/>
  <c r="V392" i="18" s="1"/>
  <c r="Q392" i="18"/>
  <c r="T391" i="18"/>
  <c r="V391" i="18" s="1"/>
  <c r="Q391" i="18"/>
  <c r="T390" i="18"/>
  <c r="V390" i="18" s="1"/>
  <c r="Q390" i="18"/>
  <c r="V389" i="18"/>
  <c r="T389" i="18"/>
  <c r="Q389" i="18"/>
  <c r="T388" i="18"/>
  <c r="V388" i="18" s="1"/>
  <c r="Q388" i="18"/>
  <c r="T387" i="18"/>
  <c r="V387" i="18" s="1"/>
  <c r="Q387" i="18"/>
  <c r="T386" i="18"/>
  <c r="V386" i="18" s="1"/>
  <c r="Q386" i="18"/>
  <c r="V385" i="18"/>
  <c r="T385" i="18"/>
  <c r="Q385" i="18"/>
  <c r="T384" i="18"/>
  <c r="V384" i="18" s="1"/>
  <c r="Q384" i="18"/>
  <c r="T383" i="18"/>
  <c r="V383" i="18" s="1"/>
  <c r="Q383" i="18"/>
  <c r="T382" i="18"/>
  <c r="V382" i="18" s="1"/>
  <c r="Q382" i="18"/>
  <c r="V381" i="18"/>
  <c r="T381" i="18"/>
  <c r="Q381" i="18"/>
  <c r="T380" i="18"/>
  <c r="V380" i="18" s="1"/>
  <c r="Q380" i="18"/>
  <c r="T379" i="18"/>
  <c r="V379" i="18" s="1"/>
  <c r="Q379" i="18"/>
  <c r="T378" i="18"/>
  <c r="V378" i="18" s="1"/>
  <c r="Q378" i="18"/>
  <c r="V377" i="18"/>
  <c r="T377" i="18"/>
  <c r="Q377" i="18"/>
  <c r="T376" i="18"/>
  <c r="V376" i="18" s="1"/>
  <c r="Q376" i="18"/>
  <c r="T375" i="18"/>
  <c r="V375" i="18" s="1"/>
  <c r="Q375" i="18"/>
  <c r="T374" i="18"/>
  <c r="V374" i="18" s="1"/>
  <c r="Q374" i="18"/>
  <c r="V373" i="18"/>
  <c r="T373" i="18"/>
  <c r="Q373" i="18"/>
  <c r="T372" i="18"/>
  <c r="V372" i="18" s="1"/>
  <c r="Q372" i="18"/>
  <c r="T371" i="18"/>
  <c r="V371" i="18" s="1"/>
  <c r="Q371" i="18"/>
  <c r="T370" i="18"/>
  <c r="V370" i="18" s="1"/>
  <c r="Q370" i="18"/>
  <c r="V369" i="18"/>
  <c r="T369" i="18"/>
  <c r="Q369" i="18"/>
  <c r="T368" i="18"/>
  <c r="V368" i="18" s="1"/>
  <c r="Q368" i="18"/>
  <c r="T367" i="18"/>
  <c r="V367" i="18" s="1"/>
  <c r="Q367" i="18"/>
  <c r="T366" i="18"/>
  <c r="V366" i="18" s="1"/>
  <c r="Q366" i="18"/>
  <c r="V365" i="18"/>
  <c r="T365" i="18"/>
  <c r="Q365" i="18"/>
  <c r="T364" i="18"/>
  <c r="V364" i="18" s="1"/>
  <c r="Q364" i="18"/>
  <c r="T363" i="18"/>
  <c r="V363" i="18" s="1"/>
  <c r="Q363" i="18"/>
  <c r="T362" i="18"/>
  <c r="V362" i="18" s="1"/>
  <c r="Q362" i="18"/>
  <c r="V361" i="18"/>
  <c r="T361" i="18"/>
  <c r="Q361" i="18"/>
  <c r="T360" i="18"/>
  <c r="V360" i="18" s="1"/>
  <c r="Q360" i="18"/>
  <c r="T359" i="18"/>
  <c r="V359" i="18" s="1"/>
  <c r="Q359" i="18"/>
  <c r="T358" i="18"/>
  <c r="V358" i="18" s="1"/>
  <c r="Q358" i="18"/>
  <c r="V357" i="18"/>
  <c r="T357" i="18"/>
  <c r="Q357" i="18"/>
  <c r="T356" i="18"/>
  <c r="V356" i="18" s="1"/>
  <c r="Q356" i="18"/>
  <c r="T355" i="18"/>
  <c r="V355" i="18" s="1"/>
  <c r="Q355" i="18"/>
  <c r="T354" i="18"/>
  <c r="V354" i="18" s="1"/>
  <c r="Q354" i="18"/>
  <c r="V353" i="18"/>
  <c r="T353" i="18"/>
  <c r="Q353" i="18"/>
  <c r="T352" i="18"/>
  <c r="V352" i="18" s="1"/>
  <c r="Q352" i="18"/>
  <c r="T351" i="18"/>
  <c r="V351" i="18" s="1"/>
  <c r="Q351" i="18"/>
  <c r="T350" i="18"/>
  <c r="V350" i="18" s="1"/>
  <c r="Q350" i="18"/>
  <c r="V349" i="18"/>
  <c r="T349" i="18"/>
  <c r="Q349" i="18"/>
  <c r="T348" i="18"/>
  <c r="V348" i="18" s="1"/>
  <c r="Q348" i="18"/>
  <c r="T347" i="18"/>
  <c r="V347" i="18" s="1"/>
  <c r="Q347" i="18"/>
  <c r="T346" i="18"/>
  <c r="V346" i="18" s="1"/>
  <c r="Q346" i="18"/>
  <c r="V345" i="18"/>
  <c r="T345" i="18"/>
  <c r="Q345" i="18"/>
  <c r="T344" i="18"/>
  <c r="V344" i="18" s="1"/>
  <c r="Q344" i="18"/>
  <c r="T343" i="18"/>
  <c r="V343" i="18" s="1"/>
  <c r="Q343" i="18"/>
  <c r="T342" i="18"/>
  <c r="V342" i="18" s="1"/>
  <c r="Q342" i="18"/>
  <c r="V341" i="18"/>
  <c r="T341" i="18"/>
  <c r="Q341" i="18"/>
  <c r="T340" i="18"/>
  <c r="V340" i="18" s="1"/>
  <c r="Q340" i="18"/>
  <c r="T339" i="18"/>
  <c r="V339" i="18" s="1"/>
  <c r="Q339" i="18"/>
  <c r="T338" i="18"/>
  <c r="V338" i="18" s="1"/>
  <c r="Q338" i="18"/>
  <c r="V337" i="18"/>
  <c r="T337" i="18"/>
  <c r="Q337" i="18"/>
  <c r="T336" i="18"/>
  <c r="V336" i="18" s="1"/>
  <c r="Q336" i="18"/>
  <c r="T335" i="18"/>
  <c r="V335" i="18" s="1"/>
  <c r="Q335" i="18"/>
  <c r="T334" i="18"/>
  <c r="V334" i="18" s="1"/>
  <c r="Q334" i="18"/>
  <c r="V333" i="18"/>
  <c r="T333" i="18"/>
  <c r="Q333" i="18"/>
  <c r="T332" i="18"/>
  <c r="V332" i="18" s="1"/>
  <c r="Q332" i="18"/>
  <c r="T331" i="18"/>
  <c r="V331" i="18" s="1"/>
  <c r="Q331" i="18"/>
  <c r="T330" i="18"/>
  <c r="V330" i="18" s="1"/>
  <c r="Q330" i="18"/>
  <c r="V329" i="18"/>
  <c r="T329" i="18"/>
  <c r="Q329" i="18"/>
  <c r="T328" i="18"/>
  <c r="V328" i="18" s="1"/>
  <c r="Q328" i="18"/>
  <c r="T327" i="18"/>
  <c r="V327" i="18" s="1"/>
  <c r="Q327" i="18"/>
  <c r="T326" i="18"/>
  <c r="V326" i="18" s="1"/>
  <c r="Q326" i="18"/>
  <c r="V325" i="18"/>
  <c r="T325" i="18"/>
  <c r="Q325" i="18"/>
  <c r="T324" i="18"/>
  <c r="V324" i="18" s="1"/>
  <c r="Q324" i="18"/>
  <c r="T323" i="18"/>
  <c r="V323" i="18" s="1"/>
  <c r="Q323" i="18"/>
  <c r="T322" i="18"/>
  <c r="V322" i="18" s="1"/>
  <c r="Q322" i="18"/>
  <c r="V321" i="18"/>
  <c r="T321" i="18"/>
  <c r="Q321" i="18"/>
  <c r="T320" i="18"/>
  <c r="V320" i="18" s="1"/>
  <c r="Q320" i="18"/>
  <c r="T319" i="18"/>
  <c r="V319" i="18" s="1"/>
  <c r="Q319" i="18"/>
  <c r="T318" i="18"/>
  <c r="V318" i="18" s="1"/>
  <c r="Q318" i="18"/>
  <c r="V317" i="18"/>
  <c r="T317" i="18"/>
  <c r="Q317" i="18"/>
  <c r="T316" i="18"/>
  <c r="V316" i="18" s="1"/>
  <c r="Q316" i="18"/>
  <c r="T315" i="18"/>
  <c r="V315" i="18" s="1"/>
  <c r="Q315" i="18"/>
  <c r="T314" i="18"/>
  <c r="V314" i="18" s="1"/>
  <c r="Q314" i="18"/>
  <c r="V313" i="18"/>
  <c r="T313" i="18"/>
  <c r="Q313" i="18"/>
  <c r="T312" i="18"/>
  <c r="V312" i="18" s="1"/>
  <c r="Q312" i="18"/>
  <c r="T311" i="18"/>
  <c r="V311" i="18" s="1"/>
  <c r="Q311" i="18"/>
  <c r="T310" i="18"/>
  <c r="V310" i="18" s="1"/>
  <c r="Q310" i="18"/>
  <c r="V309" i="18"/>
  <c r="T309" i="18"/>
  <c r="Q309" i="18"/>
  <c r="T308" i="18"/>
  <c r="V308" i="18" s="1"/>
  <c r="Q308" i="18"/>
  <c r="T307" i="18"/>
  <c r="V307" i="18" s="1"/>
  <c r="Q307" i="18"/>
  <c r="T306" i="18"/>
  <c r="V306" i="18" s="1"/>
  <c r="Q306" i="18"/>
  <c r="V305" i="18"/>
  <c r="T305" i="18"/>
  <c r="Q305" i="18"/>
  <c r="T304" i="18"/>
  <c r="V304" i="18" s="1"/>
  <c r="Q304" i="18"/>
  <c r="T303" i="18"/>
  <c r="V303" i="18" s="1"/>
  <c r="Q303" i="18"/>
  <c r="T302" i="18"/>
  <c r="V302" i="18" s="1"/>
  <c r="Q302" i="18"/>
  <c r="V301" i="18"/>
  <c r="T301" i="18"/>
  <c r="Q301" i="18"/>
  <c r="T300" i="18"/>
  <c r="V300" i="18" s="1"/>
  <c r="Q300" i="18"/>
  <c r="T299" i="18"/>
  <c r="V299" i="18" s="1"/>
  <c r="Q299" i="18"/>
  <c r="T298" i="18"/>
  <c r="V298" i="18" s="1"/>
  <c r="Q298" i="18"/>
  <c r="V297" i="18"/>
  <c r="T297" i="18"/>
  <c r="Q297" i="18"/>
  <c r="T296" i="18"/>
  <c r="V296" i="18" s="1"/>
  <c r="Q296" i="18"/>
  <c r="T295" i="18"/>
  <c r="V295" i="18" s="1"/>
  <c r="Q295" i="18"/>
  <c r="T294" i="18"/>
  <c r="V294" i="18" s="1"/>
  <c r="Q294" i="18"/>
  <c r="V293" i="18"/>
  <c r="T293" i="18"/>
  <c r="Q293" i="18"/>
  <c r="T292" i="18"/>
  <c r="V292" i="18" s="1"/>
  <c r="Q292" i="18"/>
  <c r="T291" i="18"/>
  <c r="V291" i="18" s="1"/>
  <c r="Q291" i="18"/>
  <c r="T290" i="18"/>
  <c r="V290" i="18" s="1"/>
  <c r="Q290" i="18"/>
  <c r="V289" i="18"/>
  <c r="T289" i="18"/>
  <c r="Q289" i="18"/>
  <c r="T288" i="18"/>
  <c r="V288" i="18" s="1"/>
  <c r="Q288" i="18"/>
  <c r="T287" i="18"/>
  <c r="V287" i="18" s="1"/>
  <c r="Q287" i="18"/>
  <c r="T286" i="18"/>
  <c r="V286" i="18" s="1"/>
  <c r="Q286" i="18"/>
  <c r="V285" i="18"/>
  <c r="T285" i="18"/>
  <c r="Q285" i="18"/>
  <c r="T284" i="18"/>
  <c r="V284" i="18" s="1"/>
  <c r="Q284" i="18"/>
  <c r="T283" i="18"/>
  <c r="V283" i="18" s="1"/>
  <c r="Q283" i="18"/>
  <c r="T282" i="18"/>
  <c r="V282" i="18" s="1"/>
  <c r="Q282" i="18"/>
  <c r="V281" i="18"/>
  <c r="T281" i="18"/>
  <c r="Q281" i="18"/>
  <c r="T280" i="18"/>
  <c r="V280" i="18" s="1"/>
  <c r="Q280" i="18"/>
  <c r="T279" i="18"/>
  <c r="V279" i="18" s="1"/>
  <c r="Q279" i="18"/>
  <c r="T278" i="18"/>
  <c r="V278" i="18" s="1"/>
  <c r="Q278" i="18"/>
  <c r="V277" i="18"/>
  <c r="T277" i="18"/>
  <c r="Q277" i="18"/>
  <c r="T276" i="18"/>
  <c r="V276" i="18" s="1"/>
  <c r="Q276" i="18"/>
  <c r="T275" i="18"/>
  <c r="V275" i="18" s="1"/>
  <c r="Q275" i="18"/>
  <c r="T274" i="18"/>
  <c r="V274" i="18" s="1"/>
  <c r="Q274" i="18"/>
  <c r="V273" i="18"/>
  <c r="T273" i="18"/>
  <c r="Q273" i="18"/>
  <c r="T272" i="18"/>
  <c r="V272" i="18" s="1"/>
  <c r="Q272" i="18"/>
  <c r="T271" i="18"/>
  <c r="V271" i="18" s="1"/>
  <c r="Q271" i="18"/>
  <c r="T270" i="18"/>
  <c r="V270" i="18" s="1"/>
  <c r="Q270" i="18"/>
  <c r="V269" i="18"/>
  <c r="T269" i="18"/>
  <c r="Q269" i="18"/>
  <c r="T268" i="18"/>
  <c r="V268" i="18" s="1"/>
  <c r="Q268" i="18"/>
  <c r="T267" i="18"/>
  <c r="V267" i="18" s="1"/>
  <c r="Q267" i="18"/>
  <c r="T266" i="18"/>
  <c r="V266" i="18" s="1"/>
  <c r="Q266" i="18"/>
  <c r="V265" i="18"/>
  <c r="T265" i="18"/>
  <c r="Q265" i="18"/>
  <c r="T264" i="18"/>
  <c r="V264" i="18" s="1"/>
  <c r="Q264" i="18"/>
  <c r="T263" i="18"/>
  <c r="V263" i="18" s="1"/>
  <c r="Q263" i="18"/>
  <c r="T262" i="18"/>
  <c r="V262" i="18" s="1"/>
  <c r="Q262" i="18"/>
  <c r="V261" i="18"/>
  <c r="T261" i="18"/>
  <c r="Q261" i="18"/>
  <c r="T260" i="18"/>
  <c r="V260" i="18" s="1"/>
  <c r="Q260" i="18"/>
  <c r="T259" i="18"/>
  <c r="V259" i="18" s="1"/>
  <c r="Q259" i="18"/>
  <c r="T258" i="18"/>
  <c r="V258" i="18" s="1"/>
  <c r="Q258" i="18"/>
  <c r="V257" i="18"/>
  <c r="T257" i="18"/>
  <c r="Q257" i="18"/>
  <c r="T256" i="18"/>
  <c r="V256" i="18" s="1"/>
  <c r="Q256" i="18"/>
  <c r="T255" i="18"/>
  <c r="V255" i="18" s="1"/>
  <c r="Q255" i="18"/>
  <c r="T254" i="18"/>
  <c r="V254" i="18" s="1"/>
  <c r="Q254" i="18"/>
  <c r="V253" i="18"/>
  <c r="T253" i="18"/>
  <c r="Q253" i="18"/>
  <c r="T252" i="18"/>
  <c r="V252" i="18" s="1"/>
  <c r="Q252" i="18"/>
  <c r="T251" i="18"/>
  <c r="V251" i="18" s="1"/>
  <c r="Q251" i="18"/>
  <c r="T250" i="18"/>
  <c r="V250" i="18" s="1"/>
  <c r="Q250" i="18"/>
  <c r="V249" i="18"/>
  <c r="T249" i="18"/>
  <c r="Q249" i="18"/>
  <c r="T248" i="18"/>
  <c r="V248" i="18" s="1"/>
  <c r="Q248" i="18"/>
  <c r="T247" i="18"/>
  <c r="V247" i="18" s="1"/>
  <c r="Q247" i="18"/>
  <c r="T246" i="18"/>
  <c r="V246" i="18" s="1"/>
  <c r="Q246" i="18"/>
  <c r="V245" i="18"/>
  <c r="T245" i="18"/>
  <c r="Q245" i="18"/>
  <c r="T244" i="18"/>
  <c r="V244" i="18" s="1"/>
  <c r="Q244" i="18"/>
  <c r="T243" i="18"/>
  <c r="V243" i="18" s="1"/>
  <c r="Q243" i="18"/>
  <c r="T242" i="18"/>
  <c r="V242" i="18" s="1"/>
  <c r="Q242" i="18"/>
  <c r="T241" i="18"/>
  <c r="V241" i="18" s="1"/>
  <c r="Q241" i="18"/>
  <c r="T240" i="18"/>
  <c r="V240" i="18" s="1"/>
  <c r="Q240" i="18"/>
  <c r="T239" i="18"/>
  <c r="V239" i="18" s="1"/>
  <c r="Q239" i="18"/>
  <c r="T238" i="18"/>
  <c r="V238" i="18" s="1"/>
  <c r="Q238" i="18"/>
  <c r="V237" i="18"/>
  <c r="T237" i="18"/>
  <c r="Q237" i="18"/>
  <c r="T236" i="18"/>
  <c r="V236" i="18" s="1"/>
  <c r="Q236" i="18"/>
  <c r="T235" i="18"/>
  <c r="V235" i="18" s="1"/>
  <c r="Q235" i="18"/>
  <c r="T234" i="18"/>
  <c r="V234" i="18" s="1"/>
  <c r="Q234" i="18"/>
  <c r="V233" i="18"/>
  <c r="T233" i="18"/>
  <c r="Q233" i="18"/>
  <c r="T232" i="18"/>
  <c r="V232" i="18" s="1"/>
  <c r="Q232" i="18"/>
  <c r="T231" i="18"/>
  <c r="V231" i="18" s="1"/>
  <c r="Q231" i="18"/>
  <c r="T230" i="18"/>
  <c r="V230" i="18" s="1"/>
  <c r="Q230" i="18"/>
  <c r="V229" i="18"/>
  <c r="T229" i="18"/>
  <c r="Q229" i="18"/>
  <c r="T228" i="18"/>
  <c r="V228" i="18" s="1"/>
  <c r="Q228" i="18"/>
  <c r="T227" i="18"/>
  <c r="V227" i="18" s="1"/>
  <c r="Q227" i="18"/>
  <c r="T226" i="18"/>
  <c r="V226" i="18" s="1"/>
  <c r="Q226" i="18"/>
  <c r="T225" i="18"/>
  <c r="V225" i="18" s="1"/>
  <c r="Q225" i="18"/>
  <c r="T224" i="18"/>
  <c r="V224" i="18" s="1"/>
  <c r="Q224" i="18"/>
  <c r="T223" i="18"/>
  <c r="V223" i="18" s="1"/>
  <c r="Q223" i="18"/>
  <c r="T222" i="18"/>
  <c r="V222" i="18" s="1"/>
  <c r="Q222" i="18"/>
  <c r="V221" i="18"/>
  <c r="T221" i="18"/>
  <c r="Q221" i="18"/>
  <c r="T220" i="18"/>
  <c r="V220" i="18" s="1"/>
  <c r="Q220" i="18"/>
  <c r="T219" i="18"/>
  <c r="V219" i="18" s="1"/>
  <c r="Q219" i="18"/>
  <c r="T218" i="18"/>
  <c r="V218" i="18" s="1"/>
  <c r="Q218" i="18"/>
  <c r="V217" i="18"/>
  <c r="T217" i="18"/>
  <c r="Q217" i="18"/>
  <c r="T216" i="18"/>
  <c r="V216" i="18" s="1"/>
  <c r="Q216" i="18"/>
  <c r="T215" i="18"/>
  <c r="V215" i="18" s="1"/>
  <c r="Q215" i="18"/>
  <c r="T214" i="18"/>
  <c r="V214" i="18" s="1"/>
  <c r="Q214" i="18"/>
  <c r="V213" i="18"/>
  <c r="T213" i="18"/>
  <c r="Q213" i="18"/>
  <c r="T212" i="18"/>
  <c r="V212" i="18" s="1"/>
  <c r="Q212" i="18"/>
  <c r="T211" i="18"/>
  <c r="V211" i="18" s="1"/>
  <c r="Q211" i="18"/>
  <c r="T210" i="18"/>
  <c r="V210" i="18" s="1"/>
  <c r="Q210" i="18"/>
  <c r="T209" i="18"/>
  <c r="V209" i="18" s="1"/>
  <c r="Q209" i="18"/>
  <c r="T208" i="18"/>
  <c r="V208" i="18" s="1"/>
  <c r="Q208" i="18"/>
  <c r="T207" i="18"/>
  <c r="V207" i="18" s="1"/>
  <c r="Q207" i="18"/>
  <c r="T206" i="18"/>
  <c r="V206" i="18" s="1"/>
  <c r="Q206" i="18"/>
  <c r="V205" i="18"/>
  <c r="T205" i="18"/>
  <c r="Q205" i="18"/>
  <c r="T204" i="18"/>
  <c r="V204" i="18" s="1"/>
  <c r="Q204" i="18"/>
  <c r="T203" i="18"/>
  <c r="V203" i="18" s="1"/>
  <c r="Q203" i="18"/>
  <c r="T202" i="18"/>
  <c r="V202" i="18" s="1"/>
  <c r="Q202" i="18"/>
  <c r="V201" i="18"/>
  <c r="T201" i="18"/>
  <c r="Q201" i="18"/>
  <c r="T200" i="18"/>
  <c r="V200" i="18" s="1"/>
  <c r="Q200" i="18"/>
  <c r="T199" i="18"/>
  <c r="V199" i="18" s="1"/>
  <c r="Q199" i="18"/>
  <c r="T198" i="18"/>
  <c r="V198" i="18" s="1"/>
  <c r="Q198" i="18"/>
  <c r="V197" i="18"/>
  <c r="T197" i="18"/>
  <c r="Q197" i="18"/>
  <c r="T196" i="18"/>
  <c r="V196" i="18" s="1"/>
  <c r="Q196" i="18"/>
  <c r="T195" i="18"/>
  <c r="V195" i="18" s="1"/>
  <c r="Q195" i="18"/>
  <c r="T194" i="18"/>
  <c r="V194" i="18" s="1"/>
  <c r="Q194" i="18"/>
  <c r="T193" i="18"/>
  <c r="V193" i="18" s="1"/>
  <c r="Q193" i="18"/>
  <c r="T192" i="18"/>
  <c r="V192" i="18" s="1"/>
  <c r="Q192" i="18"/>
  <c r="T191" i="18"/>
  <c r="V191" i="18" s="1"/>
  <c r="Q191" i="18"/>
  <c r="T190" i="18"/>
  <c r="V190" i="18" s="1"/>
  <c r="Q190" i="18"/>
  <c r="V189" i="18"/>
  <c r="T189" i="18"/>
  <c r="Q189" i="18"/>
  <c r="T188" i="18"/>
  <c r="V188" i="18" s="1"/>
  <c r="Q188" i="18"/>
  <c r="T187" i="18"/>
  <c r="V187" i="18" s="1"/>
  <c r="Q187" i="18"/>
  <c r="T186" i="18"/>
  <c r="V186" i="18" s="1"/>
  <c r="Q186" i="18"/>
  <c r="V185" i="18"/>
  <c r="T185" i="18"/>
  <c r="Q185" i="18"/>
  <c r="T184" i="18"/>
  <c r="V184" i="18" s="1"/>
  <c r="Q184" i="18"/>
  <c r="T183" i="18"/>
  <c r="V183" i="18" s="1"/>
  <c r="Q183" i="18"/>
  <c r="T182" i="18"/>
  <c r="V182" i="18" s="1"/>
  <c r="Q182" i="18"/>
  <c r="V181" i="18"/>
  <c r="T181" i="18"/>
  <c r="Q181" i="18"/>
  <c r="T180" i="18"/>
  <c r="V180" i="18" s="1"/>
  <c r="Q180" i="18"/>
  <c r="T179" i="18"/>
  <c r="V179" i="18" s="1"/>
  <c r="Q179" i="18"/>
  <c r="T178" i="18"/>
  <c r="V178" i="18" s="1"/>
  <c r="Q178" i="18"/>
  <c r="T177" i="18"/>
  <c r="V177" i="18" s="1"/>
  <c r="Q177" i="18"/>
  <c r="T176" i="18"/>
  <c r="V176" i="18" s="1"/>
  <c r="Q176" i="18"/>
  <c r="T175" i="18"/>
  <c r="V175" i="18" s="1"/>
  <c r="Q175" i="18"/>
  <c r="T174" i="18"/>
  <c r="V174" i="18" s="1"/>
  <c r="Q174" i="18"/>
  <c r="T173" i="18"/>
  <c r="V173" i="18" s="1"/>
  <c r="Q173" i="18"/>
  <c r="T172" i="18"/>
  <c r="V172" i="18" s="1"/>
  <c r="Q172" i="18"/>
  <c r="T171" i="18"/>
  <c r="V171" i="18" s="1"/>
  <c r="Q171" i="18"/>
  <c r="T170" i="18"/>
  <c r="V170" i="18" s="1"/>
  <c r="Q170" i="18"/>
  <c r="T169" i="18"/>
  <c r="V169" i="18" s="1"/>
  <c r="Q169" i="18"/>
  <c r="T168" i="18"/>
  <c r="V168" i="18" s="1"/>
  <c r="Q168" i="18"/>
  <c r="T167" i="18"/>
  <c r="V167" i="18" s="1"/>
  <c r="Q167" i="18"/>
  <c r="T166" i="18"/>
  <c r="V166" i="18" s="1"/>
  <c r="Q166" i="18"/>
  <c r="T165" i="18"/>
  <c r="V165" i="18" s="1"/>
  <c r="Q165" i="18"/>
  <c r="T164" i="18"/>
  <c r="V164" i="18" s="1"/>
  <c r="Q164" i="18"/>
  <c r="T163" i="18"/>
  <c r="V163" i="18" s="1"/>
  <c r="Q163" i="18"/>
  <c r="T162" i="18"/>
  <c r="V162" i="18" s="1"/>
  <c r="Q162" i="18"/>
  <c r="T161" i="18"/>
  <c r="V161" i="18" s="1"/>
  <c r="Q161" i="18"/>
  <c r="T160" i="18"/>
  <c r="V160" i="18" s="1"/>
  <c r="Q160" i="18"/>
  <c r="T159" i="18"/>
  <c r="V159" i="18" s="1"/>
  <c r="Q159" i="18"/>
  <c r="T158" i="18"/>
  <c r="V158" i="18" s="1"/>
  <c r="Q158" i="18"/>
  <c r="T157" i="18"/>
  <c r="V157" i="18" s="1"/>
  <c r="Q157" i="18"/>
  <c r="T156" i="18"/>
  <c r="V156" i="18" s="1"/>
  <c r="Q156" i="18"/>
  <c r="T155" i="18"/>
  <c r="V155" i="18" s="1"/>
  <c r="Q155" i="18"/>
  <c r="T154" i="18"/>
  <c r="V154" i="18" s="1"/>
  <c r="Q154" i="18"/>
  <c r="T153" i="18"/>
  <c r="V153" i="18" s="1"/>
  <c r="Q153" i="18"/>
  <c r="T152" i="18"/>
  <c r="V152" i="18" s="1"/>
  <c r="Q152" i="18"/>
  <c r="T151" i="18"/>
  <c r="V151" i="18" s="1"/>
  <c r="Q151" i="18"/>
  <c r="T150" i="18"/>
  <c r="V150" i="18" s="1"/>
  <c r="Q150" i="18"/>
  <c r="T149" i="18"/>
  <c r="V149" i="18" s="1"/>
  <c r="Q149" i="18"/>
  <c r="T148" i="18"/>
  <c r="V148" i="18" s="1"/>
  <c r="Q148" i="18"/>
  <c r="T147" i="18"/>
  <c r="V147" i="18" s="1"/>
  <c r="Q147" i="18"/>
  <c r="T146" i="18"/>
  <c r="V146" i="18" s="1"/>
  <c r="Q146" i="18"/>
  <c r="T145" i="18"/>
  <c r="V145" i="18" s="1"/>
  <c r="Q145" i="18"/>
  <c r="T144" i="18"/>
  <c r="V144" i="18" s="1"/>
  <c r="Q144" i="18"/>
  <c r="T143" i="18"/>
  <c r="V143" i="18" s="1"/>
  <c r="Q143" i="18"/>
  <c r="T142" i="18"/>
  <c r="V142" i="18" s="1"/>
  <c r="Q142" i="18"/>
  <c r="T141" i="18"/>
  <c r="V141" i="18" s="1"/>
  <c r="Q141" i="18"/>
  <c r="T140" i="18"/>
  <c r="V140" i="18" s="1"/>
  <c r="Q140" i="18"/>
  <c r="T139" i="18"/>
  <c r="V139" i="18" s="1"/>
  <c r="Q139" i="18"/>
  <c r="T138" i="18"/>
  <c r="V138" i="18" s="1"/>
  <c r="Q138" i="18"/>
  <c r="T137" i="18"/>
  <c r="V137" i="18" s="1"/>
  <c r="Q137" i="18"/>
  <c r="T136" i="18"/>
  <c r="V136" i="18" s="1"/>
  <c r="Q136" i="18"/>
  <c r="T135" i="18"/>
  <c r="V135" i="18" s="1"/>
  <c r="Q135" i="18"/>
  <c r="T134" i="18"/>
  <c r="V134" i="18" s="1"/>
  <c r="Q134" i="18"/>
  <c r="T133" i="18"/>
  <c r="V133" i="18" s="1"/>
  <c r="Q133" i="18"/>
  <c r="T132" i="18"/>
  <c r="V132" i="18" s="1"/>
  <c r="Q132" i="18"/>
  <c r="T131" i="18"/>
  <c r="V131" i="18" s="1"/>
  <c r="Q131" i="18"/>
  <c r="T130" i="18"/>
  <c r="V130" i="18" s="1"/>
  <c r="Q130" i="18"/>
  <c r="T129" i="18"/>
  <c r="V129" i="18" s="1"/>
  <c r="Q129" i="18"/>
  <c r="T128" i="18"/>
  <c r="V128" i="18" s="1"/>
  <c r="Q128" i="18"/>
  <c r="T127" i="18"/>
  <c r="V127" i="18" s="1"/>
  <c r="Q127" i="18"/>
  <c r="T126" i="18"/>
  <c r="V126" i="18" s="1"/>
  <c r="Q126" i="18"/>
  <c r="T125" i="18"/>
  <c r="V125" i="18" s="1"/>
  <c r="Q125" i="18"/>
  <c r="T124" i="18"/>
  <c r="V124" i="18" s="1"/>
  <c r="Q124" i="18"/>
  <c r="T123" i="18"/>
  <c r="V123" i="18" s="1"/>
  <c r="Q123" i="18"/>
  <c r="T122" i="18"/>
  <c r="V122" i="18" s="1"/>
  <c r="Q122" i="18"/>
  <c r="T121" i="18"/>
  <c r="V121" i="18" s="1"/>
  <c r="Q121" i="18"/>
  <c r="T120" i="18"/>
  <c r="V120" i="18" s="1"/>
  <c r="Q120" i="18"/>
  <c r="T119" i="18"/>
  <c r="V119" i="18" s="1"/>
  <c r="Q119" i="18"/>
  <c r="T118" i="18"/>
  <c r="V118" i="18" s="1"/>
  <c r="Q118" i="18"/>
  <c r="T117" i="18"/>
  <c r="V117" i="18" s="1"/>
  <c r="Q117" i="18"/>
  <c r="T116" i="18"/>
  <c r="V116" i="18" s="1"/>
  <c r="Q116" i="18"/>
  <c r="T115" i="18"/>
  <c r="V115" i="18" s="1"/>
  <c r="Q115" i="18"/>
  <c r="T114" i="18"/>
  <c r="V114" i="18" s="1"/>
  <c r="Q114" i="18"/>
  <c r="T113" i="18"/>
  <c r="V113" i="18" s="1"/>
  <c r="Q113" i="18"/>
  <c r="T112" i="18"/>
  <c r="V112" i="18" s="1"/>
  <c r="Q112" i="18"/>
  <c r="T111" i="18"/>
  <c r="V111" i="18" s="1"/>
  <c r="Q111" i="18"/>
  <c r="T110" i="18"/>
  <c r="V110" i="18" s="1"/>
  <c r="Q110" i="18"/>
  <c r="T109" i="18"/>
  <c r="V109" i="18" s="1"/>
  <c r="Q109" i="18"/>
  <c r="T108" i="18"/>
  <c r="V108" i="18" s="1"/>
  <c r="Q108" i="18"/>
  <c r="T107" i="18"/>
  <c r="V107" i="18" s="1"/>
  <c r="Q107" i="18"/>
  <c r="T106" i="18"/>
  <c r="V106" i="18" s="1"/>
  <c r="Q106" i="18"/>
  <c r="T105" i="18"/>
  <c r="V105" i="18" s="1"/>
  <c r="Q105" i="18"/>
  <c r="T104" i="18"/>
  <c r="V104" i="18" s="1"/>
  <c r="Q104" i="18"/>
  <c r="T103" i="18"/>
  <c r="V103" i="18" s="1"/>
  <c r="Q103" i="18"/>
  <c r="T102" i="18"/>
  <c r="V102" i="18" s="1"/>
  <c r="Q102" i="18"/>
  <c r="T101" i="18"/>
  <c r="V101" i="18" s="1"/>
  <c r="Q101" i="18"/>
  <c r="T100" i="18"/>
  <c r="V100" i="18" s="1"/>
  <c r="Q100" i="18"/>
  <c r="T99" i="18"/>
  <c r="V99" i="18" s="1"/>
  <c r="Q99" i="18"/>
  <c r="T98" i="18"/>
  <c r="V98" i="18" s="1"/>
  <c r="Q98" i="18"/>
  <c r="T97" i="18"/>
  <c r="V97" i="18" s="1"/>
  <c r="Q97" i="18"/>
  <c r="T96" i="18"/>
  <c r="V96" i="18" s="1"/>
  <c r="Q96" i="18"/>
  <c r="T95" i="18"/>
  <c r="V95" i="18" s="1"/>
  <c r="Q95" i="18"/>
  <c r="T94" i="18"/>
  <c r="V94" i="18" s="1"/>
  <c r="Q94" i="18"/>
  <c r="T93" i="18"/>
  <c r="V93" i="18" s="1"/>
  <c r="Q93" i="18"/>
  <c r="T92" i="18"/>
  <c r="V92" i="18" s="1"/>
  <c r="Q92" i="18"/>
  <c r="T91" i="18"/>
  <c r="V91" i="18" s="1"/>
  <c r="Q91" i="18"/>
  <c r="T90" i="18"/>
  <c r="V90" i="18" s="1"/>
  <c r="Q90" i="18"/>
  <c r="T89" i="18"/>
  <c r="V89" i="18" s="1"/>
  <c r="Q89" i="18"/>
  <c r="T88" i="18"/>
  <c r="V88" i="18" s="1"/>
  <c r="Q88" i="18"/>
  <c r="T87" i="18"/>
  <c r="V87" i="18" s="1"/>
  <c r="Q87" i="18"/>
  <c r="T86" i="18"/>
  <c r="V86" i="18" s="1"/>
  <c r="Q86" i="18"/>
  <c r="T85" i="18"/>
  <c r="V85" i="18" s="1"/>
  <c r="Q85" i="18"/>
  <c r="T84" i="18"/>
  <c r="V84" i="18" s="1"/>
  <c r="Q84" i="18"/>
  <c r="T83" i="18"/>
  <c r="V83" i="18" s="1"/>
  <c r="Q83" i="18"/>
  <c r="T82" i="18"/>
  <c r="V82" i="18" s="1"/>
  <c r="Q82" i="18"/>
  <c r="T81" i="18"/>
  <c r="V81" i="18" s="1"/>
  <c r="Q81" i="18"/>
  <c r="T80" i="18"/>
  <c r="V80" i="18" s="1"/>
  <c r="Q80" i="18"/>
  <c r="T79" i="18"/>
  <c r="V79" i="18" s="1"/>
  <c r="Q79" i="18"/>
  <c r="T78" i="18"/>
  <c r="V78" i="18" s="1"/>
  <c r="Q78" i="18"/>
  <c r="T77" i="18"/>
  <c r="V77" i="18" s="1"/>
  <c r="Q77" i="18"/>
  <c r="T76" i="18"/>
  <c r="V76" i="18" s="1"/>
  <c r="Q76" i="18"/>
  <c r="T75" i="18"/>
  <c r="V75" i="18" s="1"/>
  <c r="Q75" i="18"/>
  <c r="T74" i="18"/>
  <c r="V74" i="18" s="1"/>
  <c r="Q74" i="18"/>
  <c r="T73" i="18"/>
  <c r="V73" i="18" s="1"/>
  <c r="Q73" i="18"/>
  <c r="T72" i="18"/>
  <c r="V72" i="18" s="1"/>
  <c r="Q72" i="18"/>
  <c r="V71" i="18"/>
  <c r="T71" i="18"/>
  <c r="Q71" i="18"/>
  <c r="T70" i="18"/>
  <c r="V70" i="18" s="1"/>
  <c r="Q70" i="18"/>
  <c r="V69" i="18"/>
  <c r="T69" i="18"/>
  <c r="Q69" i="18"/>
  <c r="T68" i="18"/>
  <c r="V68" i="18" s="1"/>
  <c r="Q68" i="18"/>
  <c r="T67" i="18"/>
  <c r="V67" i="18" s="1"/>
  <c r="Q67" i="18"/>
  <c r="T66" i="18"/>
  <c r="V66" i="18" s="1"/>
  <c r="Q66" i="18"/>
  <c r="V65" i="18"/>
  <c r="T65" i="18"/>
  <c r="Q65" i="18"/>
  <c r="T64" i="18"/>
  <c r="V64" i="18" s="1"/>
  <c r="Q64" i="18"/>
  <c r="V63" i="18"/>
  <c r="T63" i="18"/>
  <c r="Q63" i="18"/>
  <c r="T62" i="18"/>
  <c r="V62" i="18" s="1"/>
  <c r="Q62" i="18"/>
  <c r="T61" i="18"/>
  <c r="V61" i="18" s="1"/>
  <c r="Q61" i="18"/>
  <c r="V60" i="18"/>
  <c r="T60" i="18"/>
  <c r="Q60" i="18"/>
  <c r="V59" i="18"/>
  <c r="T59" i="18"/>
  <c r="Q59" i="18"/>
  <c r="T58" i="18"/>
  <c r="V58" i="18" s="1"/>
  <c r="Q58" i="18"/>
  <c r="T57" i="18"/>
  <c r="V57" i="18" s="1"/>
  <c r="Q57" i="18"/>
  <c r="V56" i="18"/>
  <c r="T56" i="18"/>
  <c r="Q56" i="18"/>
  <c r="V55" i="18"/>
  <c r="T55" i="18"/>
  <c r="Q55" i="18"/>
  <c r="T54" i="18"/>
  <c r="V54" i="18" s="1"/>
  <c r="Q54" i="18"/>
  <c r="T53" i="18"/>
  <c r="V53" i="18" s="1"/>
  <c r="Q53" i="18"/>
  <c r="V52" i="18"/>
  <c r="T52" i="18"/>
  <c r="Q52" i="18"/>
  <c r="V51" i="18"/>
  <c r="T51" i="18"/>
  <c r="Q51" i="18"/>
  <c r="T50" i="18"/>
  <c r="V50" i="18" s="1"/>
  <c r="Q50" i="18"/>
  <c r="T49" i="18"/>
  <c r="V49" i="18" s="1"/>
  <c r="Q49" i="18"/>
  <c r="V48" i="18"/>
  <c r="T48" i="18"/>
  <c r="Q48" i="18"/>
  <c r="V47" i="18"/>
  <c r="T47" i="18"/>
  <c r="Q47" i="18"/>
  <c r="T46" i="18"/>
  <c r="V46" i="18" s="1"/>
  <c r="Q46" i="18"/>
  <c r="T45" i="18"/>
  <c r="V45" i="18" s="1"/>
  <c r="Q45" i="18"/>
  <c r="V44" i="18"/>
  <c r="T44" i="18"/>
  <c r="Q44" i="18"/>
  <c r="V43" i="18"/>
  <c r="T43" i="18"/>
  <c r="Q43" i="18"/>
  <c r="T42" i="18"/>
  <c r="V42" i="18" s="1"/>
  <c r="Q42" i="18"/>
  <c r="T41" i="18"/>
  <c r="V41" i="18" s="1"/>
  <c r="Q41" i="18"/>
  <c r="V40" i="18"/>
  <c r="T40" i="18"/>
  <c r="Q40" i="18"/>
  <c r="V39" i="18"/>
  <c r="T39" i="18"/>
  <c r="Q39" i="18"/>
  <c r="T38" i="18"/>
  <c r="V38" i="18" s="1"/>
  <c r="Q38" i="18"/>
  <c r="T37" i="18"/>
  <c r="V37" i="18" s="1"/>
  <c r="Q37" i="18"/>
  <c r="V36" i="18"/>
  <c r="T36" i="18"/>
  <c r="Q36" i="18"/>
  <c r="V35" i="18"/>
  <c r="T35" i="18"/>
  <c r="Q35" i="18"/>
  <c r="T34" i="18"/>
  <c r="V34" i="18" s="1"/>
  <c r="Q34" i="18"/>
  <c r="T33" i="18"/>
  <c r="V33" i="18" s="1"/>
  <c r="Q33" i="18"/>
  <c r="V32" i="18"/>
  <c r="T32" i="18"/>
  <c r="Q32" i="18"/>
  <c r="T31" i="18"/>
  <c r="V31" i="18" s="1"/>
  <c r="Q31" i="18"/>
  <c r="T30" i="18"/>
  <c r="V30" i="18" s="1"/>
  <c r="Q30" i="18"/>
  <c r="T29" i="18"/>
  <c r="V29" i="18" s="1"/>
  <c r="Q29" i="18"/>
  <c r="V28" i="18"/>
  <c r="T28" i="18"/>
  <c r="Q28" i="18"/>
  <c r="T27" i="18"/>
  <c r="V27" i="18" s="1"/>
  <c r="Q27" i="18"/>
  <c r="T26" i="18"/>
  <c r="V26" i="18" s="1"/>
  <c r="Q26" i="18"/>
  <c r="T25" i="18"/>
  <c r="V25" i="18" s="1"/>
  <c r="Q25" i="18"/>
  <c r="V24" i="18"/>
  <c r="T24" i="18"/>
  <c r="Q24" i="18"/>
  <c r="T23" i="18"/>
  <c r="V23" i="18" s="1"/>
  <c r="Q23" i="18"/>
  <c r="T22" i="18"/>
  <c r="V22" i="18" s="1"/>
  <c r="Q22" i="18"/>
  <c r="T21" i="18"/>
  <c r="V21" i="18" s="1"/>
  <c r="Q21" i="18"/>
  <c r="V20" i="18"/>
  <c r="T20" i="18"/>
  <c r="Q20" i="18"/>
  <c r="T19" i="18"/>
  <c r="V19" i="18" s="1"/>
  <c r="Q19" i="18"/>
  <c r="T18" i="18"/>
  <c r="V18" i="18" s="1"/>
  <c r="Q18" i="18"/>
  <c r="T17" i="18"/>
  <c r="V17" i="18" s="1"/>
  <c r="Q17" i="18"/>
  <c r="V16" i="18"/>
  <c r="T16" i="18"/>
  <c r="Q16" i="18"/>
  <c r="T15" i="18"/>
  <c r="V15" i="18" s="1"/>
  <c r="Q15" i="18"/>
  <c r="T14" i="18"/>
  <c r="V14" i="18" s="1"/>
  <c r="Q14" i="18"/>
  <c r="T13" i="18"/>
  <c r="V13" i="18" s="1"/>
  <c r="Q13" i="18"/>
  <c r="V12" i="18"/>
  <c r="T12" i="18"/>
  <c r="Q12" i="18"/>
  <c r="T11" i="18"/>
  <c r="V11" i="18" s="1"/>
  <c r="Q11" i="18"/>
  <c r="T10" i="18"/>
  <c r="V10" i="18" s="1"/>
  <c r="Q10" i="18"/>
  <c r="T9" i="18"/>
  <c r="V9" i="18" s="1"/>
  <c r="Q9" i="18"/>
  <c r="V8" i="18"/>
  <c r="T8" i="18"/>
  <c r="Q8" i="18"/>
  <c r="T7" i="18"/>
  <c r="V7" i="18" s="1"/>
  <c r="Q7" i="18"/>
  <c r="T6" i="18"/>
  <c r="V6" i="18" s="1"/>
  <c r="Q6" i="18"/>
  <c r="T5" i="18"/>
  <c r="V5" i="18" s="1"/>
  <c r="Q5" i="18"/>
  <c r="V4" i="18"/>
  <c r="T4" i="18"/>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<sst xmlns="http://schemas.openxmlformats.org/spreadsheetml/2006/main" count="11967" uniqueCount="386">
  <si>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</si>
  <si>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</si>
  <si>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</si>
  <si>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</si>
  <si>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</si>
  <si>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</si>
  <si>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</si>
  <si>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</si>
  <si>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</si>
  <si>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</si>
  <si>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</si>
  <si>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</si>
  <si>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</si>
  <si>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</si>
  <si>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</si>
  <si>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</si>
  <si>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</si>
  <si>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</si>
  <si>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</si>
  <si>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</si>
  <si>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</si>
  <si>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</si>
  <si>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</si>
  <si>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</si>
  <si>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</si>
  <si>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</si>
  <si>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</si>
  <si>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</si>
  <si>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</si>
  <si>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</si>
  <si>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</si>
  <si>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</si>
  <si>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</si>
  <si>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</si>
  <si>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</si>
  <si>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</si>
  <si>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</si>
  <si>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</si>
  <si>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</si>
  <si>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</si>
  <si>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</si>
  <si>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</si>
  <si>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</si>
  <si>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</si>
  <si>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</si>
  <si>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</si>
  <si>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</si>
  <si>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</si>
  <si>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</si>
  <si>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</si>
  <si>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</si>
  <si>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</si>
  <si>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</si>
  <si>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</si>
  <si>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</si>
  <si>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</si>
  <si>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</si>
  <si>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</si>
  <si>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</si>
  <si>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</si>
  <si>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</si>
  <si>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</si>
  <si>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</si>
  <si>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</si>
  <si>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</si>
  <si>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</si>
  <si>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</si>
  <si>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</si>
  <si>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</si>
  <si>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</si>
  <si>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</si>
  <si>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</si>
  <si>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</si>
  <si>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</si>
  <si>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</si>
  <si>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</si>
  <si>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</si>
  <si>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</si>
  <si>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</si>
  <si>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</si>
  <si>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</si>
  <si>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</si>
  <si>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</si>
  <si>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</si>
  <si>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</si>
  <si>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</si>
  <si>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</si>
  <si>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</si>
  <si>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</si>
  <si>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</si>
  <si>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</si>
  <si>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</si>
  <si>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</si>
  <si>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</si>
  <si>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</si>
  <si>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</si>
  <si>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</si>
  <si>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</si>
  <si>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</si>
  <si>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</si>
  <si>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</si>
  <si>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</si>
  <si>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</si>
  <si>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</si>
  <si>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</si>
  <si>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</si>
  <si>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</si>
  <si>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</si>
  <si>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</si>
  <si>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</si>
  <si>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</si>
  <si>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</si>
  <si>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</si>
  <si>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</si>
  <si>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</si>
  <si>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</si>
  <si>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</si>
  <si>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</si>
  <si>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</si>
  <si>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</si>
  <si>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</si>
  <si>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</si>
  <si>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</si>
  <si>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</si>
  <si>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</si>
  <si>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</si>
  <si>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</si>
  <si>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</si>
  <si>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</si>
  <si>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</si>
  <si>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</si>
  <si>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</si>
  <si>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</si>
  <si>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</si>
  <si>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</si>
  <si>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</si>
  <si>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</si>
  <si>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</si>
  <si>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</si>
  <si>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</si>
  <si>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</si>
  <si>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</si>
  <si>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</si>
  <si>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</si>
  <si>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</si>
  <si>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</si>
  <si>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</si>
  <si>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</si>
  <si>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</si>
  <si>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</si>
  <si>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</si>
  <si>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</si>
  <si>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</si>
  <si>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</si>
  <si>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</si>
  <si>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</si>
  <si>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</si>
  <si>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</si>
  <si>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</si>
  <si>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</si>
  <si>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</si>
  <si>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</si>
  <si>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</si>
  <si>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</si>
  <si>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</si>
  <si>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OB</t>
  </si>
  <si>
    <t>11.06.2019</t>
  </si>
  <si>
    <t>11.06.2019</t>
    <phoneticPr fontId="3"/>
  </si>
  <si>
    <t>HE</t>
  </si>
  <si>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</si>
  <si>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</si>
  <si>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</si>
  <si>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</si>
  <si>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</si>
  <si>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</si>
  <si>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</si>
  <si>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</si>
  <si>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</si>
  <si>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</si>
  <si>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</si>
  <si>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</si>
  <si>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</si>
  <si>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</si>
  <si>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</si>
  <si>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</si>
  <si>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12.06.2019</t>
  </si>
  <si>
    <t>利府店</t>
  </si>
  <si>
    <t>その他グリーン</t>
  </si>
  <si>
    <t>みやぎ生協</t>
  </si>
  <si>
    <t>その他ゴールド</t>
  </si>
  <si>
    <t>杉の入店</t>
  </si>
  <si>
    <t>その他レッド</t>
  </si>
  <si>
    <t>減農薬栽培</t>
  </si>
  <si>
    <t>D'lish</t>
  </si>
  <si>
    <t>中国</t>
  </si>
  <si>
    <t>ウジエ</t>
  </si>
  <si>
    <t>Del Monte</t>
  </si>
  <si>
    <t>塩釜店</t>
  </si>
  <si>
    <t>GK</t>
  </si>
  <si>
    <t>ザ・ビッグ</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</si>
  <si>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</si>
  <si>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</si>
  <si>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</si>
  <si>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</si>
  <si>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</si>
  <si>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</si>
  <si>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</si>
  <si>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</si>
  <si>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</si>
  <si>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</si>
  <si>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</si>
  <si>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</si>
  <si>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</si>
  <si>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</si>
  <si>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</si>
  <si>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</si>
  <si>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</si>
  <si>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</si>
  <si>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</si>
  <si>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</si>
  <si>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</si>
  <si>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</si>
  <si>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</si>
  <si>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</si>
  <si>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</si>
  <si>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</si>
  <si>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</si>
  <si>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</si>
  <si>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</si>
  <si>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</si>
  <si>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</si>
  <si>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</si>
  <si>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</si>
  <si>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</si>
  <si>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14.06.2019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</si>
  <si>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</si>
  <si>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</si>
  <si>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</si>
  <si>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</si>
  <si>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</si>
  <si>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</si>
  <si>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</si>
  <si>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</si>
  <si>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</si>
  <si>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</si>
  <si>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</si>
  <si>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</si>
  <si>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</si>
  <si>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</si>
  <si>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</si>
  <si>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</si>
  <si>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</si>
  <si>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</si>
  <si>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県名</t>
    <phoneticPr fontId="3"/>
  </si>
  <si>
    <t>チェーン名</t>
    <phoneticPr fontId="3"/>
  </si>
  <si>
    <t>品種</t>
    <phoneticPr fontId="3"/>
  </si>
  <si>
    <t>JP</t>
    <phoneticPr fontId="3"/>
  </si>
  <si>
    <t>05.06.2019</t>
    <phoneticPr fontId="3"/>
  </si>
  <si>
    <t>福や</t>
  </si>
  <si>
    <t>鉄砲町店</t>
    <rPh sb="3" eb="4">
      <t>テン</t>
    </rPh>
    <phoneticPr fontId="3"/>
  </si>
  <si>
    <t>JPY</t>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</si>
  <si>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</si>
  <si>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</si>
  <si>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</si>
  <si>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</si>
  <si>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</si>
  <si>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</si>
  <si>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</si>
  <si>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</si>
  <si>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</si>
  <si>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</si>
  <si>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</si>
  <si>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</si>
  <si>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</si>
  <si>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</si>
  <si>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</si>
  <si>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</si>
  <si>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</si>
  <si>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</si>
  <si>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</si>
  <si>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</si>
  <si>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</si>
  <si>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</si>
  <si>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ラフランス</t>
    <phoneticPr fontId="4"/>
  </si>
  <si>
    <t>りんご</t>
    <phoneticPr fontId="4"/>
  </si>
  <si>
    <t>みかん</t>
    <phoneticPr fontId="4"/>
  </si>
  <si>
    <t>マンゴー</t>
    <phoneticPr fontId="3"/>
  </si>
  <si>
    <t>販売
ユニット
個数</t>
    <phoneticPr fontId="4"/>
  </si>
  <si>
    <t>U/P JPY</t>
    <phoneticPr fontId="4"/>
  </si>
  <si>
    <t>12.06.2019</t>
    <phoneticPr fontId="3"/>
  </si>
  <si>
    <t>マルショク</t>
    <phoneticPr fontId="3"/>
  </si>
  <si>
    <t>野間大池</t>
    <rPh sb="0" eb="2">
      <t>ノマ</t>
    </rPh>
    <rPh sb="2" eb="4">
      <t>オオイケ</t>
    </rPh>
    <phoneticPr fontId="3"/>
  </si>
  <si>
    <t>りんご</t>
    <phoneticPr fontId="3"/>
  </si>
  <si>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</si>
  <si>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</si>
  <si>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</si>
  <si>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</si>
  <si>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</si>
  <si>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</si>
  <si>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</si>
  <si>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</si>
  <si>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</si>
  <si>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福岡</t>
    <rPh sb="0" eb="2">
      <t>フクオカ</t>
    </rPh>
    <phoneticPr fontId="4"/>
  </si>
  <si>
    <t>西鉄ストア</t>
    <rPh sb="0" eb="2">
      <t>ニシテツ</t>
    </rPh>
    <phoneticPr fontId="3"/>
  </si>
  <si>
    <t>高宮</t>
    <rPh sb="0" eb="2">
      <t>タカミヤ</t>
    </rPh>
    <phoneticPr fontId="3"/>
  </si>
  <si>
    <t>Del Monte</t>
    <phoneticPr fontId="4"/>
  </si>
  <si>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</si>
  <si>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</si>
  <si>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</si>
  <si>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</si>
  <si>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</si>
  <si>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</si>
  <si>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</si>
  <si>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</si>
  <si>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</si>
  <si>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</si>
  <si>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</si>
  <si>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</si>
  <si>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</si>
  <si>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</si>
  <si>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</si>
  <si>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</si>
  <si>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</si>
  <si>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</si>
  <si>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</si>
  <si>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</si>
  <si>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</si>
  <si>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</si>
  <si>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</si>
  <si>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</si>
  <si>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</si>
  <si>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</si>
  <si>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</si>
  <si>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13.06.2019</t>
    <phoneticPr fontId="3"/>
  </si>
  <si>
    <t>サミット</t>
  </si>
  <si>
    <t>久が原食品館</t>
  </si>
  <si>
    <t>13.06.2019</t>
  </si>
  <si>
    <t>東急ストア</t>
  </si>
  <si>
    <t>蒲田</t>
  </si>
  <si>
    <t>マルエツ</t>
  </si>
  <si>
    <t>大森西</t>
  </si>
  <si>
    <t>大森</t>
  </si>
  <si>
    <t>カドヤ</t>
  </si>
  <si>
    <t>大井町</t>
  </si>
  <si>
    <t>品川シーサイド</t>
  </si>
  <si>
    <t>大崎ニューシティ</t>
  </si>
  <si>
    <t>２番人気
果実</t>
    <phoneticPr fontId="3"/>
  </si>
  <si>
    <t>ビッグ・エー</t>
  </si>
  <si>
    <t>江戸川本一色店</t>
  </si>
  <si>
    <t>松江店</t>
  </si>
  <si>
    <t>マックスバリュエクスプレス</t>
  </si>
  <si>
    <t>ヤマイチ</t>
  </si>
  <si>
    <t>中央店</t>
    <rPh sb="0" eb="2">
      <t>チュウオウ</t>
    </rPh>
    <phoneticPr fontId="3"/>
  </si>
  <si>
    <t>コモディイイダ</t>
  </si>
  <si>
    <t>西瑞江店</t>
  </si>
  <si>
    <t>いなげや</t>
  </si>
  <si>
    <t>江戸川春江店</t>
  </si>
  <si>
    <t>鹿骨店</t>
  </si>
  <si>
    <t>東武ストア</t>
  </si>
  <si>
    <t>新小岩店</t>
  </si>
  <si>
    <t>サミットストア</t>
  </si>
  <si>
    <t>江戸川区役所前店</t>
    <rPh sb="0" eb="6">
      <t>エドガワクヤクショ</t>
    </rPh>
    <rPh sb="6" eb="7">
      <t>マエ</t>
    </rPh>
    <rPh sb="7" eb="8">
      <t>ミセ</t>
    </rPh>
    <phoneticPr fontId="3"/>
  </si>
  <si>
    <t>江戸川中央店</t>
  </si>
  <si>
    <t>GA</t>
    <phoneticPr fontId="3"/>
  </si>
  <si>
    <t>旬楽膳</t>
    <rPh sb="0" eb="1">
      <t>シュン</t>
    </rPh>
    <rPh sb="1" eb="2">
      <t>ラク</t>
    </rPh>
    <rPh sb="2" eb="3">
      <t>ゼン</t>
    </rPh>
    <phoneticPr fontId="4"/>
  </si>
  <si>
    <t>日進店</t>
    <rPh sb="0" eb="2">
      <t>ニッシン</t>
    </rPh>
    <rPh sb="2" eb="3">
      <t>ミセ</t>
    </rPh>
    <phoneticPr fontId="4"/>
  </si>
  <si>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</si>
  <si>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</si>
  <si>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</si>
  <si>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</si>
  <si>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</si>
  <si>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</si>
  <si>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</si>
  <si>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</si>
  <si>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</si>
  <si>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</si>
  <si>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</si>
  <si>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</si>
  <si>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</si>
  <si>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</si>
  <si>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ピアゴ</t>
  </si>
  <si>
    <t>長久手南店</t>
  </si>
  <si>
    <t>カネスエ</t>
  </si>
  <si>
    <t>カネトク</t>
  </si>
  <si>
    <t>フェルナ</t>
  </si>
  <si>
    <t>アピタ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</si>
</sst>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20"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11"/>
      <color theme="1"/>
      <name val="ＭＳ Ｐゴシック"/>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10">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xf numFmtId="0" fontId="16" fillId="0" borderId="0">
      <alignment vertical="center"/>
    </xf>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7" fillId="0" borderId="22" xfId="9" applyFont="1" applyBorder="1" applyAlignment="1">
      <alignment horizontal="center" vertical="center"/>
    </xf>
    <xf numFmtId="0" fontId="17" fillId="0" borderId="23" xfId="9"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7" fillId="0" borderId="12" xfId="9" applyFont="1" applyBorder="1" applyAlignment="1">
      <alignment horizontal="center" vertical="center"/>
    </xf>
    <xf numFmtId="0" fontId="1" fillId="0" borderId="18" xfId="1" applyBorder="1"/>
    <xf numFmtId="0" fontId="15" fillId="0" borderId="0" xfId="1" applyFont="1"/>
    <xf numFmtId="178" fontId="1" fillId="2" borderId="0" xfId="1" applyNumberFormat="1" applyFill="1"/>
    <xf numFmtId="178" fontId="1" fillId="3" borderId="0" xfId="1" applyNumberFormat="1" applyFill="1"/>
    <xf numFmtId="0" fontId="15" fillId="0" borderId="0" xfId="9" applyFont="1">
      <alignment vertical="center"/>
    </xf>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49" fontId="7" fillId="0" borderId="5" xfId="1" applyNumberFormat="1" applyFont="1" applyBorder="1" applyAlignment="1">
      <alignment horizontal="center" vertical="center" wrapText="1"/>
    </xf>
    <xf numFmtId="14" fontId="18" fillId="0" borderId="0" xfId="1" applyNumberFormat="1" applyFont="1" applyAlignment="1">
      <alignment horizontal="center"/>
    </xf>
    <xf numFmtId="0" fontId="19"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8" fillId="0" borderId="0" xfId="1" applyFont="1"/>
    <xf numFmtId="0" fontId="15"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8" fillId="0" borderId="0" xfId="1" applyNumberFormat="1" applyFont="1"/>
    <xf numFmtId="0" fontId="1" fillId="0" borderId="12" xfId="1" applyBorder="1" applyAlignment="1">
      <alignment shrinkToFit="1"/>
    </xf>
  </cellXfs>
  <cellStyles count="10">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 name="標準 6" xfId="9" xr:uid="{7017CB93-D6C4-44C3-B296-D9E9808719C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70" zoomScaleNormal="70" workbookViewId="0">
      <selection activeCell="AD31" sqref="AD31"/>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167</v>
      </c>
      <c r="E2" s="15" t="s">
        <v>141</v>
      </c>
      <c r="F2" s="15" t="s">
        <v>149</v>
      </c>
      <c r="G2" s="15" t="s">
        <v>36</v>
      </c>
      <c r="H2" s="15" t="s">
        <v>164</v>
      </c>
      <c r="I2" s="15" t="s">
        <v>159</v>
      </c>
      <c r="J2" s="15" t="s">
        <v>38</v>
      </c>
      <c r="K2" s="7" t="s">
        <v>161</v>
      </c>
      <c r="L2" s="7">
        <v>1</v>
      </c>
      <c r="N2" s="47">
        <v>1</v>
      </c>
      <c r="O2" s="15">
        <v>1.25</v>
      </c>
      <c r="P2" s="15">
        <v>1.25</v>
      </c>
      <c r="Q2" s="51">
        <f t="shared" ref="Q2:Q65" si="0">IF(OR(O2="",P2=""),"",AVERAGE(O2,P2))</f>
        <v>1.25</v>
      </c>
      <c r="R2" s="15">
        <v>15.3</v>
      </c>
      <c r="S2" s="15">
        <v>119</v>
      </c>
      <c r="T2" s="38">
        <f t="shared" ref="T2:T59" si="1">IF(H2="","",IF(OR(H2="GREEN",H2="GK"),IF(S2&gt;=$AX$2,VLOOKUP(S2,$AX$2:$AY$12,2,1),""),IF(S2&gt;=$AZ$2,VLOOKUP(S2,$AZ$2:$BA$12,2,1),"")))</f>
        <v>30</v>
      </c>
      <c r="U2" s="15">
        <v>105</v>
      </c>
      <c r="V2" s="38">
        <f t="shared" ref="V2:V65" si="2">IF(OR(N2="",U2="",T2=""),"",U2/N2*T2)</f>
        <v>3150</v>
      </c>
      <c r="W2" s="15">
        <v>8</v>
      </c>
      <c r="X2" s="15" t="s">
        <v>46</v>
      </c>
      <c r="Y2" s="15" t="s">
        <v>55</v>
      </c>
      <c r="Z2" s="15" t="s">
        <v>97</v>
      </c>
      <c r="AA2" s="15" t="s">
        <v>90</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166</v>
      </c>
      <c r="E3" s="15" t="s">
        <v>141</v>
      </c>
      <c r="F3" s="7" t="s">
        <v>149</v>
      </c>
      <c r="G3" s="7" t="s">
        <v>36</v>
      </c>
      <c r="H3" s="15" t="s">
        <v>164</v>
      </c>
      <c r="I3" s="7" t="s">
        <v>159</v>
      </c>
      <c r="J3" s="15" t="s">
        <v>38</v>
      </c>
      <c r="K3" s="7" t="s">
        <v>161</v>
      </c>
      <c r="L3" s="7">
        <v>2</v>
      </c>
      <c r="N3" s="7">
        <v>1</v>
      </c>
      <c r="O3" s="34">
        <v>1.9</v>
      </c>
      <c r="P3" s="7">
        <v>1.75</v>
      </c>
      <c r="Q3" s="52">
        <f t="shared" si="0"/>
        <v>1.825</v>
      </c>
      <c r="R3" s="7">
        <v>13.9</v>
      </c>
      <c r="S3" s="7">
        <v>118</v>
      </c>
      <c r="T3" s="16">
        <f t="shared" si="1"/>
        <v>30</v>
      </c>
      <c r="U3" s="15">
        <v>105</v>
      </c>
      <c r="V3" s="16">
        <f t="shared" si="2"/>
        <v>3150</v>
      </c>
      <c r="W3" s="15">
        <v>8</v>
      </c>
      <c r="X3" s="15" t="s">
        <v>46</v>
      </c>
      <c r="Y3" s="15" t="s">
        <v>55</v>
      </c>
      <c r="Z3" s="15" t="s">
        <v>97</v>
      </c>
      <c r="AA3" s="15" t="s">
        <v>90</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166</v>
      </c>
      <c r="E4" s="15" t="s">
        <v>141</v>
      </c>
      <c r="F4" s="7" t="s">
        <v>149</v>
      </c>
      <c r="G4" s="7" t="s">
        <v>36</v>
      </c>
      <c r="H4" s="15" t="s">
        <v>164</v>
      </c>
      <c r="I4" s="7" t="s">
        <v>159</v>
      </c>
      <c r="J4" s="15" t="s">
        <v>38</v>
      </c>
      <c r="K4" s="7" t="s">
        <v>161</v>
      </c>
      <c r="L4" s="7">
        <v>3</v>
      </c>
      <c r="N4" s="7">
        <v>1</v>
      </c>
      <c r="O4" s="7">
        <v>1.2</v>
      </c>
      <c r="P4" s="7">
        <v>1.35</v>
      </c>
      <c r="Q4" s="52">
        <f t="shared" si="0"/>
        <v>1.2749999999999999</v>
      </c>
      <c r="R4" s="7">
        <v>12.1</v>
      </c>
      <c r="S4" s="7">
        <v>126</v>
      </c>
      <c r="T4" s="16">
        <f t="shared" si="1"/>
        <v>27</v>
      </c>
      <c r="U4" s="15">
        <v>105</v>
      </c>
      <c r="V4" s="16">
        <f t="shared" si="2"/>
        <v>2835</v>
      </c>
      <c r="W4" s="15">
        <v>8</v>
      </c>
      <c r="X4" s="15" t="s">
        <v>46</v>
      </c>
      <c r="Y4" s="54" t="s">
        <v>55</v>
      </c>
      <c r="Z4" s="54" t="s">
        <v>97</v>
      </c>
      <c r="AA4" s="54" t="s">
        <v>90</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166</v>
      </c>
      <c r="E5" s="15" t="s">
        <v>141</v>
      </c>
      <c r="F5" s="15" t="s">
        <v>149</v>
      </c>
      <c r="G5" s="7" t="s">
        <v>36</v>
      </c>
      <c r="H5" s="15" t="s">
        <v>160</v>
      </c>
      <c r="I5" s="7" t="s">
        <v>159</v>
      </c>
      <c r="J5" s="15" t="s">
        <v>38</v>
      </c>
      <c r="K5" s="7" t="s">
        <v>161</v>
      </c>
      <c r="L5" s="7">
        <v>1</v>
      </c>
      <c r="N5" s="7">
        <v>1</v>
      </c>
      <c r="O5" s="7">
        <v>0.9</v>
      </c>
      <c r="P5" s="7">
        <v>0.9</v>
      </c>
      <c r="Q5" s="52">
        <f t="shared" si="0"/>
        <v>0.9</v>
      </c>
      <c r="R5" s="7">
        <v>17.7</v>
      </c>
      <c r="S5" s="7">
        <v>128</v>
      </c>
      <c r="T5" s="16">
        <f t="shared" si="1"/>
        <v>27</v>
      </c>
      <c r="U5" s="15">
        <v>135</v>
      </c>
      <c r="V5" s="16">
        <f t="shared" si="2"/>
        <v>3645</v>
      </c>
      <c r="W5" s="15">
        <v>20</v>
      </c>
      <c r="X5" s="15" t="s">
        <v>46</v>
      </c>
      <c r="Y5" s="54" t="s">
        <v>55</v>
      </c>
      <c r="Z5" s="54" t="s">
        <v>97</v>
      </c>
      <c r="AA5" s="54" t="s">
        <v>90</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166</v>
      </c>
      <c r="E6" s="15" t="s">
        <v>141</v>
      </c>
      <c r="F6" s="7" t="s">
        <v>149</v>
      </c>
      <c r="G6" s="7" t="s">
        <v>36</v>
      </c>
      <c r="H6" s="54" t="s">
        <v>160</v>
      </c>
      <c r="I6" s="7" t="s">
        <v>159</v>
      </c>
      <c r="J6" s="15" t="s">
        <v>38</v>
      </c>
      <c r="K6" s="7" t="s">
        <v>161</v>
      </c>
      <c r="L6" s="7">
        <v>2</v>
      </c>
      <c r="N6" s="7">
        <v>1</v>
      </c>
      <c r="O6" s="7">
        <v>0.95</v>
      </c>
      <c r="P6" s="7">
        <v>0.75</v>
      </c>
      <c r="Q6" s="52">
        <f t="shared" si="0"/>
        <v>0.85</v>
      </c>
      <c r="R6" s="7">
        <v>18</v>
      </c>
      <c r="S6" s="7">
        <v>130</v>
      </c>
      <c r="T6" s="16">
        <f t="shared" si="1"/>
        <v>25</v>
      </c>
      <c r="U6" s="15">
        <v>135</v>
      </c>
      <c r="V6" s="16">
        <f t="shared" si="2"/>
        <v>3375</v>
      </c>
      <c r="W6" s="15">
        <v>20</v>
      </c>
      <c r="X6" s="15" t="s">
        <v>46</v>
      </c>
      <c r="Y6" s="54" t="s">
        <v>55</v>
      </c>
      <c r="Z6" s="54" t="s">
        <v>97</v>
      </c>
      <c r="AA6" s="54" t="s">
        <v>90</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166</v>
      </c>
      <c r="E7" s="15" t="s">
        <v>141</v>
      </c>
      <c r="F7" s="7" t="s">
        <v>149</v>
      </c>
      <c r="G7" s="7" t="s">
        <v>36</v>
      </c>
      <c r="H7" s="54" t="s">
        <v>160</v>
      </c>
      <c r="I7" s="7" t="s">
        <v>159</v>
      </c>
      <c r="J7" s="15" t="s">
        <v>38</v>
      </c>
      <c r="K7" s="7" t="s">
        <v>161</v>
      </c>
      <c r="L7" s="7">
        <v>3</v>
      </c>
      <c r="N7" s="7">
        <v>1</v>
      </c>
      <c r="O7" s="7">
        <v>0.85</v>
      </c>
      <c r="P7" s="7">
        <v>0.95</v>
      </c>
      <c r="Q7" s="52">
        <f t="shared" si="0"/>
        <v>0.89999999999999991</v>
      </c>
      <c r="R7" s="34">
        <v>19</v>
      </c>
      <c r="S7" s="7">
        <v>131</v>
      </c>
      <c r="T7" s="16">
        <f t="shared" si="1"/>
        <v>25</v>
      </c>
      <c r="U7" s="15">
        <v>135</v>
      </c>
      <c r="V7" s="16">
        <f t="shared" si="2"/>
        <v>3375</v>
      </c>
      <c r="W7" s="15">
        <v>20</v>
      </c>
      <c r="X7" s="15" t="s">
        <v>46</v>
      </c>
      <c r="Y7" s="54" t="s">
        <v>55</v>
      </c>
      <c r="Z7" s="54" t="s">
        <v>97</v>
      </c>
      <c r="AA7" s="54" t="s">
        <v>90</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166</v>
      </c>
      <c r="E8" s="15" t="s">
        <v>133</v>
      </c>
      <c r="F8" s="7" t="s">
        <v>150</v>
      </c>
      <c r="G8" s="7" t="s">
        <v>36</v>
      </c>
      <c r="H8" s="15" t="s">
        <v>164</v>
      </c>
      <c r="I8" s="7" t="s">
        <v>159</v>
      </c>
      <c r="J8" s="15" t="s">
        <v>38</v>
      </c>
      <c r="K8" s="7" t="s">
        <v>161</v>
      </c>
      <c r="L8" s="7">
        <v>1</v>
      </c>
      <c r="N8" s="7">
        <v>1</v>
      </c>
      <c r="O8" s="7">
        <v>0.85</v>
      </c>
      <c r="P8" s="7">
        <v>0.9</v>
      </c>
      <c r="Q8" s="52">
        <f t="shared" si="0"/>
        <v>0.875</v>
      </c>
      <c r="R8" s="34">
        <v>13.8</v>
      </c>
      <c r="S8" s="7">
        <v>143</v>
      </c>
      <c r="T8" s="16">
        <f t="shared" si="1"/>
        <v>22</v>
      </c>
      <c r="U8" s="15">
        <v>98</v>
      </c>
      <c r="V8" s="16">
        <f t="shared" si="2"/>
        <v>2156</v>
      </c>
      <c r="W8" s="15">
        <v>14</v>
      </c>
      <c r="X8" s="15" t="s">
        <v>46</v>
      </c>
      <c r="Y8" s="54" t="s">
        <v>55</v>
      </c>
      <c r="Z8" s="54" t="s">
        <v>69</v>
      </c>
      <c r="AA8" s="54" t="s">
        <v>97</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166</v>
      </c>
      <c r="E9" s="15" t="s">
        <v>133</v>
      </c>
      <c r="F9" s="7" t="s">
        <v>150</v>
      </c>
      <c r="G9" s="7" t="s">
        <v>36</v>
      </c>
      <c r="H9" s="54" t="s">
        <v>164</v>
      </c>
      <c r="I9" s="7" t="s">
        <v>159</v>
      </c>
      <c r="J9" s="15" t="s">
        <v>38</v>
      </c>
      <c r="K9" s="7" t="s">
        <v>161</v>
      </c>
      <c r="L9" s="7">
        <v>2</v>
      </c>
      <c r="N9" s="7">
        <v>1</v>
      </c>
      <c r="O9" s="7">
        <v>0.75</v>
      </c>
      <c r="P9" s="7">
        <v>0.75</v>
      </c>
      <c r="Q9" s="52">
        <f t="shared" si="0"/>
        <v>0.75</v>
      </c>
      <c r="R9" s="7">
        <v>12.7</v>
      </c>
      <c r="S9" s="7">
        <v>145</v>
      </c>
      <c r="T9" s="16">
        <f t="shared" si="1"/>
        <v>22</v>
      </c>
      <c r="U9" s="15">
        <v>98</v>
      </c>
      <c r="V9" s="16">
        <f t="shared" si="2"/>
        <v>2156</v>
      </c>
      <c r="W9" s="15">
        <v>14</v>
      </c>
      <c r="X9" s="15" t="s">
        <v>46</v>
      </c>
      <c r="Y9" s="54" t="s">
        <v>55</v>
      </c>
      <c r="Z9" s="54" t="s">
        <v>69</v>
      </c>
      <c r="AA9" s="54" t="s">
        <v>97</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166</v>
      </c>
      <c r="E10" s="15" t="s">
        <v>133</v>
      </c>
      <c r="F10" s="7" t="s">
        <v>150</v>
      </c>
      <c r="G10" s="7" t="s">
        <v>36</v>
      </c>
      <c r="H10" s="54" t="s">
        <v>164</v>
      </c>
      <c r="I10" s="7" t="s">
        <v>159</v>
      </c>
      <c r="J10" s="15" t="s">
        <v>38</v>
      </c>
      <c r="K10" s="7" t="s">
        <v>161</v>
      </c>
      <c r="L10" s="7">
        <v>3</v>
      </c>
      <c r="N10" s="7">
        <v>1</v>
      </c>
      <c r="O10" s="7">
        <v>0.75</v>
      </c>
      <c r="P10" s="7">
        <v>0.75</v>
      </c>
      <c r="Q10" s="52">
        <f t="shared" si="0"/>
        <v>0.75</v>
      </c>
      <c r="R10" s="7">
        <v>15.6</v>
      </c>
      <c r="S10" s="7">
        <v>145</v>
      </c>
      <c r="T10" s="16">
        <f t="shared" si="1"/>
        <v>22</v>
      </c>
      <c r="U10" s="15">
        <v>98</v>
      </c>
      <c r="V10" s="16">
        <f t="shared" si="2"/>
        <v>2156</v>
      </c>
      <c r="W10" s="15">
        <v>14</v>
      </c>
      <c r="X10" s="15" t="s">
        <v>46</v>
      </c>
      <c r="Y10" s="54" t="s">
        <v>55</v>
      </c>
      <c r="Z10" s="54" t="s">
        <v>69</v>
      </c>
      <c r="AA10" s="54" t="s">
        <v>97</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166</v>
      </c>
      <c r="E11" s="15" t="s">
        <v>133</v>
      </c>
      <c r="F11" s="7" t="s">
        <v>150</v>
      </c>
      <c r="G11" s="7" t="s">
        <v>36</v>
      </c>
      <c r="H11" s="15" t="s">
        <v>160</v>
      </c>
      <c r="I11" s="7" t="s">
        <v>159</v>
      </c>
      <c r="J11" s="15" t="s">
        <v>38</v>
      </c>
      <c r="K11" s="7" t="s">
        <v>161</v>
      </c>
      <c r="L11" s="7">
        <v>1</v>
      </c>
      <c r="N11" s="7">
        <v>1</v>
      </c>
      <c r="O11" s="7">
        <v>0.75</v>
      </c>
      <c r="P11" s="7">
        <v>0.9</v>
      </c>
      <c r="Q11" s="52">
        <f t="shared" si="0"/>
        <v>0.82499999999999996</v>
      </c>
      <c r="R11" s="7">
        <v>18.8</v>
      </c>
      <c r="S11" s="7">
        <v>145</v>
      </c>
      <c r="T11" s="16">
        <f t="shared" si="1"/>
        <v>22</v>
      </c>
      <c r="U11" s="7">
        <v>98</v>
      </c>
      <c r="V11" s="16">
        <f t="shared" si="2"/>
        <v>2156</v>
      </c>
      <c r="W11" s="7">
        <v>18</v>
      </c>
      <c r="X11" s="15" t="s">
        <v>46</v>
      </c>
      <c r="Y11" s="54" t="s">
        <v>55</v>
      </c>
      <c r="Z11" s="54" t="s">
        <v>69</v>
      </c>
      <c r="AA11" s="54" t="s">
        <v>97</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166</v>
      </c>
      <c r="E12" s="15" t="s">
        <v>133</v>
      </c>
      <c r="F12" s="7" t="s">
        <v>150</v>
      </c>
      <c r="G12" s="7" t="s">
        <v>36</v>
      </c>
      <c r="H12" s="54" t="s">
        <v>160</v>
      </c>
      <c r="I12" s="53" t="s">
        <v>159</v>
      </c>
      <c r="J12" s="15" t="s">
        <v>38</v>
      </c>
      <c r="K12" s="7" t="s">
        <v>161</v>
      </c>
      <c r="L12" s="7">
        <v>2</v>
      </c>
      <c r="N12" s="7">
        <v>1</v>
      </c>
      <c r="O12" s="7">
        <v>0.95</v>
      </c>
      <c r="P12" s="7">
        <v>1.05</v>
      </c>
      <c r="Q12" s="52">
        <f t="shared" si="0"/>
        <v>1</v>
      </c>
      <c r="R12" s="34">
        <v>16.5</v>
      </c>
      <c r="S12" s="7">
        <v>147</v>
      </c>
      <c r="T12" s="16">
        <f t="shared" si="1"/>
        <v>22</v>
      </c>
      <c r="U12" s="7">
        <v>98</v>
      </c>
      <c r="V12" s="16">
        <f t="shared" si="2"/>
        <v>2156</v>
      </c>
      <c r="W12" s="7">
        <v>18</v>
      </c>
      <c r="X12" s="15" t="s">
        <v>46</v>
      </c>
      <c r="Y12" s="54" t="s">
        <v>55</v>
      </c>
      <c r="Z12" s="54" t="s">
        <v>69</v>
      </c>
      <c r="AA12" s="54" t="s">
        <v>97</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166</v>
      </c>
      <c r="E13" s="15" t="s">
        <v>133</v>
      </c>
      <c r="F13" s="7" t="s">
        <v>150</v>
      </c>
      <c r="G13" s="7" t="s">
        <v>36</v>
      </c>
      <c r="H13" s="54" t="s">
        <v>160</v>
      </c>
      <c r="I13" s="53" t="s">
        <v>159</v>
      </c>
      <c r="J13" s="15" t="s">
        <v>38</v>
      </c>
      <c r="K13" s="7" t="s">
        <v>161</v>
      </c>
      <c r="L13" s="7">
        <v>3</v>
      </c>
      <c r="N13" s="7">
        <v>1</v>
      </c>
      <c r="O13" s="7">
        <v>0.6</v>
      </c>
      <c r="P13" s="7">
        <v>0.5</v>
      </c>
      <c r="Q13" s="52">
        <f t="shared" si="0"/>
        <v>0.55000000000000004</v>
      </c>
      <c r="R13" s="7">
        <v>19.5</v>
      </c>
      <c r="S13" s="7">
        <v>138</v>
      </c>
      <c r="T13" s="16">
        <f t="shared" si="1"/>
        <v>22</v>
      </c>
      <c r="U13" s="7">
        <v>98</v>
      </c>
      <c r="V13" s="16">
        <f t="shared" si="2"/>
        <v>2156</v>
      </c>
      <c r="W13" s="7">
        <v>18</v>
      </c>
      <c r="X13" s="15" t="s">
        <v>46</v>
      </c>
      <c r="Y13" s="54" t="s">
        <v>55</v>
      </c>
      <c r="Z13" s="54" t="s">
        <v>69</v>
      </c>
      <c r="AA13" s="54" t="s">
        <v>97</v>
      </c>
      <c r="AB13" s="39" t="s">
        <v>158</v>
      </c>
      <c r="AE13" s="22" t="s">
        <v>73</v>
      </c>
      <c r="AG13" s="23"/>
      <c r="AH13" s="23"/>
      <c r="AP13" s="23" t="s">
        <v>71</v>
      </c>
      <c r="AR13" s="30" t="s">
        <v>103</v>
      </c>
      <c r="AV13" s="23" t="s">
        <v>75</v>
      </c>
    </row>
    <row r="14" spans="1:53" x14ac:dyDescent="0.15">
      <c r="A14" s="15" t="s">
        <v>156</v>
      </c>
      <c r="B14" s="15" t="s">
        <v>157</v>
      </c>
      <c r="C14" s="15">
        <v>2019</v>
      </c>
      <c r="D14" s="37" t="s">
        <v>166</v>
      </c>
      <c r="E14" s="15" t="s">
        <v>142</v>
      </c>
      <c r="F14" s="7" t="s">
        <v>151</v>
      </c>
      <c r="G14" s="7" t="s">
        <v>36</v>
      </c>
      <c r="H14" s="15" t="s">
        <v>164</v>
      </c>
      <c r="I14" s="7" t="s">
        <v>159</v>
      </c>
      <c r="J14" s="15" t="s">
        <v>38</v>
      </c>
      <c r="K14" s="7" t="s">
        <v>161</v>
      </c>
      <c r="L14" s="7">
        <v>1</v>
      </c>
      <c r="N14" s="53">
        <v>1</v>
      </c>
      <c r="O14" s="7">
        <v>0.65</v>
      </c>
      <c r="P14" s="7">
        <v>0.65</v>
      </c>
      <c r="Q14" s="52">
        <f t="shared" si="0"/>
        <v>0.65</v>
      </c>
      <c r="R14" s="7">
        <v>15.3</v>
      </c>
      <c r="S14" s="7">
        <v>120</v>
      </c>
      <c r="T14" s="16">
        <f t="shared" si="1"/>
        <v>30</v>
      </c>
      <c r="U14" s="7">
        <v>138</v>
      </c>
      <c r="V14" s="16">
        <f t="shared" si="2"/>
        <v>4140</v>
      </c>
      <c r="W14" s="7">
        <v>5</v>
      </c>
      <c r="X14" s="15" t="s">
        <v>46</v>
      </c>
      <c r="Y14" s="54" t="s">
        <v>55</v>
      </c>
      <c r="Z14" s="54" t="s">
        <v>47</v>
      </c>
      <c r="AA14" s="15" t="s">
        <v>69</v>
      </c>
      <c r="AB14" s="39" t="s">
        <v>158</v>
      </c>
      <c r="AE14" s="22" t="s">
        <v>76</v>
      </c>
      <c r="AG14" s="23"/>
      <c r="AH14" s="23"/>
      <c r="AP14" s="23" t="s">
        <v>74</v>
      </c>
      <c r="AR14" s="30" t="s">
        <v>125</v>
      </c>
      <c r="AV14" s="23" t="s">
        <v>78</v>
      </c>
    </row>
    <row r="15" spans="1:53" x14ac:dyDescent="0.15">
      <c r="A15" s="15" t="s">
        <v>156</v>
      </c>
      <c r="B15" s="15" t="s">
        <v>157</v>
      </c>
      <c r="C15" s="15">
        <v>2019</v>
      </c>
      <c r="D15" s="37" t="s">
        <v>166</v>
      </c>
      <c r="E15" s="15" t="s">
        <v>142</v>
      </c>
      <c r="F15" s="7" t="s">
        <v>151</v>
      </c>
      <c r="G15" s="7" t="s">
        <v>36</v>
      </c>
      <c r="H15" s="15" t="s">
        <v>164</v>
      </c>
      <c r="I15" s="7" t="s">
        <v>159</v>
      </c>
      <c r="J15" s="15" t="s">
        <v>38</v>
      </c>
      <c r="K15" s="7" t="s">
        <v>161</v>
      </c>
      <c r="L15" s="7">
        <v>2</v>
      </c>
      <c r="N15" s="53">
        <v>1</v>
      </c>
      <c r="O15" s="7">
        <v>0.65</v>
      </c>
      <c r="P15" s="7">
        <v>0.7</v>
      </c>
      <c r="Q15" s="52">
        <f t="shared" si="0"/>
        <v>0.67500000000000004</v>
      </c>
      <c r="R15" s="7">
        <v>14.7</v>
      </c>
      <c r="S15" s="7">
        <v>122</v>
      </c>
      <c r="T15" s="16">
        <f t="shared" si="1"/>
        <v>27</v>
      </c>
      <c r="U15" s="7">
        <v>138</v>
      </c>
      <c r="V15" s="16">
        <f t="shared" si="2"/>
        <v>3726</v>
      </c>
      <c r="W15" s="7">
        <v>5</v>
      </c>
      <c r="X15" s="15" t="s">
        <v>46</v>
      </c>
      <c r="Y15" s="54" t="s">
        <v>55</v>
      </c>
      <c r="Z15" s="54" t="s">
        <v>47</v>
      </c>
      <c r="AA15" s="54" t="s">
        <v>69</v>
      </c>
      <c r="AB15" s="39" t="s">
        <v>158</v>
      </c>
      <c r="AE15" s="22" t="s">
        <v>79</v>
      </c>
      <c r="AG15" s="23"/>
      <c r="AH15" s="23"/>
      <c r="AP15" s="23" t="s">
        <v>77</v>
      </c>
      <c r="AR15" s="30" t="s">
        <v>94</v>
      </c>
      <c r="AV15" s="23" t="s">
        <v>107</v>
      </c>
    </row>
    <row r="16" spans="1:53" x14ac:dyDescent="0.15">
      <c r="A16" s="15" t="s">
        <v>156</v>
      </c>
      <c r="B16" s="15" t="s">
        <v>157</v>
      </c>
      <c r="C16" s="15">
        <v>2019</v>
      </c>
      <c r="D16" s="37" t="s">
        <v>166</v>
      </c>
      <c r="E16" s="15" t="s">
        <v>142</v>
      </c>
      <c r="F16" s="7" t="s">
        <v>151</v>
      </c>
      <c r="G16" s="7" t="s">
        <v>36</v>
      </c>
      <c r="H16" s="15" t="s">
        <v>164</v>
      </c>
      <c r="I16" s="7" t="s">
        <v>159</v>
      </c>
      <c r="J16" s="15" t="s">
        <v>38</v>
      </c>
      <c r="K16" s="7" t="s">
        <v>161</v>
      </c>
      <c r="L16" s="7">
        <v>3</v>
      </c>
      <c r="N16" s="53">
        <v>1</v>
      </c>
      <c r="O16" s="7">
        <v>0.8</v>
      </c>
      <c r="P16" s="7">
        <v>0.85</v>
      </c>
      <c r="Q16" s="52">
        <f t="shared" si="0"/>
        <v>0.82499999999999996</v>
      </c>
      <c r="R16" s="7">
        <v>15.8</v>
      </c>
      <c r="S16" s="7">
        <v>118</v>
      </c>
      <c r="T16" s="16">
        <f t="shared" si="1"/>
        <v>30</v>
      </c>
      <c r="U16" s="7">
        <v>138</v>
      </c>
      <c r="V16" s="16">
        <f t="shared" si="2"/>
        <v>4140</v>
      </c>
      <c r="W16" s="7">
        <v>5</v>
      </c>
      <c r="X16" s="15" t="s">
        <v>46</v>
      </c>
      <c r="Y16" s="54" t="s">
        <v>55</v>
      </c>
      <c r="Z16" s="54" t="s">
        <v>47</v>
      </c>
      <c r="AA16" s="54" t="s">
        <v>69</v>
      </c>
      <c r="AB16" s="39" t="s">
        <v>158</v>
      </c>
      <c r="AE16" s="22" t="s">
        <v>82</v>
      </c>
      <c r="AG16" s="28"/>
      <c r="AH16" s="28"/>
      <c r="AP16" s="23" t="s">
        <v>80</v>
      </c>
      <c r="AR16" s="41" t="s">
        <v>63</v>
      </c>
      <c r="AV16" s="23" t="s">
        <v>84</v>
      </c>
    </row>
    <row r="17" spans="1:48" x14ac:dyDescent="0.15">
      <c r="A17" s="15" t="s">
        <v>156</v>
      </c>
      <c r="B17" s="15" t="s">
        <v>157</v>
      </c>
      <c r="C17" s="15">
        <v>2019</v>
      </c>
      <c r="D17" s="37" t="s">
        <v>166</v>
      </c>
      <c r="E17" s="15" t="s">
        <v>142</v>
      </c>
      <c r="F17" s="7" t="s">
        <v>151</v>
      </c>
      <c r="G17" s="7" t="s">
        <v>36</v>
      </c>
      <c r="H17" s="15" t="s">
        <v>160</v>
      </c>
      <c r="I17" s="7" t="s">
        <v>159</v>
      </c>
      <c r="J17" s="15" t="s">
        <v>38</v>
      </c>
      <c r="K17" s="7" t="s">
        <v>161</v>
      </c>
      <c r="L17" s="7">
        <v>1</v>
      </c>
      <c r="N17" s="7">
        <v>1</v>
      </c>
      <c r="O17" s="7">
        <v>0.6</v>
      </c>
      <c r="P17" s="7">
        <v>0.75</v>
      </c>
      <c r="Q17" s="52">
        <f t="shared" si="0"/>
        <v>0.67500000000000004</v>
      </c>
      <c r="R17" s="7">
        <v>18</v>
      </c>
      <c r="S17" s="7">
        <v>131</v>
      </c>
      <c r="T17" s="16">
        <f t="shared" si="1"/>
        <v>25</v>
      </c>
      <c r="U17" s="7">
        <v>149</v>
      </c>
      <c r="V17" s="16">
        <f t="shared" si="2"/>
        <v>3725</v>
      </c>
      <c r="W17" s="7">
        <v>6</v>
      </c>
      <c r="X17" s="15" t="s">
        <v>46</v>
      </c>
      <c r="Y17" s="54" t="s">
        <v>55</v>
      </c>
      <c r="Z17" s="54" t="s">
        <v>47</v>
      </c>
      <c r="AA17" s="54" t="s">
        <v>69</v>
      </c>
      <c r="AB17" s="39" t="s">
        <v>158</v>
      </c>
      <c r="AE17" s="22" t="s">
        <v>85</v>
      </c>
      <c r="AP17" s="43" t="s">
        <v>110</v>
      </c>
      <c r="AR17" s="41" t="s">
        <v>96</v>
      </c>
      <c r="AV17" s="23" t="s">
        <v>86</v>
      </c>
    </row>
    <row r="18" spans="1:48" x14ac:dyDescent="0.15">
      <c r="A18" s="15" t="s">
        <v>156</v>
      </c>
      <c r="B18" s="15" t="s">
        <v>157</v>
      </c>
      <c r="C18" s="15">
        <v>2019</v>
      </c>
      <c r="D18" s="37" t="s">
        <v>166</v>
      </c>
      <c r="E18" s="15" t="s">
        <v>142</v>
      </c>
      <c r="F18" s="7" t="s">
        <v>151</v>
      </c>
      <c r="G18" s="7" t="s">
        <v>36</v>
      </c>
      <c r="H18" s="15" t="s">
        <v>160</v>
      </c>
      <c r="I18" s="7" t="s">
        <v>159</v>
      </c>
      <c r="J18" s="15" t="s">
        <v>38</v>
      </c>
      <c r="K18" s="7" t="s">
        <v>161</v>
      </c>
      <c r="L18" s="7">
        <v>2</v>
      </c>
      <c r="N18" s="7">
        <v>1</v>
      </c>
      <c r="O18" s="7">
        <v>0.7</v>
      </c>
      <c r="P18" s="7">
        <v>0.75</v>
      </c>
      <c r="Q18" s="52">
        <f t="shared" si="0"/>
        <v>0.72499999999999998</v>
      </c>
      <c r="R18" s="7">
        <v>15.2</v>
      </c>
      <c r="S18" s="7">
        <v>130</v>
      </c>
      <c r="T18" s="16">
        <f t="shared" si="1"/>
        <v>25</v>
      </c>
      <c r="U18" s="7">
        <v>149</v>
      </c>
      <c r="V18" s="16">
        <f t="shared" si="2"/>
        <v>3725</v>
      </c>
      <c r="W18" s="7">
        <v>6</v>
      </c>
      <c r="X18" s="15" t="s">
        <v>46</v>
      </c>
      <c r="Y18" s="54" t="s">
        <v>55</v>
      </c>
      <c r="Z18" s="54" t="s">
        <v>47</v>
      </c>
      <c r="AA18" s="54" t="s">
        <v>69</v>
      </c>
      <c r="AB18" s="39" t="s">
        <v>158</v>
      </c>
      <c r="AE18" s="22" t="s">
        <v>87</v>
      </c>
      <c r="AP18" s="43" t="s">
        <v>111</v>
      </c>
      <c r="AR18" s="41" t="s">
        <v>101</v>
      </c>
      <c r="AV18" s="23" t="s">
        <v>88</v>
      </c>
    </row>
    <row r="19" spans="1:48" x14ac:dyDescent="0.15">
      <c r="A19" s="15" t="s">
        <v>156</v>
      </c>
      <c r="B19" s="15" t="s">
        <v>157</v>
      </c>
      <c r="C19" s="15">
        <v>2019</v>
      </c>
      <c r="D19" s="37" t="s">
        <v>166</v>
      </c>
      <c r="E19" s="15" t="s">
        <v>142</v>
      </c>
      <c r="F19" s="7" t="s">
        <v>151</v>
      </c>
      <c r="G19" s="7" t="s">
        <v>36</v>
      </c>
      <c r="H19" s="15" t="s">
        <v>160</v>
      </c>
      <c r="I19" s="7" t="s">
        <v>159</v>
      </c>
      <c r="J19" s="15" t="s">
        <v>38</v>
      </c>
      <c r="K19" s="7" t="s">
        <v>161</v>
      </c>
      <c r="L19" s="7">
        <v>3</v>
      </c>
      <c r="N19" s="7">
        <v>1</v>
      </c>
      <c r="O19" s="7">
        <v>0.5</v>
      </c>
      <c r="P19" s="7">
        <v>0.6</v>
      </c>
      <c r="Q19" s="52">
        <f t="shared" si="0"/>
        <v>0.55000000000000004</v>
      </c>
      <c r="R19" s="7">
        <v>16.7</v>
      </c>
      <c r="S19" s="7">
        <v>135</v>
      </c>
      <c r="T19" s="16">
        <f t="shared" si="1"/>
        <v>25</v>
      </c>
      <c r="U19" s="7">
        <v>149</v>
      </c>
      <c r="V19" s="16">
        <f t="shared" si="2"/>
        <v>3725</v>
      </c>
      <c r="W19" s="7">
        <v>6</v>
      </c>
      <c r="X19" s="15" t="s">
        <v>46</v>
      </c>
      <c r="Y19" s="54" t="s">
        <v>55</v>
      </c>
      <c r="Z19" s="54" t="s">
        <v>47</v>
      </c>
      <c r="AA19" s="54" t="s">
        <v>69</v>
      </c>
      <c r="AB19" s="39" t="s">
        <v>158</v>
      </c>
      <c r="AE19" s="35" t="s">
        <v>89</v>
      </c>
      <c r="AP19" s="43" t="s">
        <v>112</v>
      </c>
      <c r="AR19" s="30" t="s">
        <v>126</v>
      </c>
      <c r="AV19" s="23" t="s">
        <v>90</v>
      </c>
    </row>
    <row r="20" spans="1:48" x14ac:dyDescent="0.15">
      <c r="A20" s="15" t="s">
        <v>156</v>
      </c>
      <c r="B20" s="15" t="s">
        <v>157</v>
      </c>
      <c r="C20" s="15">
        <v>2019</v>
      </c>
      <c r="D20" s="37" t="s">
        <v>166</v>
      </c>
      <c r="E20" s="15" t="s">
        <v>143</v>
      </c>
      <c r="F20" s="7" t="s">
        <v>152</v>
      </c>
      <c r="G20" s="7" t="s">
        <v>36</v>
      </c>
      <c r="H20" s="15" t="s">
        <v>164</v>
      </c>
      <c r="I20" s="7" t="s">
        <v>159</v>
      </c>
      <c r="J20" s="15" t="s">
        <v>38</v>
      </c>
      <c r="K20" s="7" t="s">
        <v>161</v>
      </c>
      <c r="L20" s="7">
        <v>1</v>
      </c>
      <c r="N20" s="7">
        <v>1</v>
      </c>
      <c r="O20" s="7">
        <v>1</v>
      </c>
      <c r="P20" s="34">
        <v>0.9</v>
      </c>
      <c r="Q20" s="52">
        <f t="shared" si="0"/>
        <v>0.95</v>
      </c>
      <c r="R20" s="7">
        <v>14.3</v>
      </c>
      <c r="S20" s="7">
        <v>121</v>
      </c>
      <c r="T20" s="16">
        <f t="shared" si="1"/>
        <v>27</v>
      </c>
      <c r="U20" s="7">
        <v>105</v>
      </c>
      <c r="V20" s="16">
        <f t="shared" si="2"/>
        <v>2835</v>
      </c>
      <c r="W20" s="7">
        <v>5</v>
      </c>
      <c r="X20" s="15" t="s">
        <v>46</v>
      </c>
      <c r="Y20" s="54" t="s">
        <v>55</v>
      </c>
      <c r="Z20" s="54" t="s">
        <v>97</v>
      </c>
      <c r="AA20" s="54" t="s">
        <v>86</v>
      </c>
      <c r="AB20" s="39" t="s">
        <v>158</v>
      </c>
      <c r="AE20" s="22"/>
      <c r="AP20" s="43" t="s">
        <v>113</v>
      </c>
      <c r="AR20" s="41" t="s">
        <v>105</v>
      </c>
      <c r="AV20" s="27" t="s">
        <v>135</v>
      </c>
    </row>
    <row r="21" spans="1:48" x14ac:dyDescent="0.15">
      <c r="A21" s="15" t="s">
        <v>156</v>
      </c>
      <c r="B21" s="15" t="s">
        <v>157</v>
      </c>
      <c r="C21" s="15">
        <v>2019</v>
      </c>
      <c r="D21" s="37" t="s">
        <v>166</v>
      </c>
      <c r="E21" s="15" t="s">
        <v>143</v>
      </c>
      <c r="F21" s="7" t="s">
        <v>152</v>
      </c>
      <c r="G21" s="7" t="s">
        <v>36</v>
      </c>
      <c r="H21" s="15" t="s">
        <v>164</v>
      </c>
      <c r="I21" s="7" t="s">
        <v>159</v>
      </c>
      <c r="J21" s="15" t="s">
        <v>38</v>
      </c>
      <c r="K21" s="7" t="s">
        <v>161</v>
      </c>
      <c r="L21" s="7">
        <v>2</v>
      </c>
      <c r="N21" s="7">
        <v>1</v>
      </c>
      <c r="O21" s="7">
        <v>1.05</v>
      </c>
      <c r="P21" s="7">
        <v>1.1499999999999999</v>
      </c>
      <c r="Q21" s="52">
        <f t="shared" si="0"/>
        <v>1.1000000000000001</v>
      </c>
      <c r="R21" s="7">
        <v>15.7</v>
      </c>
      <c r="S21" s="7">
        <v>123</v>
      </c>
      <c r="T21" s="16">
        <f t="shared" si="1"/>
        <v>27</v>
      </c>
      <c r="U21" s="7">
        <v>105</v>
      </c>
      <c r="V21" s="16">
        <f t="shared" si="2"/>
        <v>2835</v>
      </c>
      <c r="W21" s="7">
        <v>5</v>
      </c>
      <c r="X21" s="15" t="s">
        <v>46</v>
      </c>
      <c r="Y21" s="54" t="s">
        <v>55</v>
      </c>
      <c r="Z21" s="54" t="s">
        <v>97</v>
      </c>
      <c r="AA21" s="54" t="s">
        <v>86</v>
      </c>
      <c r="AB21" s="39" t="s">
        <v>158</v>
      </c>
      <c r="AE21" s="22"/>
      <c r="AP21" s="43" t="s">
        <v>114</v>
      </c>
      <c r="AR21" s="41" t="s">
        <v>68</v>
      </c>
      <c r="AV21" s="27" t="s">
        <v>136</v>
      </c>
    </row>
    <row r="22" spans="1:48" x14ac:dyDescent="0.15">
      <c r="A22" s="15" t="s">
        <v>156</v>
      </c>
      <c r="B22" s="15" t="s">
        <v>157</v>
      </c>
      <c r="C22" s="15">
        <v>2019</v>
      </c>
      <c r="D22" s="37" t="s">
        <v>166</v>
      </c>
      <c r="E22" s="15" t="s">
        <v>143</v>
      </c>
      <c r="F22" s="7" t="s">
        <v>152</v>
      </c>
      <c r="G22" s="7" t="s">
        <v>36</v>
      </c>
      <c r="H22" s="15" t="s">
        <v>164</v>
      </c>
      <c r="I22" s="7" t="s">
        <v>159</v>
      </c>
      <c r="J22" s="15" t="s">
        <v>38</v>
      </c>
      <c r="K22" s="7" t="s">
        <v>161</v>
      </c>
      <c r="L22" s="7">
        <v>3</v>
      </c>
      <c r="N22" s="7">
        <v>1</v>
      </c>
      <c r="O22" s="34">
        <v>0.9</v>
      </c>
      <c r="P22" s="7">
        <v>1</v>
      </c>
      <c r="Q22" s="52">
        <f t="shared" si="0"/>
        <v>0.95</v>
      </c>
      <c r="R22" s="7">
        <v>15.9</v>
      </c>
      <c r="S22" s="7">
        <v>122</v>
      </c>
      <c r="T22" s="16">
        <f t="shared" si="1"/>
        <v>27</v>
      </c>
      <c r="U22" s="7">
        <v>105</v>
      </c>
      <c r="V22" s="16">
        <f t="shared" si="2"/>
        <v>2835</v>
      </c>
      <c r="W22" s="7">
        <v>5</v>
      </c>
      <c r="X22" s="15" t="s">
        <v>46</v>
      </c>
      <c r="Y22" s="54" t="s">
        <v>55</v>
      </c>
      <c r="Z22" s="54" t="s">
        <v>97</v>
      </c>
      <c r="AA22" s="54" t="s">
        <v>86</v>
      </c>
      <c r="AB22" s="39" t="s">
        <v>158</v>
      </c>
      <c r="AE22" s="35"/>
      <c r="AP22" s="43" t="s">
        <v>115</v>
      </c>
      <c r="AR22" s="41" t="s">
        <v>83</v>
      </c>
      <c r="AV22" s="27"/>
    </row>
    <row r="23" spans="1:48" x14ac:dyDescent="0.15">
      <c r="A23" s="15" t="s">
        <v>156</v>
      </c>
      <c r="B23" s="15" t="s">
        <v>157</v>
      </c>
      <c r="C23" s="15">
        <v>2019</v>
      </c>
      <c r="D23" s="37" t="s">
        <v>166</v>
      </c>
      <c r="E23" s="7" t="s">
        <v>143</v>
      </c>
      <c r="F23" s="7" t="s">
        <v>152</v>
      </c>
      <c r="G23" s="7" t="s">
        <v>36</v>
      </c>
      <c r="H23" s="15" t="s">
        <v>160</v>
      </c>
      <c r="I23" s="7" t="s">
        <v>159</v>
      </c>
      <c r="J23" s="15" t="s">
        <v>38</v>
      </c>
      <c r="K23" s="7" t="s">
        <v>161</v>
      </c>
      <c r="L23" s="7">
        <v>1</v>
      </c>
      <c r="N23" s="7">
        <v>1</v>
      </c>
      <c r="O23" s="34">
        <v>0.65</v>
      </c>
      <c r="P23" s="7">
        <v>0.65</v>
      </c>
      <c r="Q23" s="52">
        <f t="shared" si="0"/>
        <v>0.65</v>
      </c>
      <c r="R23" s="7">
        <v>16.5</v>
      </c>
      <c r="S23" s="7">
        <v>126</v>
      </c>
      <c r="T23" s="16">
        <f t="shared" si="1"/>
        <v>27</v>
      </c>
      <c r="U23" s="7">
        <v>138</v>
      </c>
      <c r="V23" s="16">
        <f t="shared" si="2"/>
        <v>3726</v>
      </c>
      <c r="W23" s="7">
        <v>7</v>
      </c>
      <c r="X23" s="15" t="s">
        <v>46</v>
      </c>
      <c r="Y23" s="54" t="s">
        <v>55</v>
      </c>
      <c r="Z23" s="54" t="s">
        <v>97</v>
      </c>
      <c r="AA23" s="54" t="s">
        <v>86</v>
      </c>
      <c r="AB23" s="39" t="s">
        <v>158</v>
      </c>
      <c r="AE23" s="22"/>
      <c r="AP23" s="43" t="s">
        <v>137</v>
      </c>
      <c r="AR23" s="41" t="s">
        <v>61</v>
      </c>
      <c r="AV23" s="27"/>
    </row>
    <row r="24" spans="1:48" x14ac:dyDescent="0.15">
      <c r="A24" s="15" t="s">
        <v>156</v>
      </c>
      <c r="B24" s="15" t="s">
        <v>157</v>
      </c>
      <c r="C24" s="15">
        <v>2019</v>
      </c>
      <c r="D24" s="37" t="s">
        <v>166</v>
      </c>
      <c r="E24" s="7" t="s">
        <v>143</v>
      </c>
      <c r="F24" s="7" t="s">
        <v>152</v>
      </c>
      <c r="G24" s="7" t="s">
        <v>36</v>
      </c>
      <c r="H24" s="15" t="s">
        <v>160</v>
      </c>
      <c r="I24" s="7" t="s">
        <v>159</v>
      </c>
      <c r="J24" s="15" t="s">
        <v>38</v>
      </c>
      <c r="K24" s="7" t="s">
        <v>161</v>
      </c>
      <c r="L24" s="7">
        <v>2</v>
      </c>
      <c r="N24" s="7">
        <v>1</v>
      </c>
      <c r="O24" s="7">
        <v>0.75</v>
      </c>
      <c r="P24" s="7">
        <v>0.7</v>
      </c>
      <c r="Q24" s="52">
        <f t="shared" si="0"/>
        <v>0.72499999999999998</v>
      </c>
      <c r="R24" s="7">
        <v>19.5</v>
      </c>
      <c r="S24" s="7">
        <v>124</v>
      </c>
      <c r="T24" s="16">
        <f t="shared" si="1"/>
        <v>27</v>
      </c>
      <c r="U24" s="7">
        <v>138</v>
      </c>
      <c r="V24" s="16">
        <f t="shared" si="2"/>
        <v>3726</v>
      </c>
      <c r="W24" s="7">
        <v>7</v>
      </c>
      <c r="X24" s="15" t="s">
        <v>46</v>
      </c>
      <c r="Y24" s="54" t="s">
        <v>55</v>
      </c>
      <c r="Z24" s="54" t="s">
        <v>97</v>
      </c>
      <c r="AA24" s="54" t="s">
        <v>86</v>
      </c>
      <c r="AB24" s="39" t="s">
        <v>158</v>
      </c>
      <c r="AE24" s="22"/>
      <c r="AP24" s="43" t="s">
        <v>138</v>
      </c>
      <c r="AR24" s="41" t="s">
        <v>91</v>
      </c>
      <c r="AV24" s="27"/>
    </row>
    <row r="25" spans="1:48" x14ac:dyDescent="0.15">
      <c r="A25" s="15" t="s">
        <v>156</v>
      </c>
      <c r="B25" s="15" t="s">
        <v>157</v>
      </c>
      <c r="C25" s="15">
        <v>2019</v>
      </c>
      <c r="D25" s="37" t="s">
        <v>166</v>
      </c>
      <c r="E25" s="7" t="s">
        <v>143</v>
      </c>
      <c r="F25" s="7" t="s">
        <v>152</v>
      </c>
      <c r="G25" s="7" t="s">
        <v>36</v>
      </c>
      <c r="H25" s="15" t="s">
        <v>160</v>
      </c>
      <c r="I25" s="7" t="s">
        <v>159</v>
      </c>
      <c r="J25" s="15" t="s">
        <v>38</v>
      </c>
      <c r="K25" s="7" t="s">
        <v>161</v>
      </c>
      <c r="L25" s="7">
        <v>3</v>
      </c>
      <c r="N25" s="7">
        <v>1</v>
      </c>
      <c r="O25" s="7">
        <v>0.75</v>
      </c>
      <c r="P25" s="7">
        <v>0.75</v>
      </c>
      <c r="Q25" s="52">
        <f t="shared" si="0"/>
        <v>0.75</v>
      </c>
      <c r="R25" s="7">
        <v>18.2</v>
      </c>
      <c r="S25" s="7">
        <v>124</v>
      </c>
      <c r="T25" s="16">
        <f t="shared" si="1"/>
        <v>27</v>
      </c>
      <c r="U25" s="7">
        <v>138</v>
      </c>
      <c r="V25" s="16">
        <f t="shared" si="2"/>
        <v>3726</v>
      </c>
      <c r="W25" s="7">
        <v>7</v>
      </c>
      <c r="X25" s="15" t="s">
        <v>46</v>
      </c>
      <c r="Y25" s="54" t="s">
        <v>55</v>
      </c>
      <c r="Z25" s="54" t="s">
        <v>97</v>
      </c>
      <c r="AA25" s="54" t="s">
        <v>86</v>
      </c>
      <c r="AB25" s="39" t="s">
        <v>158</v>
      </c>
      <c r="AE25" s="35"/>
      <c r="AP25" s="43" t="s">
        <v>116</v>
      </c>
      <c r="AR25" s="42" t="s">
        <v>92</v>
      </c>
      <c r="AV25" s="27"/>
    </row>
    <row r="26" spans="1:48" x14ac:dyDescent="0.15">
      <c r="A26" s="15" t="s">
        <v>156</v>
      </c>
      <c r="B26" s="15" t="s">
        <v>157</v>
      </c>
      <c r="C26" s="15">
        <v>2019</v>
      </c>
      <c r="D26" s="37" t="s">
        <v>166</v>
      </c>
      <c r="E26" s="7" t="s">
        <v>131</v>
      </c>
      <c r="F26" s="7" t="s">
        <v>144</v>
      </c>
      <c r="G26" s="7" t="s">
        <v>36</v>
      </c>
      <c r="H26" s="15" t="s">
        <v>164</v>
      </c>
      <c r="I26" s="7" t="s">
        <v>159</v>
      </c>
      <c r="J26" s="15" t="s">
        <v>38</v>
      </c>
      <c r="K26" s="7" t="s">
        <v>161</v>
      </c>
      <c r="L26" s="7">
        <v>1</v>
      </c>
      <c r="N26" s="53">
        <v>1</v>
      </c>
      <c r="O26" s="7">
        <v>0.85</v>
      </c>
      <c r="P26" s="7">
        <v>0.95</v>
      </c>
      <c r="Q26" s="52">
        <f t="shared" si="0"/>
        <v>0.89999999999999991</v>
      </c>
      <c r="R26" s="7">
        <v>14.1</v>
      </c>
      <c r="S26" s="7">
        <v>117</v>
      </c>
      <c r="T26" s="16">
        <f t="shared" si="1"/>
        <v>30</v>
      </c>
      <c r="U26" s="7">
        <v>107</v>
      </c>
      <c r="V26" s="16">
        <f t="shared" si="2"/>
        <v>3210</v>
      </c>
      <c r="W26" s="7">
        <v>6</v>
      </c>
      <c r="X26" s="15" t="s">
        <v>46</v>
      </c>
      <c r="Y26" s="54" t="s">
        <v>55</v>
      </c>
      <c r="Z26" s="54" t="s">
        <v>47</v>
      </c>
      <c r="AA26" s="54" t="s">
        <v>97</v>
      </c>
      <c r="AB26" s="39" t="s">
        <v>158</v>
      </c>
      <c r="AE26" s="35"/>
      <c r="AP26" s="43" t="s">
        <v>117</v>
      </c>
      <c r="AR26" s="23" t="s">
        <v>153</v>
      </c>
      <c r="AV26" s="28"/>
    </row>
    <row r="27" spans="1:48" x14ac:dyDescent="0.15">
      <c r="A27" s="15" t="s">
        <v>156</v>
      </c>
      <c r="B27" s="15" t="s">
        <v>157</v>
      </c>
      <c r="C27" s="15">
        <v>2019</v>
      </c>
      <c r="D27" s="37" t="s">
        <v>166</v>
      </c>
      <c r="E27" s="7" t="s">
        <v>131</v>
      </c>
      <c r="F27" s="7" t="s">
        <v>144</v>
      </c>
      <c r="G27" s="7" t="s">
        <v>36</v>
      </c>
      <c r="H27" s="54" t="s">
        <v>164</v>
      </c>
      <c r="I27" s="7" t="s">
        <v>159</v>
      </c>
      <c r="J27" s="15" t="s">
        <v>38</v>
      </c>
      <c r="K27" s="7" t="s">
        <v>161</v>
      </c>
      <c r="L27" s="7">
        <v>2</v>
      </c>
      <c r="N27" s="53">
        <v>1</v>
      </c>
      <c r="O27" s="7">
        <v>0.85</v>
      </c>
      <c r="P27" s="7">
        <v>0.7</v>
      </c>
      <c r="Q27" s="52">
        <f t="shared" si="0"/>
        <v>0.77499999999999991</v>
      </c>
      <c r="R27" s="7">
        <v>14.6</v>
      </c>
      <c r="S27" s="7">
        <v>115</v>
      </c>
      <c r="T27" s="16">
        <f t="shared" si="1"/>
        <v>30</v>
      </c>
      <c r="U27" s="7">
        <v>107</v>
      </c>
      <c r="V27" s="16">
        <f t="shared" si="2"/>
        <v>3210</v>
      </c>
      <c r="W27" s="7">
        <v>6</v>
      </c>
      <c r="X27" s="15" t="s">
        <v>46</v>
      </c>
      <c r="Y27" s="54" t="s">
        <v>55</v>
      </c>
      <c r="Z27" s="54" t="s">
        <v>47</v>
      </c>
      <c r="AA27" s="54" t="s">
        <v>97</v>
      </c>
      <c r="AB27" s="39" t="s">
        <v>158</v>
      </c>
      <c r="AE27" s="28"/>
      <c r="AP27" s="43" t="s">
        <v>118</v>
      </c>
      <c r="AR27" s="23"/>
    </row>
    <row r="28" spans="1:48" x14ac:dyDescent="0.15">
      <c r="A28" s="15" t="s">
        <v>156</v>
      </c>
      <c r="B28" s="15" t="s">
        <v>157</v>
      </c>
      <c r="C28" s="15">
        <v>2019</v>
      </c>
      <c r="D28" s="37" t="s">
        <v>166</v>
      </c>
      <c r="E28" s="7" t="s">
        <v>131</v>
      </c>
      <c r="F28" s="7" t="s">
        <v>144</v>
      </c>
      <c r="G28" s="7" t="s">
        <v>36</v>
      </c>
      <c r="H28" s="54" t="s">
        <v>164</v>
      </c>
      <c r="I28" s="7" t="s">
        <v>159</v>
      </c>
      <c r="J28" s="15" t="s">
        <v>38</v>
      </c>
      <c r="K28" s="7" t="s">
        <v>161</v>
      </c>
      <c r="L28" s="7">
        <v>3</v>
      </c>
      <c r="N28" s="53">
        <v>1</v>
      </c>
      <c r="O28" s="7">
        <v>0.9</v>
      </c>
      <c r="P28" s="7">
        <v>1.1000000000000001</v>
      </c>
      <c r="Q28" s="52">
        <f t="shared" si="0"/>
        <v>1</v>
      </c>
      <c r="R28" s="7">
        <v>12.1</v>
      </c>
      <c r="S28" s="7">
        <v>121</v>
      </c>
      <c r="T28" s="16">
        <f t="shared" si="1"/>
        <v>27</v>
      </c>
      <c r="U28" s="7">
        <v>107</v>
      </c>
      <c r="V28" s="16">
        <f t="shared" si="2"/>
        <v>2889</v>
      </c>
      <c r="W28" s="7">
        <v>6</v>
      </c>
      <c r="X28" s="15" t="s">
        <v>46</v>
      </c>
      <c r="Y28" s="54" t="s">
        <v>55</v>
      </c>
      <c r="Z28" s="54" t="s">
        <v>47</v>
      </c>
      <c r="AA28" s="54" t="s">
        <v>97</v>
      </c>
      <c r="AB28" s="39" t="s">
        <v>158</v>
      </c>
      <c r="AP28" s="27"/>
      <c r="AR28" s="23"/>
    </row>
    <row r="29" spans="1:48" x14ac:dyDescent="0.15">
      <c r="A29" s="15" t="s">
        <v>156</v>
      </c>
      <c r="B29" s="15" t="s">
        <v>157</v>
      </c>
      <c r="C29" s="15">
        <v>2019</v>
      </c>
      <c r="D29" s="37" t="s">
        <v>166</v>
      </c>
      <c r="E29" s="7" t="s">
        <v>131</v>
      </c>
      <c r="F29" s="7" t="s">
        <v>144</v>
      </c>
      <c r="G29" s="7" t="s">
        <v>36</v>
      </c>
      <c r="H29" s="54" t="s">
        <v>160</v>
      </c>
      <c r="I29" s="7" t="s">
        <v>159</v>
      </c>
      <c r="J29" s="15" t="s">
        <v>38</v>
      </c>
      <c r="K29" s="7" t="s">
        <v>161</v>
      </c>
      <c r="L29" s="7">
        <v>1</v>
      </c>
      <c r="N29" s="53">
        <v>1</v>
      </c>
      <c r="O29" s="7">
        <v>0.75</v>
      </c>
      <c r="P29" s="7">
        <v>0.65</v>
      </c>
      <c r="Q29" s="52">
        <f t="shared" si="0"/>
        <v>0.7</v>
      </c>
      <c r="R29" s="7">
        <v>17.3</v>
      </c>
      <c r="S29" s="7">
        <v>123</v>
      </c>
      <c r="T29" s="16">
        <f t="shared" si="1"/>
        <v>27</v>
      </c>
      <c r="U29" s="7">
        <v>107</v>
      </c>
      <c r="V29" s="16">
        <f t="shared" si="2"/>
        <v>2889</v>
      </c>
      <c r="W29" s="7">
        <v>10</v>
      </c>
      <c r="X29" s="15" t="s">
        <v>46</v>
      </c>
      <c r="Y29" s="54" t="s">
        <v>55</v>
      </c>
      <c r="Z29" s="54" t="s">
        <v>47</v>
      </c>
      <c r="AA29" s="54" t="s">
        <v>97</v>
      </c>
      <c r="AB29" s="39" t="s">
        <v>158</v>
      </c>
      <c r="AP29" s="27"/>
      <c r="AR29" s="27"/>
      <c r="AV29" s="28"/>
    </row>
    <row r="30" spans="1:48" x14ac:dyDescent="0.15">
      <c r="A30" s="15" t="s">
        <v>156</v>
      </c>
      <c r="B30" s="15" t="s">
        <v>157</v>
      </c>
      <c r="C30" s="15">
        <v>2019</v>
      </c>
      <c r="D30" s="37" t="s">
        <v>166</v>
      </c>
      <c r="E30" s="7" t="s">
        <v>131</v>
      </c>
      <c r="F30" s="7" t="s">
        <v>144</v>
      </c>
      <c r="G30" s="7" t="s">
        <v>36</v>
      </c>
      <c r="H30" s="54" t="s">
        <v>160</v>
      </c>
      <c r="I30" s="53" t="s">
        <v>159</v>
      </c>
      <c r="J30" s="15" t="s">
        <v>38</v>
      </c>
      <c r="K30" s="7" t="s">
        <v>161</v>
      </c>
      <c r="L30" s="7">
        <v>2</v>
      </c>
      <c r="N30" s="7">
        <v>1</v>
      </c>
      <c r="O30" s="7">
        <v>0.95</v>
      </c>
      <c r="P30" s="7">
        <v>0.95</v>
      </c>
      <c r="Q30" s="52">
        <f t="shared" si="0"/>
        <v>0.95</v>
      </c>
      <c r="R30" s="7">
        <v>17.3</v>
      </c>
      <c r="S30" s="7">
        <v>117</v>
      </c>
      <c r="T30" s="16">
        <f t="shared" si="1"/>
        <v>30</v>
      </c>
      <c r="U30" s="7">
        <v>107</v>
      </c>
      <c r="V30" s="16">
        <f t="shared" si="2"/>
        <v>3210</v>
      </c>
      <c r="W30" s="7">
        <v>10</v>
      </c>
      <c r="X30" s="15" t="s">
        <v>46</v>
      </c>
      <c r="Y30" s="54" t="s">
        <v>55</v>
      </c>
      <c r="Z30" s="54" t="s">
        <v>47</v>
      </c>
      <c r="AA30" s="54" t="s">
        <v>97</v>
      </c>
      <c r="AB30" s="39" t="s">
        <v>158</v>
      </c>
      <c r="AP30" s="27"/>
      <c r="AR30" s="27"/>
    </row>
    <row r="31" spans="1:48" x14ac:dyDescent="0.15">
      <c r="A31" s="15" t="s">
        <v>156</v>
      </c>
      <c r="B31" s="15" t="s">
        <v>157</v>
      </c>
      <c r="C31" s="15">
        <v>2019</v>
      </c>
      <c r="D31" s="37" t="s">
        <v>166</v>
      </c>
      <c r="E31" s="7" t="s">
        <v>131</v>
      </c>
      <c r="F31" s="7" t="s">
        <v>144</v>
      </c>
      <c r="G31" s="7" t="s">
        <v>36</v>
      </c>
      <c r="H31" s="54" t="s">
        <v>160</v>
      </c>
      <c r="I31" s="53" t="s">
        <v>159</v>
      </c>
      <c r="J31" s="15" t="s">
        <v>38</v>
      </c>
      <c r="K31" s="7" t="s">
        <v>161</v>
      </c>
      <c r="L31" s="7">
        <v>3</v>
      </c>
      <c r="N31" s="7">
        <v>1</v>
      </c>
      <c r="O31" s="7">
        <v>0.7</v>
      </c>
      <c r="P31" s="7">
        <v>0.7</v>
      </c>
      <c r="Q31" s="52">
        <f t="shared" si="0"/>
        <v>0.7</v>
      </c>
      <c r="R31" s="7">
        <v>17.7</v>
      </c>
      <c r="S31" s="7">
        <v>120</v>
      </c>
      <c r="T31" s="16">
        <f t="shared" si="1"/>
        <v>30</v>
      </c>
      <c r="U31" s="7">
        <v>107</v>
      </c>
      <c r="V31" s="16">
        <f t="shared" si="2"/>
        <v>3210</v>
      </c>
      <c r="W31" s="7">
        <v>10</v>
      </c>
      <c r="X31" s="15" t="s">
        <v>46</v>
      </c>
      <c r="Y31" s="54" t="s">
        <v>55</v>
      </c>
      <c r="Z31" s="54" t="s">
        <v>47</v>
      </c>
      <c r="AA31" s="54" t="s">
        <v>97</v>
      </c>
      <c r="AB31" s="39" t="s">
        <v>158</v>
      </c>
      <c r="AP31" s="27"/>
      <c r="AR31" s="27"/>
    </row>
    <row r="32" spans="1:48" x14ac:dyDescent="0.15">
      <c r="A32" s="15" t="s">
        <v>156</v>
      </c>
      <c r="B32" s="15" t="s">
        <v>157</v>
      </c>
      <c r="C32" s="15">
        <v>2019</v>
      </c>
      <c r="D32" s="37" t="s">
        <v>166</v>
      </c>
      <c r="E32" s="7" t="s">
        <v>131</v>
      </c>
      <c r="F32" s="7" t="s">
        <v>144</v>
      </c>
      <c r="G32" s="7" t="s">
        <v>36</v>
      </c>
      <c r="H32" s="15" t="s">
        <v>160</v>
      </c>
      <c r="I32" s="7" t="s">
        <v>165</v>
      </c>
      <c r="J32" s="15" t="s">
        <v>38</v>
      </c>
      <c r="K32" s="7" t="s">
        <v>161</v>
      </c>
      <c r="L32" s="7">
        <v>1</v>
      </c>
      <c r="N32" s="7">
        <v>4</v>
      </c>
      <c r="O32" s="7">
        <v>0.6</v>
      </c>
      <c r="P32" s="7">
        <v>0.6</v>
      </c>
      <c r="Q32" s="52">
        <f t="shared" si="0"/>
        <v>0.6</v>
      </c>
      <c r="R32" s="7">
        <v>17.399999999999999</v>
      </c>
      <c r="S32" s="7">
        <v>119</v>
      </c>
      <c r="T32" s="16">
        <f t="shared" si="1"/>
        <v>30</v>
      </c>
      <c r="U32" s="7">
        <v>419</v>
      </c>
      <c r="V32" s="16">
        <f t="shared" si="2"/>
        <v>3142.5</v>
      </c>
      <c r="W32" s="7">
        <v>2</v>
      </c>
      <c r="X32" s="15" t="s">
        <v>46</v>
      </c>
      <c r="Y32" s="54" t="s">
        <v>55</v>
      </c>
      <c r="Z32" s="54" t="s">
        <v>47</v>
      </c>
      <c r="AA32" s="54" t="s">
        <v>97</v>
      </c>
      <c r="AB32" s="39" t="s">
        <v>158</v>
      </c>
      <c r="AP32" s="28"/>
      <c r="AR32" s="28"/>
    </row>
    <row r="33" spans="1:44" x14ac:dyDescent="0.15">
      <c r="A33" s="15" t="s">
        <v>156</v>
      </c>
      <c r="B33" s="15" t="s">
        <v>157</v>
      </c>
      <c r="C33" s="15">
        <v>2019</v>
      </c>
      <c r="D33" s="37" t="s">
        <v>166</v>
      </c>
      <c r="E33" s="7" t="s">
        <v>131</v>
      </c>
      <c r="F33" s="7" t="s">
        <v>144</v>
      </c>
      <c r="G33" s="7" t="s">
        <v>36</v>
      </c>
      <c r="H33" s="15" t="s">
        <v>160</v>
      </c>
      <c r="I33" s="53" t="s">
        <v>165</v>
      </c>
      <c r="J33" s="15" t="s">
        <v>38</v>
      </c>
      <c r="K33" s="7" t="s">
        <v>161</v>
      </c>
      <c r="L33" s="7">
        <v>2</v>
      </c>
      <c r="N33" s="7">
        <v>4</v>
      </c>
      <c r="O33" s="7">
        <v>0.7</v>
      </c>
      <c r="P33" s="7">
        <v>0.75</v>
      </c>
      <c r="Q33" s="52">
        <f t="shared" si="0"/>
        <v>0.72499999999999998</v>
      </c>
      <c r="R33" s="7">
        <v>16.3</v>
      </c>
      <c r="S33" s="7">
        <v>123</v>
      </c>
      <c r="T33" s="16">
        <f t="shared" si="1"/>
        <v>27</v>
      </c>
      <c r="U33" s="7">
        <v>419</v>
      </c>
      <c r="V33" s="16">
        <f t="shared" si="2"/>
        <v>2828.25</v>
      </c>
      <c r="W33" s="7">
        <v>2</v>
      </c>
      <c r="X33" s="15" t="s">
        <v>46</v>
      </c>
      <c r="Y33" s="54" t="s">
        <v>55</v>
      </c>
      <c r="Z33" s="54" t="s">
        <v>47</v>
      </c>
      <c r="AA33" s="54" t="s">
        <v>97</v>
      </c>
      <c r="AB33" s="39" t="s">
        <v>158</v>
      </c>
    </row>
    <row r="34" spans="1:44" x14ac:dyDescent="0.15">
      <c r="A34" s="15" t="s">
        <v>156</v>
      </c>
      <c r="B34" s="15" t="s">
        <v>157</v>
      </c>
      <c r="C34" s="15">
        <v>2019</v>
      </c>
      <c r="D34" s="37" t="s">
        <v>166</v>
      </c>
      <c r="E34" s="7" t="s">
        <v>131</v>
      </c>
      <c r="F34" s="7" t="s">
        <v>144</v>
      </c>
      <c r="G34" s="7" t="s">
        <v>36</v>
      </c>
      <c r="H34" s="15" t="s">
        <v>160</v>
      </c>
      <c r="I34" s="53" t="s">
        <v>165</v>
      </c>
      <c r="J34" s="15" t="s">
        <v>38</v>
      </c>
      <c r="K34" s="7" t="s">
        <v>161</v>
      </c>
      <c r="L34" s="7">
        <v>3</v>
      </c>
      <c r="N34" s="7">
        <v>4</v>
      </c>
      <c r="O34" s="7">
        <v>0.6</v>
      </c>
      <c r="P34" s="7">
        <v>0.65</v>
      </c>
      <c r="Q34" s="52">
        <f t="shared" si="0"/>
        <v>0.625</v>
      </c>
      <c r="R34" s="7">
        <v>17.8</v>
      </c>
      <c r="S34" s="7">
        <v>118</v>
      </c>
      <c r="T34" s="16">
        <f t="shared" si="1"/>
        <v>30</v>
      </c>
      <c r="U34" s="7">
        <v>419</v>
      </c>
      <c r="V34" s="16">
        <f t="shared" si="2"/>
        <v>3142.5</v>
      </c>
      <c r="W34" s="7">
        <v>2</v>
      </c>
      <c r="X34" s="15" t="s">
        <v>46</v>
      </c>
      <c r="Y34" s="54" t="s">
        <v>55</v>
      </c>
      <c r="Z34" s="54" t="s">
        <v>47</v>
      </c>
      <c r="AA34" s="54" t="s">
        <v>97</v>
      </c>
      <c r="AB34" s="39" t="s">
        <v>158</v>
      </c>
    </row>
    <row r="35" spans="1:44" x14ac:dyDescent="0.15">
      <c r="A35" s="15" t="s">
        <v>156</v>
      </c>
      <c r="B35" s="15" t="s">
        <v>157</v>
      </c>
      <c r="C35" s="15">
        <v>2019</v>
      </c>
      <c r="D35" s="37" t="s">
        <v>166</v>
      </c>
      <c r="E35" s="7" t="s">
        <v>139</v>
      </c>
      <c r="F35" s="7" t="s">
        <v>145</v>
      </c>
      <c r="G35" s="7" t="s">
        <v>36</v>
      </c>
      <c r="H35" s="15" t="s">
        <v>164</v>
      </c>
      <c r="I35" s="7" t="s">
        <v>159</v>
      </c>
      <c r="J35" s="15" t="s">
        <v>38</v>
      </c>
      <c r="K35" s="7" t="s">
        <v>161</v>
      </c>
      <c r="L35" s="7">
        <v>1</v>
      </c>
      <c r="N35" s="7">
        <v>1</v>
      </c>
      <c r="O35" s="7">
        <v>0.55000000000000004</v>
      </c>
      <c r="P35" s="7">
        <v>0.6</v>
      </c>
      <c r="Q35" s="52">
        <f t="shared" si="0"/>
        <v>0.57499999999999996</v>
      </c>
      <c r="R35" s="7">
        <v>17.3</v>
      </c>
      <c r="S35" s="7">
        <v>142</v>
      </c>
      <c r="T35" s="16">
        <f t="shared" si="1"/>
        <v>22</v>
      </c>
      <c r="U35" s="7">
        <v>100</v>
      </c>
      <c r="V35" s="16">
        <f t="shared" si="2"/>
        <v>2200</v>
      </c>
      <c r="W35" s="7">
        <v>11</v>
      </c>
      <c r="X35" s="15" t="s">
        <v>46</v>
      </c>
      <c r="Y35" s="54" t="s">
        <v>55</v>
      </c>
      <c r="Z35" s="54" t="s">
        <v>86</v>
      </c>
      <c r="AA35" s="54" t="s">
        <v>97</v>
      </c>
      <c r="AB35" s="39" t="s">
        <v>158</v>
      </c>
      <c r="AP35" s="28"/>
      <c r="AR35" s="28"/>
    </row>
    <row r="36" spans="1:44" x14ac:dyDescent="0.15">
      <c r="A36" s="15" t="s">
        <v>156</v>
      </c>
      <c r="B36" s="15" t="s">
        <v>157</v>
      </c>
      <c r="C36" s="15">
        <v>2019</v>
      </c>
      <c r="D36" s="37" t="s">
        <v>166</v>
      </c>
      <c r="E36" s="7" t="s">
        <v>139</v>
      </c>
      <c r="F36" s="7" t="s">
        <v>145</v>
      </c>
      <c r="G36" s="7" t="s">
        <v>36</v>
      </c>
      <c r="H36" s="54" t="s">
        <v>164</v>
      </c>
      <c r="I36" s="7" t="s">
        <v>159</v>
      </c>
      <c r="J36" s="15" t="s">
        <v>38</v>
      </c>
      <c r="K36" s="7" t="s">
        <v>161</v>
      </c>
      <c r="L36" s="7">
        <v>2</v>
      </c>
      <c r="N36" s="7">
        <v>1</v>
      </c>
      <c r="O36" s="7">
        <v>0.5</v>
      </c>
      <c r="P36" s="7">
        <v>0.55000000000000004</v>
      </c>
      <c r="Q36" s="52">
        <f t="shared" si="0"/>
        <v>0.52500000000000002</v>
      </c>
      <c r="R36" s="7">
        <v>17.100000000000001</v>
      </c>
      <c r="S36" s="7">
        <v>147</v>
      </c>
      <c r="T36" s="16">
        <f t="shared" si="1"/>
        <v>22</v>
      </c>
      <c r="U36" s="7">
        <v>100</v>
      </c>
      <c r="V36" s="16">
        <f t="shared" si="2"/>
        <v>2200</v>
      </c>
      <c r="W36" s="7">
        <v>11</v>
      </c>
      <c r="X36" s="15" t="s">
        <v>46</v>
      </c>
      <c r="Y36" s="54" t="s">
        <v>55</v>
      </c>
      <c r="Z36" s="54" t="s">
        <v>86</v>
      </c>
      <c r="AA36" s="54" t="s">
        <v>97</v>
      </c>
      <c r="AB36" s="39" t="s">
        <v>158</v>
      </c>
    </row>
    <row r="37" spans="1:44" x14ac:dyDescent="0.15">
      <c r="A37" s="15" t="s">
        <v>156</v>
      </c>
      <c r="B37" s="15" t="s">
        <v>157</v>
      </c>
      <c r="C37" s="15">
        <v>2019</v>
      </c>
      <c r="D37" s="37" t="s">
        <v>166</v>
      </c>
      <c r="E37" s="7" t="s">
        <v>139</v>
      </c>
      <c r="F37" s="7" t="s">
        <v>145</v>
      </c>
      <c r="G37" s="7" t="s">
        <v>36</v>
      </c>
      <c r="H37" s="54" t="s">
        <v>164</v>
      </c>
      <c r="I37" s="7" t="s">
        <v>159</v>
      </c>
      <c r="J37" s="15" t="s">
        <v>38</v>
      </c>
      <c r="K37" s="7" t="s">
        <v>161</v>
      </c>
      <c r="L37" s="7">
        <v>3</v>
      </c>
      <c r="N37" s="7">
        <v>1</v>
      </c>
      <c r="O37" s="34">
        <v>0.75</v>
      </c>
      <c r="P37" s="34">
        <v>0.7</v>
      </c>
      <c r="Q37" s="52">
        <f t="shared" si="0"/>
        <v>0.72499999999999998</v>
      </c>
      <c r="R37" s="7">
        <v>14.4</v>
      </c>
      <c r="S37" s="7">
        <v>116</v>
      </c>
      <c r="T37" s="16">
        <f t="shared" si="1"/>
        <v>30</v>
      </c>
      <c r="U37" s="7">
        <v>100</v>
      </c>
      <c r="V37" s="16">
        <f t="shared" si="2"/>
        <v>3000</v>
      </c>
      <c r="W37" s="7">
        <v>11</v>
      </c>
      <c r="X37" s="15" t="s">
        <v>46</v>
      </c>
      <c r="Y37" s="54" t="s">
        <v>55</v>
      </c>
      <c r="Z37" s="54" t="s">
        <v>86</v>
      </c>
      <c r="AA37" s="54" t="s">
        <v>97</v>
      </c>
      <c r="AB37" s="39" t="s">
        <v>158</v>
      </c>
    </row>
    <row r="38" spans="1:44" x14ac:dyDescent="0.15">
      <c r="A38" s="15" t="s">
        <v>156</v>
      </c>
      <c r="B38" s="15" t="s">
        <v>157</v>
      </c>
      <c r="C38" s="15">
        <v>2019</v>
      </c>
      <c r="D38" s="37" t="s">
        <v>166</v>
      </c>
      <c r="E38" s="7" t="s">
        <v>139</v>
      </c>
      <c r="F38" s="7" t="s">
        <v>145</v>
      </c>
      <c r="G38" s="7" t="s">
        <v>36</v>
      </c>
      <c r="H38" s="15" t="s">
        <v>160</v>
      </c>
      <c r="I38" s="7" t="s">
        <v>159</v>
      </c>
      <c r="J38" s="15" t="s">
        <v>38</v>
      </c>
      <c r="K38" s="7" t="s">
        <v>161</v>
      </c>
      <c r="L38" s="7">
        <v>1</v>
      </c>
      <c r="N38" s="53">
        <v>1</v>
      </c>
      <c r="O38" s="34">
        <v>0.7</v>
      </c>
      <c r="P38" s="34">
        <v>0.65</v>
      </c>
      <c r="Q38" s="52">
        <f t="shared" si="0"/>
        <v>0.67500000000000004</v>
      </c>
      <c r="R38" s="7">
        <v>17</v>
      </c>
      <c r="S38" s="7">
        <v>143</v>
      </c>
      <c r="T38" s="16">
        <f t="shared" si="1"/>
        <v>22</v>
      </c>
      <c r="U38" s="7">
        <v>138</v>
      </c>
      <c r="V38" s="16">
        <f t="shared" si="2"/>
        <v>3036</v>
      </c>
      <c r="W38" s="7">
        <v>13</v>
      </c>
      <c r="X38" s="15" t="s">
        <v>46</v>
      </c>
      <c r="Y38" s="54" t="s">
        <v>55</v>
      </c>
      <c r="Z38" s="54" t="s">
        <v>86</v>
      </c>
      <c r="AA38" s="54" t="s">
        <v>97</v>
      </c>
      <c r="AB38" s="39" t="s">
        <v>158</v>
      </c>
    </row>
    <row r="39" spans="1:44" x14ac:dyDescent="0.15">
      <c r="A39" s="15" t="s">
        <v>156</v>
      </c>
      <c r="B39" s="15" t="s">
        <v>157</v>
      </c>
      <c r="C39" s="15">
        <v>2019</v>
      </c>
      <c r="D39" s="37" t="s">
        <v>166</v>
      </c>
      <c r="E39" s="7" t="s">
        <v>139</v>
      </c>
      <c r="F39" s="7" t="s">
        <v>145</v>
      </c>
      <c r="G39" s="7" t="s">
        <v>36</v>
      </c>
      <c r="H39" s="54" t="s">
        <v>160</v>
      </c>
      <c r="I39" s="7" t="s">
        <v>159</v>
      </c>
      <c r="J39" s="15" t="s">
        <v>38</v>
      </c>
      <c r="K39" s="7" t="s">
        <v>161</v>
      </c>
      <c r="L39" s="7">
        <v>2</v>
      </c>
      <c r="N39" s="53">
        <v>1</v>
      </c>
      <c r="O39" s="7">
        <v>0.65</v>
      </c>
      <c r="P39" s="7">
        <v>0.6</v>
      </c>
      <c r="Q39" s="52">
        <f t="shared" si="0"/>
        <v>0.625</v>
      </c>
      <c r="R39" s="34">
        <v>17.5</v>
      </c>
      <c r="S39" s="7">
        <v>134</v>
      </c>
      <c r="T39" s="16">
        <f t="shared" si="1"/>
        <v>25</v>
      </c>
      <c r="U39" s="7">
        <v>138</v>
      </c>
      <c r="V39" s="16">
        <f t="shared" si="2"/>
        <v>3450</v>
      </c>
      <c r="W39" s="7">
        <v>13</v>
      </c>
      <c r="X39" s="15" t="s">
        <v>46</v>
      </c>
      <c r="Y39" s="54" t="s">
        <v>55</v>
      </c>
      <c r="Z39" s="54" t="s">
        <v>86</v>
      </c>
      <c r="AA39" s="54" t="s">
        <v>97</v>
      </c>
      <c r="AB39" s="39" t="s">
        <v>158</v>
      </c>
    </row>
    <row r="40" spans="1:44" x14ac:dyDescent="0.15">
      <c r="A40" s="15" t="s">
        <v>156</v>
      </c>
      <c r="B40" s="15" t="s">
        <v>157</v>
      </c>
      <c r="C40" s="15">
        <v>2019</v>
      </c>
      <c r="D40" s="37" t="s">
        <v>166</v>
      </c>
      <c r="E40" s="7" t="s">
        <v>139</v>
      </c>
      <c r="F40" s="7" t="s">
        <v>145</v>
      </c>
      <c r="G40" s="7" t="s">
        <v>36</v>
      </c>
      <c r="H40" s="54" t="s">
        <v>160</v>
      </c>
      <c r="I40" s="7" t="s">
        <v>159</v>
      </c>
      <c r="J40" s="15" t="s">
        <v>38</v>
      </c>
      <c r="K40" s="7" t="s">
        <v>161</v>
      </c>
      <c r="L40" s="7">
        <v>3</v>
      </c>
      <c r="N40" s="53">
        <v>1</v>
      </c>
      <c r="O40" s="7">
        <v>0.65</v>
      </c>
      <c r="P40" s="7">
        <v>0.65</v>
      </c>
      <c r="Q40" s="52">
        <f t="shared" si="0"/>
        <v>0.65</v>
      </c>
      <c r="R40" s="7">
        <v>15.9</v>
      </c>
      <c r="S40" s="7">
        <v>141</v>
      </c>
      <c r="T40" s="16">
        <f t="shared" si="1"/>
        <v>22</v>
      </c>
      <c r="U40" s="7">
        <v>138</v>
      </c>
      <c r="V40" s="16">
        <f t="shared" si="2"/>
        <v>3036</v>
      </c>
      <c r="W40" s="7">
        <v>13</v>
      </c>
      <c r="X40" s="15" t="s">
        <v>46</v>
      </c>
      <c r="Y40" s="54" t="s">
        <v>55</v>
      </c>
      <c r="Z40" s="54" t="s">
        <v>86</v>
      </c>
      <c r="AA40" s="54" t="s">
        <v>97</v>
      </c>
      <c r="AB40" s="39" t="s">
        <v>158</v>
      </c>
    </row>
    <row r="41" spans="1:44" ht="12.75" customHeight="1" x14ac:dyDescent="0.15">
      <c r="A41" s="15" t="s">
        <v>156</v>
      </c>
      <c r="B41" s="15" t="s">
        <v>157</v>
      </c>
      <c r="C41" s="15">
        <v>2019</v>
      </c>
      <c r="D41" s="37" t="s">
        <v>166</v>
      </c>
      <c r="E41" s="7" t="s">
        <v>162</v>
      </c>
      <c r="F41" s="7" t="s">
        <v>163</v>
      </c>
      <c r="G41" s="7" t="s">
        <v>36</v>
      </c>
      <c r="H41" s="15" t="s">
        <v>164</v>
      </c>
      <c r="I41" s="7" t="s">
        <v>159</v>
      </c>
      <c r="J41" s="15" t="s">
        <v>38</v>
      </c>
      <c r="K41" s="7" t="s">
        <v>161</v>
      </c>
      <c r="L41" s="7">
        <v>1</v>
      </c>
      <c r="N41" s="7">
        <v>1</v>
      </c>
      <c r="O41" s="7">
        <v>0.9</v>
      </c>
      <c r="P41" s="7">
        <v>0.9</v>
      </c>
      <c r="Q41" s="52">
        <f t="shared" si="0"/>
        <v>0.9</v>
      </c>
      <c r="R41" s="7">
        <v>14.7</v>
      </c>
      <c r="S41" s="7">
        <v>107</v>
      </c>
      <c r="T41" s="16">
        <f t="shared" si="1"/>
        <v>33</v>
      </c>
      <c r="U41" s="7">
        <v>95</v>
      </c>
      <c r="V41" s="16">
        <f t="shared" si="2"/>
        <v>3135</v>
      </c>
      <c r="W41" s="7">
        <v>10</v>
      </c>
      <c r="X41" s="15" t="s">
        <v>46</v>
      </c>
      <c r="Y41" s="54" t="s">
        <v>55</v>
      </c>
      <c r="Z41" s="54" t="s">
        <v>47</v>
      </c>
      <c r="AA41" s="54" t="s">
        <v>86</v>
      </c>
      <c r="AB41" s="39" t="s">
        <v>158</v>
      </c>
    </row>
    <row r="42" spans="1:44" x14ac:dyDescent="0.15">
      <c r="A42" s="15" t="s">
        <v>156</v>
      </c>
      <c r="B42" s="15" t="s">
        <v>157</v>
      </c>
      <c r="C42" s="15">
        <v>2019</v>
      </c>
      <c r="D42" s="37" t="s">
        <v>166</v>
      </c>
      <c r="E42" s="7" t="s">
        <v>162</v>
      </c>
      <c r="F42" s="7" t="s">
        <v>163</v>
      </c>
      <c r="G42" s="7" t="s">
        <v>36</v>
      </c>
      <c r="H42" s="54" t="s">
        <v>164</v>
      </c>
      <c r="I42" s="7" t="s">
        <v>159</v>
      </c>
      <c r="J42" s="15" t="s">
        <v>38</v>
      </c>
      <c r="K42" s="7" t="s">
        <v>161</v>
      </c>
      <c r="L42" s="7">
        <v>2</v>
      </c>
      <c r="N42" s="7">
        <v>1</v>
      </c>
      <c r="O42" s="7">
        <v>0.85</v>
      </c>
      <c r="P42" s="7">
        <v>0.95</v>
      </c>
      <c r="Q42" s="52">
        <f t="shared" si="0"/>
        <v>0.89999999999999991</v>
      </c>
      <c r="R42" s="7">
        <v>14.6</v>
      </c>
      <c r="S42" s="7">
        <v>114</v>
      </c>
      <c r="T42" s="16">
        <f t="shared" si="1"/>
        <v>30</v>
      </c>
      <c r="U42" s="7">
        <v>95</v>
      </c>
      <c r="V42" s="16">
        <f t="shared" si="2"/>
        <v>2850</v>
      </c>
      <c r="W42" s="7">
        <v>10</v>
      </c>
      <c r="X42" s="15" t="s">
        <v>46</v>
      </c>
      <c r="Y42" s="54" t="s">
        <v>55</v>
      </c>
      <c r="Z42" s="54" t="s">
        <v>47</v>
      </c>
      <c r="AA42" s="54" t="s">
        <v>86</v>
      </c>
      <c r="AB42" s="39" t="s">
        <v>158</v>
      </c>
    </row>
    <row r="43" spans="1:44" x14ac:dyDescent="0.15">
      <c r="A43" s="15" t="s">
        <v>156</v>
      </c>
      <c r="B43" s="15" t="s">
        <v>157</v>
      </c>
      <c r="C43" s="15">
        <v>2019</v>
      </c>
      <c r="D43" s="37" t="s">
        <v>166</v>
      </c>
      <c r="E43" s="7" t="s">
        <v>162</v>
      </c>
      <c r="F43" s="7" t="s">
        <v>163</v>
      </c>
      <c r="G43" s="7" t="s">
        <v>36</v>
      </c>
      <c r="H43" s="54" t="s">
        <v>164</v>
      </c>
      <c r="I43" s="7" t="s">
        <v>159</v>
      </c>
      <c r="J43" s="15" t="s">
        <v>38</v>
      </c>
      <c r="K43" s="7" t="s">
        <v>161</v>
      </c>
      <c r="L43" s="7">
        <v>3</v>
      </c>
      <c r="N43" s="7">
        <v>1</v>
      </c>
      <c r="O43" s="7">
        <v>0.8</v>
      </c>
      <c r="P43" s="7">
        <v>1</v>
      </c>
      <c r="Q43" s="52">
        <f t="shared" si="0"/>
        <v>0.9</v>
      </c>
      <c r="R43" s="7">
        <v>14.2</v>
      </c>
      <c r="S43" s="7">
        <v>119</v>
      </c>
      <c r="T43" s="16">
        <f t="shared" si="1"/>
        <v>30</v>
      </c>
      <c r="U43" s="7">
        <v>95</v>
      </c>
      <c r="V43" s="16">
        <f t="shared" si="2"/>
        <v>2850</v>
      </c>
      <c r="W43" s="7">
        <v>10</v>
      </c>
      <c r="X43" s="15" t="s">
        <v>46</v>
      </c>
      <c r="Y43" s="54" t="s">
        <v>55</v>
      </c>
      <c r="Z43" s="54" t="s">
        <v>47</v>
      </c>
      <c r="AA43" s="54" t="s">
        <v>86</v>
      </c>
      <c r="AB43" s="39" t="s">
        <v>158</v>
      </c>
    </row>
    <row r="44" spans="1:44" x14ac:dyDescent="0.15">
      <c r="A44" s="15" t="s">
        <v>156</v>
      </c>
      <c r="B44" s="15" t="s">
        <v>157</v>
      </c>
      <c r="C44" s="15">
        <v>2019</v>
      </c>
      <c r="D44" s="37" t="s">
        <v>166</v>
      </c>
      <c r="E44" s="7" t="s">
        <v>162</v>
      </c>
      <c r="F44" s="7" t="s">
        <v>163</v>
      </c>
      <c r="G44" s="7" t="s">
        <v>36</v>
      </c>
      <c r="H44" s="15" t="s">
        <v>160</v>
      </c>
      <c r="I44" s="7" t="s">
        <v>159</v>
      </c>
      <c r="J44" s="15" t="s">
        <v>38</v>
      </c>
      <c r="K44" s="7" t="s">
        <v>161</v>
      </c>
      <c r="L44" s="7">
        <v>1</v>
      </c>
      <c r="N44" s="7">
        <v>1</v>
      </c>
      <c r="O44" s="7">
        <v>1.2</v>
      </c>
      <c r="P44" s="7">
        <v>1.05</v>
      </c>
      <c r="Q44" s="52">
        <f t="shared" si="0"/>
        <v>1.125</v>
      </c>
      <c r="R44" s="7">
        <v>17.2</v>
      </c>
      <c r="S44" s="7">
        <v>114</v>
      </c>
      <c r="T44" s="16">
        <f t="shared" si="1"/>
        <v>30</v>
      </c>
      <c r="U44" s="7">
        <v>95</v>
      </c>
      <c r="V44" s="16">
        <f t="shared" si="2"/>
        <v>2850</v>
      </c>
      <c r="W44" s="7">
        <v>10</v>
      </c>
      <c r="X44" s="15" t="s">
        <v>46</v>
      </c>
      <c r="Y44" s="54" t="s">
        <v>55</v>
      </c>
      <c r="Z44" s="54" t="s">
        <v>47</v>
      </c>
      <c r="AA44" s="54" t="s">
        <v>86</v>
      </c>
      <c r="AB44" s="39" t="s">
        <v>158</v>
      </c>
    </row>
    <row r="45" spans="1:44" x14ac:dyDescent="0.15">
      <c r="A45" s="15" t="s">
        <v>156</v>
      </c>
      <c r="B45" s="15" t="s">
        <v>157</v>
      </c>
      <c r="C45" s="15">
        <v>2019</v>
      </c>
      <c r="D45" s="37" t="s">
        <v>166</v>
      </c>
      <c r="E45" s="7" t="s">
        <v>162</v>
      </c>
      <c r="F45" s="7" t="s">
        <v>163</v>
      </c>
      <c r="G45" s="7" t="s">
        <v>36</v>
      </c>
      <c r="H45" s="15" t="s">
        <v>160</v>
      </c>
      <c r="I45" s="7" t="s">
        <v>159</v>
      </c>
      <c r="J45" s="15" t="s">
        <v>38</v>
      </c>
      <c r="K45" s="7" t="s">
        <v>161</v>
      </c>
      <c r="L45" s="7">
        <v>2</v>
      </c>
      <c r="N45" s="7">
        <v>1</v>
      </c>
      <c r="O45" s="7">
        <v>0.7</v>
      </c>
      <c r="P45" s="7">
        <v>0.75</v>
      </c>
      <c r="Q45" s="52">
        <f t="shared" si="0"/>
        <v>0.72499999999999998</v>
      </c>
      <c r="R45" s="7">
        <v>19.8</v>
      </c>
      <c r="S45" s="7">
        <v>106</v>
      </c>
      <c r="T45" s="16">
        <f t="shared" si="1"/>
        <v>33</v>
      </c>
      <c r="U45" s="7">
        <v>95</v>
      </c>
      <c r="V45" s="16">
        <f t="shared" si="2"/>
        <v>3135</v>
      </c>
      <c r="W45" s="7">
        <v>10</v>
      </c>
      <c r="X45" s="15" t="s">
        <v>46</v>
      </c>
      <c r="Y45" s="54" t="s">
        <v>55</v>
      </c>
      <c r="Z45" s="54" t="s">
        <v>47</v>
      </c>
      <c r="AA45" s="54" t="s">
        <v>86</v>
      </c>
      <c r="AB45" s="39" t="s">
        <v>158</v>
      </c>
    </row>
    <row r="46" spans="1:44" x14ac:dyDescent="0.15">
      <c r="A46" s="15" t="s">
        <v>156</v>
      </c>
      <c r="B46" s="15" t="s">
        <v>157</v>
      </c>
      <c r="C46" s="15">
        <v>2019</v>
      </c>
      <c r="D46" s="37" t="s">
        <v>166</v>
      </c>
      <c r="E46" s="7" t="s">
        <v>162</v>
      </c>
      <c r="F46" s="7" t="s">
        <v>163</v>
      </c>
      <c r="G46" s="7" t="s">
        <v>36</v>
      </c>
      <c r="H46" s="15" t="s">
        <v>160</v>
      </c>
      <c r="I46" s="7" t="s">
        <v>159</v>
      </c>
      <c r="J46" s="15" t="s">
        <v>38</v>
      </c>
      <c r="K46" s="7" t="s">
        <v>161</v>
      </c>
      <c r="L46" s="7">
        <v>3</v>
      </c>
      <c r="N46" s="7">
        <v>1</v>
      </c>
      <c r="O46" s="7">
        <v>1.1000000000000001</v>
      </c>
      <c r="P46" s="34">
        <v>1.25</v>
      </c>
      <c r="Q46" s="52">
        <f t="shared" si="0"/>
        <v>1.175</v>
      </c>
      <c r="R46" s="7">
        <v>17.2</v>
      </c>
      <c r="S46" s="7">
        <v>114</v>
      </c>
      <c r="T46" s="16">
        <f t="shared" si="1"/>
        <v>30</v>
      </c>
      <c r="U46" s="7">
        <v>95</v>
      </c>
      <c r="V46" s="16">
        <f t="shared" si="2"/>
        <v>2850</v>
      </c>
      <c r="W46" s="7">
        <v>10</v>
      </c>
      <c r="X46" s="15" t="s">
        <v>46</v>
      </c>
      <c r="Y46" s="54" t="s">
        <v>55</v>
      </c>
      <c r="Z46" s="54" t="s">
        <v>47</v>
      </c>
      <c r="AA46" s="54" t="s">
        <v>86</v>
      </c>
      <c r="AB46" s="39" t="s">
        <v>158</v>
      </c>
    </row>
    <row r="47" spans="1:44" x14ac:dyDescent="0.15">
      <c r="A47" s="15" t="s">
        <v>156</v>
      </c>
      <c r="B47" s="15" t="s">
        <v>157</v>
      </c>
      <c r="C47" s="15">
        <v>2019</v>
      </c>
      <c r="D47" s="37" t="s">
        <v>166</v>
      </c>
      <c r="E47" s="7" t="s">
        <v>130</v>
      </c>
      <c r="F47" s="7" t="s">
        <v>146</v>
      </c>
      <c r="G47" s="7" t="s">
        <v>36</v>
      </c>
      <c r="H47" s="15" t="s">
        <v>164</v>
      </c>
      <c r="I47" s="7" t="s">
        <v>159</v>
      </c>
      <c r="J47" s="15" t="s">
        <v>38</v>
      </c>
      <c r="K47" s="7" t="s">
        <v>161</v>
      </c>
      <c r="L47" s="7">
        <v>1</v>
      </c>
      <c r="N47" s="7">
        <v>1</v>
      </c>
      <c r="O47" s="7">
        <v>0.6</v>
      </c>
      <c r="P47" s="7">
        <v>0.7</v>
      </c>
      <c r="Q47" s="52">
        <f t="shared" si="0"/>
        <v>0.64999999999999991</v>
      </c>
      <c r="R47" s="7">
        <v>14.3</v>
      </c>
      <c r="S47" s="7">
        <v>113</v>
      </c>
      <c r="T47" s="16">
        <f t="shared" si="1"/>
        <v>30</v>
      </c>
      <c r="U47" s="7">
        <v>105</v>
      </c>
      <c r="V47" s="16">
        <f t="shared" si="2"/>
        <v>3150</v>
      </c>
      <c r="W47" s="7">
        <v>10</v>
      </c>
      <c r="X47" s="15" t="s">
        <v>46</v>
      </c>
      <c r="Y47" s="54" t="s">
        <v>55</v>
      </c>
      <c r="Z47" s="54" t="s">
        <v>86</v>
      </c>
      <c r="AA47" s="54" t="s">
        <v>47</v>
      </c>
      <c r="AB47" s="39" t="s">
        <v>158</v>
      </c>
    </row>
    <row r="48" spans="1:44" x14ac:dyDescent="0.15">
      <c r="A48" s="15" t="s">
        <v>156</v>
      </c>
      <c r="B48" s="15" t="s">
        <v>157</v>
      </c>
      <c r="C48" s="15">
        <v>2019</v>
      </c>
      <c r="D48" s="37" t="s">
        <v>166</v>
      </c>
      <c r="E48" s="7" t="s">
        <v>130</v>
      </c>
      <c r="F48" s="7" t="s">
        <v>146</v>
      </c>
      <c r="G48" s="7" t="s">
        <v>36</v>
      </c>
      <c r="H48" s="15" t="s">
        <v>164</v>
      </c>
      <c r="I48" s="7" t="s">
        <v>159</v>
      </c>
      <c r="J48" s="15" t="s">
        <v>38</v>
      </c>
      <c r="K48" s="7" t="s">
        <v>161</v>
      </c>
      <c r="L48" s="7">
        <v>2</v>
      </c>
      <c r="N48" s="7">
        <v>1</v>
      </c>
      <c r="O48" s="7">
        <v>1.1499999999999999</v>
      </c>
      <c r="P48" s="7">
        <v>1.1000000000000001</v>
      </c>
      <c r="Q48" s="52">
        <f t="shared" si="0"/>
        <v>1.125</v>
      </c>
      <c r="R48" s="7">
        <v>12.6</v>
      </c>
      <c r="S48" s="7">
        <v>118</v>
      </c>
      <c r="T48" s="16">
        <f t="shared" si="1"/>
        <v>30</v>
      </c>
      <c r="U48" s="7">
        <v>105</v>
      </c>
      <c r="V48" s="16">
        <f t="shared" si="2"/>
        <v>3150</v>
      </c>
      <c r="W48" s="7">
        <v>10</v>
      </c>
      <c r="X48" s="15" t="s">
        <v>46</v>
      </c>
      <c r="Y48" s="54" t="s">
        <v>55</v>
      </c>
      <c r="Z48" s="54" t="s">
        <v>86</v>
      </c>
      <c r="AA48" s="54" t="s">
        <v>47</v>
      </c>
      <c r="AB48" s="39" t="s">
        <v>158</v>
      </c>
    </row>
    <row r="49" spans="1:29" x14ac:dyDescent="0.15">
      <c r="A49" s="15" t="s">
        <v>156</v>
      </c>
      <c r="B49" s="15" t="s">
        <v>157</v>
      </c>
      <c r="C49" s="15">
        <v>2019</v>
      </c>
      <c r="D49" s="37" t="s">
        <v>166</v>
      </c>
      <c r="E49" s="7" t="s">
        <v>130</v>
      </c>
      <c r="F49" s="7" t="s">
        <v>146</v>
      </c>
      <c r="G49" s="7" t="s">
        <v>36</v>
      </c>
      <c r="H49" s="15" t="s">
        <v>164</v>
      </c>
      <c r="I49" s="7" t="s">
        <v>159</v>
      </c>
      <c r="J49" s="15" t="s">
        <v>38</v>
      </c>
      <c r="K49" s="7" t="s">
        <v>161</v>
      </c>
      <c r="L49" s="7">
        <v>3</v>
      </c>
      <c r="N49" s="7">
        <v>1</v>
      </c>
      <c r="O49" s="7">
        <v>0.95</v>
      </c>
      <c r="P49" s="34">
        <v>0.85</v>
      </c>
      <c r="Q49" s="52">
        <f t="shared" si="0"/>
        <v>0.89999999999999991</v>
      </c>
      <c r="R49" s="7">
        <v>13.7</v>
      </c>
      <c r="S49" s="7">
        <v>117</v>
      </c>
      <c r="T49" s="16">
        <f t="shared" si="1"/>
        <v>30</v>
      </c>
      <c r="U49" s="7">
        <v>105</v>
      </c>
      <c r="V49" s="16">
        <f t="shared" si="2"/>
        <v>3150</v>
      </c>
      <c r="W49" s="7">
        <v>10</v>
      </c>
      <c r="X49" s="15" t="s">
        <v>46</v>
      </c>
      <c r="Y49" s="54" t="s">
        <v>55</v>
      </c>
      <c r="Z49" s="54" t="s">
        <v>86</v>
      </c>
      <c r="AA49" s="54" t="s">
        <v>47</v>
      </c>
      <c r="AB49" s="39" t="s">
        <v>158</v>
      </c>
    </row>
    <row r="50" spans="1:29" x14ac:dyDescent="0.15">
      <c r="A50" s="15" t="s">
        <v>156</v>
      </c>
      <c r="B50" s="15" t="s">
        <v>157</v>
      </c>
      <c r="C50" s="15">
        <v>2019</v>
      </c>
      <c r="D50" s="37" t="s">
        <v>166</v>
      </c>
      <c r="E50" s="7" t="s">
        <v>130</v>
      </c>
      <c r="F50" s="7" t="s">
        <v>146</v>
      </c>
      <c r="G50" s="7" t="s">
        <v>36</v>
      </c>
      <c r="H50" s="15" t="s">
        <v>160</v>
      </c>
      <c r="I50" s="7" t="s">
        <v>159</v>
      </c>
      <c r="J50" s="15" t="s">
        <v>38</v>
      </c>
      <c r="K50" s="7" t="s">
        <v>161</v>
      </c>
      <c r="L50" s="7">
        <v>1</v>
      </c>
      <c r="N50" s="7">
        <v>1</v>
      </c>
      <c r="O50" s="7">
        <v>0.7</v>
      </c>
      <c r="P50" s="7">
        <v>0.8</v>
      </c>
      <c r="Q50" s="52">
        <f t="shared" si="0"/>
        <v>0.75</v>
      </c>
      <c r="R50" s="7">
        <v>17.600000000000001</v>
      </c>
      <c r="S50" s="7">
        <v>129</v>
      </c>
      <c r="T50" s="16">
        <f t="shared" si="1"/>
        <v>25</v>
      </c>
      <c r="U50" s="7">
        <v>135</v>
      </c>
      <c r="V50" s="16">
        <f t="shared" si="2"/>
        <v>3375</v>
      </c>
      <c r="W50" s="7">
        <v>18</v>
      </c>
      <c r="X50" s="15" t="s">
        <v>46</v>
      </c>
      <c r="Y50" s="54" t="s">
        <v>55</v>
      </c>
      <c r="Z50" s="54" t="s">
        <v>86</v>
      </c>
      <c r="AA50" s="54" t="s">
        <v>47</v>
      </c>
      <c r="AB50" s="39" t="s">
        <v>158</v>
      </c>
    </row>
    <row r="51" spans="1:29" x14ac:dyDescent="0.15">
      <c r="A51" s="15" t="s">
        <v>156</v>
      </c>
      <c r="B51" s="15" t="s">
        <v>157</v>
      </c>
      <c r="C51" s="15">
        <v>2019</v>
      </c>
      <c r="D51" s="37" t="s">
        <v>166</v>
      </c>
      <c r="E51" s="7" t="s">
        <v>130</v>
      </c>
      <c r="F51" s="7" t="s">
        <v>146</v>
      </c>
      <c r="G51" s="7" t="s">
        <v>36</v>
      </c>
      <c r="H51" s="15" t="s">
        <v>160</v>
      </c>
      <c r="I51" s="7" t="s">
        <v>159</v>
      </c>
      <c r="J51" s="15" t="s">
        <v>38</v>
      </c>
      <c r="K51" s="7" t="s">
        <v>161</v>
      </c>
      <c r="L51" s="7">
        <v>2</v>
      </c>
      <c r="N51" s="7">
        <v>1</v>
      </c>
      <c r="O51" s="7">
        <v>0.75</v>
      </c>
      <c r="P51" s="7">
        <v>0.7</v>
      </c>
      <c r="Q51" s="52">
        <f t="shared" si="0"/>
        <v>0.72499999999999998</v>
      </c>
      <c r="R51" s="7">
        <v>17</v>
      </c>
      <c r="S51" s="7">
        <v>134</v>
      </c>
      <c r="T51" s="16">
        <f t="shared" si="1"/>
        <v>25</v>
      </c>
      <c r="U51" s="7">
        <v>135</v>
      </c>
      <c r="V51" s="16">
        <f t="shared" si="2"/>
        <v>3375</v>
      </c>
      <c r="W51" s="7">
        <v>18</v>
      </c>
      <c r="X51" s="15" t="s">
        <v>46</v>
      </c>
      <c r="Y51" s="54" t="s">
        <v>55</v>
      </c>
      <c r="Z51" s="54" t="s">
        <v>86</v>
      </c>
      <c r="AA51" s="54" t="s">
        <v>47</v>
      </c>
      <c r="AB51" s="39" t="s">
        <v>158</v>
      </c>
    </row>
    <row r="52" spans="1:29" x14ac:dyDescent="0.15">
      <c r="A52" s="15" t="s">
        <v>156</v>
      </c>
      <c r="B52" s="15" t="s">
        <v>157</v>
      </c>
      <c r="C52" s="15">
        <v>2019</v>
      </c>
      <c r="D52" s="37" t="s">
        <v>166</v>
      </c>
      <c r="E52" s="7" t="s">
        <v>130</v>
      </c>
      <c r="F52" s="7" t="s">
        <v>146</v>
      </c>
      <c r="G52" s="7" t="s">
        <v>36</v>
      </c>
      <c r="H52" s="15" t="s">
        <v>160</v>
      </c>
      <c r="I52" s="7" t="s">
        <v>159</v>
      </c>
      <c r="J52" s="15" t="s">
        <v>38</v>
      </c>
      <c r="K52" s="7" t="s">
        <v>161</v>
      </c>
      <c r="L52" s="7">
        <v>3</v>
      </c>
      <c r="N52" s="7">
        <v>1</v>
      </c>
      <c r="O52" s="7">
        <v>0.7</v>
      </c>
      <c r="P52" s="7">
        <v>0.75</v>
      </c>
      <c r="Q52" s="52">
        <f t="shared" si="0"/>
        <v>0.72499999999999998</v>
      </c>
      <c r="R52" s="7">
        <v>18.5</v>
      </c>
      <c r="S52" s="7">
        <v>128</v>
      </c>
      <c r="T52" s="16">
        <f t="shared" si="1"/>
        <v>27</v>
      </c>
      <c r="U52" s="7">
        <v>135</v>
      </c>
      <c r="V52" s="16">
        <f t="shared" si="2"/>
        <v>3645</v>
      </c>
      <c r="W52" s="7">
        <v>18</v>
      </c>
      <c r="X52" s="15" t="s">
        <v>46</v>
      </c>
      <c r="Y52" s="54" t="s">
        <v>55</v>
      </c>
      <c r="Z52" s="54" t="s">
        <v>86</v>
      </c>
      <c r="AA52" s="54" t="s">
        <v>47</v>
      </c>
      <c r="AB52" s="39" t="s">
        <v>158</v>
      </c>
    </row>
    <row r="53" spans="1:29" x14ac:dyDescent="0.15">
      <c r="A53" s="15" t="s">
        <v>156</v>
      </c>
      <c r="B53" s="15" t="s">
        <v>157</v>
      </c>
      <c r="C53" s="15">
        <v>2019</v>
      </c>
      <c r="D53" s="37" t="s">
        <v>166</v>
      </c>
      <c r="E53" s="7" t="s">
        <v>132</v>
      </c>
      <c r="F53" s="7" t="s">
        <v>147</v>
      </c>
      <c r="G53" s="7" t="s">
        <v>36</v>
      </c>
      <c r="H53" s="15" t="s">
        <v>164</v>
      </c>
      <c r="I53" s="7" t="s">
        <v>159</v>
      </c>
      <c r="J53" s="15" t="s">
        <v>38</v>
      </c>
      <c r="K53" s="7" t="s">
        <v>161</v>
      </c>
      <c r="L53" s="7">
        <v>1</v>
      </c>
      <c r="N53" s="7">
        <v>1</v>
      </c>
      <c r="O53" s="7">
        <v>0.9</v>
      </c>
      <c r="P53" s="7">
        <v>0.9</v>
      </c>
      <c r="Q53" s="52">
        <f t="shared" si="0"/>
        <v>0.9</v>
      </c>
      <c r="R53" s="7">
        <v>15.5</v>
      </c>
      <c r="S53" s="7">
        <v>133</v>
      </c>
      <c r="T53" s="16">
        <f t="shared" si="1"/>
        <v>25</v>
      </c>
      <c r="U53" s="7">
        <v>106</v>
      </c>
      <c r="V53" s="16">
        <f t="shared" si="2"/>
        <v>2650</v>
      </c>
      <c r="W53" s="7">
        <v>9</v>
      </c>
      <c r="X53" s="15" t="s">
        <v>46</v>
      </c>
      <c r="Y53" s="54" t="s">
        <v>55</v>
      </c>
      <c r="Z53" s="54" t="s">
        <v>86</v>
      </c>
      <c r="AA53" s="54" t="s">
        <v>47</v>
      </c>
      <c r="AB53" s="39" t="s">
        <v>158</v>
      </c>
      <c r="AC53" s="36"/>
    </row>
    <row r="54" spans="1:29" x14ac:dyDescent="0.15">
      <c r="A54" s="15" t="s">
        <v>156</v>
      </c>
      <c r="B54" s="15" t="s">
        <v>157</v>
      </c>
      <c r="C54" s="15">
        <v>2019</v>
      </c>
      <c r="D54" s="37" t="s">
        <v>166</v>
      </c>
      <c r="E54" s="7" t="s">
        <v>132</v>
      </c>
      <c r="F54" s="7" t="s">
        <v>147</v>
      </c>
      <c r="G54" s="7" t="s">
        <v>36</v>
      </c>
      <c r="H54" s="15" t="s">
        <v>164</v>
      </c>
      <c r="I54" s="7" t="s">
        <v>159</v>
      </c>
      <c r="J54" s="15" t="s">
        <v>38</v>
      </c>
      <c r="K54" s="7" t="s">
        <v>161</v>
      </c>
      <c r="L54" s="7">
        <v>2</v>
      </c>
      <c r="N54" s="7">
        <v>1</v>
      </c>
      <c r="O54" s="7">
        <v>0.85</v>
      </c>
      <c r="P54" s="7">
        <v>0.8</v>
      </c>
      <c r="Q54" s="52">
        <f t="shared" si="0"/>
        <v>0.82499999999999996</v>
      </c>
      <c r="R54" s="7">
        <v>14.6</v>
      </c>
      <c r="S54" s="7">
        <v>130</v>
      </c>
      <c r="T54" s="16">
        <f t="shared" si="1"/>
        <v>25</v>
      </c>
      <c r="U54" s="7">
        <v>106</v>
      </c>
      <c r="V54" s="16">
        <f t="shared" si="2"/>
        <v>2650</v>
      </c>
      <c r="W54" s="7">
        <v>9</v>
      </c>
      <c r="X54" s="15" t="s">
        <v>46</v>
      </c>
      <c r="Y54" s="54" t="s">
        <v>55</v>
      </c>
      <c r="Z54" s="54" t="s">
        <v>86</v>
      </c>
      <c r="AA54" s="54" t="s">
        <v>47</v>
      </c>
      <c r="AB54" s="39" t="s">
        <v>158</v>
      </c>
      <c r="AC54" s="36"/>
    </row>
    <row r="55" spans="1:29" x14ac:dyDescent="0.15">
      <c r="A55" s="15" t="s">
        <v>156</v>
      </c>
      <c r="B55" s="15" t="s">
        <v>157</v>
      </c>
      <c r="C55" s="15">
        <v>2019</v>
      </c>
      <c r="D55" s="37" t="s">
        <v>166</v>
      </c>
      <c r="E55" s="7" t="s">
        <v>132</v>
      </c>
      <c r="F55" s="7" t="s">
        <v>147</v>
      </c>
      <c r="G55" s="7" t="s">
        <v>36</v>
      </c>
      <c r="H55" s="15" t="s">
        <v>164</v>
      </c>
      <c r="I55" s="7" t="s">
        <v>159</v>
      </c>
      <c r="J55" s="15" t="s">
        <v>38</v>
      </c>
      <c r="K55" s="7" t="s">
        <v>161</v>
      </c>
      <c r="L55" s="7">
        <v>3</v>
      </c>
      <c r="N55" s="7">
        <v>1</v>
      </c>
      <c r="O55" s="7">
        <v>0.65</v>
      </c>
      <c r="P55" s="7">
        <v>0.65</v>
      </c>
      <c r="Q55" s="52">
        <f t="shared" si="0"/>
        <v>0.65</v>
      </c>
      <c r="R55" s="7">
        <v>14.6</v>
      </c>
      <c r="S55" s="7">
        <v>104</v>
      </c>
      <c r="T55" s="16">
        <f t="shared" si="1"/>
        <v>33</v>
      </c>
      <c r="U55" s="7">
        <v>106</v>
      </c>
      <c r="V55" s="16">
        <f t="shared" si="2"/>
        <v>3498</v>
      </c>
      <c r="W55" s="7">
        <v>9</v>
      </c>
      <c r="X55" s="15" t="s">
        <v>46</v>
      </c>
      <c r="Y55" s="54" t="s">
        <v>55</v>
      </c>
      <c r="Z55" s="54" t="s">
        <v>86</v>
      </c>
      <c r="AA55" s="54" t="s">
        <v>47</v>
      </c>
      <c r="AB55" s="39" t="s">
        <v>158</v>
      </c>
      <c r="AC55" s="36"/>
    </row>
    <row r="56" spans="1:29" x14ac:dyDescent="0.15">
      <c r="A56" s="15" t="s">
        <v>156</v>
      </c>
      <c r="B56" s="15" t="s">
        <v>157</v>
      </c>
      <c r="C56" s="15">
        <v>2019</v>
      </c>
      <c r="D56" s="37" t="s">
        <v>166</v>
      </c>
      <c r="E56" s="7" t="s">
        <v>132</v>
      </c>
      <c r="F56" s="7" t="s">
        <v>147</v>
      </c>
      <c r="G56" s="7" t="s">
        <v>36</v>
      </c>
      <c r="H56" s="15" t="s">
        <v>168</v>
      </c>
      <c r="I56" s="7" t="s">
        <v>159</v>
      </c>
      <c r="J56" s="15" t="s">
        <v>38</v>
      </c>
      <c r="K56" s="7" t="s">
        <v>161</v>
      </c>
      <c r="L56" s="7">
        <v>1</v>
      </c>
      <c r="N56" s="7">
        <v>7</v>
      </c>
      <c r="O56" s="7">
        <v>0.75</v>
      </c>
      <c r="P56" s="7">
        <v>0.6</v>
      </c>
      <c r="Q56" s="52">
        <f t="shared" si="0"/>
        <v>0.67500000000000004</v>
      </c>
      <c r="R56" s="7">
        <v>18.5</v>
      </c>
      <c r="S56" s="7">
        <v>98</v>
      </c>
      <c r="T56" s="16">
        <f t="shared" si="1"/>
        <v>36</v>
      </c>
      <c r="U56" s="7">
        <v>537</v>
      </c>
      <c r="V56" s="16">
        <f t="shared" si="2"/>
        <v>2761.7142857142853</v>
      </c>
      <c r="W56" s="7">
        <v>2</v>
      </c>
      <c r="X56" s="15" t="s">
        <v>46</v>
      </c>
      <c r="Y56" s="54" t="s">
        <v>55</v>
      </c>
      <c r="Z56" s="54" t="s">
        <v>86</v>
      </c>
      <c r="AA56" s="54" t="s">
        <v>47</v>
      </c>
      <c r="AB56" s="39" t="s">
        <v>158</v>
      </c>
    </row>
    <row r="57" spans="1:29" x14ac:dyDescent="0.15">
      <c r="A57" s="15" t="s">
        <v>156</v>
      </c>
      <c r="B57" s="15" t="s">
        <v>157</v>
      </c>
      <c r="C57" s="15">
        <v>2019</v>
      </c>
      <c r="D57" s="37" t="s">
        <v>166</v>
      </c>
      <c r="E57" s="7" t="s">
        <v>132</v>
      </c>
      <c r="F57" s="7" t="s">
        <v>147</v>
      </c>
      <c r="G57" s="7" t="s">
        <v>36</v>
      </c>
      <c r="H57" s="54" t="s">
        <v>168</v>
      </c>
      <c r="I57" s="7" t="s">
        <v>159</v>
      </c>
      <c r="J57" s="15" t="s">
        <v>38</v>
      </c>
      <c r="K57" s="7" t="s">
        <v>161</v>
      </c>
      <c r="L57" s="7">
        <v>2</v>
      </c>
      <c r="N57" s="7">
        <v>7</v>
      </c>
      <c r="O57" s="7">
        <v>0.5</v>
      </c>
      <c r="P57" s="7">
        <v>0.6</v>
      </c>
      <c r="Q57" s="52">
        <f t="shared" si="0"/>
        <v>0.55000000000000004</v>
      </c>
      <c r="R57" s="7">
        <v>18.899999999999999</v>
      </c>
      <c r="S57" s="7">
        <v>93</v>
      </c>
      <c r="T57" s="16">
        <f t="shared" si="1"/>
        <v>36</v>
      </c>
      <c r="U57" s="7">
        <v>537</v>
      </c>
      <c r="V57" s="16">
        <f t="shared" si="2"/>
        <v>2761.7142857142853</v>
      </c>
      <c r="W57" s="7">
        <v>2</v>
      </c>
      <c r="X57" s="15" t="s">
        <v>46</v>
      </c>
      <c r="Y57" s="54" t="s">
        <v>55</v>
      </c>
      <c r="Z57" s="54" t="s">
        <v>86</v>
      </c>
      <c r="AA57" s="54" t="s">
        <v>47</v>
      </c>
      <c r="AB57" s="39" t="s">
        <v>158</v>
      </c>
    </row>
    <row r="58" spans="1:29" x14ac:dyDescent="0.15">
      <c r="A58" s="15" t="s">
        <v>156</v>
      </c>
      <c r="B58" s="15" t="s">
        <v>157</v>
      </c>
      <c r="C58" s="15">
        <v>2019</v>
      </c>
      <c r="D58" s="37" t="s">
        <v>166</v>
      </c>
      <c r="E58" s="7" t="s">
        <v>132</v>
      </c>
      <c r="F58" s="7" t="s">
        <v>147</v>
      </c>
      <c r="G58" s="7" t="s">
        <v>36</v>
      </c>
      <c r="H58" s="54" t="s">
        <v>168</v>
      </c>
      <c r="I58" s="7" t="s">
        <v>159</v>
      </c>
      <c r="J58" s="15" t="s">
        <v>38</v>
      </c>
      <c r="K58" s="7" t="s">
        <v>161</v>
      </c>
      <c r="L58" s="7">
        <v>3</v>
      </c>
      <c r="N58" s="7">
        <v>7</v>
      </c>
      <c r="O58" s="7">
        <v>0.85</v>
      </c>
      <c r="P58" s="7">
        <v>0.65</v>
      </c>
      <c r="Q58" s="52">
        <f t="shared" si="0"/>
        <v>0.75</v>
      </c>
      <c r="R58" s="7">
        <v>18.899999999999999</v>
      </c>
      <c r="S58" s="7">
        <v>100</v>
      </c>
      <c r="T58" s="16">
        <f t="shared" si="1"/>
        <v>33</v>
      </c>
      <c r="U58" s="7">
        <v>537</v>
      </c>
      <c r="V58" s="16">
        <f t="shared" si="2"/>
        <v>2531.5714285714284</v>
      </c>
      <c r="W58" s="7">
        <v>2</v>
      </c>
      <c r="X58" s="15" t="s">
        <v>46</v>
      </c>
      <c r="Y58" s="54" t="s">
        <v>55</v>
      </c>
      <c r="Z58" s="54" t="s">
        <v>86</v>
      </c>
      <c r="AA58" s="54" t="s">
        <v>47</v>
      </c>
      <c r="AB58" s="39" t="s">
        <v>158</v>
      </c>
    </row>
    <row r="59" spans="1:29" x14ac:dyDescent="0.15">
      <c r="A59" s="15" t="s">
        <v>156</v>
      </c>
      <c r="B59" s="15" t="s">
        <v>157</v>
      </c>
      <c r="C59" s="15">
        <v>2019</v>
      </c>
      <c r="D59" s="37" t="s">
        <v>166</v>
      </c>
      <c r="E59" s="7" t="s">
        <v>132</v>
      </c>
      <c r="F59" s="7" t="s">
        <v>147</v>
      </c>
      <c r="G59" s="7" t="s">
        <v>36</v>
      </c>
      <c r="H59" s="15" t="s">
        <v>160</v>
      </c>
      <c r="I59" s="7" t="s">
        <v>159</v>
      </c>
      <c r="J59" s="15" t="s">
        <v>38</v>
      </c>
      <c r="K59" s="7" t="s">
        <v>161</v>
      </c>
      <c r="L59" s="7">
        <v>1</v>
      </c>
      <c r="N59" s="7">
        <v>1</v>
      </c>
      <c r="O59" s="7">
        <v>1</v>
      </c>
      <c r="P59" s="7">
        <v>1</v>
      </c>
      <c r="Q59" s="52">
        <f t="shared" si="0"/>
        <v>1</v>
      </c>
      <c r="R59" s="7">
        <v>17.100000000000001</v>
      </c>
      <c r="S59" s="7">
        <v>111</v>
      </c>
      <c r="T59" s="16">
        <f t="shared" si="1"/>
        <v>33</v>
      </c>
      <c r="U59" s="7">
        <v>106</v>
      </c>
      <c r="V59" s="16">
        <f t="shared" si="2"/>
        <v>3498</v>
      </c>
      <c r="W59" s="7">
        <v>9</v>
      </c>
      <c r="X59" s="15" t="s">
        <v>46</v>
      </c>
      <c r="Y59" s="54" t="s">
        <v>55</v>
      </c>
      <c r="Z59" s="54" t="s">
        <v>86</v>
      </c>
      <c r="AA59" s="54" t="s">
        <v>47</v>
      </c>
      <c r="AB59" s="39" t="s">
        <v>158</v>
      </c>
    </row>
    <row r="60" spans="1:29" x14ac:dyDescent="0.15">
      <c r="A60" s="15" t="s">
        <v>156</v>
      </c>
      <c r="B60" s="15" t="s">
        <v>157</v>
      </c>
      <c r="C60" s="15">
        <v>2019</v>
      </c>
      <c r="D60" s="37" t="s">
        <v>166</v>
      </c>
      <c r="E60" s="7" t="s">
        <v>132</v>
      </c>
      <c r="F60" s="7" t="s">
        <v>147</v>
      </c>
      <c r="G60" s="7" t="s">
        <v>36</v>
      </c>
      <c r="H60" s="15" t="s">
        <v>160</v>
      </c>
      <c r="I60" s="7" t="s">
        <v>159</v>
      </c>
      <c r="J60" s="15" t="s">
        <v>38</v>
      </c>
      <c r="K60" s="7" t="s">
        <v>161</v>
      </c>
      <c r="L60" s="7">
        <v>2</v>
      </c>
      <c r="N60" s="7">
        <v>1</v>
      </c>
      <c r="O60" s="7">
        <v>0.5</v>
      </c>
      <c r="P60" s="7">
        <v>0.5</v>
      </c>
      <c r="Q60" s="52">
        <f t="shared" si="0"/>
        <v>0.5</v>
      </c>
      <c r="R60" s="7">
        <v>19.399999999999999</v>
      </c>
      <c r="S60" s="7">
        <v>112</v>
      </c>
      <c r="T60" s="16">
        <f>IF(H60="","",IF(OR(H60="GREEN",H60="GK"),IF(S60&gt;=$AX$2,VLOOKUP(S60,$AX$2:$AY$12,2,1),""),IF(S60&gt;=$AZ$2,VLOOKUP(S60,$AZ$2:$BA$12,2,1),"")))</f>
        <v>33</v>
      </c>
      <c r="U60" s="7">
        <v>106</v>
      </c>
      <c r="V60" s="16">
        <f t="shared" si="2"/>
        <v>3498</v>
      </c>
      <c r="W60" s="7">
        <v>9</v>
      </c>
      <c r="X60" s="15" t="s">
        <v>46</v>
      </c>
      <c r="Y60" s="54" t="s">
        <v>55</v>
      </c>
      <c r="Z60" s="54" t="s">
        <v>86</v>
      </c>
      <c r="AA60" s="54" t="s">
        <v>47</v>
      </c>
      <c r="AB60" s="39" t="s">
        <v>158</v>
      </c>
    </row>
    <row r="61" spans="1:29" x14ac:dyDescent="0.15">
      <c r="A61" s="15" t="s">
        <v>156</v>
      </c>
      <c r="B61" s="15" t="s">
        <v>157</v>
      </c>
      <c r="C61" s="15">
        <v>2019</v>
      </c>
      <c r="D61" s="37" t="s">
        <v>166</v>
      </c>
      <c r="E61" s="7" t="s">
        <v>132</v>
      </c>
      <c r="F61" s="7" t="s">
        <v>147</v>
      </c>
      <c r="G61" s="7" t="s">
        <v>36</v>
      </c>
      <c r="H61" s="15" t="s">
        <v>160</v>
      </c>
      <c r="I61" s="7" t="s">
        <v>159</v>
      </c>
      <c r="J61" s="15" t="s">
        <v>38</v>
      </c>
      <c r="K61" s="7" t="s">
        <v>161</v>
      </c>
      <c r="L61" s="7">
        <v>3</v>
      </c>
      <c r="N61" s="53">
        <v>1</v>
      </c>
      <c r="O61" s="7">
        <v>0.5</v>
      </c>
      <c r="P61" s="7">
        <v>0.65</v>
      </c>
      <c r="Q61" s="52">
        <f t="shared" si="0"/>
        <v>0.57499999999999996</v>
      </c>
      <c r="R61" s="7">
        <v>19.2</v>
      </c>
      <c r="S61" s="7">
        <v>113</v>
      </c>
      <c r="T61" s="16">
        <f>IF(H61="","",IF(OR(H61="GREEN",H61="GK"),IF(S61&gt;=$AX$2,VLOOKUP(S61,$AX$2:$AY$12,2,1),""),IF(S61&gt;=$AZ$2,VLOOKUP(S61,$AZ$2:$BA$12,2,1),"")))</f>
        <v>30</v>
      </c>
      <c r="U61" s="7">
        <v>106</v>
      </c>
      <c r="V61" s="16">
        <f t="shared" si="2"/>
        <v>3180</v>
      </c>
      <c r="W61" s="7">
        <v>9</v>
      </c>
      <c r="X61" s="15" t="s">
        <v>46</v>
      </c>
      <c r="Y61" s="54" t="s">
        <v>55</v>
      </c>
      <c r="Z61" s="54" t="s">
        <v>86</v>
      </c>
      <c r="AA61" s="54" t="s">
        <v>47</v>
      </c>
      <c r="AB61" s="39" t="s">
        <v>158</v>
      </c>
    </row>
    <row r="62" spans="1:29" x14ac:dyDescent="0.15">
      <c r="A62" s="15" t="s">
        <v>156</v>
      </c>
      <c r="B62" s="15" t="s">
        <v>157</v>
      </c>
      <c r="C62" s="15">
        <v>2019</v>
      </c>
      <c r="D62" s="37" t="s">
        <v>166</v>
      </c>
      <c r="E62" s="7" t="s">
        <v>140</v>
      </c>
      <c r="F62" s="7" t="s">
        <v>148</v>
      </c>
      <c r="G62" s="7" t="s">
        <v>36</v>
      </c>
      <c r="H62" s="15" t="s">
        <v>164</v>
      </c>
      <c r="I62" s="7" t="s">
        <v>159</v>
      </c>
      <c r="J62" s="15" t="s">
        <v>38</v>
      </c>
      <c r="K62" s="7" t="s">
        <v>161</v>
      </c>
      <c r="L62" s="7">
        <v>1</v>
      </c>
      <c r="N62" s="53">
        <v>1</v>
      </c>
      <c r="O62" s="7">
        <v>0.75</v>
      </c>
      <c r="P62" s="7">
        <v>0.85</v>
      </c>
      <c r="Q62" s="52">
        <f t="shared" si="0"/>
        <v>0.8</v>
      </c>
      <c r="R62" s="7">
        <v>12.6</v>
      </c>
      <c r="S62" s="7">
        <v>120</v>
      </c>
      <c r="T62" s="16">
        <f t="shared" ref="T62:T120" si="3">IF(H62="","",IF(OR(H62="GREEN",H62="GK"),IF(S62&gt;=$AX$2,VLOOKUP(S62,$AX$2:$AY$12,2,1),""),IF(S62&gt;=$AZ$2,VLOOKUP(S62,$AZ$2:$BA$12,2,1),"")))</f>
        <v>30</v>
      </c>
      <c r="U62" s="7">
        <v>170</v>
      </c>
      <c r="V62" s="16">
        <f t="shared" si="2"/>
        <v>5100</v>
      </c>
      <c r="W62" s="7">
        <v>16</v>
      </c>
      <c r="X62" s="54" t="s">
        <v>46</v>
      </c>
      <c r="Y62" s="54" t="s">
        <v>55</v>
      </c>
      <c r="Z62" s="54" t="s">
        <v>86</v>
      </c>
      <c r="AA62" s="54" t="s">
        <v>69</v>
      </c>
      <c r="AB62" s="39" t="s">
        <v>158</v>
      </c>
    </row>
    <row r="63" spans="1:29" x14ac:dyDescent="0.15">
      <c r="A63" s="15" t="s">
        <v>156</v>
      </c>
      <c r="B63" s="15" t="s">
        <v>157</v>
      </c>
      <c r="C63" s="15">
        <v>2019</v>
      </c>
      <c r="D63" s="37" t="s">
        <v>166</v>
      </c>
      <c r="E63" s="7" t="s">
        <v>140</v>
      </c>
      <c r="F63" s="7" t="s">
        <v>148</v>
      </c>
      <c r="G63" s="7" t="s">
        <v>36</v>
      </c>
      <c r="H63" s="15" t="s">
        <v>164</v>
      </c>
      <c r="I63" s="7" t="s">
        <v>159</v>
      </c>
      <c r="J63" s="15" t="s">
        <v>38</v>
      </c>
      <c r="K63" s="7" t="s">
        <v>161</v>
      </c>
      <c r="L63" s="7">
        <v>2</v>
      </c>
      <c r="N63" s="53">
        <v>1</v>
      </c>
      <c r="O63" s="7">
        <v>0.8</v>
      </c>
      <c r="P63" s="7">
        <v>0.75</v>
      </c>
      <c r="Q63" s="52">
        <f t="shared" si="0"/>
        <v>0.77500000000000002</v>
      </c>
      <c r="R63" s="7">
        <v>12.9</v>
      </c>
      <c r="S63" s="7">
        <v>120</v>
      </c>
      <c r="T63" s="16">
        <f t="shared" si="3"/>
        <v>30</v>
      </c>
      <c r="U63" s="7">
        <v>170</v>
      </c>
      <c r="V63" s="16">
        <f t="shared" si="2"/>
        <v>5100</v>
      </c>
      <c r="W63" s="7">
        <v>16</v>
      </c>
      <c r="X63" s="54" t="s">
        <v>46</v>
      </c>
      <c r="Y63" s="54" t="s">
        <v>55</v>
      </c>
      <c r="Z63" s="54" t="s">
        <v>86</v>
      </c>
      <c r="AA63" s="54" t="s">
        <v>69</v>
      </c>
      <c r="AB63" s="39" t="s">
        <v>158</v>
      </c>
    </row>
    <row r="64" spans="1:29" x14ac:dyDescent="0.15">
      <c r="A64" s="15" t="s">
        <v>156</v>
      </c>
      <c r="B64" s="15" t="s">
        <v>157</v>
      </c>
      <c r="C64" s="15">
        <v>2019</v>
      </c>
      <c r="D64" s="37" t="s">
        <v>166</v>
      </c>
      <c r="E64" s="7" t="s">
        <v>140</v>
      </c>
      <c r="F64" s="7" t="s">
        <v>148</v>
      </c>
      <c r="G64" s="7" t="s">
        <v>36</v>
      </c>
      <c r="H64" s="15" t="s">
        <v>164</v>
      </c>
      <c r="I64" s="7" t="s">
        <v>159</v>
      </c>
      <c r="J64" s="15" t="s">
        <v>38</v>
      </c>
      <c r="K64" s="7" t="s">
        <v>161</v>
      </c>
      <c r="L64" s="7">
        <v>3</v>
      </c>
      <c r="N64" s="53">
        <v>1</v>
      </c>
      <c r="O64" s="7">
        <v>0.65</v>
      </c>
      <c r="P64" s="7">
        <v>0.8</v>
      </c>
      <c r="Q64" s="52">
        <f t="shared" si="0"/>
        <v>0.72500000000000009</v>
      </c>
      <c r="R64" s="7">
        <v>15.4</v>
      </c>
      <c r="S64" s="7">
        <v>124</v>
      </c>
      <c r="T64" s="16">
        <f t="shared" si="3"/>
        <v>27</v>
      </c>
      <c r="U64" s="7">
        <v>170</v>
      </c>
      <c r="V64" s="16">
        <f t="shared" si="2"/>
        <v>4590</v>
      </c>
      <c r="W64" s="7">
        <v>16</v>
      </c>
      <c r="X64" s="54" t="s">
        <v>46</v>
      </c>
      <c r="Y64" s="54" t="s">
        <v>55</v>
      </c>
      <c r="Z64" s="54" t="s">
        <v>86</v>
      </c>
      <c r="AA64" s="54" t="s">
        <v>69</v>
      </c>
      <c r="AB64" s="39" t="s">
        <v>158</v>
      </c>
    </row>
    <row r="65" spans="1:28" x14ac:dyDescent="0.15">
      <c r="A65" s="15" t="s">
        <v>156</v>
      </c>
      <c r="B65" s="15" t="s">
        <v>157</v>
      </c>
      <c r="C65" s="15">
        <v>2019</v>
      </c>
      <c r="D65" s="37" t="s">
        <v>166</v>
      </c>
      <c r="E65" s="7" t="s">
        <v>140</v>
      </c>
      <c r="F65" s="7" t="s">
        <v>148</v>
      </c>
      <c r="G65" s="7" t="s">
        <v>36</v>
      </c>
      <c r="H65" s="15" t="s">
        <v>160</v>
      </c>
      <c r="I65" s="7" t="s">
        <v>159</v>
      </c>
      <c r="J65" s="15" t="s">
        <v>38</v>
      </c>
      <c r="K65" s="7" t="s">
        <v>161</v>
      </c>
      <c r="L65" s="7">
        <v>1</v>
      </c>
      <c r="N65" s="53">
        <v>1</v>
      </c>
      <c r="O65" s="7">
        <v>0.5</v>
      </c>
      <c r="P65" s="7">
        <v>0.5</v>
      </c>
      <c r="Q65" s="52">
        <f t="shared" si="0"/>
        <v>0.5</v>
      </c>
      <c r="R65" s="7">
        <v>16.100000000000001</v>
      </c>
      <c r="S65" s="7">
        <v>98</v>
      </c>
      <c r="T65" s="16">
        <f t="shared" si="3"/>
        <v>36</v>
      </c>
      <c r="U65" s="7">
        <v>105</v>
      </c>
      <c r="V65" s="16">
        <f t="shared" si="2"/>
        <v>3780</v>
      </c>
      <c r="W65" s="7">
        <v>7</v>
      </c>
      <c r="X65" s="54" t="s">
        <v>46</v>
      </c>
      <c r="Y65" s="54" t="s">
        <v>55</v>
      </c>
      <c r="Z65" s="54" t="s">
        <v>86</v>
      </c>
      <c r="AA65" s="54" t="s">
        <v>69</v>
      </c>
      <c r="AB65" s="39" t="s">
        <v>158</v>
      </c>
    </row>
    <row r="66" spans="1:28" x14ac:dyDescent="0.15">
      <c r="A66" s="15" t="s">
        <v>156</v>
      </c>
      <c r="B66" s="15" t="s">
        <v>157</v>
      </c>
      <c r="C66" s="15">
        <v>2019</v>
      </c>
      <c r="D66" s="37" t="s">
        <v>166</v>
      </c>
      <c r="E66" s="7" t="s">
        <v>140</v>
      </c>
      <c r="F66" s="7" t="s">
        <v>148</v>
      </c>
      <c r="G66" s="7" t="s">
        <v>36</v>
      </c>
      <c r="H66" s="15" t="s">
        <v>160</v>
      </c>
      <c r="I66" s="7" t="s">
        <v>159</v>
      </c>
      <c r="J66" s="15" t="s">
        <v>38</v>
      </c>
      <c r="K66" s="7" t="s">
        <v>161</v>
      </c>
      <c r="L66" s="7">
        <v>2</v>
      </c>
      <c r="N66" s="7">
        <v>1</v>
      </c>
      <c r="O66" s="7">
        <v>0.5</v>
      </c>
      <c r="P66" s="7">
        <v>0.5</v>
      </c>
      <c r="Q66" s="52">
        <f t="shared" ref="Q66:Q77" si="4">IF(OR(O66="",P66=""),"",AVERAGE(O66,P66))</f>
        <v>0.5</v>
      </c>
      <c r="R66" s="7">
        <v>16.399999999999999</v>
      </c>
      <c r="S66" s="7">
        <v>97</v>
      </c>
      <c r="T66" s="16">
        <f t="shared" si="3"/>
        <v>36</v>
      </c>
      <c r="U66" s="7">
        <v>105</v>
      </c>
      <c r="V66" s="16">
        <f t="shared" ref="V66:V70" si="5">IF(OR(N66="",U66="",T66=""),"",U66/N66*T66)</f>
        <v>3780</v>
      </c>
      <c r="W66" s="7">
        <v>7</v>
      </c>
      <c r="X66" s="54" t="s">
        <v>46</v>
      </c>
      <c r="Y66" s="54" t="s">
        <v>55</v>
      </c>
      <c r="Z66" s="54" t="s">
        <v>86</v>
      </c>
      <c r="AA66" s="54" t="s">
        <v>69</v>
      </c>
      <c r="AB66" s="39" t="s">
        <v>158</v>
      </c>
    </row>
    <row r="67" spans="1:28" x14ac:dyDescent="0.15">
      <c r="A67" s="15" t="s">
        <v>156</v>
      </c>
      <c r="B67" s="15" t="s">
        <v>157</v>
      </c>
      <c r="C67" s="15">
        <v>2019</v>
      </c>
      <c r="D67" s="37" t="s">
        <v>166</v>
      </c>
      <c r="E67" s="7" t="s">
        <v>140</v>
      </c>
      <c r="F67" s="7" t="s">
        <v>148</v>
      </c>
      <c r="G67" s="7" t="s">
        <v>36</v>
      </c>
      <c r="H67" s="15" t="s">
        <v>160</v>
      </c>
      <c r="I67" s="7" t="s">
        <v>159</v>
      </c>
      <c r="J67" s="15" t="s">
        <v>38</v>
      </c>
      <c r="K67" s="7" t="s">
        <v>161</v>
      </c>
      <c r="L67" s="7">
        <v>3</v>
      </c>
      <c r="N67" s="7">
        <v>1</v>
      </c>
      <c r="O67" s="7">
        <v>0.5</v>
      </c>
      <c r="P67" s="7">
        <v>0.6</v>
      </c>
      <c r="Q67" s="52">
        <f t="shared" si="4"/>
        <v>0.55000000000000004</v>
      </c>
      <c r="R67" s="7">
        <v>13.8</v>
      </c>
      <c r="S67" s="7">
        <v>104</v>
      </c>
      <c r="T67" s="16">
        <f t="shared" si="3"/>
        <v>33</v>
      </c>
      <c r="U67" s="7">
        <v>105</v>
      </c>
      <c r="V67" s="16">
        <f t="shared" si="5"/>
        <v>3465</v>
      </c>
      <c r="W67" s="7">
        <v>7</v>
      </c>
      <c r="X67" s="54" t="s">
        <v>46</v>
      </c>
      <c r="Y67" s="54" t="s">
        <v>55</v>
      </c>
      <c r="Z67" s="54" t="s">
        <v>86</v>
      </c>
      <c r="AA67" s="54" t="s">
        <v>69</v>
      </c>
      <c r="AB67" s="39" t="s">
        <v>158</v>
      </c>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38FB0-049E-4F71-A0E5-885EB9FD40F1}">
  <dimension ref="A1:BA426"/>
  <sheetViews>
    <sheetView zoomScale="70" zoomScaleNormal="70" workbookViewId="0">
      <selection activeCell="M180" sqref="M180"/>
    </sheetView>
  </sheetViews>
  <sheetFormatPr defaultColWidth="9" defaultRowHeight="13.5" x14ac:dyDescent="0.15"/>
  <cols>
    <col min="1" max="3" width="9" style="53"/>
    <col min="4" max="4" width="11" style="53" customWidth="1"/>
    <col min="5" max="5" width="10.875" style="53" customWidth="1"/>
    <col min="6"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169</v>
      </c>
      <c r="C1" s="55" t="s">
        <v>170</v>
      </c>
      <c r="D1" s="56" t="s">
        <v>3</v>
      </c>
      <c r="E1" s="45" t="s">
        <v>4</v>
      </c>
      <c r="F1" s="45" t="s">
        <v>5</v>
      </c>
      <c r="G1" s="45" t="s">
        <v>6</v>
      </c>
      <c r="H1" s="45" t="s">
        <v>7</v>
      </c>
      <c r="I1" s="45" t="s">
        <v>8</v>
      </c>
      <c r="J1" s="45" t="s">
        <v>9</v>
      </c>
      <c r="K1" s="45" t="s">
        <v>10</v>
      </c>
      <c r="L1" s="56" t="s">
        <v>171</v>
      </c>
      <c r="M1" s="56" t="s">
        <v>172</v>
      </c>
      <c r="N1" s="56" t="s">
        <v>13</v>
      </c>
      <c r="O1" s="56" t="s">
        <v>173</v>
      </c>
      <c r="P1" s="56" t="s">
        <v>174</v>
      </c>
      <c r="Q1" s="57" t="s">
        <v>175</v>
      </c>
      <c r="R1" s="56" t="s">
        <v>176</v>
      </c>
      <c r="S1" s="56" t="s">
        <v>177</v>
      </c>
      <c r="T1" s="57" t="s">
        <v>19</v>
      </c>
      <c r="U1" s="58" t="s">
        <v>108</v>
      </c>
      <c r="V1" s="59" t="s">
        <v>20</v>
      </c>
      <c r="W1" s="56" t="s">
        <v>178</v>
      </c>
      <c r="X1" s="45" t="s">
        <v>22</v>
      </c>
      <c r="Y1" s="45" t="s">
        <v>23</v>
      </c>
      <c r="Z1" s="45" t="s">
        <v>24</v>
      </c>
      <c r="AA1" s="45" t="s">
        <v>25</v>
      </c>
      <c r="AB1" s="46" t="s">
        <v>179</v>
      </c>
      <c r="AE1" s="60" t="s">
        <v>0</v>
      </c>
      <c r="AF1" s="61"/>
      <c r="AG1" s="60" t="s">
        <v>4</v>
      </c>
      <c r="AH1" s="60" t="s">
        <v>5</v>
      </c>
      <c r="AI1" s="61"/>
      <c r="AJ1" s="60" t="s">
        <v>6</v>
      </c>
      <c r="AK1" s="61"/>
      <c r="AL1" s="10" t="s">
        <v>7</v>
      </c>
      <c r="AM1" s="61"/>
      <c r="AN1" s="10" t="s">
        <v>8</v>
      </c>
      <c r="AO1" s="61"/>
      <c r="AP1" s="10" t="s">
        <v>27</v>
      </c>
      <c r="AQ1" s="61"/>
      <c r="AR1" s="10" t="s">
        <v>10</v>
      </c>
      <c r="AS1" s="61"/>
      <c r="AT1" s="11" t="s">
        <v>180</v>
      </c>
      <c r="AU1" s="61"/>
      <c r="AV1" s="10" t="s">
        <v>29</v>
      </c>
      <c r="AX1" s="12" t="s">
        <v>181</v>
      </c>
      <c r="AY1" s="13" t="s">
        <v>182</v>
      </c>
      <c r="AZ1" s="13" t="s">
        <v>183</v>
      </c>
      <c r="BA1" s="14" t="s">
        <v>184</v>
      </c>
    </row>
    <row r="2" spans="1:53" x14ac:dyDescent="0.15">
      <c r="A2" s="53" t="s">
        <v>41</v>
      </c>
      <c r="B2" s="53" t="s">
        <v>157</v>
      </c>
      <c r="C2" s="62">
        <v>2019</v>
      </c>
      <c r="D2" s="63" t="s">
        <v>185</v>
      </c>
      <c r="E2" s="53" t="s">
        <v>133</v>
      </c>
      <c r="F2" s="53" t="s">
        <v>186</v>
      </c>
      <c r="G2" s="53" t="s">
        <v>42</v>
      </c>
      <c r="H2" s="53" t="s">
        <v>164</v>
      </c>
      <c r="I2" s="53" t="s">
        <v>159</v>
      </c>
      <c r="J2" s="53" t="s">
        <v>38</v>
      </c>
      <c r="K2" s="53" t="s">
        <v>161</v>
      </c>
      <c r="L2" s="53">
        <v>1</v>
      </c>
      <c r="N2" s="53">
        <v>1</v>
      </c>
      <c r="O2" s="53">
        <v>0.5</v>
      </c>
      <c r="P2" s="53">
        <v>0.5</v>
      </c>
      <c r="Q2" s="16">
        <f t="shared" ref="Q2:Q49" si="0">IF(OR(O2="",P2=""),"",AVERAGE(O2,P2))</f>
        <v>0.5</v>
      </c>
      <c r="R2" s="53">
        <v>12.3</v>
      </c>
      <c r="S2" s="53">
        <v>132</v>
      </c>
      <c r="T2" s="16">
        <f t="shared" ref="T2:T65" si="1">IF(H2="","",IF(OR(H2="GREEN",H2="GK"),IF(S2&gt;=$AX$2,VLOOKUP(S2,$AX$2:$AY$10,2,1),""),IF(S2&gt;=$AZ$2,VLOOKUP(S2,$AZ$2:$BA$10,2,1),"")))</f>
        <v>25</v>
      </c>
      <c r="U2" s="53">
        <v>105</v>
      </c>
      <c r="V2" s="16">
        <f t="shared" ref="V2:V49" si="2">IF(OR(N2="",U2="",T2=""),"",U2/N2*T2)</f>
        <v>2625</v>
      </c>
      <c r="W2" s="53">
        <v>2</v>
      </c>
      <c r="X2" s="53" t="s">
        <v>46</v>
      </c>
      <c r="Y2" s="53" t="s">
        <v>55</v>
      </c>
      <c r="Z2" s="53" t="s">
        <v>97</v>
      </c>
      <c r="AA2" s="53" t="s">
        <v>69</v>
      </c>
      <c r="AB2" s="53" t="s">
        <v>158</v>
      </c>
      <c r="AE2" s="64" t="s">
        <v>35</v>
      </c>
      <c r="AG2" s="65" t="s">
        <v>133</v>
      </c>
      <c r="AH2" s="66" t="s">
        <v>186</v>
      </c>
      <c r="AJ2" s="67" t="s">
        <v>36</v>
      </c>
      <c r="AL2" s="67" t="s">
        <v>187</v>
      </c>
      <c r="AN2" s="67" t="s">
        <v>37</v>
      </c>
      <c r="AP2" s="67" t="s">
        <v>38</v>
      </c>
      <c r="AR2" s="67" t="s">
        <v>161</v>
      </c>
      <c r="AT2" s="67" t="s">
        <v>39</v>
      </c>
      <c r="AV2" s="67" t="s">
        <v>40</v>
      </c>
      <c r="AX2" s="68">
        <v>1</v>
      </c>
      <c r="AY2" s="69">
        <v>50</v>
      </c>
      <c r="AZ2" s="69">
        <v>1</v>
      </c>
      <c r="BA2" s="70">
        <v>50</v>
      </c>
    </row>
    <row r="3" spans="1:53" x14ac:dyDescent="0.15">
      <c r="A3" s="53" t="s">
        <v>41</v>
      </c>
      <c r="B3" s="53" t="s">
        <v>157</v>
      </c>
      <c r="C3" s="62">
        <v>2019</v>
      </c>
      <c r="D3" s="63" t="s">
        <v>185</v>
      </c>
      <c r="E3" s="53" t="s">
        <v>133</v>
      </c>
      <c r="F3" s="53" t="s">
        <v>186</v>
      </c>
      <c r="G3" s="53" t="s">
        <v>42</v>
      </c>
      <c r="H3" s="53" t="s">
        <v>164</v>
      </c>
      <c r="I3" s="53" t="s">
        <v>159</v>
      </c>
      <c r="J3" s="53" t="s">
        <v>38</v>
      </c>
      <c r="K3" s="53" t="s">
        <v>161</v>
      </c>
      <c r="L3" s="53">
        <v>2</v>
      </c>
      <c r="N3" s="53">
        <v>1</v>
      </c>
      <c r="O3" s="53">
        <v>0.4</v>
      </c>
      <c r="P3" s="53">
        <v>0.6</v>
      </c>
      <c r="Q3" s="16">
        <f t="shared" si="0"/>
        <v>0.5</v>
      </c>
      <c r="R3" s="53">
        <v>11.2</v>
      </c>
      <c r="S3" s="53">
        <v>129</v>
      </c>
      <c r="T3" s="16">
        <f t="shared" si="1"/>
        <v>25</v>
      </c>
      <c r="U3" s="53">
        <v>105</v>
      </c>
      <c r="V3" s="16">
        <f t="shared" si="2"/>
        <v>2625</v>
      </c>
      <c r="W3" s="53">
        <v>2</v>
      </c>
      <c r="X3" s="53" t="s">
        <v>46</v>
      </c>
      <c r="Y3" s="53" t="s">
        <v>55</v>
      </c>
      <c r="Z3" s="53" t="s">
        <v>97</v>
      </c>
      <c r="AA3" s="53" t="s">
        <v>69</v>
      </c>
      <c r="AB3" s="53" t="s">
        <v>158</v>
      </c>
      <c r="AE3" s="22" t="s">
        <v>41</v>
      </c>
      <c r="AG3" s="71" t="s">
        <v>188</v>
      </c>
      <c r="AH3" s="71" t="s">
        <v>186</v>
      </c>
      <c r="AJ3" s="23" t="s">
        <v>42</v>
      </c>
      <c r="AL3" s="23" t="s">
        <v>189</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185</v>
      </c>
      <c r="E4" s="53" t="s">
        <v>133</v>
      </c>
      <c r="F4" s="53" t="s">
        <v>186</v>
      </c>
      <c r="G4" s="53" t="s">
        <v>42</v>
      </c>
      <c r="H4" s="53" t="s">
        <v>164</v>
      </c>
      <c r="I4" s="53" t="s">
        <v>159</v>
      </c>
      <c r="J4" s="53" t="s">
        <v>38</v>
      </c>
      <c r="K4" s="53" t="s">
        <v>161</v>
      </c>
      <c r="L4" s="53">
        <v>3</v>
      </c>
      <c r="N4" s="53">
        <v>1</v>
      </c>
      <c r="O4" s="53">
        <v>0.25</v>
      </c>
      <c r="P4" s="53">
        <v>0.3</v>
      </c>
      <c r="Q4" s="16">
        <f t="shared" si="0"/>
        <v>0.27500000000000002</v>
      </c>
      <c r="R4" s="53">
        <v>11.8</v>
      </c>
      <c r="S4" s="53">
        <v>128</v>
      </c>
      <c r="T4" s="16">
        <f t="shared" si="1"/>
        <v>27</v>
      </c>
      <c r="U4" s="53">
        <v>105</v>
      </c>
      <c r="V4" s="16">
        <f t="shared" si="2"/>
        <v>2835</v>
      </c>
      <c r="W4" s="53">
        <v>2</v>
      </c>
      <c r="X4" s="53" t="s">
        <v>46</v>
      </c>
      <c r="Y4" s="53" t="s">
        <v>55</v>
      </c>
      <c r="Z4" s="53" t="s">
        <v>97</v>
      </c>
      <c r="AA4" s="53" t="s">
        <v>69</v>
      </c>
      <c r="AB4" s="53" t="s">
        <v>158</v>
      </c>
      <c r="AE4" s="22" t="s">
        <v>34</v>
      </c>
      <c r="AG4" s="71" t="s">
        <v>188</v>
      </c>
      <c r="AH4" s="71" t="s">
        <v>190</v>
      </c>
      <c r="AJ4" s="27" t="s">
        <v>48</v>
      </c>
      <c r="AL4" s="27" t="s">
        <v>191</v>
      </c>
      <c r="AN4" s="28" t="s">
        <v>192</v>
      </c>
      <c r="AP4" s="23" t="s">
        <v>193</v>
      </c>
      <c r="AR4" s="23" t="s">
        <v>194</v>
      </c>
      <c r="AT4" s="28"/>
      <c r="AV4" s="23" t="s">
        <v>50</v>
      </c>
      <c r="AX4" s="24">
        <v>75</v>
      </c>
      <c r="AY4" s="25">
        <v>42</v>
      </c>
      <c r="AZ4" s="25">
        <v>76</v>
      </c>
      <c r="BA4" s="26">
        <v>39</v>
      </c>
    </row>
    <row r="5" spans="1:53" ht="13.5" customHeight="1" x14ac:dyDescent="0.15">
      <c r="A5" s="53" t="s">
        <v>41</v>
      </c>
      <c r="B5" s="53" t="s">
        <v>157</v>
      </c>
      <c r="C5" s="62">
        <v>2019</v>
      </c>
      <c r="D5" s="63" t="s">
        <v>185</v>
      </c>
      <c r="E5" s="53" t="s">
        <v>133</v>
      </c>
      <c r="F5" s="53" t="s">
        <v>186</v>
      </c>
      <c r="G5" s="53" t="s">
        <v>42</v>
      </c>
      <c r="H5" s="53" t="s">
        <v>168</v>
      </c>
      <c r="I5" s="53" t="s">
        <v>159</v>
      </c>
      <c r="J5" s="53" t="s">
        <v>38</v>
      </c>
      <c r="K5" s="53" t="s">
        <v>161</v>
      </c>
      <c r="L5" s="53">
        <v>1</v>
      </c>
      <c r="N5" s="53">
        <v>8</v>
      </c>
      <c r="O5" s="53">
        <v>0.3</v>
      </c>
      <c r="P5" s="53">
        <v>0.45</v>
      </c>
      <c r="Q5" s="16">
        <f t="shared" si="0"/>
        <v>0.375</v>
      </c>
      <c r="R5" s="53">
        <v>16.2</v>
      </c>
      <c r="S5" s="53">
        <v>115</v>
      </c>
      <c r="T5" s="16">
        <f t="shared" si="1"/>
        <v>30</v>
      </c>
      <c r="U5" s="53">
        <v>753</v>
      </c>
      <c r="V5" s="16">
        <f t="shared" si="2"/>
        <v>2823.75</v>
      </c>
      <c r="W5" s="53">
        <v>3</v>
      </c>
      <c r="X5" s="53" t="s">
        <v>46</v>
      </c>
      <c r="Y5" s="53" t="s">
        <v>55</v>
      </c>
      <c r="Z5" s="53" t="s">
        <v>97</v>
      </c>
      <c r="AA5" s="53" t="s">
        <v>69</v>
      </c>
      <c r="AB5" s="53" t="s">
        <v>158</v>
      </c>
      <c r="AE5" s="22" t="s">
        <v>51</v>
      </c>
      <c r="AG5" s="71" t="s">
        <v>195</v>
      </c>
      <c r="AH5" s="71" t="s">
        <v>186</v>
      </c>
      <c r="AJ5" s="28"/>
      <c r="AL5" s="72" t="s">
        <v>164</v>
      </c>
      <c r="AN5" s="72" t="s">
        <v>159</v>
      </c>
      <c r="AP5" s="23" t="s">
        <v>196</v>
      </c>
      <c r="AR5" s="23" t="s">
        <v>54</v>
      </c>
      <c r="AV5" s="23" t="s">
        <v>55</v>
      </c>
      <c r="AX5" s="24">
        <v>84</v>
      </c>
      <c r="AY5" s="25">
        <v>39</v>
      </c>
      <c r="AZ5" s="25">
        <v>84</v>
      </c>
      <c r="BA5" s="26">
        <v>36</v>
      </c>
    </row>
    <row r="6" spans="1:53" x14ac:dyDescent="0.15">
      <c r="A6" s="53" t="s">
        <v>41</v>
      </c>
      <c r="B6" s="53" t="s">
        <v>157</v>
      </c>
      <c r="C6" s="62">
        <v>2019</v>
      </c>
      <c r="D6" s="63" t="s">
        <v>185</v>
      </c>
      <c r="E6" s="53" t="s">
        <v>133</v>
      </c>
      <c r="F6" s="53" t="s">
        <v>186</v>
      </c>
      <c r="G6" s="53" t="s">
        <v>42</v>
      </c>
      <c r="H6" s="53" t="s">
        <v>168</v>
      </c>
      <c r="I6" s="53" t="s">
        <v>159</v>
      </c>
      <c r="J6" s="53" t="s">
        <v>38</v>
      </c>
      <c r="K6" s="53" t="s">
        <v>161</v>
      </c>
      <c r="L6" s="53">
        <v>2</v>
      </c>
      <c r="N6" s="53">
        <v>8</v>
      </c>
      <c r="O6" s="53">
        <v>0.3</v>
      </c>
      <c r="P6" s="53">
        <v>0.25</v>
      </c>
      <c r="Q6" s="16">
        <f t="shared" si="0"/>
        <v>0.27500000000000002</v>
      </c>
      <c r="R6" s="53">
        <v>15.4</v>
      </c>
      <c r="S6" s="53">
        <v>111</v>
      </c>
      <c r="T6" s="16">
        <f t="shared" si="1"/>
        <v>33</v>
      </c>
      <c r="U6" s="53">
        <v>753</v>
      </c>
      <c r="V6" s="16">
        <f t="shared" si="2"/>
        <v>3106.125</v>
      </c>
      <c r="W6" s="53">
        <v>3</v>
      </c>
      <c r="X6" s="53" t="s">
        <v>46</v>
      </c>
      <c r="Y6" s="53" t="s">
        <v>55</v>
      </c>
      <c r="Z6" s="53" t="s">
        <v>97</v>
      </c>
      <c r="AA6" s="53" t="s">
        <v>69</v>
      </c>
      <c r="AB6" s="53" t="s">
        <v>158</v>
      </c>
      <c r="AE6" s="22" t="s">
        <v>56</v>
      </c>
      <c r="AG6" s="71" t="s">
        <v>195</v>
      </c>
      <c r="AH6" s="71" t="s">
        <v>197</v>
      </c>
      <c r="AL6" s="72" t="s">
        <v>198</v>
      </c>
      <c r="AN6" s="72" t="s">
        <v>165</v>
      </c>
      <c r="AP6" s="23" t="s">
        <v>53</v>
      </c>
      <c r="AR6" s="23" t="s">
        <v>59</v>
      </c>
      <c r="AV6" s="23" t="s">
        <v>60</v>
      </c>
      <c r="AX6" s="24">
        <v>97</v>
      </c>
      <c r="AY6" s="25">
        <v>36</v>
      </c>
      <c r="AZ6" s="25">
        <v>99</v>
      </c>
      <c r="BA6" s="26">
        <v>33</v>
      </c>
    </row>
    <row r="7" spans="1:53" x14ac:dyDescent="0.15">
      <c r="A7" s="53" t="s">
        <v>41</v>
      </c>
      <c r="B7" s="53" t="s">
        <v>157</v>
      </c>
      <c r="C7" s="62">
        <v>2019</v>
      </c>
      <c r="D7" s="63" t="s">
        <v>185</v>
      </c>
      <c r="E7" s="53" t="s">
        <v>133</v>
      </c>
      <c r="F7" s="53" t="s">
        <v>186</v>
      </c>
      <c r="G7" s="53" t="s">
        <v>42</v>
      </c>
      <c r="H7" s="53" t="s">
        <v>168</v>
      </c>
      <c r="I7" s="53" t="s">
        <v>159</v>
      </c>
      <c r="J7" s="53" t="s">
        <v>38</v>
      </c>
      <c r="K7" s="53" t="s">
        <v>161</v>
      </c>
      <c r="L7" s="53">
        <v>3</v>
      </c>
      <c r="N7" s="53">
        <v>8</v>
      </c>
      <c r="O7" s="53">
        <v>0.25</v>
      </c>
      <c r="P7" s="53">
        <v>0.25</v>
      </c>
      <c r="Q7" s="16">
        <f t="shared" si="0"/>
        <v>0.25</v>
      </c>
      <c r="R7" s="53">
        <v>12.4</v>
      </c>
      <c r="S7" s="53">
        <v>114</v>
      </c>
      <c r="T7" s="16">
        <f t="shared" si="1"/>
        <v>30</v>
      </c>
      <c r="U7" s="53">
        <v>753</v>
      </c>
      <c r="V7" s="16">
        <f t="shared" si="2"/>
        <v>2823.75</v>
      </c>
      <c r="W7" s="53">
        <v>3</v>
      </c>
      <c r="X7" s="53" t="s">
        <v>46</v>
      </c>
      <c r="Y7" s="53" t="s">
        <v>55</v>
      </c>
      <c r="Z7" s="53" t="s">
        <v>97</v>
      </c>
      <c r="AA7" s="53" t="s">
        <v>69</v>
      </c>
      <c r="AB7" s="53" t="s">
        <v>158</v>
      </c>
      <c r="AE7" s="22" t="s">
        <v>61</v>
      </c>
      <c r="AG7" s="71" t="s">
        <v>199</v>
      </c>
      <c r="AH7" s="71" t="s">
        <v>197</v>
      </c>
      <c r="AL7" s="73" t="s">
        <v>168</v>
      </c>
      <c r="AP7" s="23" t="s">
        <v>58</v>
      </c>
      <c r="AR7" s="23" t="s">
        <v>200</v>
      </c>
      <c r="AV7" s="23" t="s">
        <v>64</v>
      </c>
      <c r="AX7" s="24">
        <v>109</v>
      </c>
      <c r="AY7" s="25">
        <v>33</v>
      </c>
      <c r="AZ7" s="25">
        <v>113</v>
      </c>
      <c r="BA7" s="26">
        <v>30</v>
      </c>
    </row>
    <row r="8" spans="1:53" x14ac:dyDescent="0.15">
      <c r="A8" s="53" t="s">
        <v>41</v>
      </c>
      <c r="B8" s="53" t="s">
        <v>157</v>
      </c>
      <c r="C8" s="62">
        <v>2019</v>
      </c>
      <c r="D8" s="63" t="s">
        <v>185</v>
      </c>
      <c r="E8" s="53" t="s">
        <v>133</v>
      </c>
      <c r="F8" s="53" t="s">
        <v>186</v>
      </c>
      <c r="G8" s="53" t="s">
        <v>42</v>
      </c>
      <c r="H8" s="53" t="s">
        <v>160</v>
      </c>
      <c r="I8" s="53" t="s">
        <v>159</v>
      </c>
      <c r="J8" s="53" t="s">
        <v>38</v>
      </c>
      <c r="K8" s="53" t="s">
        <v>161</v>
      </c>
      <c r="L8" s="53">
        <v>1</v>
      </c>
      <c r="N8" s="53">
        <v>1</v>
      </c>
      <c r="O8" s="53">
        <v>0.45</v>
      </c>
      <c r="P8" s="53">
        <v>0.3</v>
      </c>
      <c r="Q8" s="16">
        <f t="shared" si="0"/>
        <v>0.375</v>
      </c>
      <c r="R8" s="53">
        <v>15.8</v>
      </c>
      <c r="S8" s="53">
        <v>128</v>
      </c>
      <c r="T8" s="16">
        <f t="shared" si="1"/>
        <v>27</v>
      </c>
      <c r="U8" s="53">
        <v>138</v>
      </c>
      <c r="V8" s="16">
        <f t="shared" si="2"/>
        <v>3726</v>
      </c>
      <c r="W8" s="53">
        <v>8</v>
      </c>
      <c r="X8" s="53" t="s">
        <v>46</v>
      </c>
      <c r="Y8" s="53" t="s">
        <v>55</v>
      </c>
      <c r="Z8" s="53" t="s">
        <v>97</v>
      </c>
      <c r="AA8" s="53" t="s">
        <v>69</v>
      </c>
      <c r="AB8" s="53" t="s">
        <v>158</v>
      </c>
      <c r="AE8" s="22" t="s">
        <v>59</v>
      </c>
      <c r="AG8" s="71" t="s">
        <v>201</v>
      </c>
      <c r="AH8" s="71" t="s">
        <v>202</v>
      </c>
      <c r="AL8" s="73" t="s">
        <v>160</v>
      </c>
      <c r="AP8" s="23" t="s">
        <v>62</v>
      </c>
      <c r="AR8" s="23" t="s">
        <v>81</v>
      </c>
      <c r="AV8" s="23" t="s">
        <v>97</v>
      </c>
      <c r="AX8" s="24">
        <v>119</v>
      </c>
      <c r="AY8" s="25">
        <v>30</v>
      </c>
      <c r="AZ8" s="25">
        <v>121</v>
      </c>
      <c r="BA8" s="26">
        <v>27</v>
      </c>
    </row>
    <row r="9" spans="1:53" x14ac:dyDescent="0.15">
      <c r="A9" s="53" t="s">
        <v>41</v>
      </c>
      <c r="B9" s="53" t="s">
        <v>157</v>
      </c>
      <c r="C9" s="62">
        <v>2019</v>
      </c>
      <c r="D9" s="63" t="s">
        <v>185</v>
      </c>
      <c r="E9" s="53" t="s">
        <v>133</v>
      </c>
      <c r="F9" s="53" t="s">
        <v>186</v>
      </c>
      <c r="G9" s="53" t="s">
        <v>42</v>
      </c>
      <c r="H9" s="53" t="s">
        <v>160</v>
      </c>
      <c r="I9" s="53" t="s">
        <v>159</v>
      </c>
      <c r="J9" s="53" t="s">
        <v>38</v>
      </c>
      <c r="K9" s="53" t="s">
        <v>161</v>
      </c>
      <c r="L9" s="53">
        <v>2</v>
      </c>
      <c r="N9" s="53">
        <v>1</v>
      </c>
      <c r="O9" s="53">
        <v>0.6</v>
      </c>
      <c r="P9" s="53">
        <v>0.5</v>
      </c>
      <c r="Q9" s="16">
        <f t="shared" si="0"/>
        <v>0.55000000000000004</v>
      </c>
      <c r="R9" s="53">
        <v>14.4</v>
      </c>
      <c r="S9" s="53">
        <v>126</v>
      </c>
      <c r="T9" s="16">
        <f t="shared" si="1"/>
        <v>27</v>
      </c>
      <c r="U9" s="53">
        <v>138</v>
      </c>
      <c r="V9" s="16">
        <f t="shared" si="2"/>
        <v>3726</v>
      </c>
      <c r="W9" s="53">
        <v>8</v>
      </c>
      <c r="X9" s="53" t="s">
        <v>46</v>
      </c>
      <c r="Y9" s="53" t="s">
        <v>55</v>
      </c>
      <c r="Z9" s="53" t="s">
        <v>97</v>
      </c>
      <c r="AA9" s="53" t="s">
        <v>69</v>
      </c>
      <c r="AB9" s="53" t="s">
        <v>158</v>
      </c>
      <c r="AE9" s="22" t="s">
        <v>203</v>
      </c>
      <c r="AG9" s="71" t="s">
        <v>204</v>
      </c>
      <c r="AH9" s="71" t="s">
        <v>205</v>
      </c>
      <c r="AL9" s="72"/>
      <c r="AP9" s="23" t="s">
        <v>95</v>
      </c>
      <c r="AR9" s="23" t="s">
        <v>206</v>
      </c>
      <c r="AV9" s="23" t="s">
        <v>102</v>
      </c>
      <c r="AX9" s="24">
        <v>128</v>
      </c>
      <c r="AY9" s="25">
        <v>27</v>
      </c>
      <c r="AZ9" s="25">
        <v>129</v>
      </c>
      <c r="BA9" s="26">
        <v>25</v>
      </c>
    </row>
    <row r="10" spans="1:53" x14ac:dyDescent="0.15">
      <c r="A10" s="53" t="s">
        <v>41</v>
      </c>
      <c r="B10" s="53" t="s">
        <v>157</v>
      </c>
      <c r="C10" s="62">
        <v>2019</v>
      </c>
      <c r="D10" s="63" t="s">
        <v>185</v>
      </c>
      <c r="E10" s="53" t="s">
        <v>133</v>
      </c>
      <c r="F10" s="53" t="s">
        <v>186</v>
      </c>
      <c r="G10" s="53" t="s">
        <v>42</v>
      </c>
      <c r="H10" s="53" t="s">
        <v>160</v>
      </c>
      <c r="I10" s="53" t="s">
        <v>159</v>
      </c>
      <c r="J10" s="53" t="s">
        <v>38</v>
      </c>
      <c r="K10" s="53" t="s">
        <v>161</v>
      </c>
      <c r="L10" s="53">
        <v>3</v>
      </c>
      <c r="N10" s="53">
        <v>1</v>
      </c>
      <c r="O10" s="53">
        <v>0.8</v>
      </c>
      <c r="P10" s="53">
        <v>0.65</v>
      </c>
      <c r="Q10" s="16">
        <f t="shared" si="0"/>
        <v>0.72500000000000009</v>
      </c>
      <c r="R10" s="53">
        <v>14.1</v>
      </c>
      <c r="S10" s="53">
        <v>124</v>
      </c>
      <c r="T10" s="16">
        <f t="shared" si="1"/>
        <v>27</v>
      </c>
      <c r="U10" s="53">
        <v>138</v>
      </c>
      <c r="V10" s="16">
        <f t="shared" si="2"/>
        <v>3726</v>
      </c>
      <c r="W10" s="53">
        <v>8</v>
      </c>
      <c r="X10" s="53" t="s">
        <v>46</v>
      </c>
      <c r="Y10" s="53" t="s">
        <v>55</v>
      </c>
      <c r="Z10" s="53" t="s">
        <v>97</v>
      </c>
      <c r="AA10" s="53" t="s">
        <v>69</v>
      </c>
      <c r="AB10" s="53" t="s">
        <v>158</v>
      </c>
      <c r="AE10" s="22" t="s">
        <v>207</v>
      </c>
      <c r="AG10" s="71" t="s">
        <v>201</v>
      </c>
      <c r="AH10" s="71" t="s">
        <v>208</v>
      </c>
      <c r="AL10" s="73"/>
      <c r="AP10" s="23" t="s">
        <v>100</v>
      </c>
      <c r="AR10" s="23" t="s">
        <v>209</v>
      </c>
      <c r="AV10" s="23" t="s">
        <v>106</v>
      </c>
      <c r="AX10" s="24">
        <v>138</v>
      </c>
      <c r="AY10" s="25">
        <v>25</v>
      </c>
      <c r="AZ10" s="25">
        <v>138</v>
      </c>
      <c r="BA10" s="26">
        <v>22</v>
      </c>
    </row>
    <row r="11" spans="1:53" x14ac:dyDescent="0.15">
      <c r="A11" s="53" t="s">
        <v>41</v>
      </c>
      <c r="B11" s="53" t="s">
        <v>157</v>
      </c>
      <c r="C11" s="62">
        <v>2019</v>
      </c>
      <c r="D11" s="63" t="s">
        <v>185</v>
      </c>
      <c r="E11" s="53" t="s">
        <v>133</v>
      </c>
      <c r="F11" s="53" t="s">
        <v>186</v>
      </c>
      <c r="G11" s="53" t="s">
        <v>42</v>
      </c>
      <c r="H11" s="53" t="s">
        <v>160</v>
      </c>
      <c r="I11" s="53" t="s">
        <v>159</v>
      </c>
      <c r="J11" s="53" t="s">
        <v>38</v>
      </c>
      <c r="K11" s="53" t="s">
        <v>161</v>
      </c>
      <c r="L11" s="53">
        <v>1</v>
      </c>
      <c r="N11" s="53">
        <v>16</v>
      </c>
      <c r="O11" s="53">
        <v>0.5</v>
      </c>
      <c r="P11" s="73">
        <v>0.25</v>
      </c>
      <c r="Q11" s="16">
        <f t="shared" si="0"/>
        <v>0.375</v>
      </c>
      <c r="R11" s="53">
        <v>13.8</v>
      </c>
      <c r="S11" s="53">
        <v>110</v>
      </c>
      <c r="T11" s="16">
        <f t="shared" si="1"/>
        <v>33</v>
      </c>
      <c r="U11" s="53">
        <v>1382</v>
      </c>
      <c r="V11" s="16">
        <f t="shared" si="2"/>
        <v>2850.375</v>
      </c>
      <c r="W11" s="53">
        <v>6</v>
      </c>
      <c r="X11" s="53" t="s">
        <v>46</v>
      </c>
      <c r="Y11" s="53" t="s">
        <v>55</v>
      </c>
      <c r="Z11" s="53" t="s">
        <v>97</v>
      </c>
      <c r="AA11" s="53" t="s">
        <v>69</v>
      </c>
      <c r="AB11" s="53" t="s">
        <v>158</v>
      </c>
      <c r="AE11" s="22" t="s">
        <v>68</v>
      </c>
      <c r="AG11" s="71" t="s">
        <v>210</v>
      </c>
      <c r="AH11" s="71" t="s">
        <v>211</v>
      </c>
      <c r="AL11" s="73"/>
      <c r="AP11" s="23" t="s">
        <v>104</v>
      </c>
      <c r="AR11" s="23" t="s">
        <v>212</v>
      </c>
      <c r="AV11" s="23" t="s">
        <v>69</v>
      </c>
      <c r="AX11" s="24">
        <v>151</v>
      </c>
      <c r="AY11" s="25">
        <v>22</v>
      </c>
      <c r="AZ11" s="25">
        <v>152</v>
      </c>
      <c r="BA11" s="26">
        <v>18</v>
      </c>
    </row>
    <row r="12" spans="1:53" x14ac:dyDescent="0.15">
      <c r="A12" s="53" t="s">
        <v>41</v>
      </c>
      <c r="B12" s="53" t="s">
        <v>157</v>
      </c>
      <c r="C12" s="62">
        <v>2019</v>
      </c>
      <c r="D12" s="63" t="s">
        <v>185</v>
      </c>
      <c r="E12" s="53" t="s">
        <v>133</v>
      </c>
      <c r="F12" s="53" t="s">
        <v>186</v>
      </c>
      <c r="G12" s="53" t="s">
        <v>42</v>
      </c>
      <c r="H12" s="53" t="s">
        <v>160</v>
      </c>
      <c r="I12" s="53" t="s">
        <v>159</v>
      </c>
      <c r="J12" s="53" t="s">
        <v>38</v>
      </c>
      <c r="K12" s="53" t="s">
        <v>161</v>
      </c>
      <c r="L12" s="53">
        <v>2</v>
      </c>
      <c r="N12" s="53">
        <v>16</v>
      </c>
      <c r="O12" s="53">
        <v>0.65</v>
      </c>
      <c r="P12" s="53">
        <v>0.4</v>
      </c>
      <c r="Q12" s="16">
        <f t="shared" si="0"/>
        <v>0.52500000000000002</v>
      </c>
      <c r="R12" s="53">
        <v>12.8</v>
      </c>
      <c r="S12" s="53">
        <v>105</v>
      </c>
      <c r="T12" s="16">
        <f t="shared" si="1"/>
        <v>33</v>
      </c>
      <c r="U12" s="53">
        <v>1382</v>
      </c>
      <c r="V12" s="16">
        <f t="shared" si="2"/>
        <v>2850.375</v>
      </c>
      <c r="W12" s="53">
        <v>6</v>
      </c>
      <c r="X12" s="53" t="s">
        <v>46</v>
      </c>
      <c r="Y12" s="53" t="s">
        <v>55</v>
      </c>
      <c r="Z12" s="53" t="s">
        <v>97</v>
      </c>
      <c r="AA12" s="53" t="s">
        <v>69</v>
      </c>
      <c r="AB12" s="53" t="s">
        <v>158</v>
      </c>
      <c r="AE12" s="22" t="s">
        <v>213</v>
      </c>
      <c r="AG12" s="22"/>
      <c r="AH12" s="22"/>
      <c r="AL12" s="73"/>
      <c r="AP12" s="23" t="s">
        <v>67</v>
      </c>
      <c r="AR12" s="23" t="s">
        <v>214</v>
      </c>
      <c r="AV12" s="23" t="s">
        <v>72</v>
      </c>
      <c r="AX12" s="31">
        <v>180</v>
      </c>
      <c r="AY12" s="32">
        <v>18</v>
      </c>
      <c r="AZ12" s="32">
        <v>181</v>
      </c>
      <c r="BA12" s="33">
        <v>16</v>
      </c>
    </row>
    <row r="13" spans="1:53" x14ac:dyDescent="0.15">
      <c r="A13" s="53" t="s">
        <v>41</v>
      </c>
      <c r="B13" s="53" t="s">
        <v>157</v>
      </c>
      <c r="C13" s="62">
        <v>2019</v>
      </c>
      <c r="D13" s="63" t="s">
        <v>185</v>
      </c>
      <c r="E13" s="53" t="s">
        <v>133</v>
      </c>
      <c r="F13" s="53" t="s">
        <v>186</v>
      </c>
      <c r="G13" s="53" t="s">
        <v>42</v>
      </c>
      <c r="H13" s="53" t="s">
        <v>160</v>
      </c>
      <c r="I13" s="53" t="s">
        <v>159</v>
      </c>
      <c r="J13" s="53" t="s">
        <v>38</v>
      </c>
      <c r="K13" s="53" t="s">
        <v>161</v>
      </c>
      <c r="L13" s="53">
        <v>3</v>
      </c>
      <c r="N13" s="53">
        <v>16</v>
      </c>
      <c r="O13" s="53">
        <v>0.7</v>
      </c>
      <c r="P13" s="53">
        <v>0.65</v>
      </c>
      <c r="Q13" s="16">
        <f t="shared" si="0"/>
        <v>0.67500000000000004</v>
      </c>
      <c r="R13" s="53">
        <v>15.8</v>
      </c>
      <c r="S13" s="53">
        <v>111</v>
      </c>
      <c r="T13" s="16">
        <f t="shared" si="1"/>
        <v>33</v>
      </c>
      <c r="U13" s="53">
        <v>1382</v>
      </c>
      <c r="V13" s="16">
        <f t="shared" si="2"/>
        <v>2850.375</v>
      </c>
      <c r="W13" s="53">
        <v>6</v>
      </c>
      <c r="X13" s="53" t="s">
        <v>46</v>
      </c>
      <c r="Y13" s="53" t="s">
        <v>55</v>
      </c>
      <c r="Z13" s="53" t="s">
        <v>97</v>
      </c>
      <c r="AA13" s="53" t="s">
        <v>69</v>
      </c>
      <c r="AB13" s="53" t="s">
        <v>158</v>
      </c>
      <c r="AE13" s="22" t="s">
        <v>215</v>
      </c>
      <c r="AG13" s="23"/>
      <c r="AH13" s="23"/>
      <c r="AP13" s="23" t="s">
        <v>71</v>
      </c>
      <c r="AR13" s="23" t="s">
        <v>207</v>
      </c>
      <c r="AV13" s="23" t="s">
        <v>75</v>
      </c>
    </row>
    <row r="14" spans="1:53" x14ac:dyDescent="0.15">
      <c r="A14" s="53" t="s">
        <v>41</v>
      </c>
      <c r="B14" s="53" t="s">
        <v>157</v>
      </c>
      <c r="C14" s="62">
        <v>2019</v>
      </c>
      <c r="D14" s="63" t="s">
        <v>185</v>
      </c>
      <c r="E14" s="53" t="s">
        <v>133</v>
      </c>
      <c r="F14" s="53" t="s">
        <v>186</v>
      </c>
      <c r="G14" s="53" t="s">
        <v>42</v>
      </c>
      <c r="H14" s="53" t="s">
        <v>160</v>
      </c>
      <c r="I14" s="53" t="s">
        <v>159</v>
      </c>
      <c r="J14" s="53" t="s">
        <v>38</v>
      </c>
      <c r="K14" s="53" t="s">
        <v>161</v>
      </c>
      <c r="L14" s="53">
        <v>1</v>
      </c>
      <c r="N14" s="53">
        <v>8</v>
      </c>
      <c r="O14" s="53">
        <v>0.65</v>
      </c>
      <c r="P14" s="53">
        <v>0.6</v>
      </c>
      <c r="Q14" s="74">
        <f t="shared" si="0"/>
        <v>0.625</v>
      </c>
      <c r="R14" s="53">
        <v>15.7</v>
      </c>
      <c r="S14" s="53">
        <v>112</v>
      </c>
      <c r="T14" s="16">
        <f t="shared" si="1"/>
        <v>33</v>
      </c>
      <c r="U14" s="53">
        <v>753</v>
      </c>
      <c r="V14" s="16">
        <f t="shared" si="2"/>
        <v>3106.125</v>
      </c>
      <c r="W14" s="53">
        <v>3</v>
      </c>
      <c r="X14" s="53" t="s">
        <v>46</v>
      </c>
      <c r="Y14" s="53" t="s">
        <v>55</v>
      </c>
      <c r="Z14" s="53" t="s">
        <v>97</v>
      </c>
      <c r="AA14" s="53" t="s">
        <v>69</v>
      </c>
      <c r="AB14" s="53" t="s">
        <v>158</v>
      </c>
      <c r="AE14" s="22" t="s">
        <v>96</v>
      </c>
      <c r="AG14" s="23"/>
      <c r="AH14" s="23"/>
      <c r="AP14" s="23" t="s">
        <v>74</v>
      </c>
      <c r="AR14" s="23" t="s">
        <v>216</v>
      </c>
      <c r="AV14" s="23" t="s">
        <v>78</v>
      </c>
    </row>
    <row r="15" spans="1:53" x14ac:dyDescent="0.15">
      <c r="A15" s="53" t="s">
        <v>41</v>
      </c>
      <c r="B15" s="53" t="s">
        <v>157</v>
      </c>
      <c r="C15" s="62">
        <v>2019</v>
      </c>
      <c r="D15" s="63" t="s">
        <v>185</v>
      </c>
      <c r="E15" s="53" t="s">
        <v>133</v>
      </c>
      <c r="F15" s="53" t="s">
        <v>186</v>
      </c>
      <c r="G15" s="53" t="s">
        <v>42</v>
      </c>
      <c r="H15" s="53" t="s">
        <v>160</v>
      </c>
      <c r="I15" s="53" t="s">
        <v>159</v>
      </c>
      <c r="J15" s="53" t="s">
        <v>38</v>
      </c>
      <c r="K15" s="53" t="s">
        <v>161</v>
      </c>
      <c r="L15" s="53">
        <v>2</v>
      </c>
      <c r="N15" s="53">
        <v>8</v>
      </c>
      <c r="O15" s="53">
        <v>0.8</v>
      </c>
      <c r="P15" s="53">
        <v>0.55000000000000004</v>
      </c>
      <c r="Q15" s="74">
        <f t="shared" si="0"/>
        <v>0.67500000000000004</v>
      </c>
      <c r="R15" s="53">
        <v>16.100000000000001</v>
      </c>
      <c r="S15" s="53">
        <v>115</v>
      </c>
      <c r="T15" s="16">
        <f t="shared" si="1"/>
        <v>30</v>
      </c>
      <c r="U15" s="53">
        <v>753</v>
      </c>
      <c r="V15" s="16">
        <f t="shared" si="2"/>
        <v>2823.75</v>
      </c>
      <c r="W15" s="53">
        <v>3</v>
      </c>
      <c r="X15" s="53" t="s">
        <v>46</v>
      </c>
      <c r="Y15" s="53" t="s">
        <v>55</v>
      </c>
      <c r="Z15" s="53" t="s">
        <v>97</v>
      </c>
      <c r="AA15" s="53" t="s">
        <v>69</v>
      </c>
      <c r="AB15" s="53" t="s">
        <v>158</v>
      </c>
      <c r="AE15" s="22" t="s">
        <v>217</v>
      </c>
      <c r="AG15" s="23"/>
      <c r="AH15" s="23"/>
      <c r="AP15" s="23" t="s">
        <v>77</v>
      </c>
      <c r="AR15" s="23" t="s">
        <v>80</v>
      </c>
      <c r="AV15" s="23" t="s">
        <v>107</v>
      </c>
    </row>
    <row r="16" spans="1:53" x14ac:dyDescent="0.15">
      <c r="A16" s="53" t="s">
        <v>41</v>
      </c>
      <c r="B16" s="53" t="s">
        <v>157</v>
      </c>
      <c r="C16" s="62">
        <v>2019</v>
      </c>
      <c r="D16" s="63" t="s">
        <v>185</v>
      </c>
      <c r="E16" s="53" t="s">
        <v>133</v>
      </c>
      <c r="F16" s="53" t="s">
        <v>186</v>
      </c>
      <c r="G16" s="53" t="s">
        <v>42</v>
      </c>
      <c r="H16" s="53" t="s">
        <v>160</v>
      </c>
      <c r="I16" s="53" t="s">
        <v>159</v>
      </c>
      <c r="J16" s="53" t="s">
        <v>38</v>
      </c>
      <c r="K16" s="53" t="s">
        <v>161</v>
      </c>
      <c r="L16" s="53">
        <v>3</v>
      </c>
      <c r="N16" s="53">
        <v>8</v>
      </c>
      <c r="O16" s="53">
        <v>0.5</v>
      </c>
      <c r="P16" s="53">
        <v>0.45</v>
      </c>
      <c r="Q16" s="74">
        <f t="shared" si="0"/>
        <v>0.47499999999999998</v>
      </c>
      <c r="R16" s="53">
        <v>12.1</v>
      </c>
      <c r="S16" s="53">
        <v>117</v>
      </c>
      <c r="T16" s="16">
        <f t="shared" si="1"/>
        <v>30</v>
      </c>
      <c r="U16" s="53">
        <v>753</v>
      </c>
      <c r="V16" s="16">
        <f t="shared" si="2"/>
        <v>2823.75</v>
      </c>
      <c r="W16" s="53">
        <v>3</v>
      </c>
      <c r="X16" s="53" t="s">
        <v>46</v>
      </c>
      <c r="Y16" s="53" t="s">
        <v>55</v>
      </c>
      <c r="Z16" s="53" t="s">
        <v>97</v>
      </c>
      <c r="AA16" s="53" t="s">
        <v>69</v>
      </c>
      <c r="AB16" s="53" t="s">
        <v>158</v>
      </c>
      <c r="AE16" s="22" t="s">
        <v>218</v>
      </c>
      <c r="AG16" s="28"/>
      <c r="AH16" s="28"/>
      <c r="AP16" s="23" t="s">
        <v>80</v>
      </c>
      <c r="AR16" s="23" t="s">
        <v>63</v>
      </c>
      <c r="AV16" s="23" t="s">
        <v>84</v>
      </c>
    </row>
    <row r="17" spans="1:48" x14ac:dyDescent="0.15">
      <c r="A17" s="53" t="s">
        <v>41</v>
      </c>
      <c r="B17" s="53" t="s">
        <v>157</v>
      </c>
      <c r="C17" s="62">
        <v>2019</v>
      </c>
      <c r="D17" s="63" t="s">
        <v>185</v>
      </c>
      <c r="E17" s="53" t="s">
        <v>133</v>
      </c>
      <c r="F17" s="53" t="s">
        <v>186</v>
      </c>
      <c r="G17" s="53" t="s">
        <v>42</v>
      </c>
      <c r="H17" s="53" t="s">
        <v>168</v>
      </c>
      <c r="I17" s="53" t="s">
        <v>159</v>
      </c>
      <c r="J17" s="53" t="s">
        <v>38</v>
      </c>
      <c r="K17" s="53" t="s">
        <v>161</v>
      </c>
      <c r="L17" s="53">
        <v>1</v>
      </c>
      <c r="N17" s="53">
        <v>18</v>
      </c>
      <c r="O17" s="53">
        <v>0.45</v>
      </c>
      <c r="P17" s="53">
        <v>0.6</v>
      </c>
      <c r="Q17" s="75">
        <f t="shared" si="0"/>
        <v>0.52500000000000002</v>
      </c>
      <c r="R17" s="53">
        <v>15.4</v>
      </c>
      <c r="S17" s="53">
        <v>84</v>
      </c>
      <c r="T17" s="16">
        <f t="shared" si="1"/>
        <v>36</v>
      </c>
      <c r="U17" s="53">
        <v>950</v>
      </c>
      <c r="V17" s="16">
        <f t="shared" si="2"/>
        <v>1900</v>
      </c>
      <c r="W17" s="53">
        <v>4</v>
      </c>
      <c r="X17" s="53" t="s">
        <v>46</v>
      </c>
      <c r="Y17" s="53" t="s">
        <v>55</v>
      </c>
      <c r="Z17" s="53" t="s">
        <v>97</v>
      </c>
      <c r="AA17" s="53" t="s">
        <v>69</v>
      </c>
      <c r="AB17" s="53" t="s">
        <v>158</v>
      </c>
      <c r="AE17" s="22" t="s">
        <v>219</v>
      </c>
      <c r="AP17" s="27" t="s">
        <v>220</v>
      </c>
      <c r="AR17" s="23" t="s">
        <v>96</v>
      </c>
      <c r="AV17" s="23" t="s">
        <v>86</v>
      </c>
    </row>
    <row r="18" spans="1:48" x14ac:dyDescent="0.15">
      <c r="A18" s="53" t="s">
        <v>41</v>
      </c>
      <c r="B18" s="53" t="s">
        <v>157</v>
      </c>
      <c r="C18" s="62">
        <v>2019</v>
      </c>
      <c r="D18" s="63" t="s">
        <v>185</v>
      </c>
      <c r="E18" s="53" t="s">
        <v>133</v>
      </c>
      <c r="F18" s="53" t="s">
        <v>186</v>
      </c>
      <c r="G18" s="53" t="s">
        <v>42</v>
      </c>
      <c r="H18" s="53" t="s">
        <v>168</v>
      </c>
      <c r="I18" s="53" t="s">
        <v>159</v>
      </c>
      <c r="J18" s="53" t="s">
        <v>38</v>
      </c>
      <c r="K18" s="53" t="s">
        <v>161</v>
      </c>
      <c r="L18" s="53">
        <v>2</v>
      </c>
      <c r="N18" s="53">
        <v>18</v>
      </c>
      <c r="O18" s="53">
        <v>0.35</v>
      </c>
      <c r="P18" s="53">
        <v>0.4</v>
      </c>
      <c r="Q18" s="75">
        <f t="shared" si="0"/>
        <v>0.375</v>
      </c>
      <c r="R18" s="53">
        <v>15.2</v>
      </c>
      <c r="S18" s="53">
        <v>85</v>
      </c>
      <c r="T18" s="16">
        <f t="shared" si="1"/>
        <v>36</v>
      </c>
      <c r="U18" s="53">
        <v>950</v>
      </c>
      <c r="V18" s="16">
        <f t="shared" si="2"/>
        <v>1900</v>
      </c>
      <c r="W18" s="53">
        <v>4</v>
      </c>
      <c r="X18" s="53" t="s">
        <v>46</v>
      </c>
      <c r="Y18" s="53" t="s">
        <v>55</v>
      </c>
      <c r="Z18" s="53" t="s">
        <v>97</v>
      </c>
      <c r="AA18" s="53" t="s">
        <v>69</v>
      </c>
      <c r="AB18" s="53" t="s">
        <v>158</v>
      </c>
      <c r="AE18" s="22" t="s">
        <v>212</v>
      </c>
      <c r="AP18" s="27" t="s">
        <v>221</v>
      </c>
      <c r="AR18" s="23" t="s">
        <v>101</v>
      </c>
      <c r="AV18" s="23" t="s">
        <v>88</v>
      </c>
    </row>
    <row r="19" spans="1:48" x14ac:dyDescent="0.15">
      <c r="A19" s="53" t="s">
        <v>41</v>
      </c>
      <c r="B19" s="53" t="s">
        <v>157</v>
      </c>
      <c r="C19" s="62">
        <v>2019</v>
      </c>
      <c r="D19" s="63" t="s">
        <v>185</v>
      </c>
      <c r="E19" s="53" t="s">
        <v>133</v>
      </c>
      <c r="F19" s="53" t="s">
        <v>186</v>
      </c>
      <c r="G19" s="53" t="s">
        <v>42</v>
      </c>
      <c r="H19" s="53" t="s">
        <v>168</v>
      </c>
      <c r="I19" s="53" t="s">
        <v>159</v>
      </c>
      <c r="J19" s="53" t="s">
        <v>38</v>
      </c>
      <c r="K19" s="53" t="s">
        <v>161</v>
      </c>
      <c r="L19" s="53">
        <v>3</v>
      </c>
      <c r="N19" s="53">
        <v>18</v>
      </c>
      <c r="O19" s="53">
        <v>0.5</v>
      </c>
      <c r="P19" s="53">
        <v>0.55000000000000004</v>
      </c>
      <c r="Q19" s="75">
        <f t="shared" si="0"/>
        <v>0.52500000000000002</v>
      </c>
      <c r="R19" s="53">
        <v>15</v>
      </c>
      <c r="S19" s="53">
        <v>91</v>
      </c>
      <c r="T19" s="16">
        <f t="shared" si="1"/>
        <v>36</v>
      </c>
      <c r="U19" s="53">
        <v>950</v>
      </c>
      <c r="V19" s="16">
        <f t="shared" si="2"/>
        <v>1900</v>
      </c>
      <c r="W19" s="53">
        <v>4</v>
      </c>
      <c r="X19" s="53" t="s">
        <v>46</v>
      </c>
      <c r="Y19" s="53" t="s">
        <v>55</v>
      </c>
      <c r="Z19" s="53" t="s">
        <v>97</v>
      </c>
      <c r="AA19" s="53" t="s">
        <v>69</v>
      </c>
      <c r="AB19" s="53" t="s">
        <v>158</v>
      </c>
      <c r="AE19" s="35" t="s">
        <v>206</v>
      </c>
      <c r="AP19" s="27" t="s">
        <v>222</v>
      </c>
      <c r="AR19" s="23" t="s">
        <v>223</v>
      </c>
      <c r="AV19" s="23" t="s">
        <v>90</v>
      </c>
    </row>
    <row r="20" spans="1:48" x14ac:dyDescent="0.15">
      <c r="A20" s="53" t="s">
        <v>41</v>
      </c>
      <c r="B20" s="53" t="s">
        <v>157</v>
      </c>
      <c r="C20" s="62">
        <v>2019</v>
      </c>
      <c r="D20" s="63" t="s">
        <v>185</v>
      </c>
      <c r="E20" s="53" t="s">
        <v>133</v>
      </c>
      <c r="F20" s="53" t="s">
        <v>186</v>
      </c>
      <c r="G20" s="53" t="s">
        <v>42</v>
      </c>
      <c r="H20" s="53" t="s">
        <v>164</v>
      </c>
      <c r="I20" s="53" t="s">
        <v>159</v>
      </c>
      <c r="J20" s="53" t="s">
        <v>38</v>
      </c>
      <c r="K20" s="53" t="s">
        <v>161</v>
      </c>
      <c r="L20" s="53">
        <v>1</v>
      </c>
      <c r="N20" s="53">
        <v>10</v>
      </c>
      <c r="O20" s="53">
        <v>0.95</v>
      </c>
      <c r="P20" s="53">
        <v>0.9</v>
      </c>
      <c r="Q20" s="75">
        <f t="shared" si="0"/>
        <v>0.92500000000000004</v>
      </c>
      <c r="R20" s="53">
        <v>12.7</v>
      </c>
      <c r="S20" s="53">
        <v>124</v>
      </c>
      <c r="T20" s="16">
        <f t="shared" si="1"/>
        <v>27</v>
      </c>
      <c r="U20" s="53">
        <v>540</v>
      </c>
      <c r="V20" s="16">
        <f t="shared" si="2"/>
        <v>1458</v>
      </c>
      <c r="W20" s="53">
        <v>4</v>
      </c>
      <c r="X20" s="53" t="s">
        <v>46</v>
      </c>
      <c r="Y20" s="53" t="s">
        <v>55</v>
      </c>
      <c r="Z20" s="53" t="s">
        <v>97</v>
      </c>
      <c r="AA20" s="53" t="s">
        <v>69</v>
      </c>
      <c r="AB20" s="53" t="s">
        <v>158</v>
      </c>
      <c r="AE20" s="35"/>
      <c r="AP20" s="27" t="s">
        <v>224</v>
      </c>
      <c r="AR20" s="23" t="s">
        <v>105</v>
      </c>
      <c r="AV20" s="27" t="s">
        <v>225</v>
      </c>
    </row>
    <row r="21" spans="1:48" x14ac:dyDescent="0.15">
      <c r="A21" s="53" t="s">
        <v>41</v>
      </c>
      <c r="B21" s="53" t="s">
        <v>157</v>
      </c>
      <c r="C21" s="62">
        <v>2019</v>
      </c>
      <c r="D21" s="63" t="s">
        <v>185</v>
      </c>
      <c r="E21" s="53" t="s">
        <v>133</v>
      </c>
      <c r="F21" s="53" t="s">
        <v>186</v>
      </c>
      <c r="G21" s="53" t="s">
        <v>42</v>
      </c>
      <c r="H21" s="53" t="s">
        <v>164</v>
      </c>
      <c r="I21" s="53" t="s">
        <v>159</v>
      </c>
      <c r="J21" s="53" t="s">
        <v>38</v>
      </c>
      <c r="K21" s="53" t="s">
        <v>161</v>
      </c>
      <c r="L21" s="53">
        <v>2</v>
      </c>
      <c r="N21" s="53">
        <v>10</v>
      </c>
      <c r="O21" s="53">
        <v>0.85</v>
      </c>
      <c r="P21" s="53">
        <v>0.85</v>
      </c>
      <c r="Q21" s="75">
        <f t="shared" si="0"/>
        <v>0.85</v>
      </c>
      <c r="R21" s="53">
        <v>13.8</v>
      </c>
      <c r="S21" s="53">
        <v>121</v>
      </c>
      <c r="T21" s="16">
        <f t="shared" si="1"/>
        <v>27</v>
      </c>
      <c r="U21" s="53">
        <v>540</v>
      </c>
      <c r="V21" s="16">
        <f t="shared" si="2"/>
        <v>1458</v>
      </c>
      <c r="W21" s="53">
        <v>4</v>
      </c>
      <c r="X21" s="53" t="s">
        <v>46</v>
      </c>
      <c r="Y21" s="53" t="s">
        <v>55</v>
      </c>
      <c r="Z21" s="53" t="s">
        <v>97</v>
      </c>
      <c r="AA21" s="53" t="s">
        <v>69</v>
      </c>
      <c r="AB21" s="53" t="s">
        <v>158</v>
      </c>
      <c r="AE21" s="28"/>
      <c r="AP21" s="27" t="s">
        <v>226</v>
      </c>
      <c r="AR21" s="23" t="s">
        <v>68</v>
      </c>
      <c r="AV21" s="27" t="s">
        <v>227</v>
      </c>
    </row>
    <row r="22" spans="1:48" x14ac:dyDescent="0.15">
      <c r="A22" s="53" t="s">
        <v>41</v>
      </c>
      <c r="B22" s="53" t="s">
        <v>157</v>
      </c>
      <c r="C22" s="62">
        <v>2019</v>
      </c>
      <c r="D22" s="63" t="s">
        <v>185</v>
      </c>
      <c r="E22" s="53" t="s">
        <v>133</v>
      </c>
      <c r="F22" s="53" t="s">
        <v>186</v>
      </c>
      <c r="G22" s="53" t="s">
        <v>42</v>
      </c>
      <c r="H22" s="53" t="s">
        <v>164</v>
      </c>
      <c r="I22" s="53" t="s">
        <v>159</v>
      </c>
      <c r="J22" s="53" t="s">
        <v>38</v>
      </c>
      <c r="K22" s="53" t="s">
        <v>161</v>
      </c>
      <c r="L22" s="53">
        <v>3</v>
      </c>
      <c r="N22" s="53">
        <v>10</v>
      </c>
      <c r="O22" s="53">
        <v>0.65</v>
      </c>
      <c r="P22" s="53">
        <v>0.7</v>
      </c>
      <c r="Q22" s="75">
        <f t="shared" si="0"/>
        <v>0.67500000000000004</v>
      </c>
      <c r="R22" s="53">
        <v>14.9</v>
      </c>
      <c r="S22" s="53">
        <v>122</v>
      </c>
      <c r="T22" s="16">
        <f t="shared" si="1"/>
        <v>27</v>
      </c>
      <c r="U22" s="53">
        <v>540</v>
      </c>
      <c r="V22" s="16">
        <f t="shared" si="2"/>
        <v>1458</v>
      </c>
      <c r="W22" s="53">
        <v>4</v>
      </c>
      <c r="X22" s="53" t="s">
        <v>46</v>
      </c>
      <c r="Y22" s="53" t="s">
        <v>55</v>
      </c>
      <c r="Z22" s="53" t="s">
        <v>97</v>
      </c>
      <c r="AA22" s="53" t="s">
        <v>69</v>
      </c>
      <c r="AB22" s="53" t="s">
        <v>158</v>
      </c>
      <c r="AP22" s="27" t="s">
        <v>228</v>
      </c>
      <c r="AR22" s="23" t="s">
        <v>83</v>
      </c>
      <c r="AV22" s="27"/>
    </row>
    <row r="23" spans="1:48" x14ac:dyDescent="0.15">
      <c r="A23" s="53" t="s">
        <v>41</v>
      </c>
      <c r="B23" s="53" t="s">
        <v>157</v>
      </c>
      <c r="C23" s="62">
        <v>2019</v>
      </c>
      <c r="D23" s="63" t="s">
        <v>185</v>
      </c>
      <c r="E23" s="53" t="s">
        <v>188</v>
      </c>
      <c r="F23" s="53" t="s">
        <v>186</v>
      </c>
      <c r="G23" s="53" t="s">
        <v>42</v>
      </c>
      <c r="H23" s="53" t="s">
        <v>160</v>
      </c>
      <c r="I23" s="53" t="s">
        <v>159</v>
      </c>
      <c r="J23" s="53" t="s">
        <v>38</v>
      </c>
      <c r="K23" s="53" t="s">
        <v>161</v>
      </c>
      <c r="L23" s="53">
        <v>1</v>
      </c>
      <c r="N23" s="53">
        <v>1</v>
      </c>
      <c r="O23" s="53">
        <v>0.65</v>
      </c>
      <c r="P23" s="53">
        <v>0.6</v>
      </c>
      <c r="Q23" s="75">
        <f t="shared" si="0"/>
        <v>0.625</v>
      </c>
      <c r="R23" s="53">
        <v>15.2</v>
      </c>
      <c r="S23" s="53">
        <v>125</v>
      </c>
      <c r="T23" s="16">
        <f t="shared" si="1"/>
        <v>27</v>
      </c>
      <c r="U23" s="53">
        <v>105</v>
      </c>
      <c r="V23" s="16">
        <f t="shared" si="2"/>
        <v>2835</v>
      </c>
      <c r="W23" s="53">
        <v>3</v>
      </c>
      <c r="X23" s="53" t="s">
        <v>46</v>
      </c>
      <c r="Y23" s="53" t="s">
        <v>55</v>
      </c>
      <c r="Z23" s="53" t="s">
        <v>69</v>
      </c>
      <c r="AA23" s="53" t="s">
        <v>86</v>
      </c>
      <c r="AB23" s="53" t="s">
        <v>158</v>
      </c>
      <c r="AP23" s="27" t="s">
        <v>229</v>
      </c>
      <c r="AR23" s="28" t="s">
        <v>230</v>
      </c>
      <c r="AV23" s="28"/>
    </row>
    <row r="24" spans="1:48" x14ac:dyDescent="0.15">
      <c r="A24" s="53" t="s">
        <v>41</v>
      </c>
      <c r="B24" s="53" t="s">
        <v>157</v>
      </c>
      <c r="C24" s="62">
        <v>2019</v>
      </c>
      <c r="D24" s="63" t="s">
        <v>185</v>
      </c>
      <c r="E24" s="53" t="s">
        <v>188</v>
      </c>
      <c r="F24" s="53" t="s">
        <v>186</v>
      </c>
      <c r="G24" s="53" t="s">
        <v>42</v>
      </c>
      <c r="H24" s="53" t="s">
        <v>160</v>
      </c>
      <c r="I24" s="53" t="s">
        <v>159</v>
      </c>
      <c r="J24" s="53" t="s">
        <v>38</v>
      </c>
      <c r="K24" s="53" t="s">
        <v>161</v>
      </c>
      <c r="L24" s="53">
        <v>2</v>
      </c>
      <c r="N24" s="53">
        <v>1</v>
      </c>
      <c r="O24" s="53">
        <v>0.5</v>
      </c>
      <c r="P24" s="53">
        <v>0.55000000000000004</v>
      </c>
      <c r="Q24" s="75">
        <f t="shared" si="0"/>
        <v>0.52500000000000002</v>
      </c>
      <c r="R24" s="53">
        <v>16.2</v>
      </c>
      <c r="S24" s="53">
        <v>122</v>
      </c>
      <c r="T24" s="16">
        <f t="shared" si="1"/>
        <v>27</v>
      </c>
      <c r="U24" s="53">
        <v>105</v>
      </c>
      <c r="V24" s="16">
        <f t="shared" si="2"/>
        <v>2835</v>
      </c>
      <c r="W24" s="53">
        <v>3</v>
      </c>
      <c r="X24" s="53" t="s">
        <v>46</v>
      </c>
      <c r="Y24" s="53" t="s">
        <v>55</v>
      </c>
      <c r="Z24" s="53" t="s">
        <v>69</v>
      </c>
      <c r="AA24" s="53" t="s">
        <v>86</v>
      </c>
      <c r="AB24" s="53" t="s">
        <v>158</v>
      </c>
      <c r="AP24" s="27" t="s">
        <v>231</v>
      </c>
    </row>
    <row r="25" spans="1:48" x14ac:dyDescent="0.15">
      <c r="A25" s="53" t="s">
        <v>41</v>
      </c>
      <c r="B25" s="53" t="s">
        <v>157</v>
      </c>
      <c r="C25" s="62">
        <v>2019</v>
      </c>
      <c r="D25" s="63" t="s">
        <v>185</v>
      </c>
      <c r="E25" s="53" t="s">
        <v>188</v>
      </c>
      <c r="F25" s="53" t="s">
        <v>186</v>
      </c>
      <c r="G25" s="53" t="s">
        <v>42</v>
      </c>
      <c r="H25" s="53" t="s">
        <v>160</v>
      </c>
      <c r="I25" s="53" t="s">
        <v>159</v>
      </c>
      <c r="J25" s="53" t="s">
        <v>38</v>
      </c>
      <c r="K25" s="53" t="s">
        <v>161</v>
      </c>
      <c r="L25" s="53">
        <v>3</v>
      </c>
      <c r="N25" s="53">
        <v>1</v>
      </c>
      <c r="O25" s="53">
        <v>0.45</v>
      </c>
      <c r="P25" s="53">
        <v>0.3</v>
      </c>
      <c r="Q25" s="75">
        <f t="shared" si="0"/>
        <v>0.375</v>
      </c>
      <c r="R25" s="53">
        <v>15.8</v>
      </c>
      <c r="S25" s="53">
        <v>126</v>
      </c>
      <c r="T25" s="16">
        <f t="shared" si="1"/>
        <v>27</v>
      </c>
      <c r="U25" s="53">
        <v>105</v>
      </c>
      <c r="V25" s="16">
        <f t="shared" si="2"/>
        <v>2835</v>
      </c>
      <c r="W25" s="53">
        <v>3</v>
      </c>
      <c r="X25" s="53" t="s">
        <v>46</v>
      </c>
      <c r="Y25" s="53" t="s">
        <v>55</v>
      </c>
      <c r="Z25" s="53" t="s">
        <v>69</v>
      </c>
      <c r="AA25" s="53" t="s">
        <v>86</v>
      </c>
      <c r="AB25" s="53" t="s">
        <v>158</v>
      </c>
    </row>
    <row r="26" spans="1:48" x14ac:dyDescent="0.15">
      <c r="A26" s="53" t="s">
        <v>41</v>
      </c>
      <c r="B26" s="53" t="s">
        <v>157</v>
      </c>
      <c r="C26" s="62">
        <v>2019</v>
      </c>
      <c r="D26" s="63" t="s">
        <v>185</v>
      </c>
      <c r="E26" s="53" t="s">
        <v>188</v>
      </c>
      <c r="F26" s="53" t="s">
        <v>186</v>
      </c>
      <c r="G26" s="53" t="s">
        <v>42</v>
      </c>
      <c r="H26" s="53" t="s">
        <v>160</v>
      </c>
      <c r="I26" s="53" t="s">
        <v>159</v>
      </c>
      <c r="J26" s="53" t="s">
        <v>38</v>
      </c>
      <c r="K26" s="53" t="s">
        <v>161</v>
      </c>
      <c r="L26" s="53">
        <v>1</v>
      </c>
      <c r="N26" s="53">
        <v>4</v>
      </c>
      <c r="O26" s="53">
        <v>0.35</v>
      </c>
      <c r="P26" s="53">
        <v>0.3</v>
      </c>
      <c r="Q26" s="75">
        <f t="shared" si="0"/>
        <v>0.32499999999999996</v>
      </c>
      <c r="R26" s="53">
        <v>17.100000000000001</v>
      </c>
      <c r="S26" s="53">
        <v>121</v>
      </c>
      <c r="T26" s="16">
        <f t="shared" si="1"/>
        <v>27</v>
      </c>
      <c r="U26" s="53">
        <v>429</v>
      </c>
      <c r="V26" s="16">
        <f t="shared" si="2"/>
        <v>2895.75</v>
      </c>
      <c r="W26" s="53">
        <v>2</v>
      </c>
      <c r="X26" s="53" t="s">
        <v>46</v>
      </c>
      <c r="Y26" s="53" t="s">
        <v>55</v>
      </c>
      <c r="Z26" s="53" t="s">
        <v>69</v>
      </c>
      <c r="AA26" s="53" t="s">
        <v>86</v>
      </c>
      <c r="AB26" s="53" t="s">
        <v>158</v>
      </c>
    </row>
    <row r="27" spans="1:48" x14ac:dyDescent="0.15">
      <c r="A27" s="53" t="s">
        <v>41</v>
      </c>
      <c r="B27" s="53" t="s">
        <v>157</v>
      </c>
      <c r="C27" s="62">
        <v>2019</v>
      </c>
      <c r="D27" s="63" t="s">
        <v>185</v>
      </c>
      <c r="E27" s="53" t="s">
        <v>188</v>
      </c>
      <c r="F27" s="53" t="s">
        <v>186</v>
      </c>
      <c r="G27" s="53" t="s">
        <v>42</v>
      </c>
      <c r="H27" s="53" t="s">
        <v>160</v>
      </c>
      <c r="I27" s="53" t="s">
        <v>159</v>
      </c>
      <c r="J27" s="53" t="s">
        <v>38</v>
      </c>
      <c r="K27" s="53" t="s">
        <v>161</v>
      </c>
      <c r="L27" s="53">
        <v>2</v>
      </c>
      <c r="N27" s="53">
        <v>4</v>
      </c>
      <c r="O27" s="53">
        <v>0.3</v>
      </c>
      <c r="P27" s="53">
        <v>0.25</v>
      </c>
      <c r="Q27" s="74">
        <f t="shared" si="0"/>
        <v>0.27500000000000002</v>
      </c>
      <c r="R27" s="53">
        <v>15</v>
      </c>
      <c r="S27" s="53">
        <v>120</v>
      </c>
      <c r="T27" s="16">
        <f t="shared" si="1"/>
        <v>30</v>
      </c>
      <c r="U27" s="53">
        <v>429</v>
      </c>
      <c r="V27" s="16">
        <f t="shared" si="2"/>
        <v>3217.5</v>
      </c>
      <c r="W27" s="53">
        <v>2</v>
      </c>
      <c r="X27" s="53" t="s">
        <v>46</v>
      </c>
      <c r="Y27" s="53" t="s">
        <v>55</v>
      </c>
      <c r="Z27" s="53" t="s">
        <v>69</v>
      </c>
      <c r="AA27" s="53" t="s">
        <v>86</v>
      </c>
      <c r="AB27" s="53" t="s">
        <v>158</v>
      </c>
    </row>
    <row r="28" spans="1:48" x14ac:dyDescent="0.15">
      <c r="A28" s="53" t="s">
        <v>41</v>
      </c>
      <c r="B28" s="53" t="s">
        <v>157</v>
      </c>
      <c r="C28" s="62">
        <v>2019</v>
      </c>
      <c r="D28" s="63" t="s">
        <v>185</v>
      </c>
      <c r="E28" s="53" t="s">
        <v>188</v>
      </c>
      <c r="F28" s="53" t="s">
        <v>186</v>
      </c>
      <c r="G28" s="53" t="s">
        <v>42</v>
      </c>
      <c r="H28" s="53" t="s">
        <v>160</v>
      </c>
      <c r="I28" s="53" t="s">
        <v>159</v>
      </c>
      <c r="J28" s="53" t="s">
        <v>38</v>
      </c>
      <c r="K28" s="53" t="s">
        <v>161</v>
      </c>
      <c r="L28" s="53">
        <v>3</v>
      </c>
      <c r="N28" s="53">
        <v>4</v>
      </c>
      <c r="O28" s="53">
        <v>0.45</v>
      </c>
      <c r="P28" s="53">
        <v>0.5</v>
      </c>
      <c r="Q28" s="74">
        <f t="shared" si="0"/>
        <v>0.47499999999999998</v>
      </c>
      <c r="R28" s="53">
        <v>14.2</v>
      </c>
      <c r="S28" s="53">
        <v>120</v>
      </c>
      <c r="T28" s="16">
        <f t="shared" si="1"/>
        <v>30</v>
      </c>
      <c r="U28" s="53">
        <v>429</v>
      </c>
      <c r="V28" s="16">
        <f t="shared" si="2"/>
        <v>3217.5</v>
      </c>
      <c r="W28" s="53">
        <v>2</v>
      </c>
      <c r="X28" s="53" t="s">
        <v>46</v>
      </c>
      <c r="Y28" s="53" t="s">
        <v>55</v>
      </c>
      <c r="Z28" s="53" t="s">
        <v>69</v>
      </c>
      <c r="AA28" s="53" t="s">
        <v>86</v>
      </c>
      <c r="AB28" s="53" t="s">
        <v>158</v>
      </c>
    </row>
    <row r="29" spans="1:48" x14ac:dyDescent="0.15">
      <c r="A29" s="53" t="s">
        <v>41</v>
      </c>
      <c r="B29" s="53" t="s">
        <v>157</v>
      </c>
      <c r="C29" s="62">
        <v>2019</v>
      </c>
      <c r="D29" s="63" t="s">
        <v>185</v>
      </c>
      <c r="E29" s="53" t="s">
        <v>188</v>
      </c>
      <c r="F29" s="53" t="s">
        <v>186</v>
      </c>
      <c r="G29" s="53" t="s">
        <v>42</v>
      </c>
      <c r="H29" s="53" t="s">
        <v>160</v>
      </c>
      <c r="I29" s="53" t="s">
        <v>159</v>
      </c>
      <c r="J29" s="53" t="s">
        <v>38</v>
      </c>
      <c r="K29" s="53" t="s">
        <v>161</v>
      </c>
      <c r="L29" s="53">
        <v>1</v>
      </c>
      <c r="N29" s="53">
        <v>6</v>
      </c>
      <c r="O29" s="53">
        <v>0.9</v>
      </c>
      <c r="P29" s="73">
        <v>0.85</v>
      </c>
      <c r="Q29" s="74">
        <f t="shared" si="0"/>
        <v>0.875</v>
      </c>
      <c r="R29" s="53">
        <v>15.2</v>
      </c>
      <c r="S29" s="53">
        <v>112</v>
      </c>
      <c r="T29" s="16">
        <f t="shared" si="1"/>
        <v>33</v>
      </c>
      <c r="U29" s="53">
        <v>626</v>
      </c>
      <c r="V29" s="16">
        <f t="shared" si="2"/>
        <v>3443</v>
      </c>
      <c r="W29" s="53">
        <v>3</v>
      </c>
      <c r="X29" s="53" t="s">
        <v>46</v>
      </c>
      <c r="Y29" s="53" t="s">
        <v>55</v>
      </c>
      <c r="Z29" s="53" t="s">
        <v>69</v>
      </c>
      <c r="AA29" s="53" t="s">
        <v>86</v>
      </c>
      <c r="AB29" s="53" t="s">
        <v>158</v>
      </c>
    </row>
    <row r="30" spans="1:48" x14ac:dyDescent="0.15">
      <c r="A30" s="53" t="s">
        <v>41</v>
      </c>
      <c r="B30" s="53" t="s">
        <v>157</v>
      </c>
      <c r="C30" s="62">
        <v>2019</v>
      </c>
      <c r="D30" s="63" t="s">
        <v>185</v>
      </c>
      <c r="E30" s="53" t="s">
        <v>188</v>
      </c>
      <c r="F30" s="53" t="s">
        <v>186</v>
      </c>
      <c r="G30" s="53" t="s">
        <v>42</v>
      </c>
      <c r="H30" s="53" t="s">
        <v>160</v>
      </c>
      <c r="I30" s="53" t="s">
        <v>159</v>
      </c>
      <c r="J30" s="53" t="s">
        <v>38</v>
      </c>
      <c r="K30" s="53" t="s">
        <v>161</v>
      </c>
      <c r="L30" s="53">
        <v>2</v>
      </c>
      <c r="N30" s="53">
        <v>6</v>
      </c>
      <c r="O30" s="53">
        <v>0.75</v>
      </c>
      <c r="P30" s="53">
        <v>0.7</v>
      </c>
      <c r="Q30" s="74">
        <f t="shared" si="0"/>
        <v>0.72499999999999998</v>
      </c>
      <c r="R30" s="53">
        <v>13</v>
      </c>
      <c r="S30" s="53">
        <v>114</v>
      </c>
      <c r="T30" s="16">
        <f t="shared" si="1"/>
        <v>30</v>
      </c>
      <c r="U30" s="53">
        <v>626</v>
      </c>
      <c r="V30" s="16">
        <f t="shared" si="2"/>
        <v>3130</v>
      </c>
      <c r="W30" s="53">
        <v>3</v>
      </c>
      <c r="X30" s="53" t="s">
        <v>46</v>
      </c>
      <c r="Y30" s="53" t="s">
        <v>55</v>
      </c>
      <c r="Z30" s="53" t="s">
        <v>69</v>
      </c>
      <c r="AA30" s="53" t="s">
        <v>86</v>
      </c>
      <c r="AB30" s="53" t="s">
        <v>158</v>
      </c>
    </row>
    <row r="31" spans="1:48" x14ac:dyDescent="0.15">
      <c r="A31" s="53" t="s">
        <v>41</v>
      </c>
      <c r="B31" s="53" t="s">
        <v>157</v>
      </c>
      <c r="C31" s="62">
        <v>2019</v>
      </c>
      <c r="D31" s="63" t="s">
        <v>185</v>
      </c>
      <c r="E31" s="53" t="s">
        <v>188</v>
      </c>
      <c r="F31" s="53" t="s">
        <v>186</v>
      </c>
      <c r="G31" s="53" t="s">
        <v>42</v>
      </c>
      <c r="H31" s="53" t="s">
        <v>160</v>
      </c>
      <c r="I31" s="53" t="s">
        <v>159</v>
      </c>
      <c r="J31" s="53" t="s">
        <v>38</v>
      </c>
      <c r="K31" s="53" t="s">
        <v>161</v>
      </c>
      <c r="L31" s="53">
        <v>3</v>
      </c>
      <c r="N31" s="53">
        <v>6</v>
      </c>
      <c r="O31" s="53">
        <v>0.7</v>
      </c>
      <c r="P31" s="53">
        <v>0.8</v>
      </c>
      <c r="Q31" s="74">
        <f t="shared" si="0"/>
        <v>0.75</v>
      </c>
      <c r="R31" s="53">
        <v>12.1</v>
      </c>
      <c r="S31" s="53">
        <v>112</v>
      </c>
      <c r="T31" s="16">
        <f t="shared" si="1"/>
        <v>33</v>
      </c>
      <c r="U31" s="53">
        <v>626</v>
      </c>
      <c r="V31" s="16">
        <f t="shared" si="2"/>
        <v>3443</v>
      </c>
      <c r="W31" s="53">
        <v>3</v>
      </c>
      <c r="X31" s="53" t="s">
        <v>46</v>
      </c>
      <c r="Y31" s="53" t="s">
        <v>55</v>
      </c>
      <c r="Z31" s="53" t="s">
        <v>69</v>
      </c>
      <c r="AA31" s="53" t="s">
        <v>86</v>
      </c>
      <c r="AB31" s="53" t="s">
        <v>158</v>
      </c>
    </row>
    <row r="32" spans="1:48" x14ac:dyDescent="0.15">
      <c r="A32" s="53" t="s">
        <v>41</v>
      </c>
      <c r="B32" s="53" t="s">
        <v>157</v>
      </c>
      <c r="C32" s="62">
        <v>2019</v>
      </c>
      <c r="D32" s="63" t="s">
        <v>185</v>
      </c>
      <c r="E32" s="53" t="s">
        <v>188</v>
      </c>
      <c r="F32" s="53" t="s">
        <v>186</v>
      </c>
      <c r="G32" s="53" t="s">
        <v>42</v>
      </c>
      <c r="H32" s="53" t="s">
        <v>160</v>
      </c>
      <c r="I32" s="53" t="s">
        <v>159</v>
      </c>
      <c r="J32" s="53" t="s">
        <v>38</v>
      </c>
      <c r="K32" s="53" t="s">
        <v>161</v>
      </c>
      <c r="L32" s="53">
        <v>1</v>
      </c>
      <c r="N32" s="53">
        <v>8</v>
      </c>
      <c r="O32" s="53">
        <v>0.75</v>
      </c>
      <c r="P32" s="53">
        <v>0.6</v>
      </c>
      <c r="Q32" s="74">
        <f t="shared" si="0"/>
        <v>0.67500000000000004</v>
      </c>
      <c r="R32" s="53">
        <v>12.8</v>
      </c>
      <c r="S32" s="53">
        <v>112</v>
      </c>
      <c r="T32" s="16">
        <f t="shared" si="1"/>
        <v>33</v>
      </c>
      <c r="U32" s="53">
        <v>1058</v>
      </c>
      <c r="V32" s="16">
        <f t="shared" si="2"/>
        <v>4364.25</v>
      </c>
      <c r="W32" s="53">
        <v>1</v>
      </c>
      <c r="X32" s="53" t="s">
        <v>46</v>
      </c>
      <c r="Y32" s="53" t="s">
        <v>55</v>
      </c>
      <c r="Z32" s="53" t="s">
        <v>69</v>
      </c>
      <c r="AA32" s="53" t="s">
        <v>86</v>
      </c>
      <c r="AB32" s="53" t="s">
        <v>158</v>
      </c>
    </row>
    <row r="33" spans="1:28" x14ac:dyDescent="0.15">
      <c r="A33" s="53" t="s">
        <v>41</v>
      </c>
      <c r="B33" s="53" t="s">
        <v>157</v>
      </c>
      <c r="C33" s="62">
        <v>2019</v>
      </c>
      <c r="D33" s="63" t="s">
        <v>185</v>
      </c>
      <c r="E33" s="53" t="s">
        <v>188</v>
      </c>
      <c r="F33" s="53" t="s">
        <v>186</v>
      </c>
      <c r="G33" s="53" t="s">
        <v>42</v>
      </c>
      <c r="H33" s="53" t="s">
        <v>160</v>
      </c>
      <c r="I33" s="53" t="s">
        <v>159</v>
      </c>
      <c r="J33" s="53" t="s">
        <v>38</v>
      </c>
      <c r="K33" s="53" t="s">
        <v>161</v>
      </c>
      <c r="L33" s="53">
        <v>2</v>
      </c>
      <c r="N33" s="53">
        <v>8</v>
      </c>
      <c r="O33" s="53">
        <v>0.6</v>
      </c>
      <c r="P33" s="53">
        <v>0.55000000000000004</v>
      </c>
      <c r="Q33" s="74">
        <f t="shared" si="0"/>
        <v>0.57499999999999996</v>
      </c>
      <c r="R33" s="53">
        <v>14.5</v>
      </c>
      <c r="S33" s="53">
        <v>116</v>
      </c>
      <c r="T33" s="16">
        <f t="shared" si="1"/>
        <v>30</v>
      </c>
      <c r="U33" s="53">
        <v>1058</v>
      </c>
      <c r="V33" s="16">
        <f t="shared" si="2"/>
        <v>3967.5</v>
      </c>
      <c r="W33" s="53">
        <v>1</v>
      </c>
      <c r="X33" s="53" t="s">
        <v>46</v>
      </c>
      <c r="Y33" s="53" t="s">
        <v>55</v>
      </c>
      <c r="Z33" s="53" t="s">
        <v>69</v>
      </c>
      <c r="AA33" s="53" t="s">
        <v>86</v>
      </c>
      <c r="AB33" s="53" t="s">
        <v>158</v>
      </c>
    </row>
    <row r="34" spans="1:28" x14ac:dyDescent="0.15">
      <c r="A34" s="53" t="s">
        <v>41</v>
      </c>
      <c r="B34" s="53" t="s">
        <v>157</v>
      </c>
      <c r="C34" s="62">
        <v>2019</v>
      </c>
      <c r="D34" s="63" t="s">
        <v>185</v>
      </c>
      <c r="E34" s="53" t="s">
        <v>188</v>
      </c>
      <c r="F34" s="53" t="s">
        <v>186</v>
      </c>
      <c r="G34" s="53" t="s">
        <v>42</v>
      </c>
      <c r="H34" s="53" t="s">
        <v>160</v>
      </c>
      <c r="I34" s="53" t="s">
        <v>159</v>
      </c>
      <c r="J34" s="53" t="s">
        <v>38</v>
      </c>
      <c r="K34" s="53" t="s">
        <v>161</v>
      </c>
      <c r="L34" s="53">
        <v>3</v>
      </c>
      <c r="N34" s="53">
        <v>8</v>
      </c>
      <c r="O34" s="53">
        <v>0.55000000000000004</v>
      </c>
      <c r="P34" s="53">
        <v>0.55000000000000004</v>
      </c>
      <c r="Q34" s="74">
        <f t="shared" si="0"/>
        <v>0.55000000000000004</v>
      </c>
      <c r="R34" s="53">
        <v>13.6</v>
      </c>
      <c r="S34" s="53">
        <v>115</v>
      </c>
      <c r="T34" s="16">
        <f t="shared" si="1"/>
        <v>30</v>
      </c>
      <c r="U34" s="53">
        <v>1058</v>
      </c>
      <c r="V34" s="16">
        <f t="shared" si="2"/>
        <v>3967.5</v>
      </c>
      <c r="W34" s="53">
        <v>1</v>
      </c>
      <c r="X34" s="53" t="s">
        <v>46</v>
      </c>
      <c r="Y34" s="53" t="s">
        <v>55</v>
      </c>
      <c r="Z34" s="53" t="s">
        <v>69</v>
      </c>
      <c r="AA34" s="53" t="s">
        <v>86</v>
      </c>
      <c r="AB34" s="53" t="s">
        <v>158</v>
      </c>
    </row>
    <row r="35" spans="1:28" x14ac:dyDescent="0.15">
      <c r="A35" s="53" t="s">
        <v>41</v>
      </c>
      <c r="B35" s="53" t="s">
        <v>157</v>
      </c>
      <c r="C35" s="62">
        <v>2019</v>
      </c>
      <c r="D35" s="63" t="s">
        <v>185</v>
      </c>
      <c r="E35" s="53" t="s">
        <v>188</v>
      </c>
      <c r="F35" s="53" t="s">
        <v>186</v>
      </c>
      <c r="G35" s="53" t="s">
        <v>42</v>
      </c>
      <c r="H35" s="53" t="s">
        <v>164</v>
      </c>
      <c r="I35" s="53" t="s">
        <v>159</v>
      </c>
      <c r="J35" s="53" t="s">
        <v>38</v>
      </c>
      <c r="K35" s="53" t="s">
        <v>161</v>
      </c>
      <c r="L35" s="53">
        <v>1</v>
      </c>
      <c r="N35" s="53">
        <v>1</v>
      </c>
      <c r="O35" s="53">
        <v>0.5</v>
      </c>
      <c r="P35" s="53">
        <v>0.45</v>
      </c>
      <c r="Q35" s="74">
        <f t="shared" si="0"/>
        <v>0.47499999999999998</v>
      </c>
      <c r="R35" s="53">
        <v>12.3</v>
      </c>
      <c r="S35" s="53">
        <v>125</v>
      </c>
      <c r="T35" s="16">
        <f t="shared" si="1"/>
        <v>27</v>
      </c>
      <c r="U35" s="53">
        <v>105</v>
      </c>
      <c r="V35" s="16">
        <f t="shared" si="2"/>
        <v>2835</v>
      </c>
      <c r="W35" s="53">
        <v>3</v>
      </c>
      <c r="X35" s="53" t="s">
        <v>46</v>
      </c>
      <c r="Y35" s="53" t="s">
        <v>55</v>
      </c>
      <c r="Z35" s="53" t="s">
        <v>69</v>
      </c>
      <c r="AA35" s="53" t="s">
        <v>86</v>
      </c>
      <c r="AB35" s="53" t="s">
        <v>158</v>
      </c>
    </row>
    <row r="36" spans="1:28" x14ac:dyDescent="0.15">
      <c r="A36" s="53" t="s">
        <v>41</v>
      </c>
      <c r="B36" s="53" t="s">
        <v>157</v>
      </c>
      <c r="C36" s="62">
        <v>2019</v>
      </c>
      <c r="D36" s="63" t="s">
        <v>185</v>
      </c>
      <c r="E36" s="53" t="s">
        <v>188</v>
      </c>
      <c r="F36" s="53" t="s">
        <v>186</v>
      </c>
      <c r="G36" s="53" t="s">
        <v>42</v>
      </c>
      <c r="H36" s="53" t="s">
        <v>164</v>
      </c>
      <c r="I36" s="53" t="s">
        <v>159</v>
      </c>
      <c r="J36" s="53" t="s">
        <v>38</v>
      </c>
      <c r="K36" s="53" t="s">
        <v>161</v>
      </c>
      <c r="L36" s="53">
        <v>2</v>
      </c>
      <c r="N36" s="53">
        <v>1</v>
      </c>
      <c r="O36" s="53">
        <v>0.75</v>
      </c>
      <c r="P36" s="53">
        <v>0.55000000000000004</v>
      </c>
      <c r="Q36" s="74">
        <f t="shared" si="0"/>
        <v>0.65</v>
      </c>
      <c r="R36" s="53">
        <v>13.5</v>
      </c>
      <c r="S36" s="53">
        <v>126</v>
      </c>
      <c r="T36" s="16">
        <f t="shared" si="1"/>
        <v>27</v>
      </c>
      <c r="U36" s="53">
        <v>105</v>
      </c>
      <c r="V36" s="16">
        <f t="shared" si="2"/>
        <v>2835</v>
      </c>
      <c r="W36" s="53">
        <v>3</v>
      </c>
      <c r="X36" s="53" t="s">
        <v>46</v>
      </c>
      <c r="Y36" s="53" t="s">
        <v>55</v>
      </c>
      <c r="Z36" s="53" t="s">
        <v>69</v>
      </c>
      <c r="AA36" s="53" t="s">
        <v>86</v>
      </c>
      <c r="AB36" s="53" t="s">
        <v>158</v>
      </c>
    </row>
    <row r="37" spans="1:28" x14ac:dyDescent="0.15">
      <c r="A37" s="53" t="s">
        <v>41</v>
      </c>
      <c r="B37" s="53" t="s">
        <v>157</v>
      </c>
      <c r="C37" s="62">
        <v>2019</v>
      </c>
      <c r="D37" s="63" t="s">
        <v>185</v>
      </c>
      <c r="E37" s="53" t="s">
        <v>188</v>
      </c>
      <c r="F37" s="53" t="s">
        <v>186</v>
      </c>
      <c r="G37" s="53" t="s">
        <v>42</v>
      </c>
      <c r="H37" s="53" t="s">
        <v>164</v>
      </c>
      <c r="I37" s="53" t="s">
        <v>159</v>
      </c>
      <c r="J37" s="53" t="s">
        <v>38</v>
      </c>
      <c r="K37" s="53" t="s">
        <v>161</v>
      </c>
      <c r="L37" s="53">
        <v>3</v>
      </c>
      <c r="N37" s="53">
        <v>1</v>
      </c>
      <c r="O37" s="53">
        <v>0.65</v>
      </c>
      <c r="P37" s="53">
        <v>0.6</v>
      </c>
      <c r="Q37" s="74">
        <f t="shared" si="0"/>
        <v>0.625</v>
      </c>
      <c r="R37" s="53">
        <v>13.6</v>
      </c>
      <c r="S37" s="53">
        <v>127</v>
      </c>
      <c r="T37" s="16">
        <f t="shared" si="1"/>
        <v>27</v>
      </c>
      <c r="U37" s="53">
        <v>105</v>
      </c>
      <c r="V37" s="16">
        <f t="shared" si="2"/>
        <v>2835</v>
      </c>
      <c r="W37" s="53">
        <v>3</v>
      </c>
      <c r="X37" s="53" t="s">
        <v>46</v>
      </c>
      <c r="Y37" s="53" t="s">
        <v>55</v>
      </c>
      <c r="Z37" s="53" t="s">
        <v>69</v>
      </c>
      <c r="AA37" s="53" t="s">
        <v>86</v>
      </c>
      <c r="AB37" s="53" t="s">
        <v>158</v>
      </c>
    </row>
    <row r="38" spans="1:28" x14ac:dyDescent="0.15">
      <c r="A38" s="53" t="s">
        <v>41</v>
      </c>
      <c r="B38" s="53" t="s">
        <v>157</v>
      </c>
      <c r="C38" s="62">
        <v>2019</v>
      </c>
      <c r="D38" s="63" t="s">
        <v>185</v>
      </c>
      <c r="E38" s="53" t="s">
        <v>188</v>
      </c>
      <c r="F38" s="53" t="s">
        <v>186</v>
      </c>
      <c r="G38" s="53" t="s">
        <v>42</v>
      </c>
      <c r="H38" s="53" t="s">
        <v>164</v>
      </c>
      <c r="I38" s="53" t="s">
        <v>159</v>
      </c>
      <c r="J38" s="53" t="s">
        <v>38</v>
      </c>
      <c r="K38" s="53" t="s">
        <v>161</v>
      </c>
      <c r="L38" s="53">
        <v>1</v>
      </c>
      <c r="N38" s="53">
        <v>4</v>
      </c>
      <c r="O38" s="53">
        <v>1</v>
      </c>
      <c r="P38" s="53">
        <v>1.2</v>
      </c>
      <c r="Q38" s="74">
        <f t="shared" si="0"/>
        <v>1.1000000000000001</v>
      </c>
      <c r="R38" s="53">
        <v>15.2</v>
      </c>
      <c r="S38" s="53">
        <v>120</v>
      </c>
      <c r="T38" s="16">
        <f t="shared" si="1"/>
        <v>30</v>
      </c>
      <c r="U38" s="53">
        <v>321</v>
      </c>
      <c r="V38" s="16">
        <f t="shared" si="2"/>
        <v>2407.5</v>
      </c>
      <c r="W38" s="53">
        <v>3</v>
      </c>
      <c r="X38" s="53" t="s">
        <v>46</v>
      </c>
      <c r="Y38" s="53" t="s">
        <v>55</v>
      </c>
      <c r="Z38" s="53" t="s">
        <v>69</v>
      </c>
      <c r="AA38" s="53" t="s">
        <v>86</v>
      </c>
      <c r="AB38" s="53" t="s">
        <v>158</v>
      </c>
    </row>
    <row r="39" spans="1:28" x14ac:dyDescent="0.15">
      <c r="A39" s="53" t="s">
        <v>41</v>
      </c>
      <c r="B39" s="53" t="s">
        <v>157</v>
      </c>
      <c r="C39" s="62">
        <v>2019</v>
      </c>
      <c r="D39" s="63" t="s">
        <v>185</v>
      </c>
      <c r="E39" s="53" t="s">
        <v>188</v>
      </c>
      <c r="F39" s="53" t="s">
        <v>186</v>
      </c>
      <c r="G39" s="53" t="s">
        <v>42</v>
      </c>
      <c r="H39" s="53" t="s">
        <v>164</v>
      </c>
      <c r="I39" s="53" t="s">
        <v>159</v>
      </c>
      <c r="J39" s="53" t="s">
        <v>38</v>
      </c>
      <c r="K39" s="53" t="s">
        <v>161</v>
      </c>
      <c r="L39" s="53">
        <v>2</v>
      </c>
      <c r="N39" s="53">
        <v>4</v>
      </c>
      <c r="O39" s="53">
        <v>0.9</v>
      </c>
      <c r="P39" s="53">
        <v>1</v>
      </c>
      <c r="Q39" s="74">
        <f t="shared" si="0"/>
        <v>0.95</v>
      </c>
      <c r="R39" s="53">
        <v>14.1</v>
      </c>
      <c r="S39" s="53">
        <v>122</v>
      </c>
      <c r="T39" s="16">
        <f t="shared" si="1"/>
        <v>27</v>
      </c>
      <c r="U39" s="53">
        <v>321</v>
      </c>
      <c r="V39" s="16">
        <f t="shared" si="2"/>
        <v>2166.75</v>
      </c>
      <c r="W39" s="53">
        <v>3</v>
      </c>
      <c r="X39" s="53" t="s">
        <v>46</v>
      </c>
      <c r="Y39" s="53" t="s">
        <v>55</v>
      </c>
      <c r="Z39" s="53" t="s">
        <v>69</v>
      </c>
      <c r="AA39" s="53" t="s">
        <v>86</v>
      </c>
      <c r="AB39" s="53" t="s">
        <v>158</v>
      </c>
    </row>
    <row r="40" spans="1:28" x14ac:dyDescent="0.15">
      <c r="A40" s="53" t="s">
        <v>41</v>
      </c>
      <c r="B40" s="53" t="s">
        <v>157</v>
      </c>
      <c r="C40" s="62">
        <v>2019</v>
      </c>
      <c r="D40" s="63" t="s">
        <v>185</v>
      </c>
      <c r="E40" s="53" t="s">
        <v>188</v>
      </c>
      <c r="F40" s="53" t="s">
        <v>186</v>
      </c>
      <c r="G40" s="53" t="s">
        <v>42</v>
      </c>
      <c r="H40" s="53" t="s">
        <v>164</v>
      </c>
      <c r="I40" s="53" t="s">
        <v>159</v>
      </c>
      <c r="J40" s="53" t="s">
        <v>38</v>
      </c>
      <c r="K40" s="53" t="s">
        <v>161</v>
      </c>
      <c r="L40" s="53">
        <v>3</v>
      </c>
      <c r="N40" s="53">
        <v>4</v>
      </c>
      <c r="O40" s="53">
        <v>0.85</v>
      </c>
      <c r="P40" s="53">
        <v>0.9</v>
      </c>
      <c r="Q40" s="74">
        <f t="shared" si="0"/>
        <v>0.875</v>
      </c>
      <c r="R40" s="53">
        <v>15.3</v>
      </c>
      <c r="S40" s="53">
        <v>118</v>
      </c>
      <c r="T40" s="16">
        <f t="shared" si="1"/>
        <v>30</v>
      </c>
      <c r="U40" s="53">
        <v>321</v>
      </c>
      <c r="V40" s="16">
        <f t="shared" si="2"/>
        <v>2407.5</v>
      </c>
      <c r="W40" s="53">
        <v>3</v>
      </c>
      <c r="X40" s="53" t="s">
        <v>46</v>
      </c>
      <c r="Y40" s="53" t="s">
        <v>55</v>
      </c>
      <c r="Z40" s="53" t="s">
        <v>69</v>
      </c>
      <c r="AA40" s="53" t="s">
        <v>86</v>
      </c>
      <c r="AB40" s="53" t="s">
        <v>158</v>
      </c>
    </row>
    <row r="41" spans="1:28" x14ac:dyDescent="0.15">
      <c r="A41" s="53" t="s">
        <v>41</v>
      </c>
      <c r="B41" s="53" t="s">
        <v>157</v>
      </c>
      <c r="C41" s="62">
        <v>2019</v>
      </c>
      <c r="D41" s="63" t="s">
        <v>185</v>
      </c>
      <c r="E41" s="53" t="s">
        <v>188</v>
      </c>
      <c r="F41" s="53" t="s">
        <v>186</v>
      </c>
      <c r="G41" s="53" t="s">
        <v>42</v>
      </c>
      <c r="H41" s="53" t="s">
        <v>164</v>
      </c>
      <c r="I41" s="53" t="s">
        <v>159</v>
      </c>
      <c r="J41" s="53" t="s">
        <v>38</v>
      </c>
      <c r="K41" s="53" t="s">
        <v>161</v>
      </c>
      <c r="L41" s="53">
        <v>1</v>
      </c>
      <c r="N41" s="53">
        <v>8</v>
      </c>
      <c r="O41" s="53">
        <v>0.25</v>
      </c>
      <c r="P41" s="53">
        <v>0.25</v>
      </c>
      <c r="Q41" s="74">
        <f t="shared" si="0"/>
        <v>0.25</v>
      </c>
      <c r="R41" s="53">
        <v>14.8</v>
      </c>
      <c r="S41" s="53">
        <v>112</v>
      </c>
      <c r="T41" s="16">
        <f t="shared" si="1"/>
        <v>33</v>
      </c>
      <c r="U41" s="53">
        <v>626</v>
      </c>
      <c r="V41" s="16">
        <f t="shared" si="2"/>
        <v>2582.25</v>
      </c>
      <c r="W41" s="53">
        <v>4</v>
      </c>
      <c r="X41" s="53" t="s">
        <v>46</v>
      </c>
      <c r="Y41" s="53" t="s">
        <v>55</v>
      </c>
      <c r="Z41" s="53" t="s">
        <v>69</v>
      </c>
      <c r="AA41" s="53" t="s">
        <v>86</v>
      </c>
      <c r="AB41" s="53" t="s">
        <v>158</v>
      </c>
    </row>
    <row r="42" spans="1:28" x14ac:dyDescent="0.15">
      <c r="A42" s="53" t="s">
        <v>41</v>
      </c>
      <c r="B42" s="53" t="s">
        <v>157</v>
      </c>
      <c r="C42" s="62">
        <v>2019</v>
      </c>
      <c r="D42" s="63" t="s">
        <v>185</v>
      </c>
      <c r="E42" s="53" t="s">
        <v>188</v>
      </c>
      <c r="F42" s="53" t="s">
        <v>186</v>
      </c>
      <c r="G42" s="53" t="s">
        <v>42</v>
      </c>
      <c r="H42" s="53" t="s">
        <v>164</v>
      </c>
      <c r="I42" s="53" t="s">
        <v>159</v>
      </c>
      <c r="J42" s="53" t="s">
        <v>38</v>
      </c>
      <c r="K42" s="53" t="s">
        <v>161</v>
      </c>
      <c r="L42" s="53">
        <v>2</v>
      </c>
      <c r="N42" s="53">
        <v>8</v>
      </c>
      <c r="O42" s="53">
        <v>0.35</v>
      </c>
      <c r="P42" s="53">
        <v>0.3</v>
      </c>
      <c r="Q42" s="74">
        <f t="shared" si="0"/>
        <v>0.32499999999999996</v>
      </c>
      <c r="R42" s="53">
        <v>14</v>
      </c>
      <c r="S42" s="53">
        <v>114</v>
      </c>
      <c r="T42" s="16">
        <f t="shared" si="1"/>
        <v>30</v>
      </c>
      <c r="U42" s="53">
        <v>626</v>
      </c>
      <c r="V42" s="16">
        <f t="shared" si="2"/>
        <v>2347.5</v>
      </c>
      <c r="W42" s="53">
        <v>4</v>
      </c>
      <c r="X42" s="53" t="s">
        <v>46</v>
      </c>
      <c r="Y42" s="53" t="s">
        <v>55</v>
      </c>
      <c r="Z42" s="53" t="s">
        <v>69</v>
      </c>
      <c r="AA42" s="53" t="s">
        <v>86</v>
      </c>
      <c r="AB42" s="53" t="s">
        <v>158</v>
      </c>
    </row>
    <row r="43" spans="1:28" x14ac:dyDescent="0.15">
      <c r="A43" s="53" t="s">
        <v>41</v>
      </c>
      <c r="B43" s="53" t="s">
        <v>157</v>
      </c>
      <c r="C43" s="62">
        <v>2019</v>
      </c>
      <c r="D43" s="63" t="s">
        <v>185</v>
      </c>
      <c r="E43" s="53" t="s">
        <v>188</v>
      </c>
      <c r="F43" s="53" t="s">
        <v>186</v>
      </c>
      <c r="G43" s="53" t="s">
        <v>42</v>
      </c>
      <c r="H43" s="53" t="s">
        <v>164</v>
      </c>
      <c r="I43" s="53" t="s">
        <v>159</v>
      </c>
      <c r="J43" s="53" t="s">
        <v>38</v>
      </c>
      <c r="K43" s="53" t="s">
        <v>161</v>
      </c>
      <c r="L43" s="53">
        <v>3</v>
      </c>
      <c r="N43" s="53">
        <v>8</v>
      </c>
      <c r="O43" s="53">
        <v>0.35</v>
      </c>
      <c r="P43" s="53">
        <v>0.3</v>
      </c>
      <c r="Q43" s="74">
        <f t="shared" si="0"/>
        <v>0.32499999999999996</v>
      </c>
      <c r="R43" s="53">
        <v>15.1</v>
      </c>
      <c r="S43" s="53">
        <v>115</v>
      </c>
      <c r="T43" s="16">
        <f t="shared" si="1"/>
        <v>30</v>
      </c>
      <c r="U43" s="53">
        <v>626</v>
      </c>
      <c r="V43" s="16">
        <f t="shared" si="2"/>
        <v>2347.5</v>
      </c>
      <c r="W43" s="53">
        <v>4</v>
      </c>
      <c r="X43" s="53" t="s">
        <v>46</v>
      </c>
      <c r="Y43" s="53" t="s">
        <v>55</v>
      </c>
      <c r="Z43" s="53" t="s">
        <v>69</v>
      </c>
      <c r="AA43" s="53" t="s">
        <v>86</v>
      </c>
      <c r="AB43" s="53" t="s">
        <v>158</v>
      </c>
    </row>
    <row r="44" spans="1:28" x14ac:dyDescent="0.15">
      <c r="A44" s="53" t="s">
        <v>41</v>
      </c>
      <c r="B44" s="53" t="s">
        <v>157</v>
      </c>
      <c r="C44" s="62">
        <v>2019</v>
      </c>
      <c r="D44" s="63" t="s">
        <v>185</v>
      </c>
      <c r="E44" s="53" t="s">
        <v>188</v>
      </c>
      <c r="F44" s="53" t="s">
        <v>186</v>
      </c>
      <c r="G44" s="53" t="s">
        <v>42</v>
      </c>
      <c r="H44" s="53" t="s">
        <v>164</v>
      </c>
      <c r="I44" s="53" t="s">
        <v>159</v>
      </c>
      <c r="J44" s="53" t="s">
        <v>38</v>
      </c>
      <c r="K44" s="53" t="s">
        <v>161</v>
      </c>
      <c r="L44" s="53">
        <v>1</v>
      </c>
      <c r="N44" s="53">
        <v>10</v>
      </c>
      <c r="O44" s="53">
        <v>0.65</v>
      </c>
      <c r="P44" s="53">
        <v>0.7</v>
      </c>
      <c r="Q44" s="74">
        <f t="shared" si="0"/>
        <v>0.67500000000000004</v>
      </c>
      <c r="R44" s="53">
        <v>12.8</v>
      </c>
      <c r="S44" s="53">
        <v>85</v>
      </c>
      <c r="T44" s="16">
        <f t="shared" si="1"/>
        <v>36</v>
      </c>
      <c r="U44" s="53">
        <v>1058</v>
      </c>
      <c r="V44" s="16">
        <f t="shared" si="2"/>
        <v>3808.7999999999997</v>
      </c>
      <c r="W44" s="53">
        <v>1</v>
      </c>
      <c r="X44" s="53" t="s">
        <v>46</v>
      </c>
      <c r="Y44" s="53" t="s">
        <v>55</v>
      </c>
      <c r="Z44" s="53" t="s">
        <v>69</v>
      </c>
      <c r="AA44" s="53" t="s">
        <v>86</v>
      </c>
      <c r="AB44" s="53" t="s">
        <v>158</v>
      </c>
    </row>
    <row r="45" spans="1:28" x14ac:dyDescent="0.15">
      <c r="A45" s="53" t="s">
        <v>41</v>
      </c>
      <c r="B45" s="53" t="s">
        <v>157</v>
      </c>
      <c r="C45" s="62">
        <v>2019</v>
      </c>
      <c r="D45" s="63" t="s">
        <v>185</v>
      </c>
      <c r="E45" s="53" t="s">
        <v>188</v>
      </c>
      <c r="F45" s="53" t="s">
        <v>186</v>
      </c>
      <c r="G45" s="53" t="s">
        <v>42</v>
      </c>
      <c r="H45" s="53" t="s">
        <v>164</v>
      </c>
      <c r="I45" s="53" t="s">
        <v>159</v>
      </c>
      <c r="J45" s="53" t="s">
        <v>38</v>
      </c>
      <c r="K45" s="53" t="s">
        <v>161</v>
      </c>
      <c r="L45" s="53">
        <v>2</v>
      </c>
      <c r="N45" s="53">
        <v>10</v>
      </c>
      <c r="O45" s="53">
        <v>0.5</v>
      </c>
      <c r="P45" s="53">
        <v>0.75</v>
      </c>
      <c r="Q45" s="74">
        <f t="shared" si="0"/>
        <v>0.625</v>
      </c>
      <c r="R45" s="53">
        <v>13.3</v>
      </c>
      <c r="S45" s="53">
        <v>89</v>
      </c>
      <c r="T45" s="16">
        <f t="shared" si="1"/>
        <v>36</v>
      </c>
      <c r="U45" s="53">
        <v>1058</v>
      </c>
      <c r="V45" s="16">
        <f t="shared" si="2"/>
        <v>3808.7999999999997</v>
      </c>
      <c r="W45" s="53">
        <v>1</v>
      </c>
      <c r="X45" s="53" t="s">
        <v>46</v>
      </c>
      <c r="Y45" s="53" t="s">
        <v>55</v>
      </c>
      <c r="Z45" s="53" t="s">
        <v>69</v>
      </c>
      <c r="AA45" s="53" t="s">
        <v>86</v>
      </c>
      <c r="AB45" s="53" t="s">
        <v>158</v>
      </c>
    </row>
    <row r="46" spans="1:28" x14ac:dyDescent="0.15">
      <c r="A46" s="53" t="s">
        <v>41</v>
      </c>
      <c r="B46" s="53" t="s">
        <v>157</v>
      </c>
      <c r="C46" s="62">
        <v>2019</v>
      </c>
      <c r="D46" s="63" t="s">
        <v>185</v>
      </c>
      <c r="E46" s="53" t="s">
        <v>188</v>
      </c>
      <c r="F46" s="53" t="s">
        <v>186</v>
      </c>
      <c r="G46" s="53" t="s">
        <v>42</v>
      </c>
      <c r="H46" s="53" t="s">
        <v>164</v>
      </c>
      <c r="I46" s="53" t="s">
        <v>159</v>
      </c>
      <c r="J46" s="53" t="s">
        <v>38</v>
      </c>
      <c r="K46" s="53" t="s">
        <v>161</v>
      </c>
      <c r="L46" s="53">
        <v>3</v>
      </c>
      <c r="N46" s="53">
        <v>10</v>
      </c>
      <c r="O46" s="53">
        <v>0.5</v>
      </c>
      <c r="P46" s="53">
        <v>0.5</v>
      </c>
      <c r="Q46" s="74">
        <f t="shared" si="0"/>
        <v>0.5</v>
      </c>
      <c r="R46" s="53">
        <v>15.1</v>
      </c>
      <c r="S46" s="53">
        <v>95</v>
      </c>
      <c r="T46" s="16">
        <f t="shared" si="1"/>
        <v>36</v>
      </c>
      <c r="U46" s="53">
        <v>1058</v>
      </c>
      <c r="V46" s="16">
        <f t="shared" si="2"/>
        <v>3808.7999999999997</v>
      </c>
      <c r="W46" s="53">
        <v>1</v>
      </c>
      <c r="X46" s="53" t="s">
        <v>46</v>
      </c>
      <c r="Y46" s="53" t="s">
        <v>55</v>
      </c>
      <c r="Z46" s="53" t="s">
        <v>69</v>
      </c>
      <c r="AA46" s="53" t="s">
        <v>86</v>
      </c>
      <c r="AB46" s="53" t="s">
        <v>158</v>
      </c>
    </row>
    <row r="47" spans="1:28" x14ac:dyDescent="0.15">
      <c r="A47" s="53" t="s">
        <v>41</v>
      </c>
      <c r="B47" s="53" t="s">
        <v>157</v>
      </c>
      <c r="C47" s="62">
        <v>2019</v>
      </c>
      <c r="D47" s="63" t="s">
        <v>185</v>
      </c>
      <c r="E47" s="53" t="s">
        <v>188</v>
      </c>
      <c r="F47" s="53" t="s">
        <v>186</v>
      </c>
      <c r="G47" s="53" t="s">
        <v>42</v>
      </c>
      <c r="H47" s="53" t="s">
        <v>164</v>
      </c>
      <c r="I47" s="53" t="s">
        <v>165</v>
      </c>
      <c r="J47" s="53" t="s">
        <v>38</v>
      </c>
      <c r="K47" s="53" t="s">
        <v>161</v>
      </c>
      <c r="L47" s="53">
        <v>1</v>
      </c>
      <c r="N47" s="53">
        <v>2</v>
      </c>
      <c r="O47" s="53">
        <v>0.25</v>
      </c>
      <c r="P47" s="53">
        <v>0.4</v>
      </c>
      <c r="Q47" s="74">
        <f t="shared" si="0"/>
        <v>0.32500000000000001</v>
      </c>
      <c r="R47" s="53">
        <v>13.7</v>
      </c>
      <c r="S47" s="53">
        <v>132</v>
      </c>
      <c r="T47" s="16">
        <f t="shared" si="1"/>
        <v>25</v>
      </c>
      <c r="U47" s="53">
        <v>321</v>
      </c>
      <c r="V47" s="16">
        <f t="shared" si="2"/>
        <v>4012.5</v>
      </c>
      <c r="W47" s="53">
        <v>2</v>
      </c>
      <c r="X47" s="53" t="s">
        <v>46</v>
      </c>
      <c r="Y47" s="53" t="s">
        <v>55</v>
      </c>
      <c r="Z47" s="53" t="s">
        <v>69</v>
      </c>
      <c r="AA47" s="53" t="s">
        <v>86</v>
      </c>
      <c r="AB47" s="53" t="s">
        <v>158</v>
      </c>
    </row>
    <row r="48" spans="1:28" x14ac:dyDescent="0.15">
      <c r="A48" s="53" t="s">
        <v>41</v>
      </c>
      <c r="B48" s="53" t="s">
        <v>157</v>
      </c>
      <c r="C48" s="62">
        <v>2019</v>
      </c>
      <c r="D48" s="63" t="s">
        <v>185</v>
      </c>
      <c r="E48" s="53" t="s">
        <v>188</v>
      </c>
      <c r="F48" s="53" t="s">
        <v>186</v>
      </c>
      <c r="G48" s="53" t="s">
        <v>42</v>
      </c>
      <c r="H48" s="53" t="s">
        <v>164</v>
      </c>
      <c r="I48" s="53" t="s">
        <v>165</v>
      </c>
      <c r="J48" s="53" t="s">
        <v>38</v>
      </c>
      <c r="K48" s="53" t="s">
        <v>161</v>
      </c>
      <c r="L48" s="53">
        <v>2</v>
      </c>
      <c r="N48" s="53">
        <v>2</v>
      </c>
      <c r="O48" s="53">
        <v>0.65</v>
      </c>
      <c r="P48" s="53">
        <v>0.5</v>
      </c>
      <c r="Q48" s="74">
        <f t="shared" si="0"/>
        <v>0.57499999999999996</v>
      </c>
      <c r="R48" s="53">
        <v>13.4</v>
      </c>
      <c r="S48" s="53">
        <v>133</v>
      </c>
      <c r="T48" s="16">
        <f t="shared" si="1"/>
        <v>25</v>
      </c>
      <c r="U48" s="53">
        <v>321</v>
      </c>
      <c r="V48" s="16">
        <f t="shared" si="2"/>
        <v>4012.5</v>
      </c>
      <c r="W48" s="53">
        <v>2</v>
      </c>
      <c r="X48" s="53" t="s">
        <v>46</v>
      </c>
      <c r="Y48" s="53" t="s">
        <v>55</v>
      </c>
      <c r="Z48" s="53" t="s">
        <v>69</v>
      </c>
      <c r="AA48" s="53" t="s">
        <v>86</v>
      </c>
      <c r="AB48" s="53" t="s">
        <v>158</v>
      </c>
    </row>
    <row r="49" spans="1:28" x14ac:dyDescent="0.15">
      <c r="A49" s="53" t="s">
        <v>41</v>
      </c>
      <c r="B49" s="53" t="s">
        <v>157</v>
      </c>
      <c r="C49" s="62">
        <v>2019</v>
      </c>
      <c r="D49" s="63" t="s">
        <v>185</v>
      </c>
      <c r="E49" s="53" t="s">
        <v>188</v>
      </c>
      <c r="F49" s="53" t="s">
        <v>186</v>
      </c>
      <c r="G49" s="53" t="s">
        <v>42</v>
      </c>
      <c r="H49" s="53" t="s">
        <v>164</v>
      </c>
      <c r="I49" s="53" t="s">
        <v>165</v>
      </c>
      <c r="J49" s="53" t="s">
        <v>38</v>
      </c>
      <c r="K49" s="53" t="s">
        <v>161</v>
      </c>
      <c r="L49" s="53">
        <v>3</v>
      </c>
      <c r="N49" s="53">
        <v>2</v>
      </c>
      <c r="O49" s="53">
        <v>0.5</v>
      </c>
      <c r="P49" s="53">
        <v>0.45</v>
      </c>
      <c r="Q49" s="74">
        <f t="shared" si="0"/>
        <v>0.47499999999999998</v>
      </c>
      <c r="R49" s="53">
        <v>11.8</v>
      </c>
      <c r="S49" s="53">
        <v>135</v>
      </c>
      <c r="T49" s="16">
        <f t="shared" si="1"/>
        <v>25</v>
      </c>
      <c r="U49" s="53">
        <v>321</v>
      </c>
      <c r="V49" s="16">
        <f t="shared" si="2"/>
        <v>4012.5</v>
      </c>
      <c r="W49" s="53">
        <v>2</v>
      </c>
      <c r="X49" s="53" t="s">
        <v>46</v>
      </c>
      <c r="Y49" s="53" t="s">
        <v>55</v>
      </c>
      <c r="Z49" s="53" t="s">
        <v>69</v>
      </c>
      <c r="AA49" s="53" t="s">
        <v>86</v>
      </c>
      <c r="AB49" s="53" t="s">
        <v>158</v>
      </c>
    </row>
    <row r="50" spans="1:28" x14ac:dyDescent="0.15">
      <c r="A50" s="53" t="s">
        <v>41</v>
      </c>
      <c r="B50" s="53" t="s">
        <v>157</v>
      </c>
      <c r="C50" s="62">
        <v>2019</v>
      </c>
      <c r="D50" s="63" t="s">
        <v>185</v>
      </c>
      <c r="E50" s="53" t="s">
        <v>188</v>
      </c>
      <c r="F50" s="53" t="s">
        <v>190</v>
      </c>
      <c r="G50" s="53" t="s">
        <v>42</v>
      </c>
      <c r="H50" s="53" t="s">
        <v>160</v>
      </c>
      <c r="I50" s="53" t="s">
        <v>159</v>
      </c>
      <c r="J50" s="53" t="s">
        <v>38</v>
      </c>
      <c r="K50" s="53" t="s">
        <v>161</v>
      </c>
      <c r="L50" s="53">
        <v>1</v>
      </c>
      <c r="N50" s="53">
        <v>1</v>
      </c>
      <c r="O50" s="53">
        <v>0.9</v>
      </c>
      <c r="P50" s="53">
        <v>0.95</v>
      </c>
      <c r="Q50" s="74">
        <f>IF(OR(O50="",P50=""),"",AVERAGE(O50,P50))</f>
        <v>0.92500000000000004</v>
      </c>
      <c r="R50" s="53">
        <v>12.6</v>
      </c>
      <c r="S50" s="53">
        <v>126</v>
      </c>
      <c r="T50" s="16">
        <f t="shared" si="1"/>
        <v>27</v>
      </c>
      <c r="U50" s="53">
        <v>149</v>
      </c>
      <c r="V50" s="16">
        <f>IF(OR(N50="",U50="",T50=""),"",U50/N50*T50)</f>
        <v>4023</v>
      </c>
      <c r="W50" s="53">
        <v>3</v>
      </c>
      <c r="X50" s="53" t="s">
        <v>46</v>
      </c>
      <c r="Y50" s="53" t="s">
        <v>55</v>
      </c>
      <c r="Z50" s="53" t="s">
        <v>69</v>
      </c>
      <c r="AA50" s="53" t="s">
        <v>86</v>
      </c>
      <c r="AB50" s="53" t="s">
        <v>158</v>
      </c>
    </row>
    <row r="51" spans="1:28" x14ac:dyDescent="0.15">
      <c r="A51" s="53" t="s">
        <v>41</v>
      </c>
      <c r="B51" s="53" t="s">
        <v>157</v>
      </c>
      <c r="C51" s="62">
        <v>2019</v>
      </c>
      <c r="D51" s="63" t="s">
        <v>185</v>
      </c>
      <c r="E51" s="53" t="s">
        <v>188</v>
      </c>
      <c r="F51" s="53" t="s">
        <v>190</v>
      </c>
      <c r="G51" s="53" t="s">
        <v>42</v>
      </c>
      <c r="H51" s="53" t="s">
        <v>160</v>
      </c>
      <c r="I51" s="53" t="s">
        <v>159</v>
      </c>
      <c r="J51" s="53" t="s">
        <v>38</v>
      </c>
      <c r="K51" s="53" t="s">
        <v>161</v>
      </c>
      <c r="L51" s="53">
        <v>2</v>
      </c>
      <c r="N51" s="53">
        <v>1</v>
      </c>
      <c r="O51" s="53">
        <v>0.8</v>
      </c>
      <c r="P51" s="53">
        <v>1.05</v>
      </c>
      <c r="Q51" s="74">
        <f>IF(OR(O51="",P51=""),"",AVERAGE(O51,P51))</f>
        <v>0.92500000000000004</v>
      </c>
      <c r="R51" s="53">
        <v>13.1</v>
      </c>
      <c r="S51" s="53">
        <v>125</v>
      </c>
      <c r="T51" s="16">
        <f t="shared" si="1"/>
        <v>27</v>
      </c>
      <c r="U51" s="53">
        <v>149</v>
      </c>
      <c r="V51" s="16">
        <f>IF(OR(N51="",U51="",T51=""),"",U51/N51*T51)</f>
        <v>4023</v>
      </c>
      <c r="W51" s="53">
        <v>3</v>
      </c>
      <c r="X51" s="53" t="s">
        <v>46</v>
      </c>
      <c r="Y51" s="53" t="s">
        <v>55</v>
      </c>
      <c r="Z51" s="53" t="s">
        <v>69</v>
      </c>
      <c r="AA51" s="53" t="s">
        <v>86</v>
      </c>
      <c r="AB51" s="53" t="s">
        <v>158</v>
      </c>
    </row>
    <row r="52" spans="1:28" x14ac:dyDescent="0.15">
      <c r="A52" s="53" t="s">
        <v>41</v>
      </c>
      <c r="B52" s="53" t="s">
        <v>157</v>
      </c>
      <c r="C52" s="62">
        <v>2019</v>
      </c>
      <c r="D52" s="63" t="s">
        <v>185</v>
      </c>
      <c r="E52" s="53" t="s">
        <v>188</v>
      </c>
      <c r="F52" s="53" t="s">
        <v>190</v>
      </c>
      <c r="G52" s="53" t="s">
        <v>42</v>
      </c>
      <c r="H52" s="53" t="s">
        <v>160</v>
      </c>
      <c r="I52" s="53" t="s">
        <v>159</v>
      </c>
      <c r="J52" s="53" t="s">
        <v>38</v>
      </c>
      <c r="K52" s="53" t="s">
        <v>161</v>
      </c>
      <c r="L52" s="53">
        <v>3</v>
      </c>
      <c r="N52" s="53">
        <v>1</v>
      </c>
      <c r="O52" s="53">
        <v>0.2</v>
      </c>
      <c r="P52" s="53">
        <v>0.3</v>
      </c>
      <c r="Q52" s="74">
        <f>IF(OR(O52="",P52=""),"",AVERAGE(O52,P52))</f>
        <v>0.25</v>
      </c>
      <c r="R52" s="53">
        <v>14.7</v>
      </c>
      <c r="S52" s="53">
        <v>123</v>
      </c>
      <c r="T52" s="16">
        <f t="shared" si="1"/>
        <v>27</v>
      </c>
      <c r="U52" s="53">
        <v>149</v>
      </c>
      <c r="V52" s="16">
        <f>IF(OR(N52="",U52="",T52=""),"",U52/N52*T52)</f>
        <v>4023</v>
      </c>
      <c r="W52" s="53">
        <v>3</v>
      </c>
      <c r="X52" s="53" t="s">
        <v>46</v>
      </c>
      <c r="Y52" s="53" t="s">
        <v>55</v>
      </c>
      <c r="Z52" s="53" t="s">
        <v>69</v>
      </c>
      <c r="AA52" s="53" t="s">
        <v>86</v>
      </c>
      <c r="AB52" s="53" t="s">
        <v>158</v>
      </c>
    </row>
    <row r="53" spans="1:28" x14ac:dyDescent="0.15">
      <c r="A53" s="53" t="s">
        <v>41</v>
      </c>
      <c r="B53" s="53" t="s">
        <v>157</v>
      </c>
      <c r="C53" s="62">
        <v>2019</v>
      </c>
      <c r="D53" s="63" t="s">
        <v>185</v>
      </c>
      <c r="E53" s="53" t="s">
        <v>188</v>
      </c>
      <c r="F53" s="53" t="s">
        <v>190</v>
      </c>
      <c r="G53" s="53" t="s">
        <v>42</v>
      </c>
      <c r="H53" s="53" t="s">
        <v>160</v>
      </c>
      <c r="I53" s="53" t="s">
        <v>159</v>
      </c>
      <c r="J53" s="53" t="s">
        <v>38</v>
      </c>
      <c r="K53" s="53" t="s">
        <v>161</v>
      </c>
      <c r="L53" s="53">
        <v>1</v>
      </c>
      <c r="N53" s="53">
        <v>4</v>
      </c>
      <c r="O53" s="53">
        <v>0.3</v>
      </c>
      <c r="P53" s="53">
        <v>0.3</v>
      </c>
      <c r="Q53" s="74">
        <f>IF(OR(O53="",P53=""),"",AVERAGE(O53,P53))</f>
        <v>0.3</v>
      </c>
      <c r="R53" s="53">
        <v>14.8</v>
      </c>
      <c r="S53" s="53">
        <v>120</v>
      </c>
      <c r="T53" s="16">
        <f t="shared" si="1"/>
        <v>30</v>
      </c>
      <c r="U53" s="53">
        <v>419</v>
      </c>
      <c r="V53" s="16">
        <f>IF(OR(N53="",U53="",T53=""),"",U53/N53*T53)</f>
        <v>3142.5</v>
      </c>
      <c r="W53" s="53">
        <v>3</v>
      </c>
      <c r="X53" s="53" t="s">
        <v>46</v>
      </c>
      <c r="Y53" s="53" t="s">
        <v>55</v>
      </c>
      <c r="Z53" s="53" t="s">
        <v>69</v>
      </c>
      <c r="AA53" s="53" t="s">
        <v>86</v>
      </c>
      <c r="AB53" s="53" t="s">
        <v>158</v>
      </c>
    </row>
    <row r="54" spans="1:28" x14ac:dyDescent="0.15">
      <c r="A54" s="53" t="s">
        <v>41</v>
      </c>
      <c r="B54" s="53" t="s">
        <v>157</v>
      </c>
      <c r="C54" s="62">
        <v>2019</v>
      </c>
      <c r="D54" s="63" t="s">
        <v>185</v>
      </c>
      <c r="E54" s="53" t="s">
        <v>188</v>
      </c>
      <c r="F54" s="53" t="s">
        <v>190</v>
      </c>
      <c r="G54" s="53" t="s">
        <v>42</v>
      </c>
      <c r="H54" s="53" t="s">
        <v>160</v>
      </c>
      <c r="I54" s="53" t="s">
        <v>159</v>
      </c>
      <c r="J54" s="53" t="s">
        <v>38</v>
      </c>
      <c r="K54" s="53" t="s">
        <v>161</v>
      </c>
      <c r="L54" s="53">
        <v>2</v>
      </c>
      <c r="N54" s="53">
        <v>4</v>
      </c>
      <c r="O54" s="53">
        <v>0.2</v>
      </c>
      <c r="P54" s="53">
        <v>0.25</v>
      </c>
      <c r="Q54" s="74">
        <f t="shared" ref="Q54:Q61" si="3">IF(OR(O54="",P54=""),"",AVERAGE(O54,P54))</f>
        <v>0.22500000000000001</v>
      </c>
      <c r="R54" s="53">
        <v>12.5</v>
      </c>
      <c r="S54" s="53">
        <v>120</v>
      </c>
      <c r="T54" s="16">
        <f t="shared" si="1"/>
        <v>30</v>
      </c>
      <c r="U54" s="53">
        <v>419</v>
      </c>
      <c r="V54" s="16">
        <f t="shared" ref="V54:V61" si="4">IF(OR(N54="",U54="",T54=""),"",U54/N54*T54)</f>
        <v>3142.5</v>
      </c>
      <c r="W54" s="53">
        <v>3</v>
      </c>
      <c r="X54" s="53" t="s">
        <v>46</v>
      </c>
      <c r="Y54" s="53" t="s">
        <v>55</v>
      </c>
      <c r="Z54" s="53" t="s">
        <v>69</v>
      </c>
      <c r="AA54" s="53" t="s">
        <v>86</v>
      </c>
      <c r="AB54" s="53" t="s">
        <v>158</v>
      </c>
    </row>
    <row r="55" spans="1:28" x14ac:dyDescent="0.15">
      <c r="A55" s="53" t="s">
        <v>41</v>
      </c>
      <c r="B55" s="53" t="s">
        <v>157</v>
      </c>
      <c r="C55" s="62">
        <v>2019</v>
      </c>
      <c r="D55" s="63" t="s">
        <v>185</v>
      </c>
      <c r="E55" s="53" t="s">
        <v>188</v>
      </c>
      <c r="F55" s="53" t="s">
        <v>190</v>
      </c>
      <c r="G55" s="53" t="s">
        <v>42</v>
      </c>
      <c r="H55" s="53" t="s">
        <v>160</v>
      </c>
      <c r="I55" s="53" t="s">
        <v>159</v>
      </c>
      <c r="J55" s="53" t="s">
        <v>38</v>
      </c>
      <c r="K55" s="53" t="s">
        <v>161</v>
      </c>
      <c r="L55" s="53">
        <v>3</v>
      </c>
      <c r="N55" s="53">
        <v>4</v>
      </c>
      <c r="O55" s="53">
        <v>0.35</v>
      </c>
      <c r="P55" s="53">
        <v>0.2</v>
      </c>
      <c r="Q55" s="74">
        <f t="shared" si="3"/>
        <v>0.27500000000000002</v>
      </c>
      <c r="R55" s="53">
        <v>12.6</v>
      </c>
      <c r="S55" s="53">
        <v>117</v>
      </c>
      <c r="T55" s="16">
        <f t="shared" si="1"/>
        <v>30</v>
      </c>
      <c r="U55" s="53">
        <v>419</v>
      </c>
      <c r="V55" s="16">
        <f t="shared" si="4"/>
        <v>3142.5</v>
      </c>
      <c r="W55" s="53">
        <v>3</v>
      </c>
      <c r="X55" s="53" t="s">
        <v>46</v>
      </c>
      <c r="Y55" s="53" t="s">
        <v>55</v>
      </c>
      <c r="Z55" s="53" t="s">
        <v>69</v>
      </c>
      <c r="AA55" s="53" t="s">
        <v>86</v>
      </c>
      <c r="AB55" s="53" t="s">
        <v>158</v>
      </c>
    </row>
    <row r="56" spans="1:28" x14ac:dyDescent="0.15">
      <c r="A56" s="53" t="s">
        <v>41</v>
      </c>
      <c r="B56" s="53" t="s">
        <v>157</v>
      </c>
      <c r="C56" s="62">
        <v>2019</v>
      </c>
      <c r="D56" s="63" t="s">
        <v>185</v>
      </c>
      <c r="E56" s="53" t="s">
        <v>188</v>
      </c>
      <c r="F56" s="53" t="s">
        <v>190</v>
      </c>
      <c r="G56" s="53" t="s">
        <v>42</v>
      </c>
      <c r="H56" s="53" t="s">
        <v>160</v>
      </c>
      <c r="I56" s="53" t="s">
        <v>159</v>
      </c>
      <c r="J56" s="53" t="s">
        <v>38</v>
      </c>
      <c r="K56" s="53" t="s">
        <v>161</v>
      </c>
      <c r="L56" s="53">
        <v>1</v>
      </c>
      <c r="N56" s="53">
        <v>8</v>
      </c>
      <c r="O56" s="53">
        <v>0.45</v>
      </c>
      <c r="P56" s="53">
        <v>0.2</v>
      </c>
      <c r="Q56" s="16">
        <f t="shared" si="3"/>
        <v>0.32500000000000001</v>
      </c>
      <c r="R56" s="53">
        <v>15.2</v>
      </c>
      <c r="S56" s="53">
        <v>115</v>
      </c>
      <c r="T56" s="16">
        <f t="shared" si="1"/>
        <v>30</v>
      </c>
      <c r="U56" s="53">
        <v>537</v>
      </c>
      <c r="V56" s="16">
        <f t="shared" si="4"/>
        <v>2013.75</v>
      </c>
      <c r="W56" s="53">
        <v>3</v>
      </c>
      <c r="X56" s="53" t="s">
        <v>46</v>
      </c>
      <c r="Y56" s="53" t="s">
        <v>55</v>
      </c>
      <c r="Z56" s="53" t="s">
        <v>69</v>
      </c>
      <c r="AA56" s="53" t="s">
        <v>86</v>
      </c>
      <c r="AB56" s="53" t="s">
        <v>158</v>
      </c>
    </row>
    <row r="57" spans="1:28" x14ac:dyDescent="0.15">
      <c r="A57" s="53" t="s">
        <v>41</v>
      </c>
      <c r="B57" s="53" t="s">
        <v>157</v>
      </c>
      <c r="C57" s="62">
        <v>2019</v>
      </c>
      <c r="D57" s="63" t="s">
        <v>185</v>
      </c>
      <c r="E57" s="53" t="s">
        <v>188</v>
      </c>
      <c r="F57" s="53" t="s">
        <v>190</v>
      </c>
      <c r="G57" s="53" t="s">
        <v>42</v>
      </c>
      <c r="H57" s="53" t="s">
        <v>160</v>
      </c>
      <c r="I57" s="53" t="s">
        <v>159</v>
      </c>
      <c r="J57" s="53" t="s">
        <v>38</v>
      </c>
      <c r="K57" s="53" t="s">
        <v>161</v>
      </c>
      <c r="L57" s="53">
        <v>2</v>
      </c>
      <c r="N57" s="53">
        <v>8</v>
      </c>
      <c r="O57" s="53">
        <v>0.5</v>
      </c>
      <c r="P57" s="53">
        <v>0.2</v>
      </c>
      <c r="Q57" s="16">
        <f t="shared" si="3"/>
        <v>0.35</v>
      </c>
      <c r="R57" s="53">
        <v>16.7</v>
      </c>
      <c r="S57" s="53">
        <v>110</v>
      </c>
      <c r="T57" s="16">
        <f t="shared" si="1"/>
        <v>33</v>
      </c>
      <c r="U57" s="53">
        <v>537</v>
      </c>
      <c r="V57" s="16">
        <f t="shared" si="4"/>
        <v>2215.125</v>
      </c>
      <c r="W57" s="53">
        <v>3</v>
      </c>
      <c r="X57" s="53" t="s">
        <v>46</v>
      </c>
      <c r="Y57" s="53" t="s">
        <v>55</v>
      </c>
      <c r="Z57" s="53" t="s">
        <v>69</v>
      </c>
      <c r="AA57" s="53" t="s">
        <v>86</v>
      </c>
      <c r="AB57" s="53" t="s">
        <v>158</v>
      </c>
    </row>
    <row r="58" spans="1:28" x14ac:dyDescent="0.15">
      <c r="A58" s="53" t="s">
        <v>41</v>
      </c>
      <c r="B58" s="53" t="s">
        <v>157</v>
      </c>
      <c r="C58" s="62">
        <v>2019</v>
      </c>
      <c r="D58" s="63" t="s">
        <v>185</v>
      </c>
      <c r="E58" s="53" t="s">
        <v>188</v>
      </c>
      <c r="F58" s="53" t="s">
        <v>190</v>
      </c>
      <c r="G58" s="53" t="s">
        <v>42</v>
      </c>
      <c r="H58" s="53" t="s">
        <v>160</v>
      </c>
      <c r="I58" s="53" t="s">
        <v>159</v>
      </c>
      <c r="J58" s="53" t="s">
        <v>38</v>
      </c>
      <c r="K58" s="53" t="s">
        <v>161</v>
      </c>
      <c r="L58" s="53">
        <v>3</v>
      </c>
      <c r="N58" s="53">
        <v>8</v>
      </c>
      <c r="O58" s="53">
        <v>0.45</v>
      </c>
      <c r="P58" s="53">
        <v>0.3</v>
      </c>
      <c r="Q58" s="16">
        <f t="shared" si="3"/>
        <v>0.375</v>
      </c>
      <c r="R58" s="53">
        <v>15.8</v>
      </c>
      <c r="S58" s="53">
        <v>114</v>
      </c>
      <c r="T58" s="16">
        <f t="shared" si="1"/>
        <v>30</v>
      </c>
      <c r="U58" s="53">
        <v>537</v>
      </c>
      <c r="V58" s="16">
        <f t="shared" si="4"/>
        <v>2013.75</v>
      </c>
      <c r="W58" s="53">
        <v>3</v>
      </c>
      <c r="X58" s="53" t="s">
        <v>46</v>
      </c>
      <c r="Y58" s="53" t="s">
        <v>55</v>
      </c>
      <c r="Z58" s="53" t="s">
        <v>69</v>
      </c>
      <c r="AA58" s="53" t="s">
        <v>86</v>
      </c>
      <c r="AB58" s="53" t="s">
        <v>158</v>
      </c>
    </row>
    <row r="59" spans="1:28" x14ac:dyDescent="0.15">
      <c r="A59" s="53" t="s">
        <v>41</v>
      </c>
      <c r="B59" s="53" t="s">
        <v>157</v>
      </c>
      <c r="C59" s="62">
        <v>2019</v>
      </c>
      <c r="D59" s="63" t="s">
        <v>185</v>
      </c>
      <c r="E59" s="53" t="s">
        <v>188</v>
      </c>
      <c r="F59" s="53" t="s">
        <v>190</v>
      </c>
      <c r="G59" s="53" t="s">
        <v>42</v>
      </c>
      <c r="H59" s="53" t="s">
        <v>160</v>
      </c>
      <c r="I59" s="53" t="s">
        <v>159</v>
      </c>
      <c r="J59" s="53" t="s">
        <v>38</v>
      </c>
      <c r="K59" s="53" t="s">
        <v>161</v>
      </c>
      <c r="L59" s="53">
        <v>1</v>
      </c>
      <c r="N59" s="53">
        <v>10</v>
      </c>
      <c r="O59" s="53">
        <v>0.3</v>
      </c>
      <c r="P59" s="53">
        <v>0.25</v>
      </c>
      <c r="Q59" s="16">
        <f t="shared" si="3"/>
        <v>0.27500000000000002</v>
      </c>
      <c r="R59" s="53">
        <v>14.9</v>
      </c>
      <c r="S59" s="53">
        <v>108</v>
      </c>
      <c r="T59" s="16">
        <f t="shared" si="1"/>
        <v>33</v>
      </c>
      <c r="U59" s="53">
        <v>1058</v>
      </c>
      <c r="V59" s="16">
        <f t="shared" si="4"/>
        <v>3491.4</v>
      </c>
      <c r="W59" s="53">
        <v>1</v>
      </c>
      <c r="X59" s="53" t="s">
        <v>46</v>
      </c>
      <c r="Y59" s="53" t="s">
        <v>55</v>
      </c>
      <c r="Z59" s="53" t="s">
        <v>69</v>
      </c>
      <c r="AA59" s="53" t="s">
        <v>86</v>
      </c>
      <c r="AB59" s="53" t="s">
        <v>158</v>
      </c>
    </row>
    <row r="60" spans="1:28" x14ac:dyDescent="0.15">
      <c r="A60" s="53" t="s">
        <v>41</v>
      </c>
      <c r="B60" s="53" t="s">
        <v>157</v>
      </c>
      <c r="C60" s="62">
        <v>2019</v>
      </c>
      <c r="D60" s="63" t="s">
        <v>185</v>
      </c>
      <c r="E60" s="53" t="s">
        <v>188</v>
      </c>
      <c r="F60" s="53" t="s">
        <v>190</v>
      </c>
      <c r="G60" s="53" t="s">
        <v>42</v>
      </c>
      <c r="H60" s="53" t="s">
        <v>160</v>
      </c>
      <c r="I60" s="53" t="s">
        <v>159</v>
      </c>
      <c r="J60" s="53" t="s">
        <v>38</v>
      </c>
      <c r="K60" s="53" t="s">
        <v>161</v>
      </c>
      <c r="L60" s="53">
        <v>2</v>
      </c>
      <c r="N60" s="53">
        <v>10</v>
      </c>
      <c r="O60" s="53">
        <v>0.4</v>
      </c>
      <c r="P60" s="53">
        <v>0.3</v>
      </c>
      <c r="Q60" s="16">
        <f t="shared" si="3"/>
        <v>0.35</v>
      </c>
      <c r="R60" s="53">
        <v>18.399999999999999</v>
      </c>
      <c r="S60" s="53">
        <v>110</v>
      </c>
      <c r="T60" s="16">
        <f t="shared" si="1"/>
        <v>33</v>
      </c>
      <c r="U60" s="53">
        <v>1058</v>
      </c>
      <c r="V60" s="16">
        <f t="shared" si="4"/>
        <v>3491.4</v>
      </c>
      <c r="W60" s="53">
        <v>1</v>
      </c>
      <c r="X60" s="53" t="s">
        <v>46</v>
      </c>
      <c r="Y60" s="53" t="s">
        <v>55</v>
      </c>
      <c r="Z60" s="53" t="s">
        <v>69</v>
      </c>
      <c r="AA60" s="53" t="s">
        <v>86</v>
      </c>
      <c r="AB60" s="53" t="s">
        <v>158</v>
      </c>
    </row>
    <row r="61" spans="1:28" x14ac:dyDescent="0.15">
      <c r="A61" s="53" t="s">
        <v>41</v>
      </c>
      <c r="B61" s="53" t="s">
        <v>157</v>
      </c>
      <c r="C61" s="62">
        <v>2019</v>
      </c>
      <c r="D61" s="63" t="s">
        <v>185</v>
      </c>
      <c r="E61" s="53" t="s">
        <v>188</v>
      </c>
      <c r="F61" s="53" t="s">
        <v>190</v>
      </c>
      <c r="G61" s="53" t="s">
        <v>42</v>
      </c>
      <c r="H61" s="53" t="s">
        <v>160</v>
      </c>
      <c r="I61" s="53" t="s">
        <v>159</v>
      </c>
      <c r="J61" s="53" t="s">
        <v>38</v>
      </c>
      <c r="K61" s="53" t="s">
        <v>161</v>
      </c>
      <c r="L61" s="53">
        <v>3</v>
      </c>
      <c r="N61" s="53">
        <v>10</v>
      </c>
      <c r="O61" s="53">
        <v>0.25</v>
      </c>
      <c r="P61" s="53">
        <v>0.25</v>
      </c>
      <c r="Q61" s="16">
        <f t="shared" si="3"/>
        <v>0.25</v>
      </c>
      <c r="R61" s="53">
        <v>12.3</v>
      </c>
      <c r="S61" s="53">
        <v>106</v>
      </c>
      <c r="T61" s="16">
        <f t="shared" si="1"/>
        <v>33</v>
      </c>
      <c r="U61" s="53">
        <v>1058</v>
      </c>
      <c r="V61" s="16">
        <f t="shared" si="4"/>
        <v>3491.4</v>
      </c>
      <c r="W61" s="53">
        <v>1</v>
      </c>
      <c r="X61" s="53" t="s">
        <v>46</v>
      </c>
      <c r="Y61" s="53" t="s">
        <v>55</v>
      </c>
      <c r="Z61" s="53" t="s">
        <v>69</v>
      </c>
      <c r="AA61" s="53" t="s">
        <v>86</v>
      </c>
      <c r="AB61" s="53" t="s">
        <v>158</v>
      </c>
    </row>
    <row r="62" spans="1:28" x14ac:dyDescent="0.15">
      <c r="A62" s="53" t="s">
        <v>41</v>
      </c>
      <c r="B62" s="53" t="s">
        <v>157</v>
      </c>
      <c r="C62" s="62">
        <v>2019</v>
      </c>
      <c r="D62" s="63" t="s">
        <v>185</v>
      </c>
      <c r="E62" s="53" t="s">
        <v>188</v>
      </c>
      <c r="F62" s="53" t="s">
        <v>190</v>
      </c>
      <c r="G62" s="53" t="s">
        <v>42</v>
      </c>
      <c r="H62" s="53" t="s">
        <v>164</v>
      </c>
      <c r="I62" s="53" t="s">
        <v>159</v>
      </c>
      <c r="J62" s="53" t="s">
        <v>38</v>
      </c>
      <c r="K62" s="53" t="s">
        <v>161</v>
      </c>
      <c r="L62" s="53">
        <v>1</v>
      </c>
      <c r="N62" s="53">
        <v>1</v>
      </c>
      <c r="O62" s="53">
        <v>0.35</v>
      </c>
      <c r="P62" s="53">
        <v>0.3</v>
      </c>
      <c r="Q62" s="16">
        <f>IF(OR(O62="",P62=""),"",AVERAGE(O62,P62))</f>
        <v>0.32499999999999996</v>
      </c>
      <c r="R62" s="53">
        <v>13.8</v>
      </c>
      <c r="S62" s="53">
        <v>126</v>
      </c>
      <c r="T62" s="16">
        <f t="shared" si="1"/>
        <v>27</v>
      </c>
      <c r="U62" s="53">
        <v>149</v>
      </c>
      <c r="V62" s="16">
        <f>IF(OR(N62="",U62="",T62=""),"",U62/N62*T62)</f>
        <v>4023</v>
      </c>
      <c r="W62" s="53">
        <v>3</v>
      </c>
      <c r="X62" s="53" t="s">
        <v>46</v>
      </c>
      <c r="Y62" s="53" t="s">
        <v>55</v>
      </c>
      <c r="Z62" s="53" t="s">
        <v>69</v>
      </c>
      <c r="AA62" s="53" t="s">
        <v>86</v>
      </c>
      <c r="AB62" s="53" t="s">
        <v>158</v>
      </c>
    </row>
    <row r="63" spans="1:28" x14ac:dyDescent="0.15">
      <c r="A63" s="53" t="s">
        <v>41</v>
      </c>
      <c r="B63" s="53" t="s">
        <v>157</v>
      </c>
      <c r="C63" s="62">
        <v>2019</v>
      </c>
      <c r="D63" s="63" t="s">
        <v>185</v>
      </c>
      <c r="E63" s="53" t="s">
        <v>188</v>
      </c>
      <c r="F63" s="53" t="s">
        <v>190</v>
      </c>
      <c r="G63" s="53" t="s">
        <v>42</v>
      </c>
      <c r="H63" s="53" t="s">
        <v>164</v>
      </c>
      <c r="I63" s="53" t="s">
        <v>159</v>
      </c>
      <c r="J63" s="53" t="s">
        <v>38</v>
      </c>
      <c r="K63" s="53" t="s">
        <v>161</v>
      </c>
      <c r="L63" s="53">
        <v>2</v>
      </c>
      <c r="N63" s="53">
        <v>1</v>
      </c>
      <c r="O63" s="53">
        <v>0.2</v>
      </c>
      <c r="P63" s="53">
        <v>0.25</v>
      </c>
      <c r="Q63" s="16">
        <f>IF(OR(O63="",P63=""),"",AVERAGE(O63,P63))</f>
        <v>0.22500000000000001</v>
      </c>
      <c r="R63" s="53">
        <v>11</v>
      </c>
      <c r="S63" s="53">
        <v>124</v>
      </c>
      <c r="T63" s="16">
        <f t="shared" si="1"/>
        <v>27</v>
      </c>
      <c r="U63" s="53">
        <v>149</v>
      </c>
      <c r="V63" s="16">
        <f>IF(OR(N63="",U63="",T63=""),"",U63/N63*T63)</f>
        <v>4023</v>
      </c>
      <c r="W63" s="53">
        <v>3</v>
      </c>
      <c r="X63" s="53" t="s">
        <v>46</v>
      </c>
      <c r="Y63" s="53" t="s">
        <v>55</v>
      </c>
      <c r="Z63" s="53" t="s">
        <v>69</v>
      </c>
      <c r="AA63" s="53" t="s">
        <v>86</v>
      </c>
      <c r="AB63" s="53" t="s">
        <v>158</v>
      </c>
    </row>
    <row r="64" spans="1:28" x14ac:dyDescent="0.15">
      <c r="A64" s="53" t="s">
        <v>41</v>
      </c>
      <c r="B64" s="53" t="s">
        <v>157</v>
      </c>
      <c r="C64" s="62">
        <v>2019</v>
      </c>
      <c r="D64" s="63" t="s">
        <v>185</v>
      </c>
      <c r="E64" s="53" t="s">
        <v>188</v>
      </c>
      <c r="F64" s="53" t="s">
        <v>190</v>
      </c>
      <c r="G64" s="53" t="s">
        <v>42</v>
      </c>
      <c r="H64" s="53" t="s">
        <v>164</v>
      </c>
      <c r="I64" s="53" t="s">
        <v>159</v>
      </c>
      <c r="J64" s="53" t="s">
        <v>38</v>
      </c>
      <c r="K64" s="53" t="s">
        <v>161</v>
      </c>
      <c r="L64" s="53">
        <v>3</v>
      </c>
      <c r="N64" s="53">
        <v>1</v>
      </c>
      <c r="O64" s="53">
        <v>0.8</v>
      </c>
      <c r="P64" s="53">
        <v>0.65</v>
      </c>
      <c r="Q64" s="16">
        <f>IF(OR(O64="",P64=""),"",AVERAGE(O64,P64))</f>
        <v>0.72500000000000009</v>
      </c>
      <c r="R64" s="53">
        <v>12.3</v>
      </c>
      <c r="S64" s="53">
        <v>123</v>
      </c>
      <c r="T64" s="16">
        <f t="shared" si="1"/>
        <v>27</v>
      </c>
      <c r="U64" s="53">
        <v>149</v>
      </c>
      <c r="V64" s="16">
        <f>IF(OR(N64="",U64="",T64=""),"",U64/N64*T64)</f>
        <v>4023</v>
      </c>
      <c r="W64" s="53">
        <v>3</v>
      </c>
      <c r="X64" s="53" t="s">
        <v>46</v>
      </c>
      <c r="Y64" s="53" t="s">
        <v>55</v>
      </c>
      <c r="Z64" s="53" t="s">
        <v>69</v>
      </c>
      <c r="AA64" s="53" t="s">
        <v>86</v>
      </c>
      <c r="AB64" s="53" t="s">
        <v>158</v>
      </c>
    </row>
    <row r="65" spans="1:28" x14ac:dyDescent="0.15">
      <c r="A65" s="53" t="s">
        <v>41</v>
      </c>
      <c r="B65" s="53" t="s">
        <v>157</v>
      </c>
      <c r="C65" s="62">
        <v>2019</v>
      </c>
      <c r="D65" s="63" t="s">
        <v>185</v>
      </c>
      <c r="E65" s="53" t="s">
        <v>188</v>
      </c>
      <c r="F65" s="53" t="s">
        <v>190</v>
      </c>
      <c r="G65" s="53" t="s">
        <v>42</v>
      </c>
      <c r="H65" s="53" t="s">
        <v>164</v>
      </c>
      <c r="I65" s="53" t="s">
        <v>159</v>
      </c>
      <c r="J65" s="53" t="s">
        <v>38</v>
      </c>
      <c r="K65" s="53" t="s">
        <v>161</v>
      </c>
      <c r="L65" s="53">
        <v>1</v>
      </c>
      <c r="N65" s="53">
        <v>4</v>
      </c>
      <c r="O65" s="53">
        <v>0.5</v>
      </c>
      <c r="P65" s="53">
        <v>0.5</v>
      </c>
      <c r="Q65" s="16">
        <f>IF(OR(O65="",P65=""),"",AVERAGE(O65,P65))</f>
        <v>0.5</v>
      </c>
      <c r="R65" s="53">
        <v>12.4</v>
      </c>
      <c r="S65" s="53">
        <v>124</v>
      </c>
      <c r="T65" s="16">
        <f t="shared" si="1"/>
        <v>27</v>
      </c>
      <c r="U65" s="53">
        <v>419</v>
      </c>
      <c r="V65" s="16">
        <f>IF(OR(N65="",U65="",T65=""),"",U65/N65*T65)</f>
        <v>2828.25</v>
      </c>
      <c r="W65" s="53">
        <v>2</v>
      </c>
      <c r="X65" s="53" t="s">
        <v>46</v>
      </c>
      <c r="Y65" s="53" t="s">
        <v>55</v>
      </c>
      <c r="Z65" s="53" t="s">
        <v>69</v>
      </c>
      <c r="AA65" s="53" t="s">
        <v>86</v>
      </c>
      <c r="AB65" s="53" t="s">
        <v>158</v>
      </c>
    </row>
    <row r="66" spans="1:28" x14ac:dyDescent="0.15">
      <c r="A66" s="53" t="s">
        <v>41</v>
      </c>
      <c r="B66" s="53" t="s">
        <v>157</v>
      </c>
      <c r="C66" s="62">
        <v>2019</v>
      </c>
      <c r="D66" s="63" t="s">
        <v>185</v>
      </c>
      <c r="E66" s="53" t="s">
        <v>188</v>
      </c>
      <c r="F66" s="53" t="s">
        <v>190</v>
      </c>
      <c r="G66" s="53" t="s">
        <v>42</v>
      </c>
      <c r="H66" s="53" t="s">
        <v>164</v>
      </c>
      <c r="I66" s="53" t="s">
        <v>159</v>
      </c>
      <c r="J66" s="53" t="s">
        <v>38</v>
      </c>
      <c r="K66" s="53" t="s">
        <v>161</v>
      </c>
      <c r="L66" s="53">
        <v>2</v>
      </c>
      <c r="N66" s="53">
        <v>4</v>
      </c>
      <c r="O66" s="53">
        <v>0.65</v>
      </c>
      <c r="P66" s="53">
        <v>0.6</v>
      </c>
      <c r="Q66" s="16">
        <f t="shared" ref="Q66:Q129" si="5">IF(OR(O66="",P66=""),"",AVERAGE(O66,P66))</f>
        <v>0.625</v>
      </c>
      <c r="R66" s="53">
        <v>13.7</v>
      </c>
      <c r="S66" s="53">
        <v>121</v>
      </c>
      <c r="T66" s="16">
        <f t="shared" ref="T66:T129" si="6">IF(H66="","",IF(OR(H66="GREEN",H66="GK"),IF(S66&gt;=$AX$2,VLOOKUP(S66,$AX$2:$AY$10,2,1),""),IF(S66&gt;=$AZ$2,VLOOKUP(S66,$AZ$2:$BA$10,2,1),"")))</f>
        <v>27</v>
      </c>
      <c r="U66" s="53">
        <v>419</v>
      </c>
      <c r="V66" s="16">
        <f t="shared" ref="V66:V129" si="7">IF(OR(N66="",U66="",T66=""),"",U66/N66*T66)</f>
        <v>2828.25</v>
      </c>
      <c r="W66" s="53">
        <v>2</v>
      </c>
      <c r="X66" s="53" t="s">
        <v>46</v>
      </c>
      <c r="Y66" s="53" t="s">
        <v>55</v>
      </c>
      <c r="Z66" s="53" t="s">
        <v>69</v>
      </c>
      <c r="AA66" s="53" t="s">
        <v>86</v>
      </c>
      <c r="AB66" s="53" t="s">
        <v>158</v>
      </c>
    </row>
    <row r="67" spans="1:28" x14ac:dyDescent="0.15">
      <c r="A67" s="53" t="s">
        <v>41</v>
      </c>
      <c r="B67" s="53" t="s">
        <v>157</v>
      </c>
      <c r="C67" s="62">
        <v>2019</v>
      </c>
      <c r="D67" s="63" t="s">
        <v>185</v>
      </c>
      <c r="E67" s="53" t="s">
        <v>188</v>
      </c>
      <c r="F67" s="53" t="s">
        <v>190</v>
      </c>
      <c r="G67" s="53" t="s">
        <v>42</v>
      </c>
      <c r="H67" s="53" t="s">
        <v>164</v>
      </c>
      <c r="I67" s="53" t="s">
        <v>159</v>
      </c>
      <c r="J67" s="53" t="s">
        <v>38</v>
      </c>
      <c r="K67" s="53" t="s">
        <v>161</v>
      </c>
      <c r="L67" s="53">
        <v>3</v>
      </c>
      <c r="N67" s="53">
        <v>4</v>
      </c>
      <c r="O67" s="53">
        <v>0.95</v>
      </c>
      <c r="P67" s="53">
        <v>0.85</v>
      </c>
      <c r="Q67" s="16">
        <f t="shared" si="5"/>
        <v>0.89999999999999991</v>
      </c>
      <c r="R67" s="53">
        <v>14.1</v>
      </c>
      <c r="S67" s="53">
        <v>125</v>
      </c>
      <c r="T67" s="16">
        <f t="shared" si="6"/>
        <v>27</v>
      </c>
      <c r="U67" s="53">
        <v>419</v>
      </c>
      <c r="V67" s="16">
        <f t="shared" si="7"/>
        <v>2828.25</v>
      </c>
      <c r="W67" s="53">
        <v>2</v>
      </c>
      <c r="X67" s="53" t="s">
        <v>46</v>
      </c>
      <c r="Y67" s="53" t="s">
        <v>55</v>
      </c>
      <c r="Z67" s="53" t="s">
        <v>69</v>
      </c>
      <c r="AA67" s="53" t="s">
        <v>86</v>
      </c>
      <c r="AB67" s="53" t="s">
        <v>158</v>
      </c>
    </row>
    <row r="68" spans="1:28" x14ac:dyDescent="0.15">
      <c r="A68" s="53" t="s">
        <v>41</v>
      </c>
      <c r="B68" s="53" t="s">
        <v>157</v>
      </c>
      <c r="C68" s="62">
        <v>2019</v>
      </c>
      <c r="D68" s="63" t="s">
        <v>185</v>
      </c>
      <c r="E68" s="53" t="s">
        <v>188</v>
      </c>
      <c r="F68" s="53" t="s">
        <v>190</v>
      </c>
      <c r="G68" s="53" t="s">
        <v>42</v>
      </c>
      <c r="H68" s="53" t="s">
        <v>164</v>
      </c>
      <c r="I68" s="53" t="s">
        <v>159</v>
      </c>
      <c r="J68" s="53" t="s">
        <v>38</v>
      </c>
      <c r="K68" s="53" t="s">
        <v>161</v>
      </c>
      <c r="L68" s="53">
        <v>1</v>
      </c>
      <c r="N68" s="53">
        <v>8</v>
      </c>
      <c r="O68" s="53">
        <v>0.8</v>
      </c>
      <c r="P68" s="53">
        <v>0.65</v>
      </c>
      <c r="Q68" s="16">
        <f t="shared" si="5"/>
        <v>0.72500000000000009</v>
      </c>
      <c r="R68" s="53">
        <v>14.5</v>
      </c>
      <c r="S68" s="53">
        <v>115</v>
      </c>
      <c r="T68" s="16">
        <f t="shared" si="6"/>
        <v>30</v>
      </c>
      <c r="U68" s="53">
        <v>429</v>
      </c>
      <c r="V68" s="16">
        <f t="shared" si="7"/>
        <v>1608.75</v>
      </c>
      <c r="W68" s="53">
        <v>2</v>
      </c>
      <c r="X68" s="53" t="s">
        <v>46</v>
      </c>
      <c r="Y68" s="53" t="s">
        <v>55</v>
      </c>
      <c r="Z68" s="53" t="s">
        <v>69</v>
      </c>
      <c r="AA68" s="53" t="s">
        <v>86</v>
      </c>
      <c r="AB68" s="53" t="s">
        <v>158</v>
      </c>
    </row>
    <row r="69" spans="1:28" x14ac:dyDescent="0.15">
      <c r="A69" s="53" t="s">
        <v>41</v>
      </c>
      <c r="B69" s="53" t="s">
        <v>157</v>
      </c>
      <c r="C69" s="62">
        <v>2019</v>
      </c>
      <c r="D69" s="63" t="s">
        <v>185</v>
      </c>
      <c r="E69" s="53" t="s">
        <v>188</v>
      </c>
      <c r="F69" s="53" t="s">
        <v>190</v>
      </c>
      <c r="G69" s="53" t="s">
        <v>42</v>
      </c>
      <c r="H69" s="53" t="s">
        <v>164</v>
      </c>
      <c r="I69" s="53" t="s">
        <v>159</v>
      </c>
      <c r="J69" s="53" t="s">
        <v>38</v>
      </c>
      <c r="K69" s="53" t="s">
        <v>161</v>
      </c>
      <c r="L69" s="53">
        <v>2</v>
      </c>
      <c r="N69" s="53">
        <v>8</v>
      </c>
      <c r="O69" s="53">
        <v>1.05</v>
      </c>
      <c r="P69" s="53">
        <v>0.9</v>
      </c>
      <c r="Q69" s="16">
        <f t="shared" si="5"/>
        <v>0.97500000000000009</v>
      </c>
      <c r="R69" s="53">
        <v>12.6</v>
      </c>
      <c r="S69" s="53">
        <v>117</v>
      </c>
      <c r="T69" s="16">
        <f t="shared" si="6"/>
        <v>30</v>
      </c>
      <c r="U69" s="53">
        <v>429</v>
      </c>
      <c r="V69" s="16">
        <f t="shared" si="7"/>
        <v>1608.75</v>
      </c>
      <c r="W69" s="53">
        <v>2</v>
      </c>
      <c r="X69" s="53" t="s">
        <v>46</v>
      </c>
      <c r="Y69" s="53" t="s">
        <v>55</v>
      </c>
      <c r="Z69" s="53" t="s">
        <v>69</v>
      </c>
      <c r="AA69" s="53" t="s">
        <v>86</v>
      </c>
      <c r="AB69" s="53" t="s">
        <v>158</v>
      </c>
    </row>
    <row r="70" spans="1:28" x14ac:dyDescent="0.15">
      <c r="A70" s="53" t="s">
        <v>41</v>
      </c>
      <c r="B70" s="53" t="s">
        <v>157</v>
      </c>
      <c r="C70" s="62">
        <v>2019</v>
      </c>
      <c r="D70" s="63" t="s">
        <v>185</v>
      </c>
      <c r="E70" s="53" t="s">
        <v>188</v>
      </c>
      <c r="F70" s="53" t="s">
        <v>190</v>
      </c>
      <c r="G70" s="53" t="s">
        <v>42</v>
      </c>
      <c r="H70" s="53" t="s">
        <v>164</v>
      </c>
      <c r="I70" s="53" t="s">
        <v>159</v>
      </c>
      <c r="J70" s="53" t="s">
        <v>38</v>
      </c>
      <c r="K70" s="53" t="s">
        <v>161</v>
      </c>
      <c r="L70" s="53">
        <v>3</v>
      </c>
      <c r="N70" s="53">
        <v>8</v>
      </c>
      <c r="O70" s="53">
        <v>0.65</v>
      </c>
      <c r="P70" s="53">
        <v>0.8</v>
      </c>
      <c r="Q70" s="16">
        <f t="shared" si="5"/>
        <v>0.72500000000000009</v>
      </c>
      <c r="R70" s="53">
        <v>12.8</v>
      </c>
      <c r="S70" s="53">
        <v>120</v>
      </c>
      <c r="T70" s="16">
        <f t="shared" si="6"/>
        <v>30</v>
      </c>
      <c r="U70" s="53">
        <v>429</v>
      </c>
      <c r="V70" s="16">
        <f t="shared" si="7"/>
        <v>1608.75</v>
      </c>
      <c r="W70" s="53">
        <v>2</v>
      </c>
      <c r="X70" s="53" t="s">
        <v>46</v>
      </c>
      <c r="Y70" s="53" t="s">
        <v>55</v>
      </c>
      <c r="Z70" s="53" t="s">
        <v>69</v>
      </c>
      <c r="AA70" s="53" t="s">
        <v>86</v>
      </c>
      <c r="AB70" s="53" t="s">
        <v>158</v>
      </c>
    </row>
    <row r="71" spans="1:28" x14ac:dyDescent="0.15">
      <c r="A71" s="53" t="s">
        <v>41</v>
      </c>
      <c r="B71" s="53" t="s">
        <v>157</v>
      </c>
      <c r="C71" s="62">
        <v>2019</v>
      </c>
      <c r="D71" s="63" t="s">
        <v>185</v>
      </c>
      <c r="E71" s="53" t="s">
        <v>188</v>
      </c>
      <c r="F71" s="53" t="s">
        <v>190</v>
      </c>
      <c r="G71" s="53" t="s">
        <v>42</v>
      </c>
      <c r="H71" s="53" t="s">
        <v>164</v>
      </c>
      <c r="I71" s="53" t="s">
        <v>159</v>
      </c>
      <c r="J71" s="53" t="s">
        <v>38</v>
      </c>
      <c r="K71" s="53" t="s">
        <v>161</v>
      </c>
      <c r="L71" s="53">
        <v>1</v>
      </c>
      <c r="N71" s="53">
        <v>10</v>
      </c>
      <c r="O71" s="53">
        <v>0.65</v>
      </c>
      <c r="P71" s="53">
        <v>0.7</v>
      </c>
      <c r="Q71" s="16">
        <f t="shared" si="5"/>
        <v>0.67500000000000004</v>
      </c>
      <c r="R71" s="53">
        <v>13.8</v>
      </c>
      <c r="S71" s="53">
        <v>90</v>
      </c>
      <c r="T71" s="16">
        <f t="shared" si="6"/>
        <v>36</v>
      </c>
      <c r="U71" s="53">
        <v>842</v>
      </c>
      <c r="V71" s="16">
        <f t="shared" si="7"/>
        <v>3031.2000000000003</v>
      </c>
      <c r="W71" s="53">
        <v>1</v>
      </c>
      <c r="X71" s="53" t="s">
        <v>46</v>
      </c>
      <c r="Y71" s="53" t="s">
        <v>55</v>
      </c>
      <c r="Z71" s="53" t="s">
        <v>69</v>
      </c>
      <c r="AA71" s="53" t="s">
        <v>86</v>
      </c>
      <c r="AB71" s="53" t="s">
        <v>158</v>
      </c>
    </row>
    <row r="72" spans="1:28" x14ac:dyDescent="0.15">
      <c r="A72" s="53" t="s">
        <v>41</v>
      </c>
      <c r="B72" s="53" t="s">
        <v>157</v>
      </c>
      <c r="C72" s="62">
        <v>2019</v>
      </c>
      <c r="D72" s="63" t="s">
        <v>185</v>
      </c>
      <c r="E72" s="53" t="s">
        <v>188</v>
      </c>
      <c r="F72" s="53" t="s">
        <v>190</v>
      </c>
      <c r="G72" s="53" t="s">
        <v>42</v>
      </c>
      <c r="H72" s="53" t="s">
        <v>164</v>
      </c>
      <c r="I72" s="53" t="s">
        <v>159</v>
      </c>
      <c r="J72" s="53" t="s">
        <v>38</v>
      </c>
      <c r="K72" s="53" t="s">
        <v>161</v>
      </c>
      <c r="L72" s="53">
        <v>2</v>
      </c>
      <c r="N72" s="53">
        <v>10</v>
      </c>
      <c r="O72" s="53">
        <v>0.4</v>
      </c>
      <c r="P72" s="53">
        <v>0.65</v>
      </c>
      <c r="Q72" s="16">
        <f t="shared" si="5"/>
        <v>0.52500000000000002</v>
      </c>
      <c r="R72" s="53">
        <v>13.4</v>
      </c>
      <c r="S72" s="53">
        <v>82</v>
      </c>
      <c r="T72" s="16">
        <f t="shared" si="6"/>
        <v>39</v>
      </c>
      <c r="U72" s="53">
        <v>842</v>
      </c>
      <c r="V72" s="16">
        <f t="shared" si="7"/>
        <v>3283.8</v>
      </c>
      <c r="W72" s="53">
        <v>1</v>
      </c>
      <c r="X72" s="53" t="s">
        <v>46</v>
      </c>
      <c r="Y72" s="53" t="s">
        <v>55</v>
      </c>
      <c r="Z72" s="53" t="s">
        <v>69</v>
      </c>
      <c r="AA72" s="53" t="s">
        <v>86</v>
      </c>
      <c r="AB72" s="53" t="s">
        <v>158</v>
      </c>
    </row>
    <row r="73" spans="1:28" x14ac:dyDescent="0.15">
      <c r="A73" s="53" t="s">
        <v>41</v>
      </c>
      <c r="B73" s="53" t="s">
        <v>157</v>
      </c>
      <c r="C73" s="62">
        <v>2019</v>
      </c>
      <c r="D73" s="63" t="s">
        <v>185</v>
      </c>
      <c r="E73" s="53" t="s">
        <v>188</v>
      </c>
      <c r="F73" s="53" t="s">
        <v>190</v>
      </c>
      <c r="G73" s="53" t="s">
        <v>42</v>
      </c>
      <c r="H73" s="53" t="s">
        <v>164</v>
      </c>
      <c r="I73" s="53" t="s">
        <v>159</v>
      </c>
      <c r="J73" s="53" t="s">
        <v>38</v>
      </c>
      <c r="K73" s="53" t="s">
        <v>161</v>
      </c>
      <c r="L73" s="53">
        <v>3</v>
      </c>
      <c r="N73" s="53">
        <v>10</v>
      </c>
      <c r="O73" s="53">
        <v>0.7</v>
      </c>
      <c r="P73" s="53">
        <v>0.75</v>
      </c>
      <c r="Q73" s="16">
        <f t="shared" si="5"/>
        <v>0.72499999999999998</v>
      </c>
      <c r="R73" s="53">
        <v>12.2</v>
      </c>
      <c r="S73" s="53">
        <v>86</v>
      </c>
      <c r="T73" s="16">
        <f t="shared" si="6"/>
        <v>36</v>
      </c>
      <c r="U73" s="53">
        <v>842</v>
      </c>
      <c r="V73" s="16">
        <f t="shared" si="7"/>
        <v>3031.2000000000003</v>
      </c>
      <c r="W73" s="53">
        <v>1</v>
      </c>
      <c r="X73" s="53" t="s">
        <v>46</v>
      </c>
      <c r="Y73" s="53" t="s">
        <v>55</v>
      </c>
      <c r="Z73" s="53" t="s">
        <v>69</v>
      </c>
      <c r="AA73" s="53" t="s">
        <v>86</v>
      </c>
      <c r="AB73" s="53" t="s">
        <v>158</v>
      </c>
    </row>
    <row r="74" spans="1:28" x14ac:dyDescent="0.15">
      <c r="A74" s="53" t="s">
        <v>41</v>
      </c>
      <c r="B74" s="53" t="s">
        <v>157</v>
      </c>
      <c r="C74" s="62">
        <v>2019</v>
      </c>
      <c r="D74" s="63" t="s">
        <v>185</v>
      </c>
      <c r="E74" s="53" t="s">
        <v>188</v>
      </c>
      <c r="F74" s="53" t="s">
        <v>190</v>
      </c>
      <c r="G74" s="53" t="s">
        <v>42</v>
      </c>
      <c r="H74" s="53" t="s">
        <v>164</v>
      </c>
      <c r="I74" s="53" t="s">
        <v>165</v>
      </c>
      <c r="J74" s="53" t="s">
        <v>38</v>
      </c>
      <c r="K74" s="53" t="s">
        <v>161</v>
      </c>
      <c r="L74" s="53">
        <v>1</v>
      </c>
      <c r="N74" s="53">
        <v>2</v>
      </c>
      <c r="O74" s="53">
        <v>0.8</v>
      </c>
      <c r="P74" s="53">
        <v>0.65</v>
      </c>
      <c r="Q74" s="16">
        <f t="shared" si="5"/>
        <v>0.72500000000000009</v>
      </c>
      <c r="R74" s="53">
        <v>12.8</v>
      </c>
      <c r="S74" s="53">
        <v>135</v>
      </c>
      <c r="T74" s="16">
        <f t="shared" si="6"/>
        <v>25</v>
      </c>
      <c r="U74" s="53">
        <v>321</v>
      </c>
      <c r="V74" s="16">
        <f t="shared" si="7"/>
        <v>4012.5</v>
      </c>
      <c r="W74" s="53">
        <v>2</v>
      </c>
      <c r="X74" s="53" t="s">
        <v>46</v>
      </c>
      <c r="Y74" s="53" t="s">
        <v>55</v>
      </c>
      <c r="Z74" s="53" t="s">
        <v>69</v>
      </c>
      <c r="AA74" s="53" t="s">
        <v>86</v>
      </c>
      <c r="AB74" s="53" t="s">
        <v>158</v>
      </c>
    </row>
    <row r="75" spans="1:28" x14ac:dyDescent="0.15">
      <c r="A75" s="53" t="s">
        <v>41</v>
      </c>
      <c r="B75" s="53" t="s">
        <v>157</v>
      </c>
      <c r="C75" s="62">
        <v>2019</v>
      </c>
      <c r="D75" s="63" t="s">
        <v>185</v>
      </c>
      <c r="E75" s="53" t="s">
        <v>188</v>
      </c>
      <c r="F75" s="53" t="s">
        <v>190</v>
      </c>
      <c r="G75" s="53" t="s">
        <v>42</v>
      </c>
      <c r="H75" s="53" t="s">
        <v>164</v>
      </c>
      <c r="I75" s="53" t="s">
        <v>165</v>
      </c>
      <c r="J75" s="53" t="s">
        <v>38</v>
      </c>
      <c r="K75" s="53" t="s">
        <v>161</v>
      </c>
      <c r="L75" s="53">
        <v>2</v>
      </c>
      <c r="N75" s="53">
        <v>2</v>
      </c>
      <c r="O75" s="53">
        <v>1.05</v>
      </c>
      <c r="P75" s="53">
        <v>0.9</v>
      </c>
      <c r="Q75" s="16">
        <f t="shared" si="5"/>
        <v>0.97500000000000009</v>
      </c>
      <c r="R75" s="53">
        <v>15.4</v>
      </c>
      <c r="S75" s="53">
        <v>131</v>
      </c>
      <c r="T75" s="16">
        <f t="shared" si="6"/>
        <v>25</v>
      </c>
      <c r="U75" s="53">
        <v>321</v>
      </c>
      <c r="V75" s="16">
        <f t="shared" si="7"/>
        <v>4012.5</v>
      </c>
      <c r="W75" s="53">
        <v>2</v>
      </c>
      <c r="X75" s="53" t="s">
        <v>46</v>
      </c>
      <c r="Y75" s="53" t="s">
        <v>55</v>
      </c>
      <c r="Z75" s="53" t="s">
        <v>69</v>
      </c>
      <c r="AA75" s="53" t="s">
        <v>86</v>
      </c>
      <c r="AB75" s="53" t="s">
        <v>158</v>
      </c>
    </row>
    <row r="76" spans="1:28" x14ac:dyDescent="0.15">
      <c r="A76" s="53" t="s">
        <v>41</v>
      </c>
      <c r="B76" s="53" t="s">
        <v>157</v>
      </c>
      <c r="C76" s="62">
        <v>2019</v>
      </c>
      <c r="D76" s="63" t="s">
        <v>185</v>
      </c>
      <c r="E76" s="53" t="s">
        <v>188</v>
      </c>
      <c r="F76" s="53" t="s">
        <v>190</v>
      </c>
      <c r="G76" s="53" t="s">
        <v>42</v>
      </c>
      <c r="H76" s="53" t="s">
        <v>164</v>
      </c>
      <c r="I76" s="53" t="s">
        <v>165</v>
      </c>
      <c r="J76" s="53" t="s">
        <v>38</v>
      </c>
      <c r="K76" s="53" t="s">
        <v>161</v>
      </c>
      <c r="L76" s="53">
        <v>3</v>
      </c>
      <c r="N76" s="53">
        <v>2</v>
      </c>
      <c r="O76" s="53">
        <v>0.65</v>
      </c>
      <c r="P76" s="53">
        <v>0.8</v>
      </c>
      <c r="Q76" s="16">
        <f t="shared" si="5"/>
        <v>0.72500000000000009</v>
      </c>
      <c r="R76" s="53">
        <v>12.8</v>
      </c>
      <c r="S76" s="53">
        <v>129</v>
      </c>
      <c r="T76" s="16">
        <f t="shared" si="6"/>
        <v>25</v>
      </c>
      <c r="U76" s="53">
        <v>321</v>
      </c>
      <c r="V76" s="16">
        <f t="shared" si="7"/>
        <v>4012.5</v>
      </c>
      <c r="W76" s="53">
        <v>2</v>
      </c>
      <c r="X76" s="53" t="s">
        <v>46</v>
      </c>
      <c r="Y76" s="53" t="s">
        <v>55</v>
      </c>
      <c r="Z76" s="53" t="s">
        <v>69</v>
      </c>
      <c r="AA76" s="53" t="s">
        <v>86</v>
      </c>
      <c r="AB76" s="53" t="s">
        <v>158</v>
      </c>
    </row>
    <row r="77" spans="1:28" x14ac:dyDescent="0.15">
      <c r="A77" s="53" t="s">
        <v>41</v>
      </c>
      <c r="B77" s="53" t="s">
        <v>157</v>
      </c>
      <c r="C77" s="62">
        <v>2019</v>
      </c>
      <c r="D77" s="63" t="s">
        <v>185</v>
      </c>
      <c r="E77" s="53" t="s">
        <v>195</v>
      </c>
      <c r="F77" s="53" t="s">
        <v>186</v>
      </c>
      <c r="G77" s="53" t="s">
        <v>42</v>
      </c>
      <c r="H77" s="53" t="s">
        <v>164</v>
      </c>
      <c r="I77" s="53" t="s">
        <v>159</v>
      </c>
      <c r="J77" s="53" t="s">
        <v>38</v>
      </c>
      <c r="K77" s="53" t="s">
        <v>161</v>
      </c>
      <c r="L77" s="53">
        <v>1</v>
      </c>
      <c r="N77" s="53">
        <v>1</v>
      </c>
      <c r="O77" s="53">
        <v>0.8</v>
      </c>
      <c r="P77" s="53">
        <v>0.65</v>
      </c>
      <c r="Q77" s="74">
        <f t="shared" si="5"/>
        <v>0.72500000000000009</v>
      </c>
      <c r="R77" s="53">
        <v>11.2</v>
      </c>
      <c r="S77" s="53">
        <v>118</v>
      </c>
      <c r="T77" s="16">
        <f t="shared" si="6"/>
        <v>30</v>
      </c>
      <c r="U77" s="53">
        <v>108</v>
      </c>
      <c r="V77" s="16">
        <f t="shared" si="7"/>
        <v>3240</v>
      </c>
      <c r="W77" s="53">
        <v>3</v>
      </c>
      <c r="X77" s="53" t="s">
        <v>46</v>
      </c>
      <c r="Y77" s="53" t="s">
        <v>69</v>
      </c>
      <c r="Z77" s="53" t="s">
        <v>55</v>
      </c>
      <c r="AA77" s="53" t="s">
        <v>86</v>
      </c>
      <c r="AB77" s="53" t="s">
        <v>158</v>
      </c>
    </row>
    <row r="78" spans="1:28" x14ac:dyDescent="0.15">
      <c r="A78" s="53" t="s">
        <v>41</v>
      </c>
      <c r="B78" s="53" t="s">
        <v>157</v>
      </c>
      <c r="C78" s="62">
        <v>2019</v>
      </c>
      <c r="D78" s="63" t="s">
        <v>185</v>
      </c>
      <c r="E78" s="53" t="s">
        <v>195</v>
      </c>
      <c r="F78" s="53" t="s">
        <v>186</v>
      </c>
      <c r="G78" s="53" t="s">
        <v>42</v>
      </c>
      <c r="H78" s="53" t="s">
        <v>164</v>
      </c>
      <c r="I78" s="53" t="s">
        <v>159</v>
      </c>
      <c r="J78" s="53" t="s">
        <v>38</v>
      </c>
      <c r="K78" s="53" t="s">
        <v>161</v>
      </c>
      <c r="L78" s="53">
        <v>2</v>
      </c>
      <c r="N78" s="53">
        <v>1</v>
      </c>
      <c r="O78" s="53">
        <v>0.7</v>
      </c>
      <c r="P78" s="53">
        <v>0.6</v>
      </c>
      <c r="Q78" s="74">
        <f t="shared" si="5"/>
        <v>0.64999999999999991</v>
      </c>
      <c r="R78" s="53">
        <v>13.5</v>
      </c>
      <c r="S78" s="53">
        <v>120</v>
      </c>
      <c r="T78" s="16">
        <f t="shared" si="6"/>
        <v>30</v>
      </c>
      <c r="U78" s="53">
        <v>108</v>
      </c>
      <c r="V78" s="16">
        <f t="shared" si="7"/>
        <v>3240</v>
      </c>
      <c r="W78" s="53">
        <v>3</v>
      </c>
      <c r="X78" s="53" t="s">
        <v>46</v>
      </c>
      <c r="Y78" s="53" t="s">
        <v>69</v>
      </c>
      <c r="Z78" s="53" t="s">
        <v>55</v>
      </c>
      <c r="AA78" s="53" t="s">
        <v>86</v>
      </c>
      <c r="AB78" s="53" t="s">
        <v>158</v>
      </c>
    </row>
    <row r="79" spans="1:28" x14ac:dyDescent="0.15">
      <c r="A79" s="53" t="s">
        <v>41</v>
      </c>
      <c r="B79" s="53" t="s">
        <v>157</v>
      </c>
      <c r="C79" s="62">
        <v>2019</v>
      </c>
      <c r="D79" s="63" t="s">
        <v>185</v>
      </c>
      <c r="E79" s="53" t="s">
        <v>195</v>
      </c>
      <c r="F79" s="53" t="s">
        <v>186</v>
      </c>
      <c r="G79" s="53" t="s">
        <v>42</v>
      </c>
      <c r="H79" s="53" t="s">
        <v>164</v>
      </c>
      <c r="I79" s="53" t="s">
        <v>159</v>
      </c>
      <c r="J79" s="53" t="s">
        <v>38</v>
      </c>
      <c r="K79" s="53" t="s">
        <v>161</v>
      </c>
      <c r="L79" s="53">
        <v>3</v>
      </c>
      <c r="N79" s="53">
        <v>1</v>
      </c>
      <c r="O79" s="53">
        <v>0.65</v>
      </c>
      <c r="P79" s="53">
        <v>0.55000000000000004</v>
      </c>
      <c r="Q79" s="74">
        <f t="shared" si="5"/>
        <v>0.60000000000000009</v>
      </c>
      <c r="R79" s="53">
        <v>14.2</v>
      </c>
      <c r="S79" s="53">
        <v>115</v>
      </c>
      <c r="T79" s="16">
        <f t="shared" si="6"/>
        <v>30</v>
      </c>
      <c r="U79" s="53">
        <v>108</v>
      </c>
      <c r="V79" s="16">
        <f t="shared" si="7"/>
        <v>3240</v>
      </c>
      <c r="W79" s="53">
        <v>3</v>
      </c>
      <c r="X79" s="53" t="s">
        <v>46</v>
      </c>
      <c r="Y79" s="53" t="s">
        <v>69</v>
      </c>
      <c r="Z79" s="53" t="s">
        <v>55</v>
      </c>
      <c r="AA79" s="53" t="s">
        <v>86</v>
      </c>
      <c r="AB79" s="53" t="s">
        <v>158</v>
      </c>
    </row>
    <row r="80" spans="1:28" x14ac:dyDescent="0.15">
      <c r="A80" s="53" t="s">
        <v>41</v>
      </c>
      <c r="B80" s="53" t="s">
        <v>157</v>
      </c>
      <c r="C80" s="62">
        <v>2019</v>
      </c>
      <c r="D80" s="63" t="s">
        <v>185</v>
      </c>
      <c r="E80" s="53" t="s">
        <v>195</v>
      </c>
      <c r="F80" s="53" t="s">
        <v>186</v>
      </c>
      <c r="G80" s="53" t="s">
        <v>42</v>
      </c>
      <c r="H80" s="53" t="s">
        <v>164</v>
      </c>
      <c r="I80" s="53" t="s">
        <v>159</v>
      </c>
      <c r="J80" s="53" t="s">
        <v>38</v>
      </c>
      <c r="K80" s="53" t="s">
        <v>161</v>
      </c>
      <c r="L80" s="53">
        <v>1</v>
      </c>
      <c r="N80" s="53">
        <v>8</v>
      </c>
      <c r="O80" s="53">
        <v>0.4</v>
      </c>
      <c r="P80" s="53">
        <v>0.65</v>
      </c>
      <c r="Q80" s="74">
        <f t="shared" si="5"/>
        <v>0.52500000000000002</v>
      </c>
      <c r="R80" s="53">
        <v>13.3</v>
      </c>
      <c r="S80" s="53">
        <v>120</v>
      </c>
      <c r="T80" s="16">
        <f t="shared" si="6"/>
        <v>30</v>
      </c>
      <c r="U80" s="53">
        <v>429</v>
      </c>
      <c r="V80" s="16">
        <f t="shared" si="7"/>
        <v>1608.75</v>
      </c>
      <c r="W80" s="53">
        <v>2</v>
      </c>
      <c r="X80" s="53" t="s">
        <v>46</v>
      </c>
      <c r="Y80" s="53" t="s">
        <v>69</v>
      </c>
      <c r="Z80" s="53" t="s">
        <v>55</v>
      </c>
      <c r="AA80" s="53" t="s">
        <v>86</v>
      </c>
      <c r="AB80" s="53" t="s">
        <v>158</v>
      </c>
    </row>
    <row r="81" spans="1:34" x14ac:dyDescent="0.15">
      <c r="A81" s="53" t="s">
        <v>41</v>
      </c>
      <c r="B81" s="53" t="s">
        <v>157</v>
      </c>
      <c r="C81" s="62">
        <v>2019</v>
      </c>
      <c r="D81" s="63" t="s">
        <v>185</v>
      </c>
      <c r="E81" s="53" t="s">
        <v>195</v>
      </c>
      <c r="F81" s="53" t="s">
        <v>186</v>
      </c>
      <c r="G81" s="53" t="s">
        <v>42</v>
      </c>
      <c r="H81" s="53" t="s">
        <v>164</v>
      </c>
      <c r="I81" s="53" t="s">
        <v>159</v>
      </c>
      <c r="J81" s="53" t="s">
        <v>38</v>
      </c>
      <c r="K81" s="53" t="s">
        <v>161</v>
      </c>
      <c r="L81" s="53">
        <v>2</v>
      </c>
      <c r="N81" s="53">
        <v>8</v>
      </c>
      <c r="O81" s="53">
        <v>0.4</v>
      </c>
      <c r="P81" s="53">
        <v>0.5</v>
      </c>
      <c r="Q81" s="74">
        <f t="shared" si="5"/>
        <v>0.45</v>
      </c>
      <c r="R81" s="53">
        <v>16.2</v>
      </c>
      <c r="S81" s="53">
        <v>122</v>
      </c>
      <c r="T81" s="16">
        <f t="shared" si="6"/>
        <v>27</v>
      </c>
      <c r="U81" s="53">
        <v>429</v>
      </c>
      <c r="V81" s="16">
        <f t="shared" si="7"/>
        <v>1447.875</v>
      </c>
      <c r="W81" s="53">
        <v>2</v>
      </c>
      <c r="X81" s="53" t="s">
        <v>46</v>
      </c>
      <c r="Y81" s="53" t="s">
        <v>69</v>
      </c>
      <c r="Z81" s="53" t="s">
        <v>55</v>
      </c>
      <c r="AA81" s="53" t="s">
        <v>86</v>
      </c>
      <c r="AB81" s="53" t="s">
        <v>158</v>
      </c>
    </row>
    <row r="82" spans="1:34" x14ac:dyDescent="0.15">
      <c r="A82" s="53" t="s">
        <v>41</v>
      </c>
      <c r="B82" s="53" t="s">
        <v>157</v>
      </c>
      <c r="C82" s="62">
        <v>2019</v>
      </c>
      <c r="D82" s="63" t="s">
        <v>185</v>
      </c>
      <c r="E82" s="53" t="s">
        <v>195</v>
      </c>
      <c r="F82" s="53" t="s">
        <v>186</v>
      </c>
      <c r="G82" s="53" t="s">
        <v>42</v>
      </c>
      <c r="H82" s="53" t="s">
        <v>164</v>
      </c>
      <c r="I82" s="53" t="s">
        <v>159</v>
      </c>
      <c r="J82" s="53" t="s">
        <v>38</v>
      </c>
      <c r="K82" s="53" t="s">
        <v>161</v>
      </c>
      <c r="L82" s="53">
        <v>3</v>
      </c>
      <c r="N82" s="53">
        <v>8</v>
      </c>
      <c r="O82" s="53">
        <v>0.5</v>
      </c>
      <c r="P82" s="53">
        <v>0.45</v>
      </c>
      <c r="Q82" s="74">
        <f t="shared" si="5"/>
        <v>0.47499999999999998</v>
      </c>
      <c r="R82" s="53">
        <v>15.8</v>
      </c>
      <c r="S82" s="53">
        <v>120</v>
      </c>
      <c r="T82" s="16">
        <f t="shared" si="6"/>
        <v>30</v>
      </c>
      <c r="U82" s="53">
        <v>429</v>
      </c>
      <c r="V82" s="16">
        <f t="shared" si="7"/>
        <v>1608.75</v>
      </c>
      <c r="W82" s="53">
        <v>2</v>
      </c>
      <c r="X82" s="53" t="s">
        <v>46</v>
      </c>
      <c r="Y82" s="53" t="s">
        <v>69</v>
      </c>
      <c r="Z82" s="53" t="s">
        <v>55</v>
      </c>
      <c r="AA82" s="53" t="s">
        <v>86</v>
      </c>
      <c r="AB82" s="53" t="s">
        <v>158</v>
      </c>
    </row>
    <row r="83" spans="1:34" x14ac:dyDescent="0.15">
      <c r="A83" s="53" t="s">
        <v>41</v>
      </c>
      <c r="B83" s="53" t="s">
        <v>157</v>
      </c>
      <c r="C83" s="62">
        <v>2019</v>
      </c>
      <c r="D83" s="63" t="s">
        <v>185</v>
      </c>
      <c r="E83" s="53" t="s">
        <v>195</v>
      </c>
      <c r="F83" s="53" t="s">
        <v>186</v>
      </c>
      <c r="G83" s="53" t="s">
        <v>42</v>
      </c>
      <c r="H83" s="53" t="s">
        <v>160</v>
      </c>
      <c r="I83" s="53" t="s">
        <v>159</v>
      </c>
      <c r="J83" s="53" t="s">
        <v>38</v>
      </c>
      <c r="K83" s="53" t="s">
        <v>161</v>
      </c>
      <c r="L83" s="53">
        <v>1</v>
      </c>
      <c r="N83" s="53">
        <v>1</v>
      </c>
      <c r="O83" s="53">
        <v>0.25</v>
      </c>
      <c r="P83" s="53">
        <v>0.25</v>
      </c>
      <c r="Q83" s="74">
        <f t="shared" si="5"/>
        <v>0.25</v>
      </c>
      <c r="R83" s="53">
        <v>17.399999999999999</v>
      </c>
      <c r="S83" s="53">
        <v>122</v>
      </c>
      <c r="T83" s="16">
        <f t="shared" si="6"/>
        <v>27</v>
      </c>
      <c r="U83" s="53">
        <v>170</v>
      </c>
      <c r="V83" s="16">
        <f t="shared" si="7"/>
        <v>4590</v>
      </c>
      <c r="W83" s="53">
        <v>2</v>
      </c>
      <c r="X83" s="53" t="s">
        <v>46</v>
      </c>
      <c r="Y83" s="53" t="s">
        <v>69</v>
      </c>
      <c r="Z83" s="53" t="s">
        <v>55</v>
      </c>
      <c r="AA83" s="53" t="s">
        <v>86</v>
      </c>
      <c r="AB83" s="53" t="s">
        <v>158</v>
      </c>
    </row>
    <row r="84" spans="1:34" x14ac:dyDescent="0.15">
      <c r="A84" s="53" t="s">
        <v>41</v>
      </c>
      <c r="B84" s="53" t="s">
        <v>157</v>
      </c>
      <c r="C84" s="62">
        <v>2019</v>
      </c>
      <c r="D84" s="63" t="s">
        <v>185</v>
      </c>
      <c r="E84" s="53" t="s">
        <v>195</v>
      </c>
      <c r="F84" s="53" t="s">
        <v>186</v>
      </c>
      <c r="G84" s="53" t="s">
        <v>42</v>
      </c>
      <c r="H84" s="53" t="s">
        <v>160</v>
      </c>
      <c r="I84" s="53" t="s">
        <v>159</v>
      </c>
      <c r="J84" s="53" t="s">
        <v>38</v>
      </c>
      <c r="K84" s="53" t="s">
        <v>161</v>
      </c>
      <c r="L84" s="53">
        <v>2</v>
      </c>
      <c r="N84" s="53">
        <v>1</v>
      </c>
      <c r="O84" s="53">
        <v>0.35</v>
      </c>
      <c r="P84" s="53">
        <v>0.3</v>
      </c>
      <c r="Q84" s="74">
        <f t="shared" si="5"/>
        <v>0.32499999999999996</v>
      </c>
      <c r="R84" s="53">
        <v>15.1</v>
      </c>
      <c r="S84" s="53">
        <v>123</v>
      </c>
      <c r="T84" s="16">
        <f t="shared" si="6"/>
        <v>27</v>
      </c>
      <c r="U84" s="53">
        <v>170</v>
      </c>
      <c r="V84" s="16">
        <f t="shared" si="7"/>
        <v>4590</v>
      </c>
      <c r="W84" s="53">
        <v>2</v>
      </c>
      <c r="X84" s="53" t="s">
        <v>46</v>
      </c>
      <c r="Y84" s="53" t="s">
        <v>69</v>
      </c>
      <c r="Z84" s="53" t="s">
        <v>55</v>
      </c>
      <c r="AA84" s="53" t="s">
        <v>86</v>
      </c>
      <c r="AB84" s="53" t="s">
        <v>158</v>
      </c>
    </row>
    <row r="85" spans="1:34" x14ac:dyDescent="0.15">
      <c r="A85" s="53" t="s">
        <v>41</v>
      </c>
      <c r="B85" s="53" t="s">
        <v>157</v>
      </c>
      <c r="C85" s="62">
        <v>2019</v>
      </c>
      <c r="D85" s="63" t="s">
        <v>185</v>
      </c>
      <c r="E85" s="53" t="s">
        <v>195</v>
      </c>
      <c r="F85" s="53" t="s">
        <v>186</v>
      </c>
      <c r="G85" s="53" t="s">
        <v>42</v>
      </c>
      <c r="H85" s="53" t="s">
        <v>160</v>
      </c>
      <c r="I85" s="53" t="s">
        <v>159</v>
      </c>
      <c r="J85" s="53" t="s">
        <v>38</v>
      </c>
      <c r="K85" s="53" t="s">
        <v>161</v>
      </c>
      <c r="L85" s="53">
        <v>3</v>
      </c>
      <c r="N85" s="53">
        <v>1</v>
      </c>
      <c r="O85" s="53">
        <v>0.2</v>
      </c>
      <c r="P85" s="53">
        <v>0.3</v>
      </c>
      <c r="Q85" s="74">
        <f t="shared" si="5"/>
        <v>0.25</v>
      </c>
      <c r="R85" s="53">
        <v>16.5</v>
      </c>
      <c r="S85" s="53">
        <v>124</v>
      </c>
      <c r="T85" s="16">
        <f t="shared" si="6"/>
        <v>27</v>
      </c>
      <c r="U85" s="53">
        <v>170</v>
      </c>
      <c r="V85" s="16">
        <f t="shared" si="7"/>
        <v>4590</v>
      </c>
      <c r="W85" s="53">
        <v>2</v>
      </c>
      <c r="X85" s="53" t="s">
        <v>46</v>
      </c>
      <c r="Y85" s="53" t="s">
        <v>69</v>
      </c>
      <c r="Z85" s="53" t="s">
        <v>55</v>
      </c>
      <c r="AA85" s="53" t="s">
        <v>86</v>
      </c>
      <c r="AB85" s="53" t="s">
        <v>158</v>
      </c>
    </row>
    <row r="86" spans="1:34" x14ac:dyDescent="0.15">
      <c r="A86" s="53" t="s">
        <v>41</v>
      </c>
      <c r="B86" s="53" t="s">
        <v>157</v>
      </c>
      <c r="C86" s="62">
        <v>2019</v>
      </c>
      <c r="D86" s="63" t="s">
        <v>185</v>
      </c>
      <c r="E86" s="53" t="s">
        <v>195</v>
      </c>
      <c r="F86" s="53" t="s">
        <v>186</v>
      </c>
      <c r="G86" s="53" t="s">
        <v>42</v>
      </c>
      <c r="H86" s="53" t="s">
        <v>160</v>
      </c>
      <c r="I86" s="53" t="s">
        <v>159</v>
      </c>
      <c r="J86" s="53" t="s">
        <v>38</v>
      </c>
      <c r="K86" s="53" t="s">
        <v>161</v>
      </c>
      <c r="L86" s="53">
        <v>1</v>
      </c>
      <c r="N86" s="53">
        <v>6</v>
      </c>
      <c r="O86" s="53">
        <v>0.5</v>
      </c>
      <c r="P86" s="53">
        <v>0.45</v>
      </c>
      <c r="Q86" s="74">
        <f t="shared" si="5"/>
        <v>0.47499999999999998</v>
      </c>
      <c r="R86" s="53">
        <v>15.8</v>
      </c>
      <c r="S86" s="53">
        <v>120</v>
      </c>
      <c r="T86" s="16">
        <f t="shared" si="6"/>
        <v>30</v>
      </c>
      <c r="U86" s="53">
        <v>537</v>
      </c>
      <c r="V86" s="16">
        <f t="shared" si="7"/>
        <v>2685</v>
      </c>
      <c r="W86" s="53">
        <v>4</v>
      </c>
      <c r="X86" s="53" t="s">
        <v>46</v>
      </c>
      <c r="Y86" s="53" t="s">
        <v>69</v>
      </c>
      <c r="Z86" s="53" t="s">
        <v>55</v>
      </c>
      <c r="AA86" s="53" t="s">
        <v>86</v>
      </c>
      <c r="AB86" s="53" t="s">
        <v>158</v>
      </c>
    </row>
    <row r="87" spans="1:34" x14ac:dyDescent="0.15">
      <c r="A87" s="53" t="s">
        <v>41</v>
      </c>
      <c r="B87" s="53" t="s">
        <v>157</v>
      </c>
      <c r="C87" s="62">
        <v>2019</v>
      </c>
      <c r="D87" s="63" t="s">
        <v>185</v>
      </c>
      <c r="E87" s="53" t="s">
        <v>195</v>
      </c>
      <c r="F87" s="53" t="s">
        <v>186</v>
      </c>
      <c r="G87" s="53" t="s">
        <v>42</v>
      </c>
      <c r="H87" s="53" t="s">
        <v>160</v>
      </c>
      <c r="I87" s="53" t="s">
        <v>159</v>
      </c>
      <c r="J87" s="53" t="s">
        <v>38</v>
      </c>
      <c r="K87" s="53" t="s">
        <v>161</v>
      </c>
      <c r="L87" s="53">
        <v>2</v>
      </c>
      <c r="N87" s="53">
        <v>6</v>
      </c>
      <c r="O87" s="53">
        <v>0.3</v>
      </c>
      <c r="P87" s="53">
        <v>0.35</v>
      </c>
      <c r="Q87" s="74">
        <f t="shared" si="5"/>
        <v>0.32499999999999996</v>
      </c>
      <c r="R87" s="53">
        <v>14.1</v>
      </c>
      <c r="S87" s="53">
        <v>118</v>
      </c>
      <c r="T87" s="16">
        <f t="shared" si="6"/>
        <v>30</v>
      </c>
      <c r="U87" s="53">
        <v>537</v>
      </c>
      <c r="V87" s="16">
        <f t="shared" si="7"/>
        <v>2685</v>
      </c>
      <c r="W87" s="53">
        <v>4</v>
      </c>
      <c r="X87" s="53" t="s">
        <v>46</v>
      </c>
      <c r="Y87" s="53" t="s">
        <v>69</v>
      </c>
      <c r="Z87" s="53" t="s">
        <v>55</v>
      </c>
      <c r="AA87" s="53" t="s">
        <v>86</v>
      </c>
      <c r="AB87" s="53" t="s">
        <v>158</v>
      </c>
    </row>
    <row r="88" spans="1:34" x14ac:dyDescent="0.15">
      <c r="A88" s="53" t="s">
        <v>41</v>
      </c>
      <c r="B88" s="53" t="s">
        <v>157</v>
      </c>
      <c r="C88" s="62">
        <v>2019</v>
      </c>
      <c r="D88" s="63" t="s">
        <v>185</v>
      </c>
      <c r="E88" s="53" t="s">
        <v>195</v>
      </c>
      <c r="F88" s="53" t="s">
        <v>186</v>
      </c>
      <c r="G88" s="53" t="s">
        <v>42</v>
      </c>
      <c r="H88" s="53" t="s">
        <v>160</v>
      </c>
      <c r="I88" s="53" t="s">
        <v>159</v>
      </c>
      <c r="J88" s="53" t="s">
        <v>38</v>
      </c>
      <c r="K88" s="53" t="s">
        <v>161</v>
      </c>
      <c r="L88" s="53">
        <v>3</v>
      </c>
      <c r="N88" s="53">
        <v>6</v>
      </c>
      <c r="O88" s="53">
        <v>0.45</v>
      </c>
      <c r="P88" s="53">
        <v>0.5</v>
      </c>
      <c r="Q88" s="74">
        <f t="shared" si="5"/>
        <v>0.47499999999999998</v>
      </c>
      <c r="R88" s="53">
        <v>14.9</v>
      </c>
      <c r="S88" s="53">
        <v>117</v>
      </c>
      <c r="T88" s="16">
        <f t="shared" si="6"/>
        <v>30</v>
      </c>
      <c r="U88" s="53">
        <v>537</v>
      </c>
      <c r="V88" s="16">
        <f t="shared" si="7"/>
        <v>2685</v>
      </c>
      <c r="W88" s="53">
        <v>4</v>
      </c>
      <c r="X88" s="53" t="s">
        <v>46</v>
      </c>
      <c r="Y88" s="53" t="s">
        <v>69</v>
      </c>
      <c r="Z88" s="53" t="s">
        <v>55</v>
      </c>
      <c r="AA88" s="53" t="s">
        <v>86</v>
      </c>
      <c r="AB88" s="53" t="s">
        <v>158</v>
      </c>
    </row>
    <row r="89" spans="1:34" x14ac:dyDescent="0.15">
      <c r="A89" s="53" t="s">
        <v>41</v>
      </c>
      <c r="B89" s="53" t="s">
        <v>157</v>
      </c>
      <c r="C89" s="62">
        <v>2019</v>
      </c>
      <c r="D89" s="63" t="s">
        <v>185</v>
      </c>
      <c r="E89" s="53" t="s">
        <v>195</v>
      </c>
      <c r="F89" s="53" t="s">
        <v>197</v>
      </c>
      <c r="G89" s="53" t="s">
        <v>42</v>
      </c>
      <c r="H89" s="53" t="s">
        <v>164</v>
      </c>
      <c r="I89" s="53" t="s">
        <v>159</v>
      </c>
      <c r="J89" s="53" t="s">
        <v>38</v>
      </c>
      <c r="K89" s="53" t="s">
        <v>161</v>
      </c>
      <c r="L89" s="53">
        <v>1</v>
      </c>
      <c r="N89" s="53">
        <v>1</v>
      </c>
      <c r="O89" s="53">
        <v>1.2</v>
      </c>
      <c r="P89" s="53">
        <v>1.1000000000000001</v>
      </c>
      <c r="Q89" s="74">
        <f t="shared" si="5"/>
        <v>1.1499999999999999</v>
      </c>
      <c r="R89" s="53">
        <v>12.4</v>
      </c>
      <c r="S89" s="53">
        <v>125</v>
      </c>
      <c r="T89" s="16">
        <f t="shared" si="6"/>
        <v>27</v>
      </c>
      <c r="U89" s="53">
        <v>105</v>
      </c>
      <c r="V89" s="16">
        <f t="shared" si="7"/>
        <v>2835</v>
      </c>
      <c r="W89" s="53">
        <v>3</v>
      </c>
      <c r="X89" s="53" t="s">
        <v>46</v>
      </c>
      <c r="Y89" s="53" t="s">
        <v>69</v>
      </c>
      <c r="Z89" s="53" t="s">
        <v>86</v>
      </c>
      <c r="AA89" s="53" t="s">
        <v>55</v>
      </c>
      <c r="AB89" s="53" t="s">
        <v>158</v>
      </c>
    </row>
    <row r="90" spans="1:34" x14ac:dyDescent="0.15">
      <c r="A90" s="53" t="s">
        <v>41</v>
      </c>
      <c r="B90" s="53" t="s">
        <v>157</v>
      </c>
      <c r="C90" s="62">
        <v>2019</v>
      </c>
      <c r="D90" s="63" t="s">
        <v>185</v>
      </c>
      <c r="E90" s="53" t="s">
        <v>195</v>
      </c>
      <c r="F90" s="53" t="s">
        <v>197</v>
      </c>
      <c r="G90" s="53" t="s">
        <v>42</v>
      </c>
      <c r="H90" s="53" t="s">
        <v>164</v>
      </c>
      <c r="I90" s="53" t="s">
        <v>159</v>
      </c>
      <c r="J90" s="53" t="s">
        <v>38</v>
      </c>
      <c r="K90" s="53" t="s">
        <v>161</v>
      </c>
      <c r="L90" s="53">
        <v>2</v>
      </c>
      <c r="N90" s="53">
        <v>1</v>
      </c>
      <c r="O90" s="53">
        <v>0.9</v>
      </c>
      <c r="P90" s="53">
        <v>1</v>
      </c>
      <c r="Q90" s="74">
        <f t="shared" si="5"/>
        <v>0.95</v>
      </c>
      <c r="R90" s="53">
        <v>14.2</v>
      </c>
      <c r="S90" s="53">
        <v>122</v>
      </c>
      <c r="T90" s="16">
        <f t="shared" si="6"/>
        <v>27</v>
      </c>
      <c r="U90" s="53">
        <v>105</v>
      </c>
      <c r="V90" s="16">
        <f t="shared" si="7"/>
        <v>2835</v>
      </c>
      <c r="W90" s="53">
        <v>3</v>
      </c>
      <c r="X90" s="53" t="s">
        <v>46</v>
      </c>
      <c r="Y90" s="53" t="s">
        <v>69</v>
      </c>
      <c r="Z90" s="53" t="s">
        <v>86</v>
      </c>
      <c r="AA90" s="53" t="s">
        <v>55</v>
      </c>
      <c r="AB90" s="53" t="s">
        <v>158</v>
      </c>
    </row>
    <row r="91" spans="1:34" x14ac:dyDescent="0.15">
      <c r="A91" s="53" t="s">
        <v>41</v>
      </c>
      <c r="B91" s="53" t="s">
        <v>157</v>
      </c>
      <c r="C91" s="62">
        <v>2019</v>
      </c>
      <c r="D91" s="63" t="s">
        <v>185</v>
      </c>
      <c r="E91" s="53" t="s">
        <v>195</v>
      </c>
      <c r="F91" s="53" t="s">
        <v>197</v>
      </c>
      <c r="G91" s="53" t="s">
        <v>42</v>
      </c>
      <c r="H91" s="53" t="s">
        <v>164</v>
      </c>
      <c r="I91" s="53" t="s">
        <v>159</v>
      </c>
      <c r="J91" s="53" t="s">
        <v>38</v>
      </c>
      <c r="K91" s="53" t="s">
        <v>161</v>
      </c>
      <c r="L91" s="53">
        <v>3</v>
      </c>
      <c r="N91" s="53">
        <v>1</v>
      </c>
      <c r="O91" s="53">
        <v>1.3</v>
      </c>
      <c r="P91" s="53">
        <v>1.1499999999999999</v>
      </c>
      <c r="Q91" s="74">
        <f t="shared" si="5"/>
        <v>1.2250000000000001</v>
      </c>
      <c r="R91" s="53">
        <v>13.3</v>
      </c>
      <c r="S91" s="53">
        <v>121</v>
      </c>
      <c r="T91" s="16">
        <f t="shared" si="6"/>
        <v>27</v>
      </c>
      <c r="U91" s="53">
        <v>105</v>
      </c>
      <c r="V91" s="16">
        <f t="shared" si="7"/>
        <v>2835</v>
      </c>
      <c r="W91" s="53">
        <v>3</v>
      </c>
      <c r="X91" s="53" t="s">
        <v>46</v>
      </c>
      <c r="Y91" s="53" t="s">
        <v>69</v>
      </c>
      <c r="Z91" s="53" t="s">
        <v>86</v>
      </c>
      <c r="AA91" s="53" t="s">
        <v>55</v>
      </c>
      <c r="AB91" s="53" t="s">
        <v>158</v>
      </c>
    </row>
    <row r="92" spans="1:34" x14ac:dyDescent="0.15">
      <c r="A92" s="53" t="s">
        <v>41</v>
      </c>
      <c r="B92" s="53" t="s">
        <v>157</v>
      </c>
      <c r="C92" s="62">
        <v>2019</v>
      </c>
      <c r="D92" s="63" t="s">
        <v>185</v>
      </c>
      <c r="E92" s="53" t="s">
        <v>195</v>
      </c>
      <c r="F92" s="53" t="s">
        <v>197</v>
      </c>
      <c r="G92" s="53" t="s">
        <v>42</v>
      </c>
      <c r="H92" s="53" t="s">
        <v>164</v>
      </c>
      <c r="I92" s="53" t="s">
        <v>159</v>
      </c>
      <c r="J92" s="53" t="s">
        <v>38</v>
      </c>
      <c r="K92" s="53" t="s">
        <v>161</v>
      </c>
      <c r="L92" s="53">
        <v>1</v>
      </c>
      <c r="N92" s="53">
        <v>6</v>
      </c>
      <c r="O92" s="53">
        <v>0.85</v>
      </c>
      <c r="P92" s="53">
        <v>0.9</v>
      </c>
      <c r="Q92" s="74">
        <f t="shared" si="5"/>
        <v>0.875</v>
      </c>
      <c r="R92" s="53">
        <v>12.9</v>
      </c>
      <c r="S92" s="53">
        <v>115</v>
      </c>
      <c r="T92" s="16">
        <f t="shared" si="6"/>
        <v>30</v>
      </c>
      <c r="U92" s="53">
        <v>429</v>
      </c>
      <c r="V92" s="16">
        <f t="shared" si="7"/>
        <v>2145</v>
      </c>
      <c r="W92" s="53">
        <v>1</v>
      </c>
      <c r="X92" s="53" t="s">
        <v>46</v>
      </c>
      <c r="Y92" s="53" t="s">
        <v>69</v>
      </c>
      <c r="Z92" s="53" t="s">
        <v>86</v>
      </c>
      <c r="AA92" s="53" t="s">
        <v>55</v>
      </c>
      <c r="AB92" s="53" t="s">
        <v>158</v>
      </c>
      <c r="AC92" s="76"/>
      <c r="AD92" s="76"/>
      <c r="AE92" s="76"/>
      <c r="AF92" s="76"/>
      <c r="AG92" s="76"/>
      <c r="AH92" s="76"/>
    </row>
    <row r="93" spans="1:34" x14ac:dyDescent="0.15">
      <c r="A93" s="53" t="s">
        <v>41</v>
      </c>
      <c r="B93" s="53" t="s">
        <v>157</v>
      </c>
      <c r="C93" s="62">
        <v>2019</v>
      </c>
      <c r="D93" s="63" t="s">
        <v>185</v>
      </c>
      <c r="E93" s="53" t="s">
        <v>195</v>
      </c>
      <c r="F93" s="53" t="s">
        <v>197</v>
      </c>
      <c r="G93" s="53" t="s">
        <v>42</v>
      </c>
      <c r="H93" s="53" t="s">
        <v>164</v>
      </c>
      <c r="I93" s="53" t="s">
        <v>159</v>
      </c>
      <c r="J93" s="53" t="s">
        <v>38</v>
      </c>
      <c r="K93" s="53" t="s">
        <v>161</v>
      </c>
      <c r="L93" s="53">
        <v>2</v>
      </c>
      <c r="N93" s="53">
        <v>6</v>
      </c>
      <c r="O93" s="53">
        <v>0.9</v>
      </c>
      <c r="P93" s="53">
        <v>0.85</v>
      </c>
      <c r="Q93" s="74">
        <f t="shared" si="5"/>
        <v>0.875</v>
      </c>
      <c r="R93" s="53">
        <v>16.2</v>
      </c>
      <c r="S93" s="53">
        <v>121</v>
      </c>
      <c r="T93" s="16">
        <f t="shared" si="6"/>
        <v>27</v>
      </c>
      <c r="U93" s="53">
        <v>429</v>
      </c>
      <c r="V93" s="16">
        <f t="shared" si="7"/>
        <v>1930.5</v>
      </c>
      <c r="W93" s="53">
        <v>1</v>
      </c>
      <c r="X93" s="53" t="s">
        <v>46</v>
      </c>
      <c r="Y93" s="53" t="s">
        <v>69</v>
      </c>
      <c r="Z93" s="53" t="s">
        <v>86</v>
      </c>
      <c r="AA93" s="53" t="s">
        <v>55</v>
      </c>
      <c r="AB93" s="53" t="s">
        <v>158</v>
      </c>
      <c r="AC93" s="76"/>
      <c r="AD93" s="76"/>
      <c r="AE93" s="76"/>
      <c r="AF93" s="76"/>
      <c r="AG93" s="76"/>
      <c r="AH93" s="76"/>
    </row>
    <row r="94" spans="1:34" x14ac:dyDescent="0.15">
      <c r="A94" s="53" t="s">
        <v>41</v>
      </c>
      <c r="B94" s="53" t="s">
        <v>157</v>
      </c>
      <c r="C94" s="62">
        <v>2019</v>
      </c>
      <c r="D94" s="63" t="s">
        <v>185</v>
      </c>
      <c r="E94" s="53" t="s">
        <v>195</v>
      </c>
      <c r="F94" s="53" t="s">
        <v>197</v>
      </c>
      <c r="G94" s="53" t="s">
        <v>42</v>
      </c>
      <c r="H94" s="53" t="s">
        <v>164</v>
      </c>
      <c r="I94" s="53" t="s">
        <v>159</v>
      </c>
      <c r="J94" s="53" t="s">
        <v>38</v>
      </c>
      <c r="K94" s="53" t="s">
        <v>161</v>
      </c>
      <c r="L94" s="53">
        <v>3</v>
      </c>
      <c r="N94" s="53">
        <v>6</v>
      </c>
      <c r="O94" s="53">
        <v>0.9</v>
      </c>
      <c r="P94" s="53">
        <v>0.8</v>
      </c>
      <c r="Q94" s="74">
        <f t="shared" si="5"/>
        <v>0.85000000000000009</v>
      </c>
      <c r="R94" s="53">
        <v>12.4</v>
      </c>
      <c r="S94" s="53">
        <v>120</v>
      </c>
      <c r="T94" s="16">
        <f t="shared" si="6"/>
        <v>30</v>
      </c>
      <c r="U94" s="53">
        <v>429</v>
      </c>
      <c r="V94" s="16">
        <f t="shared" si="7"/>
        <v>2145</v>
      </c>
      <c r="W94" s="53">
        <v>1</v>
      </c>
      <c r="X94" s="53" t="s">
        <v>46</v>
      </c>
      <c r="Y94" s="53" t="s">
        <v>69</v>
      </c>
      <c r="Z94" s="53" t="s">
        <v>86</v>
      </c>
      <c r="AA94" s="53" t="s">
        <v>55</v>
      </c>
      <c r="AB94" s="53" t="s">
        <v>158</v>
      </c>
      <c r="AC94" s="76"/>
      <c r="AD94" s="76"/>
      <c r="AE94" s="76"/>
      <c r="AF94" s="76"/>
      <c r="AG94" s="76"/>
      <c r="AH94" s="76"/>
    </row>
    <row r="95" spans="1:34" x14ac:dyDescent="0.15">
      <c r="A95" s="53" t="s">
        <v>41</v>
      </c>
      <c r="B95" s="53" t="s">
        <v>157</v>
      </c>
      <c r="C95" s="62">
        <v>2019</v>
      </c>
      <c r="D95" s="63" t="s">
        <v>185</v>
      </c>
      <c r="E95" s="53" t="s">
        <v>195</v>
      </c>
      <c r="F95" s="53" t="s">
        <v>197</v>
      </c>
      <c r="G95" s="53" t="s">
        <v>42</v>
      </c>
      <c r="H95" s="53" t="s">
        <v>164</v>
      </c>
      <c r="I95" s="53" t="s">
        <v>159</v>
      </c>
      <c r="J95" s="53" t="s">
        <v>38</v>
      </c>
      <c r="K95" s="53" t="s">
        <v>161</v>
      </c>
      <c r="L95" s="53">
        <v>1</v>
      </c>
      <c r="N95" s="53">
        <v>8</v>
      </c>
      <c r="O95" s="53">
        <v>0.45</v>
      </c>
      <c r="P95" s="53">
        <v>0.45</v>
      </c>
      <c r="Q95" s="74">
        <f t="shared" si="5"/>
        <v>0.45</v>
      </c>
      <c r="R95" s="53">
        <v>14.4</v>
      </c>
      <c r="S95" s="53">
        <v>116</v>
      </c>
      <c r="T95" s="16">
        <f t="shared" si="6"/>
        <v>30</v>
      </c>
      <c r="U95" s="53">
        <v>734</v>
      </c>
      <c r="V95" s="16">
        <f t="shared" si="7"/>
        <v>2752.5</v>
      </c>
      <c r="W95" s="53">
        <v>2</v>
      </c>
      <c r="X95" s="53" t="s">
        <v>46</v>
      </c>
      <c r="Y95" s="53" t="s">
        <v>69</v>
      </c>
      <c r="Z95" s="53" t="s">
        <v>86</v>
      </c>
      <c r="AA95" s="53" t="s">
        <v>55</v>
      </c>
      <c r="AB95" s="53" t="s">
        <v>158</v>
      </c>
      <c r="AC95" s="76"/>
      <c r="AD95" s="76"/>
      <c r="AE95" s="76"/>
      <c r="AF95" s="76"/>
      <c r="AG95" s="76"/>
      <c r="AH95" s="76"/>
    </row>
    <row r="96" spans="1:34" x14ac:dyDescent="0.15">
      <c r="A96" s="53" t="s">
        <v>41</v>
      </c>
      <c r="B96" s="53" t="s">
        <v>157</v>
      </c>
      <c r="C96" s="62">
        <v>2019</v>
      </c>
      <c r="D96" s="63" t="s">
        <v>185</v>
      </c>
      <c r="E96" s="53" t="s">
        <v>195</v>
      </c>
      <c r="F96" s="53" t="s">
        <v>197</v>
      </c>
      <c r="G96" s="53" t="s">
        <v>42</v>
      </c>
      <c r="H96" s="53" t="s">
        <v>164</v>
      </c>
      <c r="I96" s="53" t="s">
        <v>159</v>
      </c>
      <c r="J96" s="53" t="s">
        <v>38</v>
      </c>
      <c r="K96" s="53" t="s">
        <v>161</v>
      </c>
      <c r="L96" s="53">
        <v>2</v>
      </c>
      <c r="N96" s="53">
        <v>8</v>
      </c>
      <c r="O96" s="53">
        <v>0.3</v>
      </c>
      <c r="P96" s="53">
        <v>0.45</v>
      </c>
      <c r="Q96" s="74">
        <f t="shared" si="5"/>
        <v>0.375</v>
      </c>
      <c r="R96" s="53">
        <v>14.1</v>
      </c>
      <c r="S96" s="53">
        <v>112</v>
      </c>
      <c r="T96" s="16">
        <f t="shared" si="6"/>
        <v>33</v>
      </c>
      <c r="U96" s="53">
        <v>734</v>
      </c>
      <c r="V96" s="16">
        <f t="shared" si="7"/>
        <v>3027.75</v>
      </c>
      <c r="W96" s="53">
        <v>2</v>
      </c>
      <c r="X96" s="53" t="s">
        <v>46</v>
      </c>
      <c r="Y96" s="53" t="s">
        <v>69</v>
      </c>
      <c r="Z96" s="53" t="s">
        <v>86</v>
      </c>
      <c r="AA96" s="53" t="s">
        <v>55</v>
      </c>
      <c r="AB96" s="53" t="s">
        <v>158</v>
      </c>
      <c r="AC96" s="76"/>
      <c r="AD96" s="76"/>
      <c r="AE96" s="76"/>
      <c r="AF96" s="76"/>
      <c r="AG96" s="76"/>
      <c r="AH96" s="76"/>
    </row>
    <row r="97" spans="1:34" x14ac:dyDescent="0.15">
      <c r="A97" s="53" t="s">
        <v>41</v>
      </c>
      <c r="B97" s="53" t="s">
        <v>157</v>
      </c>
      <c r="C97" s="62">
        <v>2019</v>
      </c>
      <c r="D97" s="63" t="s">
        <v>185</v>
      </c>
      <c r="E97" s="53" t="s">
        <v>195</v>
      </c>
      <c r="F97" s="53" t="s">
        <v>197</v>
      </c>
      <c r="G97" s="53" t="s">
        <v>42</v>
      </c>
      <c r="H97" s="53" t="s">
        <v>164</v>
      </c>
      <c r="I97" s="53" t="s">
        <v>159</v>
      </c>
      <c r="J97" s="53" t="s">
        <v>38</v>
      </c>
      <c r="K97" s="53" t="s">
        <v>161</v>
      </c>
      <c r="L97" s="53">
        <v>3</v>
      </c>
      <c r="N97" s="53">
        <v>8</v>
      </c>
      <c r="O97" s="53">
        <v>0.5</v>
      </c>
      <c r="P97" s="53">
        <v>0.55000000000000004</v>
      </c>
      <c r="Q97" s="74">
        <f t="shared" si="5"/>
        <v>0.52500000000000002</v>
      </c>
      <c r="R97" s="53">
        <v>13.8</v>
      </c>
      <c r="S97" s="53">
        <v>117</v>
      </c>
      <c r="T97" s="16">
        <f t="shared" si="6"/>
        <v>30</v>
      </c>
      <c r="U97" s="53">
        <v>734</v>
      </c>
      <c r="V97" s="16">
        <f t="shared" si="7"/>
        <v>2752.5</v>
      </c>
      <c r="W97" s="53">
        <v>2</v>
      </c>
      <c r="X97" s="53" t="s">
        <v>46</v>
      </c>
      <c r="Y97" s="53" t="s">
        <v>69</v>
      </c>
      <c r="Z97" s="53" t="s">
        <v>86</v>
      </c>
      <c r="AA97" s="53" t="s">
        <v>55</v>
      </c>
      <c r="AB97" s="53" t="s">
        <v>158</v>
      </c>
      <c r="AC97" s="76"/>
      <c r="AD97" s="76"/>
      <c r="AE97" s="76"/>
      <c r="AF97" s="76"/>
      <c r="AG97" s="76"/>
      <c r="AH97" s="76"/>
    </row>
    <row r="98" spans="1:34" x14ac:dyDescent="0.15">
      <c r="A98" s="53" t="s">
        <v>41</v>
      </c>
      <c r="B98" s="53" t="s">
        <v>157</v>
      </c>
      <c r="C98" s="62">
        <v>2019</v>
      </c>
      <c r="D98" s="63" t="s">
        <v>185</v>
      </c>
      <c r="E98" s="53" t="s">
        <v>195</v>
      </c>
      <c r="F98" s="53" t="s">
        <v>197</v>
      </c>
      <c r="G98" s="53" t="s">
        <v>42</v>
      </c>
      <c r="H98" s="53" t="s">
        <v>160</v>
      </c>
      <c r="I98" s="53" t="s">
        <v>159</v>
      </c>
      <c r="J98" s="53" t="s">
        <v>38</v>
      </c>
      <c r="K98" s="53" t="s">
        <v>161</v>
      </c>
      <c r="L98" s="53">
        <v>1</v>
      </c>
      <c r="N98" s="53">
        <v>1</v>
      </c>
      <c r="O98" s="53">
        <v>0.45</v>
      </c>
      <c r="P98" s="53">
        <v>0.5</v>
      </c>
      <c r="Q98" s="74">
        <f t="shared" si="5"/>
        <v>0.47499999999999998</v>
      </c>
      <c r="R98" s="53">
        <v>14.7</v>
      </c>
      <c r="S98" s="53">
        <v>123</v>
      </c>
      <c r="T98" s="16">
        <f t="shared" si="6"/>
        <v>27</v>
      </c>
      <c r="U98" s="53">
        <v>170</v>
      </c>
      <c r="V98" s="16">
        <f t="shared" si="7"/>
        <v>4590</v>
      </c>
      <c r="W98" s="53">
        <v>1</v>
      </c>
      <c r="X98" s="53" t="s">
        <v>46</v>
      </c>
      <c r="Y98" s="53" t="s">
        <v>69</v>
      </c>
      <c r="Z98" s="53" t="s">
        <v>86</v>
      </c>
      <c r="AA98" s="53" t="s">
        <v>55</v>
      </c>
      <c r="AB98" s="53" t="s">
        <v>158</v>
      </c>
      <c r="AC98" s="76"/>
      <c r="AD98" s="76"/>
      <c r="AE98" s="76"/>
      <c r="AF98" s="76"/>
      <c r="AG98" s="76"/>
      <c r="AH98" s="76"/>
    </row>
    <row r="99" spans="1:34" x14ac:dyDescent="0.15">
      <c r="A99" s="53" t="s">
        <v>41</v>
      </c>
      <c r="B99" s="53" t="s">
        <v>157</v>
      </c>
      <c r="C99" s="62">
        <v>2019</v>
      </c>
      <c r="D99" s="63" t="s">
        <v>185</v>
      </c>
      <c r="E99" s="53" t="s">
        <v>195</v>
      </c>
      <c r="F99" s="53" t="s">
        <v>197</v>
      </c>
      <c r="G99" s="53" t="s">
        <v>42</v>
      </c>
      <c r="H99" s="53" t="s">
        <v>160</v>
      </c>
      <c r="I99" s="53" t="s">
        <v>159</v>
      </c>
      <c r="J99" s="53" t="s">
        <v>38</v>
      </c>
      <c r="K99" s="53" t="s">
        <v>161</v>
      </c>
      <c r="L99" s="53">
        <v>2</v>
      </c>
      <c r="N99" s="53">
        <v>1</v>
      </c>
      <c r="O99" s="53">
        <v>0.3</v>
      </c>
      <c r="P99" s="53">
        <v>0.3</v>
      </c>
      <c r="Q99" s="74">
        <f t="shared" si="5"/>
        <v>0.3</v>
      </c>
      <c r="R99" s="53">
        <v>13.2</v>
      </c>
      <c r="S99" s="53">
        <v>125</v>
      </c>
      <c r="T99" s="16">
        <f t="shared" si="6"/>
        <v>27</v>
      </c>
      <c r="U99" s="53">
        <v>170</v>
      </c>
      <c r="V99" s="16">
        <f t="shared" si="7"/>
        <v>4590</v>
      </c>
      <c r="W99" s="53">
        <v>1</v>
      </c>
      <c r="X99" s="53" t="s">
        <v>46</v>
      </c>
      <c r="Y99" s="53" t="s">
        <v>69</v>
      </c>
      <c r="Z99" s="53" t="s">
        <v>86</v>
      </c>
      <c r="AA99" s="53" t="s">
        <v>55</v>
      </c>
      <c r="AB99" s="53" t="s">
        <v>158</v>
      </c>
      <c r="AC99" s="76"/>
      <c r="AD99" s="76"/>
      <c r="AE99" s="76"/>
      <c r="AF99" s="76"/>
      <c r="AG99" s="76"/>
      <c r="AH99" s="76"/>
    </row>
    <row r="100" spans="1:34" x14ac:dyDescent="0.15">
      <c r="A100" s="53" t="s">
        <v>41</v>
      </c>
      <c r="B100" s="53" t="s">
        <v>157</v>
      </c>
      <c r="C100" s="62">
        <v>2019</v>
      </c>
      <c r="D100" s="63" t="s">
        <v>185</v>
      </c>
      <c r="E100" s="53" t="s">
        <v>195</v>
      </c>
      <c r="F100" s="53" t="s">
        <v>197</v>
      </c>
      <c r="G100" s="53" t="s">
        <v>42</v>
      </c>
      <c r="H100" s="53" t="s">
        <v>160</v>
      </c>
      <c r="I100" s="53" t="s">
        <v>159</v>
      </c>
      <c r="J100" s="53" t="s">
        <v>38</v>
      </c>
      <c r="K100" s="53" t="s">
        <v>161</v>
      </c>
      <c r="L100" s="53">
        <v>3</v>
      </c>
      <c r="N100" s="53">
        <v>1</v>
      </c>
      <c r="O100" s="53">
        <v>0.55000000000000004</v>
      </c>
      <c r="P100" s="53">
        <v>0.35</v>
      </c>
      <c r="Q100" s="74">
        <f t="shared" si="5"/>
        <v>0.45</v>
      </c>
      <c r="R100" s="53">
        <v>13.1</v>
      </c>
      <c r="S100" s="53">
        <v>127</v>
      </c>
      <c r="T100" s="16">
        <f t="shared" si="6"/>
        <v>27</v>
      </c>
      <c r="U100" s="53">
        <v>170</v>
      </c>
      <c r="V100" s="16">
        <f t="shared" si="7"/>
        <v>4590</v>
      </c>
      <c r="W100" s="53">
        <v>1</v>
      </c>
      <c r="X100" s="53" t="s">
        <v>46</v>
      </c>
      <c r="Y100" s="53" t="s">
        <v>69</v>
      </c>
      <c r="Z100" s="53" t="s">
        <v>86</v>
      </c>
      <c r="AA100" s="53" t="s">
        <v>55</v>
      </c>
      <c r="AB100" s="53" t="s">
        <v>158</v>
      </c>
      <c r="AC100" s="76"/>
      <c r="AD100" s="76"/>
      <c r="AE100" s="76"/>
      <c r="AF100" s="76"/>
      <c r="AG100" s="76"/>
      <c r="AH100" s="76"/>
    </row>
    <row r="101" spans="1:34" x14ac:dyDescent="0.15">
      <c r="A101" s="53" t="s">
        <v>41</v>
      </c>
      <c r="B101" s="53" t="s">
        <v>157</v>
      </c>
      <c r="C101" s="62">
        <v>2019</v>
      </c>
      <c r="D101" s="63" t="s">
        <v>185</v>
      </c>
      <c r="E101" s="53" t="s">
        <v>195</v>
      </c>
      <c r="F101" s="53" t="s">
        <v>197</v>
      </c>
      <c r="G101" s="53" t="s">
        <v>42</v>
      </c>
      <c r="H101" s="53" t="s">
        <v>160</v>
      </c>
      <c r="I101" s="53" t="s">
        <v>159</v>
      </c>
      <c r="J101" s="53" t="s">
        <v>38</v>
      </c>
      <c r="K101" s="53" t="s">
        <v>161</v>
      </c>
      <c r="L101" s="53">
        <v>1</v>
      </c>
      <c r="N101" s="53">
        <v>4</v>
      </c>
      <c r="O101" s="53">
        <v>0.5</v>
      </c>
      <c r="P101" s="53">
        <v>0.4</v>
      </c>
      <c r="Q101" s="74">
        <f t="shared" si="5"/>
        <v>0.45</v>
      </c>
      <c r="R101" s="53">
        <v>15.8</v>
      </c>
      <c r="S101" s="53">
        <v>125</v>
      </c>
      <c r="T101" s="16">
        <f t="shared" si="6"/>
        <v>27</v>
      </c>
      <c r="U101" s="53">
        <v>518</v>
      </c>
      <c r="V101" s="16">
        <f t="shared" si="7"/>
        <v>3496.5</v>
      </c>
      <c r="W101" s="53">
        <v>2</v>
      </c>
      <c r="X101" s="53" t="s">
        <v>46</v>
      </c>
      <c r="Y101" s="53" t="s">
        <v>69</v>
      </c>
      <c r="Z101" s="53" t="s">
        <v>86</v>
      </c>
      <c r="AA101" s="53" t="s">
        <v>55</v>
      </c>
      <c r="AB101" s="53" t="s">
        <v>158</v>
      </c>
      <c r="AC101" s="76"/>
      <c r="AD101" s="76"/>
      <c r="AE101" s="76"/>
      <c r="AF101" s="76"/>
      <c r="AG101" s="76"/>
      <c r="AH101" s="76"/>
    </row>
    <row r="102" spans="1:34" x14ac:dyDescent="0.15">
      <c r="A102" s="53" t="s">
        <v>41</v>
      </c>
      <c r="B102" s="53" t="s">
        <v>157</v>
      </c>
      <c r="C102" s="62">
        <v>2019</v>
      </c>
      <c r="D102" s="63" t="s">
        <v>185</v>
      </c>
      <c r="E102" s="53" t="s">
        <v>195</v>
      </c>
      <c r="F102" s="53" t="s">
        <v>197</v>
      </c>
      <c r="G102" s="53" t="s">
        <v>42</v>
      </c>
      <c r="H102" s="53" t="s">
        <v>160</v>
      </c>
      <c r="I102" s="53" t="s">
        <v>159</v>
      </c>
      <c r="J102" s="53" t="s">
        <v>38</v>
      </c>
      <c r="K102" s="53" t="s">
        <v>161</v>
      </c>
      <c r="L102" s="53">
        <v>2</v>
      </c>
      <c r="N102" s="53">
        <v>4</v>
      </c>
      <c r="O102" s="53">
        <v>0.65</v>
      </c>
      <c r="P102" s="53">
        <v>0.5</v>
      </c>
      <c r="Q102" s="74">
        <f t="shared" si="5"/>
        <v>0.57499999999999996</v>
      </c>
      <c r="R102" s="53">
        <v>16.5</v>
      </c>
      <c r="S102" s="53">
        <v>123</v>
      </c>
      <c r="T102" s="16">
        <f t="shared" si="6"/>
        <v>27</v>
      </c>
      <c r="U102" s="53">
        <v>518</v>
      </c>
      <c r="V102" s="16">
        <f t="shared" si="7"/>
        <v>3496.5</v>
      </c>
      <c r="W102" s="53">
        <v>2</v>
      </c>
      <c r="X102" s="53" t="s">
        <v>46</v>
      </c>
      <c r="Y102" s="53" t="s">
        <v>69</v>
      </c>
      <c r="Z102" s="53" t="s">
        <v>86</v>
      </c>
      <c r="AA102" s="53" t="s">
        <v>55</v>
      </c>
      <c r="AB102" s="53" t="s">
        <v>158</v>
      </c>
      <c r="AC102" s="76"/>
      <c r="AD102" s="76"/>
      <c r="AE102" s="76"/>
      <c r="AF102" s="76"/>
      <c r="AG102" s="76"/>
      <c r="AH102" s="76"/>
    </row>
    <row r="103" spans="1:34" x14ac:dyDescent="0.15">
      <c r="A103" s="53" t="s">
        <v>41</v>
      </c>
      <c r="B103" s="53" t="s">
        <v>157</v>
      </c>
      <c r="C103" s="62">
        <v>2019</v>
      </c>
      <c r="D103" s="63" t="s">
        <v>185</v>
      </c>
      <c r="E103" s="53" t="s">
        <v>195</v>
      </c>
      <c r="F103" s="53" t="s">
        <v>197</v>
      </c>
      <c r="G103" s="53" t="s">
        <v>42</v>
      </c>
      <c r="H103" s="53" t="s">
        <v>160</v>
      </c>
      <c r="I103" s="53" t="s">
        <v>159</v>
      </c>
      <c r="J103" s="53" t="s">
        <v>38</v>
      </c>
      <c r="K103" s="53" t="s">
        <v>161</v>
      </c>
      <c r="L103" s="53">
        <v>3</v>
      </c>
      <c r="N103" s="53">
        <v>4</v>
      </c>
      <c r="O103" s="53">
        <v>0.45</v>
      </c>
      <c r="P103" s="53">
        <v>0.45</v>
      </c>
      <c r="Q103" s="74">
        <f t="shared" si="5"/>
        <v>0.45</v>
      </c>
      <c r="R103" s="53">
        <v>16.2</v>
      </c>
      <c r="S103" s="53">
        <v>124</v>
      </c>
      <c r="T103" s="16">
        <f t="shared" si="6"/>
        <v>27</v>
      </c>
      <c r="U103" s="53">
        <v>518</v>
      </c>
      <c r="V103" s="16">
        <f t="shared" si="7"/>
        <v>3496.5</v>
      </c>
      <c r="W103" s="53">
        <v>2</v>
      </c>
      <c r="X103" s="53" t="s">
        <v>46</v>
      </c>
      <c r="Y103" s="53" t="s">
        <v>69</v>
      </c>
      <c r="Z103" s="53" t="s">
        <v>86</v>
      </c>
      <c r="AA103" s="53" t="s">
        <v>55</v>
      </c>
      <c r="AB103" s="53" t="s">
        <v>158</v>
      </c>
      <c r="AC103" s="76"/>
      <c r="AD103" s="76"/>
      <c r="AE103" s="76"/>
      <c r="AF103" s="76"/>
      <c r="AG103" s="76"/>
      <c r="AH103" s="76"/>
    </row>
    <row r="104" spans="1:34" x14ac:dyDescent="0.15">
      <c r="A104" s="53" t="s">
        <v>41</v>
      </c>
      <c r="B104" s="53" t="s">
        <v>157</v>
      </c>
      <c r="C104" s="62">
        <v>2019</v>
      </c>
      <c r="D104" s="63" t="s">
        <v>185</v>
      </c>
      <c r="E104" s="53" t="s">
        <v>195</v>
      </c>
      <c r="F104" s="53" t="s">
        <v>197</v>
      </c>
      <c r="G104" s="53" t="s">
        <v>42</v>
      </c>
      <c r="H104" s="53" t="s">
        <v>160</v>
      </c>
      <c r="I104" s="53" t="s">
        <v>159</v>
      </c>
      <c r="J104" s="53" t="s">
        <v>38</v>
      </c>
      <c r="K104" s="53" t="s">
        <v>161</v>
      </c>
      <c r="L104" s="53">
        <v>1</v>
      </c>
      <c r="N104" s="53">
        <v>7</v>
      </c>
      <c r="O104" s="53">
        <v>0.7</v>
      </c>
      <c r="P104" s="53">
        <v>0.65</v>
      </c>
      <c r="Q104" s="74">
        <f t="shared" si="5"/>
        <v>0.67500000000000004</v>
      </c>
      <c r="R104" s="53">
        <v>15</v>
      </c>
      <c r="S104" s="53">
        <v>118</v>
      </c>
      <c r="T104" s="16">
        <f t="shared" si="6"/>
        <v>30</v>
      </c>
      <c r="U104" s="53">
        <v>1026</v>
      </c>
      <c r="V104" s="16">
        <f t="shared" si="7"/>
        <v>4397.1428571428578</v>
      </c>
      <c r="W104" s="53">
        <v>2</v>
      </c>
      <c r="X104" s="53" t="s">
        <v>46</v>
      </c>
      <c r="Y104" s="53" t="s">
        <v>69</v>
      </c>
      <c r="Z104" s="53" t="s">
        <v>86</v>
      </c>
      <c r="AA104" s="53" t="s">
        <v>55</v>
      </c>
      <c r="AB104" s="53" t="s">
        <v>158</v>
      </c>
      <c r="AC104" s="76"/>
      <c r="AD104" s="76"/>
      <c r="AE104" s="76"/>
      <c r="AF104" s="76"/>
      <c r="AG104" s="76"/>
      <c r="AH104" s="76"/>
    </row>
    <row r="105" spans="1:34" x14ac:dyDescent="0.15">
      <c r="A105" s="53" t="s">
        <v>41</v>
      </c>
      <c r="B105" s="53" t="s">
        <v>157</v>
      </c>
      <c r="C105" s="62">
        <v>2019</v>
      </c>
      <c r="D105" s="63" t="s">
        <v>185</v>
      </c>
      <c r="E105" s="53" t="s">
        <v>195</v>
      </c>
      <c r="F105" s="53" t="s">
        <v>197</v>
      </c>
      <c r="G105" s="53" t="s">
        <v>42</v>
      </c>
      <c r="H105" s="53" t="s">
        <v>160</v>
      </c>
      <c r="I105" s="53" t="s">
        <v>159</v>
      </c>
      <c r="J105" s="53" t="s">
        <v>38</v>
      </c>
      <c r="K105" s="53" t="s">
        <v>161</v>
      </c>
      <c r="L105" s="53">
        <v>2</v>
      </c>
      <c r="N105" s="53">
        <v>7</v>
      </c>
      <c r="O105" s="53">
        <v>0.85</v>
      </c>
      <c r="P105" s="53">
        <v>0.5</v>
      </c>
      <c r="Q105" s="74">
        <f t="shared" si="5"/>
        <v>0.67500000000000004</v>
      </c>
      <c r="R105" s="53">
        <v>14.7</v>
      </c>
      <c r="S105" s="53">
        <v>117</v>
      </c>
      <c r="T105" s="16">
        <f t="shared" si="6"/>
        <v>30</v>
      </c>
      <c r="U105" s="53">
        <v>1026</v>
      </c>
      <c r="V105" s="16">
        <f t="shared" si="7"/>
        <v>4397.1428571428578</v>
      </c>
      <c r="W105" s="53">
        <v>2</v>
      </c>
      <c r="X105" s="53" t="s">
        <v>46</v>
      </c>
      <c r="Y105" s="53" t="s">
        <v>69</v>
      </c>
      <c r="Z105" s="53" t="s">
        <v>86</v>
      </c>
      <c r="AA105" s="53" t="s">
        <v>55</v>
      </c>
      <c r="AB105" s="53" t="s">
        <v>158</v>
      </c>
      <c r="AC105" s="76"/>
      <c r="AD105" s="76"/>
      <c r="AE105" s="76"/>
      <c r="AF105" s="76"/>
      <c r="AG105" s="76"/>
      <c r="AH105" s="76"/>
    </row>
    <row r="106" spans="1:34" x14ac:dyDescent="0.15">
      <c r="A106" s="53" t="s">
        <v>41</v>
      </c>
      <c r="B106" s="53" t="s">
        <v>157</v>
      </c>
      <c r="C106" s="62">
        <v>2019</v>
      </c>
      <c r="D106" s="63" t="s">
        <v>185</v>
      </c>
      <c r="E106" s="53" t="s">
        <v>195</v>
      </c>
      <c r="F106" s="53" t="s">
        <v>197</v>
      </c>
      <c r="G106" s="53" t="s">
        <v>42</v>
      </c>
      <c r="H106" s="53" t="s">
        <v>160</v>
      </c>
      <c r="I106" s="53" t="s">
        <v>159</v>
      </c>
      <c r="J106" s="53" t="s">
        <v>38</v>
      </c>
      <c r="K106" s="53" t="s">
        <v>161</v>
      </c>
      <c r="L106" s="53">
        <v>3</v>
      </c>
      <c r="N106" s="53">
        <v>7</v>
      </c>
      <c r="O106" s="53">
        <v>0.65</v>
      </c>
      <c r="P106" s="53">
        <v>0.6</v>
      </c>
      <c r="Q106" s="74">
        <f t="shared" si="5"/>
        <v>0.625</v>
      </c>
      <c r="R106" s="53">
        <v>14.2</v>
      </c>
      <c r="S106" s="53">
        <v>112</v>
      </c>
      <c r="T106" s="16">
        <f t="shared" si="6"/>
        <v>33</v>
      </c>
      <c r="U106" s="53">
        <v>1026</v>
      </c>
      <c r="V106" s="16">
        <f t="shared" si="7"/>
        <v>4836.8571428571431</v>
      </c>
      <c r="W106" s="53">
        <v>2</v>
      </c>
      <c r="X106" s="53" t="s">
        <v>46</v>
      </c>
      <c r="Y106" s="53" t="s">
        <v>69</v>
      </c>
      <c r="Z106" s="53" t="s">
        <v>86</v>
      </c>
      <c r="AA106" s="53" t="s">
        <v>55</v>
      </c>
      <c r="AB106" s="53" t="s">
        <v>158</v>
      </c>
      <c r="AC106" s="76"/>
      <c r="AD106" s="76"/>
      <c r="AE106" s="76"/>
      <c r="AF106" s="76"/>
      <c r="AG106" s="76"/>
      <c r="AH106" s="76"/>
    </row>
    <row r="107" spans="1:34" x14ac:dyDescent="0.15">
      <c r="A107" s="53" t="s">
        <v>41</v>
      </c>
      <c r="B107" s="53" t="s">
        <v>157</v>
      </c>
      <c r="C107" s="62">
        <v>2019</v>
      </c>
      <c r="D107" s="63" t="s">
        <v>185</v>
      </c>
      <c r="E107" s="53" t="s">
        <v>199</v>
      </c>
      <c r="F107" s="53" t="s">
        <v>197</v>
      </c>
      <c r="G107" s="53" t="s">
        <v>42</v>
      </c>
      <c r="H107" s="53" t="s">
        <v>160</v>
      </c>
      <c r="I107" s="53" t="s">
        <v>159</v>
      </c>
      <c r="J107" s="53" t="s">
        <v>38</v>
      </c>
      <c r="K107" s="53" t="s">
        <v>161</v>
      </c>
      <c r="L107" s="53">
        <v>1</v>
      </c>
      <c r="N107" s="53">
        <v>6</v>
      </c>
      <c r="O107" s="53">
        <v>0.3</v>
      </c>
      <c r="P107" s="53">
        <v>0.5</v>
      </c>
      <c r="Q107" s="16">
        <f t="shared" si="5"/>
        <v>0.4</v>
      </c>
      <c r="R107" s="53">
        <v>16.8</v>
      </c>
      <c r="S107" s="53">
        <v>103</v>
      </c>
      <c r="T107" s="16">
        <f t="shared" si="6"/>
        <v>33</v>
      </c>
      <c r="U107" s="53">
        <v>537</v>
      </c>
      <c r="V107" s="16">
        <f t="shared" si="7"/>
        <v>2953.5</v>
      </c>
      <c r="W107" s="53">
        <v>5</v>
      </c>
      <c r="X107" s="53" t="s">
        <v>46</v>
      </c>
      <c r="Y107" s="53" t="s">
        <v>55</v>
      </c>
      <c r="Z107" s="53" t="s">
        <v>97</v>
      </c>
      <c r="AA107" s="53" t="s">
        <v>69</v>
      </c>
      <c r="AB107" s="53" t="s">
        <v>158</v>
      </c>
      <c r="AC107" s="76"/>
      <c r="AD107" s="76"/>
      <c r="AE107" s="76"/>
      <c r="AF107" s="76"/>
      <c r="AG107" s="76"/>
      <c r="AH107" s="76"/>
    </row>
    <row r="108" spans="1:34" x14ac:dyDescent="0.15">
      <c r="A108" s="53" t="s">
        <v>41</v>
      </c>
      <c r="B108" s="53" t="s">
        <v>157</v>
      </c>
      <c r="C108" s="62">
        <v>2019</v>
      </c>
      <c r="D108" s="63" t="s">
        <v>185</v>
      </c>
      <c r="E108" s="53" t="s">
        <v>199</v>
      </c>
      <c r="F108" s="53" t="s">
        <v>197</v>
      </c>
      <c r="G108" s="53" t="s">
        <v>42</v>
      </c>
      <c r="H108" s="53" t="s">
        <v>160</v>
      </c>
      <c r="I108" s="53" t="s">
        <v>159</v>
      </c>
      <c r="J108" s="53" t="s">
        <v>38</v>
      </c>
      <c r="K108" s="53" t="s">
        <v>161</v>
      </c>
      <c r="L108" s="53">
        <v>2</v>
      </c>
      <c r="N108" s="53">
        <v>6</v>
      </c>
      <c r="O108" s="53">
        <v>0.45</v>
      </c>
      <c r="P108" s="53">
        <v>0.45</v>
      </c>
      <c r="Q108" s="16">
        <f t="shared" si="5"/>
        <v>0.45</v>
      </c>
      <c r="R108" s="53">
        <v>14.2</v>
      </c>
      <c r="S108" s="53">
        <v>105</v>
      </c>
      <c r="T108" s="16">
        <f t="shared" si="6"/>
        <v>33</v>
      </c>
      <c r="U108" s="53">
        <v>537</v>
      </c>
      <c r="V108" s="16">
        <f t="shared" si="7"/>
        <v>2953.5</v>
      </c>
      <c r="W108" s="53">
        <v>5</v>
      </c>
      <c r="X108" s="53" t="s">
        <v>46</v>
      </c>
      <c r="Y108" s="53" t="s">
        <v>55</v>
      </c>
      <c r="Z108" s="53" t="s">
        <v>97</v>
      </c>
      <c r="AA108" s="53" t="s">
        <v>69</v>
      </c>
      <c r="AB108" s="53" t="s">
        <v>158</v>
      </c>
      <c r="AC108" s="76"/>
      <c r="AD108" s="76"/>
      <c r="AE108" s="76"/>
      <c r="AF108" s="76"/>
      <c r="AG108" s="76"/>
      <c r="AH108" s="76"/>
    </row>
    <row r="109" spans="1:34" x14ac:dyDescent="0.15">
      <c r="A109" s="53" t="s">
        <v>41</v>
      </c>
      <c r="B109" s="53" t="s">
        <v>157</v>
      </c>
      <c r="C109" s="62">
        <v>2019</v>
      </c>
      <c r="D109" s="63" t="s">
        <v>185</v>
      </c>
      <c r="E109" s="53" t="s">
        <v>199</v>
      </c>
      <c r="F109" s="53" t="s">
        <v>197</v>
      </c>
      <c r="G109" s="53" t="s">
        <v>42</v>
      </c>
      <c r="H109" s="53" t="s">
        <v>160</v>
      </c>
      <c r="I109" s="53" t="s">
        <v>159</v>
      </c>
      <c r="J109" s="53" t="s">
        <v>38</v>
      </c>
      <c r="K109" s="53" t="s">
        <v>161</v>
      </c>
      <c r="L109" s="53">
        <v>3</v>
      </c>
      <c r="N109" s="53">
        <v>6</v>
      </c>
      <c r="O109" s="53">
        <v>0.25</v>
      </c>
      <c r="P109" s="53">
        <v>0.3</v>
      </c>
      <c r="Q109" s="16">
        <f t="shared" si="5"/>
        <v>0.27500000000000002</v>
      </c>
      <c r="R109" s="53">
        <v>13.8</v>
      </c>
      <c r="S109" s="53">
        <v>100</v>
      </c>
      <c r="T109" s="38">
        <f t="shared" si="6"/>
        <v>33</v>
      </c>
      <c r="U109" s="53">
        <v>537</v>
      </c>
      <c r="V109" s="16">
        <f t="shared" si="7"/>
        <v>2953.5</v>
      </c>
      <c r="W109" s="53">
        <v>5</v>
      </c>
      <c r="X109" s="53" t="s">
        <v>46</v>
      </c>
      <c r="Y109" s="53" t="s">
        <v>55</v>
      </c>
      <c r="Z109" s="53" t="s">
        <v>97</v>
      </c>
      <c r="AA109" s="53" t="s">
        <v>69</v>
      </c>
      <c r="AB109" s="53" t="s">
        <v>158</v>
      </c>
      <c r="AC109" s="76"/>
      <c r="AD109" s="76"/>
      <c r="AE109" s="76"/>
      <c r="AF109" s="76"/>
      <c r="AG109" s="76"/>
      <c r="AH109" s="76"/>
    </row>
    <row r="110" spans="1:34" x14ac:dyDescent="0.15">
      <c r="A110" s="53" t="s">
        <v>41</v>
      </c>
      <c r="B110" s="53" t="s">
        <v>157</v>
      </c>
      <c r="C110" s="62">
        <v>2019</v>
      </c>
      <c r="D110" s="63" t="s">
        <v>185</v>
      </c>
      <c r="E110" s="53" t="s">
        <v>199</v>
      </c>
      <c r="F110" s="53" t="s">
        <v>197</v>
      </c>
      <c r="G110" s="53" t="s">
        <v>42</v>
      </c>
      <c r="H110" s="53" t="s">
        <v>160</v>
      </c>
      <c r="I110" s="53" t="s">
        <v>159</v>
      </c>
      <c r="J110" s="53" t="s">
        <v>38</v>
      </c>
      <c r="K110" s="53" t="s">
        <v>161</v>
      </c>
      <c r="L110" s="53">
        <v>1</v>
      </c>
      <c r="N110" s="53">
        <v>1</v>
      </c>
      <c r="O110" s="53">
        <v>0.25</v>
      </c>
      <c r="P110" s="53">
        <v>0.3</v>
      </c>
      <c r="Q110" s="16">
        <f t="shared" si="5"/>
        <v>0.27500000000000002</v>
      </c>
      <c r="R110" s="53">
        <v>14</v>
      </c>
      <c r="S110" s="53">
        <v>112</v>
      </c>
      <c r="T110" s="38">
        <f t="shared" si="6"/>
        <v>33</v>
      </c>
      <c r="U110" s="53">
        <v>83</v>
      </c>
      <c r="V110" s="16">
        <f t="shared" si="7"/>
        <v>2739</v>
      </c>
      <c r="W110" s="53">
        <v>4</v>
      </c>
      <c r="X110" s="53" t="s">
        <v>46</v>
      </c>
      <c r="Y110" s="53" t="s">
        <v>55</v>
      </c>
      <c r="Z110" s="53" t="s">
        <v>97</v>
      </c>
      <c r="AA110" s="53" t="s">
        <v>69</v>
      </c>
      <c r="AB110" s="53" t="s">
        <v>158</v>
      </c>
      <c r="AC110" s="76"/>
      <c r="AD110" s="76"/>
      <c r="AE110" s="76"/>
      <c r="AF110" s="76"/>
      <c r="AG110" s="76"/>
      <c r="AH110" s="76"/>
    </row>
    <row r="111" spans="1:34" x14ac:dyDescent="0.15">
      <c r="A111" s="53" t="s">
        <v>41</v>
      </c>
      <c r="B111" s="53" t="s">
        <v>157</v>
      </c>
      <c r="C111" s="62">
        <v>2019</v>
      </c>
      <c r="D111" s="63" t="s">
        <v>185</v>
      </c>
      <c r="E111" s="53" t="s">
        <v>199</v>
      </c>
      <c r="F111" s="53" t="s">
        <v>197</v>
      </c>
      <c r="G111" s="53" t="s">
        <v>42</v>
      </c>
      <c r="H111" s="53" t="s">
        <v>160</v>
      </c>
      <c r="I111" s="53" t="s">
        <v>159</v>
      </c>
      <c r="J111" s="53" t="s">
        <v>38</v>
      </c>
      <c r="K111" s="53" t="s">
        <v>161</v>
      </c>
      <c r="L111" s="53">
        <v>2</v>
      </c>
      <c r="N111" s="53">
        <v>1</v>
      </c>
      <c r="O111" s="53">
        <v>0.65</v>
      </c>
      <c r="P111" s="53">
        <v>0.6</v>
      </c>
      <c r="Q111" s="16">
        <f t="shared" si="5"/>
        <v>0.625</v>
      </c>
      <c r="R111" s="53">
        <v>12.8</v>
      </c>
      <c r="S111" s="53">
        <v>114</v>
      </c>
      <c r="T111" s="38">
        <f t="shared" si="6"/>
        <v>30</v>
      </c>
      <c r="U111" s="53">
        <v>83</v>
      </c>
      <c r="V111" s="16">
        <f t="shared" si="7"/>
        <v>2490</v>
      </c>
      <c r="W111" s="53">
        <v>4</v>
      </c>
      <c r="X111" s="53" t="s">
        <v>46</v>
      </c>
      <c r="Y111" s="53" t="s">
        <v>55</v>
      </c>
      <c r="Z111" s="53" t="s">
        <v>97</v>
      </c>
      <c r="AA111" s="53" t="s">
        <v>69</v>
      </c>
      <c r="AB111" s="53" t="s">
        <v>158</v>
      </c>
      <c r="AC111" s="76"/>
      <c r="AD111" s="76"/>
      <c r="AE111" s="76"/>
      <c r="AF111" s="76"/>
      <c r="AG111" s="76"/>
      <c r="AH111" s="76"/>
    </row>
    <row r="112" spans="1:34" x14ac:dyDescent="0.15">
      <c r="A112" s="53" t="s">
        <v>41</v>
      </c>
      <c r="B112" s="53" t="s">
        <v>157</v>
      </c>
      <c r="C112" s="62">
        <v>2019</v>
      </c>
      <c r="D112" s="63" t="s">
        <v>185</v>
      </c>
      <c r="E112" s="53" t="s">
        <v>199</v>
      </c>
      <c r="F112" s="53" t="s">
        <v>197</v>
      </c>
      <c r="G112" s="53" t="s">
        <v>42</v>
      </c>
      <c r="H112" s="53" t="s">
        <v>160</v>
      </c>
      <c r="I112" s="53" t="s">
        <v>159</v>
      </c>
      <c r="J112" s="53" t="s">
        <v>38</v>
      </c>
      <c r="K112" s="53" t="s">
        <v>161</v>
      </c>
      <c r="L112" s="53">
        <v>3</v>
      </c>
      <c r="N112" s="53">
        <v>1</v>
      </c>
      <c r="O112" s="53">
        <v>0.5</v>
      </c>
      <c r="P112" s="53">
        <v>0.35</v>
      </c>
      <c r="Q112" s="16">
        <f t="shared" si="5"/>
        <v>0.42499999999999999</v>
      </c>
      <c r="R112" s="53">
        <v>12</v>
      </c>
      <c r="S112" s="53">
        <v>115</v>
      </c>
      <c r="T112" s="38">
        <f t="shared" si="6"/>
        <v>30</v>
      </c>
      <c r="U112" s="53">
        <v>83</v>
      </c>
      <c r="V112" s="38">
        <f t="shared" si="7"/>
        <v>2490</v>
      </c>
      <c r="W112" s="53">
        <v>4</v>
      </c>
      <c r="X112" s="53" t="s">
        <v>46</v>
      </c>
      <c r="Y112" s="53" t="s">
        <v>55</v>
      </c>
      <c r="Z112" s="53" t="s">
        <v>97</v>
      </c>
      <c r="AA112" s="53" t="s">
        <v>69</v>
      </c>
      <c r="AB112" s="53" t="s">
        <v>158</v>
      </c>
      <c r="AC112" s="76"/>
      <c r="AD112" s="76"/>
      <c r="AE112" s="76"/>
      <c r="AF112" s="76"/>
      <c r="AG112" s="76"/>
      <c r="AH112" s="76"/>
    </row>
    <row r="113" spans="1:34" x14ac:dyDescent="0.15">
      <c r="A113" s="53" t="s">
        <v>41</v>
      </c>
      <c r="B113" s="53" t="s">
        <v>157</v>
      </c>
      <c r="C113" s="62">
        <v>2019</v>
      </c>
      <c r="D113" s="63" t="s">
        <v>185</v>
      </c>
      <c r="E113" s="53" t="s">
        <v>199</v>
      </c>
      <c r="F113" s="53" t="s">
        <v>197</v>
      </c>
      <c r="G113" s="53" t="s">
        <v>42</v>
      </c>
      <c r="H113" s="53" t="s">
        <v>164</v>
      </c>
      <c r="I113" s="53" t="s">
        <v>159</v>
      </c>
      <c r="J113" s="53" t="s">
        <v>38</v>
      </c>
      <c r="K113" s="53" t="s">
        <v>161</v>
      </c>
      <c r="L113" s="53">
        <v>1</v>
      </c>
      <c r="N113" s="53">
        <v>7</v>
      </c>
      <c r="O113" s="53">
        <v>0.45</v>
      </c>
      <c r="P113" s="53">
        <v>0.4</v>
      </c>
      <c r="Q113" s="16">
        <f t="shared" si="5"/>
        <v>0.42500000000000004</v>
      </c>
      <c r="R113" s="53">
        <v>13.5</v>
      </c>
      <c r="S113" s="53">
        <v>99</v>
      </c>
      <c r="T113" s="38">
        <f t="shared" si="6"/>
        <v>33</v>
      </c>
      <c r="U113" s="53">
        <v>428</v>
      </c>
      <c r="V113" s="38">
        <f t="shared" si="7"/>
        <v>2017.7142857142858</v>
      </c>
      <c r="W113" s="53">
        <v>4</v>
      </c>
      <c r="X113" s="53" t="s">
        <v>46</v>
      </c>
      <c r="Y113" s="53" t="s">
        <v>55</v>
      </c>
      <c r="Z113" s="53" t="s">
        <v>97</v>
      </c>
      <c r="AA113" s="53" t="s">
        <v>69</v>
      </c>
      <c r="AB113" s="53" t="s">
        <v>158</v>
      </c>
      <c r="AC113" s="76"/>
      <c r="AD113" s="76"/>
      <c r="AE113" s="76"/>
      <c r="AF113" s="76"/>
      <c r="AG113" s="76"/>
      <c r="AH113" s="76"/>
    </row>
    <row r="114" spans="1:34" x14ac:dyDescent="0.15">
      <c r="A114" s="53" t="s">
        <v>41</v>
      </c>
      <c r="B114" s="53" t="s">
        <v>157</v>
      </c>
      <c r="C114" s="62">
        <v>2019</v>
      </c>
      <c r="D114" s="63" t="s">
        <v>185</v>
      </c>
      <c r="E114" s="53" t="s">
        <v>199</v>
      </c>
      <c r="F114" s="53" t="s">
        <v>197</v>
      </c>
      <c r="G114" s="53" t="s">
        <v>42</v>
      </c>
      <c r="H114" s="53" t="s">
        <v>164</v>
      </c>
      <c r="I114" s="53" t="s">
        <v>159</v>
      </c>
      <c r="J114" s="53" t="s">
        <v>38</v>
      </c>
      <c r="K114" s="53" t="s">
        <v>161</v>
      </c>
      <c r="L114" s="53">
        <v>2</v>
      </c>
      <c r="N114" s="53">
        <v>7</v>
      </c>
      <c r="O114" s="53">
        <v>0.6</v>
      </c>
      <c r="P114" s="53">
        <v>0.4</v>
      </c>
      <c r="Q114" s="16">
        <f t="shared" si="5"/>
        <v>0.5</v>
      </c>
      <c r="R114" s="53">
        <v>13.3</v>
      </c>
      <c r="S114" s="53">
        <v>100</v>
      </c>
      <c r="T114" s="38">
        <f t="shared" si="6"/>
        <v>33</v>
      </c>
      <c r="U114" s="53">
        <v>428</v>
      </c>
      <c r="V114" s="38">
        <f t="shared" si="7"/>
        <v>2017.7142857142858</v>
      </c>
      <c r="W114" s="53">
        <v>4</v>
      </c>
      <c r="X114" s="53" t="s">
        <v>46</v>
      </c>
      <c r="Y114" s="53" t="s">
        <v>55</v>
      </c>
      <c r="Z114" s="53" t="s">
        <v>97</v>
      </c>
      <c r="AA114" s="53" t="s">
        <v>69</v>
      </c>
      <c r="AB114" s="53" t="s">
        <v>158</v>
      </c>
      <c r="AC114" s="76"/>
      <c r="AD114" s="76"/>
      <c r="AE114" s="76"/>
      <c r="AF114" s="76"/>
      <c r="AG114" s="76"/>
      <c r="AH114" s="76"/>
    </row>
    <row r="115" spans="1:34" x14ac:dyDescent="0.15">
      <c r="A115" s="53" t="s">
        <v>41</v>
      </c>
      <c r="B115" s="53" t="s">
        <v>157</v>
      </c>
      <c r="C115" s="62">
        <v>2019</v>
      </c>
      <c r="D115" s="63" t="s">
        <v>185</v>
      </c>
      <c r="E115" s="53" t="s">
        <v>199</v>
      </c>
      <c r="F115" s="53" t="s">
        <v>197</v>
      </c>
      <c r="G115" s="53" t="s">
        <v>42</v>
      </c>
      <c r="H115" s="53" t="s">
        <v>164</v>
      </c>
      <c r="I115" s="53" t="s">
        <v>159</v>
      </c>
      <c r="J115" s="53" t="s">
        <v>38</v>
      </c>
      <c r="K115" s="53" t="s">
        <v>161</v>
      </c>
      <c r="L115" s="53">
        <v>3</v>
      </c>
      <c r="N115" s="53">
        <v>7</v>
      </c>
      <c r="O115" s="53">
        <v>0.5</v>
      </c>
      <c r="P115" s="53">
        <v>0.7</v>
      </c>
      <c r="Q115" s="16">
        <f t="shared" si="5"/>
        <v>0.6</v>
      </c>
      <c r="R115" s="53">
        <v>11.1</v>
      </c>
      <c r="S115" s="53">
        <v>95</v>
      </c>
      <c r="T115" s="38">
        <f t="shared" si="6"/>
        <v>36</v>
      </c>
      <c r="U115" s="53">
        <v>428</v>
      </c>
      <c r="V115" s="38">
        <f t="shared" si="7"/>
        <v>2201.1428571428573</v>
      </c>
      <c r="W115" s="53">
        <v>4</v>
      </c>
      <c r="X115" s="53" t="s">
        <v>46</v>
      </c>
      <c r="Y115" s="53" t="s">
        <v>55</v>
      </c>
      <c r="Z115" s="53" t="s">
        <v>97</v>
      </c>
      <c r="AA115" s="53" t="s">
        <v>69</v>
      </c>
      <c r="AB115" s="53" t="s">
        <v>158</v>
      </c>
      <c r="AC115" s="76"/>
      <c r="AD115" s="76"/>
      <c r="AE115" s="76"/>
      <c r="AF115" s="76"/>
      <c r="AG115" s="76"/>
      <c r="AH115" s="76"/>
    </row>
    <row r="116" spans="1:34" x14ac:dyDescent="0.15">
      <c r="A116" s="53" t="s">
        <v>41</v>
      </c>
      <c r="B116" s="53" t="s">
        <v>157</v>
      </c>
      <c r="C116" s="62">
        <v>2019</v>
      </c>
      <c r="D116" s="63" t="s">
        <v>185</v>
      </c>
      <c r="E116" s="53" t="s">
        <v>199</v>
      </c>
      <c r="F116" s="53" t="s">
        <v>197</v>
      </c>
      <c r="G116" s="53" t="s">
        <v>42</v>
      </c>
      <c r="H116" s="53" t="s">
        <v>164</v>
      </c>
      <c r="I116" s="53" t="s">
        <v>159</v>
      </c>
      <c r="J116" s="53" t="s">
        <v>38</v>
      </c>
      <c r="K116" s="53" t="s">
        <v>161</v>
      </c>
      <c r="L116" s="53">
        <v>1</v>
      </c>
      <c r="N116" s="53">
        <v>1</v>
      </c>
      <c r="O116" s="53">
        <v>0.8</v>
      </c>
      <c r="P116" s="53">
        <v>0.65</v>
      </c>
      <c r="Q116" s="74">
        <f t="shared" si="5"/>
        <v>0.72500000000000009</v>
      </c>
      <c r="R116" s="53">
        <v>12.2</v>
      </c>
      <c r="S116" s="53">
        <v>113</v>
      </c>
      <c r="T116" s="16">
        <f t="shared" si="6"/>
        <v>30</v>
      </c>
      <c r="U116" s="53">
        <v>83</v>
      </c>
      <c r="V116" s="16">
        <f t="shared" si="7"/>
        <v>2490</v>
      </c>
      <c r="W116" s="53">
        <v>3</v>
      </c>
      <c r="X116" s="53" t="s">
        <v>46</v>
      </c>
      <c r="Y116" s="53" t="s">
        <v>55</v>
      </c>
      <c r="Z116" s="53" t="s">
        <v>97</v>
      </c>
      <c r="AA116" s="53" t="s">
        <v>69</v>
      </c>
      <c r="AB116" s="53" t="s">
        <v>158</v>
      </c>
      <c r="AC116" s="76"/>
      <c r="AD116" s="76"/>
      <c r="AE116" s="76"/>
      <c r="AF116" s="76"/>
      <c r="AG116" s="76"/>
      <c r="AH116" s="76"/>
    </row>
    <row r="117" spans="1:34" x14ac:dyDescent="0.15">
      <c r="A117" s="53" t="s">
        <v>41</v>
      </c>
      <c r="B117" s="53" t="s">
        <v>157</v>
      </c>
      <c r="C117" s="62">
        <v>2019</v>
      </c>
      <c r="D117" s="63" t="s">
        <v>185</v>
      </c>
      <c r="E117" s="53" t="s">
        <v>199</v>
      </c>
      <c r="F117" s="53" t="s">
        <v>197</v>
      </c>
      <c r="G117" s="53" t="s">
        <v>42</v>
      </c>
      <c r="H117" s="53" t="s">
        <v>164</v>
      </c>
      <c r="I117" s="53" t="s">
        <v>159</v>
      </c>
      <c r="J117" s="53" t="s">
        <v>38</v>
      </c>
      <c r="K117" s="53" t="s">
        <v>161</v>
      </c>
      <c r="L117" s="53">
        <v>2</v>
      </c>
      <c r="N117" s="53">
        <v>1</v>
      </c>
      <c r="O117" s="53">
        <v>0.9</v>
      </c>
      <c r="P117" s="53">
        <v>0.8</v>
      </c>
      <c r="Q117" s="74">
        <f t="shared" si="5"/>
        <v>0.85000000000000009</v>
      </c>
      <c r="R117" s="53">
        <v>14.1</v>
      </c>
      <c r="S117" s="53">
        <v>108</v>
      </c>
      <c r="T117" s="16">
        <f t="shared" si="6"/>
        <v>33</v>
      </c>
      <c r="U117" s="53">
        <v>83</v>
      </c>
      <c r="V117" s="16">
        <f t="shared" si="7"/>
        <v>2739</v>
      </c>
      <c r="W117" s="53">
        <v>3</v>
      </c>
      <c r="X117" s="53" t="s">
        <v>46</v>
      </c>
      <c r="Y117" s="53" t="s">
        <v>55</v>
      </c>
      <c r="Z117" s="53" t="s">
        <v>97</v>
      </c>
      <c r="AA117" s="53" t="s">
        <v>69</v>
      </c>
      <c r="AB117" s="53" t="s">
        <v>158</v>
      </c>
      <c r="AC117" s="76"/>
      <c r="AD117" s="76"/>
      <c r="AE117" s="76"/>
      <c r="AF117" s="76"/>
      <c r="AG117" s="76"/>
      <c r="AH117" s="76"/>
    </row>
    <row r="118" spans="1:34" x14ac:dyDescent="0.15">
      <c r="A118" s="53" t="s">
        <v>41</v>
      </c>
      <c r="B118" s="53" t="s">
        <v>157</v>
      </c>
      <c r="C118" s="62">
        <v>2019</v>
      </c>
      <c r="D118" s="63" t="s">
        <v>185</v>
      </c>
      <c r="E118" s="53" t="s">
        <v>199</v>
      </c>
      <c r="F118" s="53" t="s">
        <v>197</v>
      </c>
      <c r="G118" s="53" t="s">
        <v>42</v>
      </c>
      <c r="H118" s="53" t="s">
        <v>164</v>
      </c>
      <c r="I118" s="53" t="s">
        <v>159</v>
      </c>
      <c r="J118" s="53" t="s">
        <v>38</v>
      </c>
      <c r="K118" s="53" t="s">
        <v>161</v>
      </c>
      <c r="L118" s="53">
        <v>3</v>
      </c>
      <c r="N118" s="53">
        <v>1</v>
      </c>
      <c r="O118" s="53">
        <v>0.85</v>
      </c>
      <c r="P118" s="53">
        <v>1</v>
      </c>
      <c r="Q118" s="74">
        <f t="shared" si="5"/>
        <v>0.92500000000000004</v>
      </c>
      <c r="R118" s="53">
        <v>14.2</v>
      </c>
      <c r="S118" s="53">
        <v>114</v>
      </c>
      <c r="T118" s="16">
        <f t="shared" si="6"/>
        <v>30</v>
      </c>
      <c r="U118" s="53">
        <v>83</v>
      </c>
      <c r="V118" s="16">
        <f t="shared" si="7"/>
        <v>2490</v>
      </c>
      <c r="W118" s="53">
        <v>3</v>
      </c>
      <c r="X118" s="53" t="s">
        <v>46</v>
      </c>
      <c r="Y118" s="53" t="s">
        <v>55</v>
      </c>
      <c r="Z118" s="53" t="s">
        <v>97</v>
      </c>
      <c r="AA118" s="53" t="s">
        <v>69</v>
      </c>
      <c r="AB118" s="53" t="s">
        <v>158</v>
      </c>
      <c r="AC118" s="76"/>
      <c r="AD118" s="76"/>
      <c r="AE118" s="76"/>
      <c r="AF118" s="76"/>
      <c r="AG118" s="76"/>
      <c r="AH118" s="76"/>
    </row>
    <row r="119" spans="1:34" x14ac:dyDescent="0.15">
      <c r="A119" s="53" t="s">
        <v>41</v>
      </c>
      <c r="B119" s="53" t="s">
        <v>157</v>
      </c>
      <c r="C119" s="62">
        <v>2019</v>
      </c>
      <c r="D119" s="63" t="s">
        <v>185</v>
      </c>
      <c r="E119" s="53" t="s">
        <v>201</v>
      </c>
      <c r="F119" s="53" t="s">
        <v>202</v>
      </c>
      <c r="G119" s="53" t="s">
        <v>42</v>
      </c>
      <c r="H119" s="53" t="s">
        <v>160</v>
      </c>
      <c r="I119" s="53" t="s">
        <v>159</v>
      </c>
      <c r="J119" s="53" t="s">
        <v>38</v>
      </c>
      <c r="K119" s="53" t="s">
        <v>161</v>
      </c>
      <c r="L119" s="53">
        <v>1</v>
      </c>
      <c r="N119" s="53">
        <v>1</v>
      </c>
      <c r="O119" s="53">
        <v>0.7</v>
      </c>
      <c r="P119" s="53">
        <v>0.65</v>
      </c>
      <c r="Q119" s="74">
        <f t="shared" si="5"/>
        <v>0.67500000000000004</v>
      </c>
      <c r="R119" s="53">
        <v>16.2</v>
      </c>
      <c r="S119" s="53">
        <v>122</v>
      </c>
      <c r="T119" s="16">
        <f t="shared" si="6"/>
        <v>27</v>
      </c>
      <c r="U119" s="53">
        <v>105</v>
      </c>
      <c r="V119" s="16">
        <f t="shared" si="7"/>
        <v>2835</v>
      </c>
      <c r="W119" s="53">
        <v>3</v>
      </c>
      <c r="X119" s="53" t="s">
        <v>46</v>
      </c>
      <c r="Y119" s="53" t="s">
        <v>55</v>
      </c>
      <c r="Z119" s="53" t="s">
        <v>69</v>
      </c>
      <c r="AA119" s="53" t="s">
        <v>86</v>
      </c>
      <c r="AB119" s="53" t="s">
        <v>158</v>
      </c>
      <c r="AC119" s="76"/>
      <c r="AD119" s="76"/>
      <c r="AE119" s="76"/>
      <c r="AF119" s="76"/>
      <c r="AG119" s="76"/>
      <c r="AH119" s="76"/>
    </row>
    <row r="120" spans="1:34" x14ac:dyDescent="0.15">
      <c r="A120" s="53" t="s">
        <v>41</v>
      </c>
      <c r="B120" s="53" t="s">
        <v>157</v>
      </c>
      <c r="C120" s="62">
        <v>2019</v>
      </c>
      <c r="D120" s="63" t="s">
        <v>185</v>
      </c>
      <c r="E120" s="53" t="s">
        <v>201</v>
      </c>
      <c r="F120" s="53" t="s">
        <v>202</v>
      </c>
      <c r="G120" s="53" t="s">
        <v>42</v>
      </c>
      <c r="H120" s="53" t="s">
        <v>160</v>
      </c>
      <c r="I120" s="53" t="s">
        <v>159</v>
      </c>
      <c r="J120" s="53" t="s">
        <v>38</v>
      </c>
      <c r="K120" s="53" t="s">
        <v>161</v>
      </c>
      <c r="L120" s="53">
        <v>2</v>
      </c>
      <c r="N120" s="53">
        <v>1</v>
      </c>
      <c r="O120" s="53">
        <v>0.65</v>
      </c>
      <c r="P120" s="53">
        <v>0.7</v>
      </c>
      <c r="Q120" s="74">
        <f t="shared" si="5"/>
        <v>0.67500000000000004</v>
      </c>
      <c r="R120" s="53">
        <v>15.1</v>
      </c>
      <c r="S120" s="53">
        <v>126</v>
      </c>
      <c r="T120" s="16">
        <f t="shared" si="6"/>
        <v>27</v>
      </c>
      <c r="U120" s="53">
        <v>105</v>
      </c>
      <c r="V120" s="16">
        <f t="shared" si="7"/>
        <v>2835</v>
      </c>
      <c r="W120" s="53">
        <v>3</v>
      </c>
      <c r="X120" s="53" t="s">
        <v>46</v>
      </c>
      <c r="Y120" s="53" t="s">
        <v>55</v>
      </c>
      <c r="Z120" s="53" t="s">
        <v>69</v>
      </c>
      <c r="AA120" s="53" t="s">
        <v>86</v>
      </c>
      <c r="AB120" s="53" t="s">
        <v>158</v>
      </c>
      <c r="AC120" s="76"/>
      <c r="AD120" s="76"/>
      <c r="AE120" s="76"/>
      <c r="AF120" s="76"/>
      <c r="AG120" s="76"/>
      <c r="AH120" s="76"/>
    </row>
    <row r="121" spans="1:34" x14ac:dyDescent="0.15">
      <c r="A121" s="53" t="s">
        <v>41</v>
      </c>
      <c r="B121" s="53" t="s">
        <v>157</v>
      </c>
      <c r="C121" s="62">
        <v>2019</v>
      </c>
      <c r="D121" s="63" t="s">
        <v>185</v>
      </c>
      <c r="E121" s="53" t="s">
        <v>201</v>
      </c>
      <c r="F121" s="53" t="s">
        <v>202</v>
      </c>
      <c r="G121" s="53" t="s">
        <v>42</v>
      </c>
      <c r="H121" s="53" t="s">
        <v>160</v>
      </c>
      <c r="I121" s="53" t="s">
        <v>159</v>
      </c>
      <c r="J121" s="53" t="s">
        <v>38</v>
      </c>
      <c r="K121" s="53" t="s">
        <v>161</v>
      </c>
      <c r="L121" s="53">
        <v>3</v>
      </c>
      <c r="N121" s="53">
        <v>1</v>
      </c>
      <c r="O121" s="53">
        <v>0.8</v>
      </c>
      <c r="P121" s="53">
        <v>0.65</v>
      </c>
      <c r="Q121" s="74">
        <f t="shared" si="5"/>
        <v>0.72500000000000009</v>
      </c>
      <c r="R121" s="53">
        <v>14.2</v>
      </c>
      <c r="S121" s="53">
        <v>127</v>
      </c>
      <c r="T121" s="16">
        <f t="shared" si="6"/>
        <v>27</v>
      </c>
      <c r="U121" s="53">
        <v>105</v>
      </c>
      <c r="V121" s="16">
        <f t="shared" si="7"/>
        <v>2835</v>
      </c>
      <c r="W121" s="53">
        <v>3</v>
      </c>
      <c r="X121" s="53" t="s">
        <v>46</v>
      </c>
      <c r="Y121" s="53" t="s">
        <v>55</v>
      </c>
      <c r="Z121" s="53" t="s">
        <v>69</v>
      </c>
      <c r="AA121" s="53" t="s">
        <v>86</v>
      </c>
      <c r="AB121" s="53" t="s">
        <v>158</v>
      </c>
      <c r="AC121" s="76"/>
      <c r="AD121" s="76"/>
      <c r="AE121" s="76"/>
      <c r="AF121" s="76"/>
      <c r="AG121" s="76"/>
      <c r="AH121" s="76"/>
    </row>
    <row r="122" spans="1:34" x14ac:dyDescent="0.15">
      <c r="A122" s="53" t="s">
        <v>41</v>
      </c>
      <c r="B122" s="53" t="s">
        <v>157</v>
      </c>
      <c r="C122" s="62">
        <v>2019</v>
      </c>
      <c r="D122" s="63" t="s">
        <v>185</v>
      </c>
      <c r="E122" s="53" t="s">
        <v>201</v>
      </c>
      <c r="F122" s="53" t="s">
        <v>202</v>
      </c>
      <c r="G122" s="53" t="s">
        <v>42</v>
      </c>
      <c r="H122" s="53" t="s">
        <v>160</v>
      </c>
      <c r="I122" s="53" t="s">
        <v>159</v>
      </c>
      <c r="J122" s="53" t="s">
        <v>38</v>
      </c>
      <c r="K122" s="53" t="s">
        <v>161</v>
      </c>
      <c r="L122" s="53">
        <v>1</v>
      </c>
      <c r="N122" s="53">
        <v>3</v>
      </c>
      <c r="O122" s="53">
        <v>0.45</v>
      </c>
      <c r="P122" s="53">
        <v>0.5</v>
      </c>
      <c r="Q122" s="74">
        <f t="shared" si="5"/>
        <v>0.47499999999999998</v>
      </c>
      <c r="R122" s="53">
        <v>15.1</v>
      </c>
      <c r="S122" s="53">
        <v>162</v>
      </c>
      <c r="T122" s="16">
        <f t="shared" si="6"/>
        <v>22</v>
      </c>
      <c r="U122" s="53">
        <v>410</v>
      </c>
      <c r="V122" s="16">
        <f t="shared" si="7"/>
        <v>3006.6666666666665</v>
      </c>
      <c r="W122" s="53">
        <v>2</v>
      </c>
      <c r="X122" s="53" t="s">
        <v>46</v>
      </c>
      <c r="Y122" s="53" t="s">
        <v>55</v>
      </c>
      <c r="Z122" s="53" t="s">
        <v>69</v>
      </c>
      <c r="AA122" s="53" t="s">
        <v>86</v>
      </c>
      <c r="AB122" s="53" t="s">
        <v>158</v>
      </c>
      <c r="AC122" s="76"/>
      <c r="AD122" s="76"/>
      <c r="AE122" s="76"/>
      <c r="AF122" s="76"/>
      <c r="AG122" s="76"/>
      <c r="AH122" s="76"/>
    </row>
    <row r="123" spans="1:34" x14ac:dyDescent="0.15">
      <c r="A123" s="53" t="s">
        <v>41</v>
      </c>
      <c r="B123" s="53" t="s">
        <v>157</v>
      </c>
      <c r="C123" s="62">
        <v>2019</v>
      </c>
      <c r="D123" s="63" t="s">
        <v>185</v>
      </c>
      <c r="E123" s="53" t="s">
        <v>201</v>
      </c>
      <c r="F123" s="53" t="s">
        <v>202</v>
      </c>
      <c r="G123" s="53" t="s">
        <v>42</v>
      </c>
      <c r="H123" s="53" t="s">
        <v>160</v>
      </c>
      <c r="I123" s="53" t="s">
        <v>159</v>
      </c>
      <c r="J123" s="53" t="s">
        <v>38</v>
      </c>
      <c r="K123" s="53" t="s">
        <v>161</v>
      </c>
      <c r="L123" s="53">
        <v>2</v>
      </c>
      <c r="N123" s="53">
        <v>3</v>
      </c>
      <c r="O123" s="53">
        <v>0.6</v>
      </c>
      <c r="P123" s="53">
        <v>0.45</v>
      </c>
      <c r="Q123" s="74">
        <f t="shared" si="5"/>
        <v>0.52500000000000002</v>
      </c>
      <c r="R123" s="53">
        <v>13.8</v>
      </c>
      <c r="S123" s="53">
        <v>158</v>
      </c>
      <c r="T123" s="16">
        <f t="shared" si="6"/>
        <v>22</v>
      </c>
      <c r="U123" s="53">
        <v>410</v>
      </c>
      <c r="V123" s="16">
        <f t="shared" si="7"/>
        <v>3006.6666666666665</v>
      </c>
      <c r="W123" s="53">
        <v>2</v>
      </c>
      <c r="X123" s="53" t="s">
        <v>46</v>
      </c>
      <c r="Y123" s="53" t="s">
        <v>55</v>
      </c>
      <c r="Z123" s="53" t="s">
        <v>69</v>
      </c>
      <c r="AA123" s="53" t="s">
        <v>86</v>
      </c>
      <c r="AB123" s="53" t="s">
        <v>158</v>
      </c>
      <c r="AC123" s="76"/>
      <c r="AD123" s="76"/>
      <c r="AE123" s="76"/>
      <c r="AF123" s="76"/>
      <c r="AG123" s="76"/>
      <c r="AH123" s="76"/>
    </row>
    <row r="124" spans="1:34" x14ac:dyDescent="0.15">
      <c r="A124" s="53" t="s">
        <v>41</v>
      </c>
      <c r="B124" s="53" t="s">
        <v>157</v>
      </c>
      <c r="C124" s="62">
        <v>2019</v>
      </c>
      <c r="D124" s="63" t="s">
        <v>185</v>
      </c>
      <c r="E124" s="53" t="s">
        <v>201</v>
      </c>
      <c r="F124" s="53" t="s">
        <v>202</v>
      </c>
      <c r="G124" s="53" t="s">
        <v>42</v>
      </c>
      <c r="H124" s="53" t="s">
        <v>160</v>
      </c>
      <c r="I124" s="53" t="s">
        <v>159</v>
      </c>
      <c r="J124" s="53" t="s">
        <v>38</v>
      </c>
      <c r="K124" s="53" t="s">
        <v>161</v>
      </c>
      <c r="L124" s="53">
        <v>3</v>
      </c>
      <c r="N124" s="53">
        <v>3</v>
      </c>
      <c r="O124" s="53">
        <v>0.65</v>
      </c>
      <c r="P124" s="53">
        <v>0.6</v>
      </c>
      <c r="Q124" s="75">
        <f t="shared" si="5"/>
        <v>0.625</v>
      </c>
      <c r="R124" s="53">
        <v>14.8</v>
      </c>
      <c r="S124" s="53">
        <v>155</v>
      </c>
      <c r="T124" s="38">
        <f t="shared" si="6"/>
        <v>22</v>
      </c>
      <c r="U124" s="53">
        <v>410</v>
      </c>
      <c r="V124" s="16">
        <f t="shared" si="7"/>
        <v>3006.6666666666665</v>
      </c>
      <c r="W124" s="53">
        <v>2</v>
      </c>
      <c r="X124" s="53" t="s">
        <v>46</v>
      </c>
      <c r="Y124" s="53" t="s">
        <v>55</v>
      </c>
      <c r="Z124" s="53" t="s">
        <v>69</v>
      </c>
      <c r="AA124" s="53" t="s">
        <v>86</v>
      </c>
      <c r="AB124" s="53" t="s">
        <v>158</v>
      </c>
      <c r="AC124" s="76"/>
      <c r="AD124" s="76"/>
      <c r="AE124" s="76"/>
      <c r="AF124" s="76"/>
      <c r="AG124" s="76"/>
      <c r="AH124" s="76"/>
    </row>
    <row r="125" spans="1:34" x14ac:dyDescent="0.15">
      <c r="A125" s="53" t="s">
        <v>41</v>
      </c>
      <c r="B125" s="53" t="s">
        <v>157</v>
      </c>
      <c r="C125" s="62">
        <v>2019</v>
      </c>
      <c r="D125" s="63" t="s">
        <v>185</v>
      </c>
      <c r="E125" s="53" t="s">
        <v>201</v>
      </c>
      <c r="F125" s="53" t="s">
        <v>202</v>
      </c>
      <c r="G125" s="53" t="s">
        <v>42</v>
      </c>
      <c r="H125" s="53" t="s">
        <v>160</v>
      </c>
      <c r="I125" s="53" t="s">
        <v>159</v>
      </c>
      <c r="J125" s="53" t="s">
        <v>38</v>
      </c>
      <c r="K125" s="53" t="s">
        <v>161</v>
      </c>
      <c r="L125" s="53">
        <v>1</v>
      </c>
      <c r="N125" s="53">
        <v>8</v>
      </c>
      <c r="O125" s="53">
        <v>0.7</v>
      </c>
      <c r="P125" s="53">
        <v>0.75</v>
      </c>
      <c r="Q125" s="75">
        <f t="shared" si="5"/>
        <v>0.72499999999999998</v>
      </c>
      <c r="R125" s="53">
        <v>15.8</v>
      </c>
      <c r="S125" s="53">
        <v>112</v>
      </c>
      <c r="T125" s="38">
        <f t="shared" si="6"/>
        <v>33</v>
      </c>
      <c r="U125" s="53">
        <v>537</v>
      </c>
      <c r="V125" s="16">
        <f t="shared" si="7"/>
        <v>2215.125</v>
      </c>
      <c r="W125" s="53">
        <v>2</v>
      </c>
      <c r="X125" s="53" t="s">
        <v>46</v>
      </c>
      <c r="Y125" s="53" t="s">
        <v>55</v>
      </c>
      <c r="Z125" s="53" t="s">
        <v>69</v>
      </c>
      <c r="AA125" s="53" t="s">
        <v>86</v>
      </c>
      <c r="AB125" s="53" t="s">
        <v>158</v>
      </c>
      <c r="AC125" s="76"/>
      <c r="AD125" s="76"/>
      <c r="AE125" s="76"/>
      <c r="AF125" s="76"/>
      <c r="AG125" s="76"/>
      <c r="AH125" s="76"/>
    </row>
    <row r="126" spans="1:34" x14ac:dyDescent="0.15">
      <c r="A126" s="53" t="s">
        <v>41</v>
      </c>
      <c r="B126" s="53" t="s">
        <v>157</v>
      </c>
      <c r="C126" s="62">
        <v>2019</v>
      </c>
      <c r="D126" s="63" t="s">
        <v>185</v>
      </c>
      <c r="E126" s="53" t="s">
        <v>201</v>
      </c>
      <c r="F126" s="53" t="s">
        <v>202</v>
      </c>
      <c r="G126" s="53" t="s">
        <v>42</v>
      </c>
      <c r="H126" s="53" t="s">
        <v>160</v>
      </c>
      <c r="I126" s="53" t="s">
        <v>159</v>
      </c>
      <c r="J126" s="53" t="s">
        <v>38</v>
      </c>
      <c r="K126" s="53" t="s">
        <v>161</v>
      </c>
      <c r="L126" s="53">
        <v>2</v>
      </c>
      <c r="N126" s="53">
        <v>8</v>
      </c>
      <c r="O126" s="53">
        <v>0.85</v>
      </c>
      <c r="P126" s="53">
        <v>0.6</v>
      </c>
      <c r="Q126" s="75">
        <f t="shared" si="5"/>
        <v>0.72499999999999998</v>
      </c>
      <c r="R126" s="53">
        <v>12</v>
      </c>
      <c r="S126" s="53">
        <v>114</v>
      </c>
      <c r="T126" s="38">
        <f t="shared" si="6"/>
        <v>30</v>
      </c>
      <c r="U126" s="53">
        <v>537</v>
      </c>
      <c r="V126" s="16">
        <f t="shared" si="7"/>
        <v>2013.75</v>
      </c>
      <c r="W126" s="53">
        <v>2</v>
      </c>
      <c r="X126" s="53" t="s">
        <v>46</v>
      </c>
      <c r="Y126" s="53" t="s">
        <v>55</v>
      </c>
      <c r="Z126" s="53" t="s">
        <v>69</v>
      </c>
      <c r="AA126" s="53" t="s">
        <v>86</v>
      </c>
      <c r="AB126" s="53" t="s">
        <v>158</v>
      </c>
      <c r="AC126" s="76"/>
      <c r="AD126" s="76"/>
      <c r="AE126" s="76"/>
      <c r="AF126" s="76"/>
      <c r="AG126" s="76"/>
      <c r="AH126" s="76"/>
    </row>
    <row r="127" spans="1:34" x14ac:dyDescent="0.15">
      <c r="A127" s="53" t="s">
        <v>41</v>
      </c>
      <c r="B127" s="53" t="s">
        <v>157</v>
      </c>
      <c r="C127" s="62">
        <v>2019</v>
      </c>
      <c r="D127" s="63" t="s">
        <v>185</v>
      </c>
      <c r="E127" s="53" t="s">
        <v>201</v>
      </c>
      <c r="F127" s="53" t="s">
        <v>202</v>
      </c>
      <c r="G127" s="53" t="s">
        <v>42</v>
      </c>
      <c r="H127" s="53" t="s">
        <v>160</v>
      </c>
      <c r="I127" s="53" t="s">
        <v>159</v>
      </c>
      <c r="J127" s="53" t="s">
        <v>38</v>
      </c>
      <c r="K127" s="53" t="s">
        <v>161</v>
      </c>
      <c r="L127" s="53">
        <v>3</v>
      </c>
      <c r="N127" s="53">
        <v>8</v>
      </c>
      <c r="O127" s="53">
        <v>0.8</v>
      </c>
      <c r="P127" s="53">
        <v>0.65</v>
      </c>
      <c r="Q127" s="75">
        <f t="shared" si="5"/>
        <v>0.72500000000000009</v>
      </c>
      <c r="R127" s="53">
        <v>16.2</v>
      </c>
      <c r="S127" s="53">
        <v>113</v>
      </c>
      <c r="T127" s="38">
        <f t="shared" si="6"/>
        <v>30</v>
      </c>
      <c r="U127" s="53">
        <v>537</v>
      </c>
      <c r="V127" s="38">
        <f t="shared" si="7"/>
        <v>2013.75</v>
      </c>
      <c r="W127" s="53">
        <v>2</v>
      </c>
      <c r="X127" s="53" t="s">
        <v>46</v>
      </c>
      <c r="Y127" s="53" t="s">
        <v>55</v>
      </c>
      <c r="Z127" s="53" t="s">
        <v>69</v>
      </c>
      <c r="AA127" s="53" t="s">
        <v>86</v>
      </c>
      <c r="AB127" s="53" t="s">
        <v>158</v>
      </c>
      <c r="AC127" s="76"/>
      <c r="AD127" s="76"/>
      <c r="AE127" s="76"/>
      <c r="AF127" s="76"/>
      <c r="AG127" s="76"/>
      <c r="AH127" s="76"/>
    </row>
    <row r="128" spans="1:34" x14ac:dyDescent="0.15">
      <c r="A128" s="53" t="s">
        <v>41</v>
      </c>
      <c r="B128" s="53" t="s">
        <v>157</v>
      </c>
      <c r="C128" s="62">
        <v>2019</v>
      </c>
      <c r="D128" s="63" t="s">
        <v>185</v>
      </c>
      <c r="E128" s="53" t="s">
        <v>201</v>
      </c>
      <c r="F128" s="53" t="s">
        <v>202</v>
      </c>
      <c r="G128" s="53" t="s">
        <v>42</v>
      </c>
      <c r="H128" s="53" t="s">
        <v>164</v>
      </c>
      <c r="I128" s="53" t="s">
        <v>159</v>
      </c>
      <c r="J128" s="53" t="s">
        <v>38</v>
      </c>
      <c r="K128" s="53" t="s">
        <v>161</v>
      </c>
      <c r="L128" s="53">
        <v>1</v>
      </c>
      <c r="N128" s="53">
        <v>1</v>
      </c>
      <c r="O128" s="53">
        <v>0.75</v>
      </c>
      <c r="P128" s="53">
        <v>0.65</v>
      </c>
      <c r="Q128" s="75">
        <f t="shared" si="5"/>
        <v>0.7</v>
      </c>
      <c r="R128" s="53">
        <v>12.4</v>
      </c>
      <c r="S128" s="53">
        <v>126</v>
      </c>
      <c r="T128" s="38">
        <f t="shared" si="6"/>
        <v>27</v>
      </c>
      <c r="U128" s="53">
        <v>105</v>
      </c>
      <c r="V128" s="38">
        <f t="shared" si="7"/>
        <v>2835</v>
      </c>
      <c r="W128" s="53">
        <v>3</v>
      </c>
      <c r="X128" s="53" t="s">
        <v>46</v>
      </c>
      <c r="Y128" s="53" t="s">
        <v>55</v>
      </c>
      <c r="Z128" s="53" t="s">
        <v>69</v>
      </c>
      <c r="AA128" s="53" t="s">
        <v>86</v>
      </c>
      <c r="AB128" s="53" t="s">
        <v>158</v>
      </c>
      <c r="AC128" s="76"/>
      <c r="AD128" s="76"/>
      <c r="AE128" s="76"/>
      <c r="AF128" s="76"/>
      <c r="AG128" s="76"/>
      <c r="AH128" s="76"/>
    </row>
    <row r="129" spans="1:34" x14ac:dyDescent="0.15">
      <c r="A129" s="53" t="s">
        <v>41</v>
      </c>
      <c r="B129" s="53" t="s">
        <v>157</v>
      </c>
      <c r="C129" s="62">
        <v>2019</v>
      </c>
      <c r="D129" s="63" t="s">
        <v>185</v>
      </c>
      <c r="E129" s="53" t="s">
        <v>201</v>
      </c>
      <c r="F129" s="53" t="s">
        <v>202</v>
      </c>
      <c r="G129" s="53" t="s">
        <v>42</v>
      </c>
      <c r="H129" s="53" t="s">
        <v>164</v>
      </c>
      <c r="I129" s="53" t="s">
        <v>159</v>
      </c>
      <c r="J129" s="53" t="s">
        <v>38</v>
      </c>
      <c r="K129" s="53" t="s">
        <v>161</v>
      </c>
      <c r="L129" s="53">
        <v>2</v>
      </c>
      <c r="N129" s="53">
        <v>1</v>
      </c>
      <c r="O129" s="53">
        <v>0.9</v>
      </c>
      <c r="P129" s="53">
        <v>0.8</v>
      </c>
      <c r="Q129" s="75">
        <f t="shared" si="5"/>
        <v>0.85000000000000009</v>
      </c>
      <c r="R129" s="53">
        <v>11.3</v>
      </c>
      <c r="S129" s="53">
        <v>124</v>
      </c>
      <c r="T129" s="38">
        <f t="shared" si="6"/>
        <v>27</v>
      </c>
      <c r="U129" s="53">
        <v>105</v>
      </c>
      <c r="V129" s="38">
        <f t="shared" si="7"/>
        <v>2835</v>
      </c>
      <c r="W129" s="53">
        <v>3</v>
      </c>
      <c r="X129" s="53" t="s">
        <v>46</v>
      </c>
      <c r="Y129" s="53" t="s">
        <v>55</v>
      </c>
      <c r="Z129" s="53" t="s">
        <v>69</v>
      </c>
      <c r="AA129" s="53" t="s">
        <v>86</v>
      </c>
      <c r="AB129" s="53" t="s">
        <v>158</v>
      </c>
      <c r="AC129" s="76"/>
      <c r="AD129" s="76"/>
      <c r="AE129" s="76"/>
      <c r="AF129" s="76"/>
      <c r="AG129" s="76"/>
      <c r="AH129" s="76"/>
    </row>
    <row r="130" spans="1:34" x14ac:dyDescent="0.15">
      <c r="A130" s="53" t="s">
        <v>41</v>
      </c>
      <c r="B130" s="53" t="s">
        <v>157</v>
      </c>
      <c r="C130" s="62">
        <v>2019</v>
      </c>
      <c r="D130" s="63" t="s">
        <v>185</v>
      </c>
      <c r="E130" s="53" t="s">
        <v>201</v>
      </c>
      <c r="F130" s="53" t="s">
        <v>202</v>
      </c>
      <c r="G130" s="53" t="s">
        <v>42</v>
      </c>
      <c r="H130" s="53" t="s">
        <v>164</v>
      </c>
      <c r="I130" s="53" t="s">
        <v>159</v>
      </c>
      <c r="J130" s="53" t="s">
        <v>38</v>
      </c>
      <c r="K130" s="53" t="s">
        <v>161</v>
      </c>
      <c r="L130" s="53">
        <v>3</v>
      </c>
      <c r="N130" s="53">
        <v>1</v>
      </c>
      <c r="O130" s="53">
        <v>0.85</v>
      </c>
      <c r="P130" s="53">
        <v>0.9</v>
      </c>
      <c r="Q130" s="75">
        <f t="shared" ref="Q130:Q193" si="8">IF(OR(O130="",P130=""),"",AVERAGE(O130,P130))</f>
        <v>0.875</v>
      </c>
      <c r="R130" s="53">
        <v>13.4</v>
      </c>
      <c r="S130" s="53">
        <v>125</v>
      </c>
      <c r="T130" s="38">
        <f t="shared" ref="T130:T193" si="9">IF(H130="","",IF(OR(H130="GREEN",H130="GK"),IF(S130&gt;=$AX$2,VLOOKUP(S130,$AX$2:$AY$10,2,1),""),IF(S130&gt;=$AZ$2,VLOOKUP(S130,$AZ$2:$BA$10,2,1),"")))</f>
        <v>27</v>
      </c>
      <c r="U130" s="53">
        <v>105</v>
      </c>
      <c r="V130" s="38">
        <f t="shared" ref="V130:V193" si="10">IF(OR(N130="",U130="",T130=""),"",U130/N130*T130)</f>
        <v>2835</v>
      </c>
      <c r="W130" s="53">
        <v>3</v>
      </c>
      <c r="X130" s="53" t="s">
        <v>46</v>
      </c>
      <c r="Y130" s="53" t="s">
        <v>55</v>
      </c>
      <c r="Z130" s="53" t="s">
        <v>69</v>
      </c>
      <c r="AA130" s="53" t="s">
        <v>86</v>
      </c>
      <c r="AB130" s="53" t="s">
        <v>158</v>
      </c>
      <c r="AC130" s="76"/>
      <c r="AD130" s="76"/>
      <c r="AE130" s="76"/>
      <c r="AF130" s="76"/>
      <c r="AG130" s="76"/>
      <c r="AH130" s="76"/>
    </row>
    <row r="131" spans="1:34" x14ac:dyDescent="0.15">
      <c r="A131" s="53" t="s">
        <v>41</v>
      </c>
      <c r="B131" s="53" t="s">
        <v>157</v>
      </c>
      <c r="C131" s="62">
        <v>2019</v>
      </c>
      <c r="D131" s="63" t="s">
        <v>185</v>
      </c>
      <c r="E131" s="53" t="s">
        <v>201</v>
      </c>
      <c r="F131" s="53" t="s">
        <v>202</v>
      </c>
      <c r="G131" s="53" t="s">
        <v>42</v>
      </c>
      <c r="H131" s="53" t="s">
        <v>164</v>
      </c>
      <c r="I131" s="53" t="s">
        <v>159</v>
      </c>
      <c r="J131" s="53" t="s">
        <v>38</v>
      </c>
      <c r="K131" s="53" t="s">
        <v>161</v>
      </c>
      <c r="L131" s="53">
        <v>1</v>
      </c>
      <c r="N131" s="53">
        <v>5</v>
      </c>
      <c r="O131" s="53">
        <v>0.9</v>
      </c>
      <c r="P131" s="53">
        <v>0.85</v>
      </c>
      <c r="Q131" s="74">
        <f t="shared" si="8"/>
        <v>0.875</v>
      </c>
      <c r="R131" s="53">
        <v>13.3</v>
      </c>
      <c r="S131" s="53">
        <v>110</v>
      </c>
      <c r="T131" s="16">
        <f t="shared" si="9"/>
        <v>33</v>
      </c>
      <c r="U131" s="53">
        <v>378</v>
      </c>
      <c r="V131" s="16">
        <f t="shared" si="10"/>
        <v>2494.7999999999997</v>
      </c>
      <c r="W131" s="53">
        <v>2</v>
      </c>
      <c r="X131" s="53" t="s">
        <v>46</v>
      </c>
      <c r="Y131" s="53" t="s">
        <v>55</v>
      </c>
      <c r="Z131" s="53" t="s">
        <v>69</v>
      </c>
      <c r="AA131" s="53" t="s">
        <v>86</v>
      </c>
      <c r="AB131" s="53" t="s">
        <v>158</v>
      </c>
      <c r="AC131" s="76"/>
      <c r="AD131" s="76"/>
      <c r="AE131" s="76"/>
      <c r="AF131" s="76"/>
      <c r="AG131" s="76"/>
      <c r="AH131" s="76"/>
    </row>
    <row r="132" spans="1:34" x14ac:dyDescent="0.15">
      <c r="A132" s="53" t="s">
        <v>41</v>
      </c>
      <c r="B132" s="53" t="s">
        <v>157</v>
      </c>
      <c r="C132" s="62">
        <v>2019</v>
      </c>
      <c r="D132" s="63" t="s">
        <v>185</v>
      </c>
      <c r="E132" s="53" t="s">
        <v>201</v>
      </c>
      <c r="F132" s="53" t="s">
        <v>202</v>
      </c>
      <c r="G132" s="53" t="s">
        <v>42</v>
      </c>
      <c r="H132" s="53" t="s">
        <v>164</v>
      </c>
      <c r="I132" s="53" t="s">
        <v>159</v>
      </c>
      <c r="J132" s="53" t="s">
        <v>38</v>
      </c>
      <c r="K132" s="53" t="s">
        <v>161</v>
      </c>
      <c r="L132" s="53">
        <v>2</v>
      </c>
      <c r="N132" s="53">
        <v>5</v>
      </c>
      <c r="O132" s="53">
        <v>0.75</v>
      </c>
      <c r="P132" s="53">
        <v>0.95</v>
      </c>
      <c r="Q132" s="74">
        <f t="shared" si="8"/>
        <v>0.85</v>
      </c>
      <c r="R132" s="53">
        <v>14.1</v>
      </c>
      <c r="S132" s="53">
        <v>111</v>
      </c>
      <c r="T132" s="16">
        <f t="shared" si="9"/>
        <v>33</v>
      </c>
      <c r="U132" s="53">
        <v>378</v>
      </c>
      <c r="V132" s="16">
        <f t="shared" si="10"/>
        <v>2494.7999999999997</v>
      </c>
      <c r="W132" s="53">
        <v>2</v>
      </c>
      <c r="X132" s="53" t="s">
        <v>46</v>
      </c>
      <c r="Y132" s="53" t="s">
        <v>55</v>
      </c>
      <c r="Z132" s="53" t="s">
        <v>69</v>
      </c>
      <c r="AA132" s="53" t="s">
        <v>86</v>
      </c>
      <c r="AB132" s="53" t="s">
        <v>158</v>
      </c>
      <c r="AC132" s="76"/>
      <c r="AD132" s="76"/>
      <c r="AE132" s="76"/>
      <c r="AF132" s="76"/>
      <c r="AG132" s="76"/>
      <c r="AH132" s="76"/>
    </row>
    <row r="133" spans="1:34" x14ac:dyDescent="0.15">
      <c r="A133" s="53" t="s">
        <v>41</v>
      </c>
      <c r="B133" s="53" t="s">
        <v>157</v>
      </c>
      <c r="C133" s="62">
        <v>2019</v>
      </c>
      <c r="D133" s="63" t="s">
        <v>185</v>
      </c>
      <c r="E133" s="53" t="s">
        <v>201</v>
      </c>
      <c r="F133" s="53" t="s">
        <v>202</v>
      </c>
      <c r="G133" s="53" t="s">
        <v>42</v>
      </c>
      <c r="H133" s="53" t="s">
        <v>164</v>
      </c>
      <c r="I133" s="53" t="s">
        <v>159</v>
      </c>
      <c r="J133" s="53" t="s">
        <v>38</v>
      </c>
      <c r="K133" s="53" t="s">
        <v>161</v>
      </c>
      <c r="L133" s="53">
        <v>3</v>
      </c>
      <c r="N133" s="53">
        <v>5</v>
      </c>
      <c r="O133" s="53">
        <v>0.65</v>
      </c>
      <c r="P133" s="53">
        <v>0.5</v>
      </c>
      <c r="Q133" s="74">
        <f t="shared" si="8"/>
        <v>0.57499999999999996</v>
      </c>
      <c r="R133" s="53">
        <v>14</v>
      </c>
      <c r="S133" s="53">
        <v>108</v>
      </c>
      <c r="T133" s="16">
        <f t="shared" si="9"/>
        <v>33</v>
      </c>
      <c r="U133" s="53">
        <v>378</v>
      </c>
      <c r="V133" s="16">
        <f t="shared" si="10"/>
        <v>2494.7999999999997</v>
      </c>
      <c r="W133" s="53">
        <v>2</v>
      </c>
      <c r="X133" s="53" t="s">
        <v>46</v>
      </c>
      <c r="Y133" s="53" t="s">
        <v>55</v>
      </c>
      <c r="Z133" s="53" t="s">
        <v>69</v>
      </c>
      <c r="AA133" s="53" t="s">
        <v>86</v>
      </c>
      <c r="AB133" s="53" t="s">
        <v>158</v>
      </c>
      <c r="AC133" s="76"/>
      <c r="AD133" s="76"/>
      <c r="AE133" s="76"/>
      <c r="AF133" s="76"/>
      <c r="AG133" s="76"/>
      <c r="AH133" s="76"/>
    </row>
    <row r="134" spans="1:34" x14ac:dyDescent="0.15">
      <c r="A134" s="53" t="s">
        <v>41</v>
      </c>
      <c r="B134" s="53" t="s">
        <v>157</v>
      </c>
      <c r="C134" s="62">
        <v>2019</v>
      </c>
      <c r="D134" s="63" t="s">
        <v>185</v>
      </c>
      <c r="E134" s="53" t="s">
        <v>201</v>
      </c>
      <c r="F134" s="53" t="s">
        <v>202</v>
      </c>
      <c r="G134" s="53" t="s">
        <v>42</v>
      </c>
      <c r="H134" s="53" t="s">
        <v>164</v>
      </c>
      <c r="I134" s="53" t="s">
        <v>159</v>
      </c>
      <c r="J134" s="53" t="s">
        <v>38</v>
      </c>
      <c r="K134" s="53" t="s">
        <v>161</v>
      </c>
      <c r="L134" s="53">
        <v>1</v>
      </c>
      <c r="N134" s="53">
        <v>8</v>
      </c>
      <c r="O134" s="53">
        <v>0.65</v>
      </c>
      <c r="P134" s="53">
        <v>0.4</v>
      </c>
      <c r="Q134" s="74">
        <f t="shared" si="8"/>
        <v>0.52500000000000002</v>
      </c>
      <c r="R134" s="53">
        <v>12.8</v>
      </c>
      <c r="S134" s="53">
        <v>102</v>
      </c>
      <c r="T134" s="16">
        <f t="shared" si="9"/>
        <v>33</v>
      </c>
      <c r="U134" s="53">
        <v>537</v>
      </c>
      <c r="V134" s="16">
        <f t="shared" si="10"/>
        <v>2215.125</v>
      </c>
      <c r="W134" s="53">
        <v>3</v>
      </c>
      <c r="X134" s="53" t="s">
        <v>46</v>
      </c>
      <c r="Y134" s="53" t="s">
        <v>55</v>
      </c>
      <c r="Z134" s="53" t="s">
        <v>69</v>
      </c>
      <c r="AA134" s="53" t="s">
        <v>86</v>
      </c>
      <c r="AB134" s="53" t="s">
        <v>158</v>
      </c>
      <c r="AC134" s="76"/>
      <c r="AD134" s="76"/>
      <c r="AE134" s="76"/>
      <c r="AF134" s="76"/>
      <c r="AG134" s="76"/>
      <c r="AH134" s="76"/>
    </row>
    <row r="135" spans="1:34" x14ac:dyDescent="0.15">
      <c r="A135" s="53" t="s">
        <v>41</v>
      </c>
      <c r="B135" s="53" t="s">
        <v>157</v>
      </c>
      <c r="C135" s="62">
        <v>2019</v>
      </c>
      <c r="D135" s="63" t="s">
        <v>185</v>
      </c>
      <c r="E135" s="53" t="s">
        <v>201</v>
      </c>
      <c r="F135" s="53" t="s">
        <v>202</v>
      </c>
      <c r="G135" s="53" t="s">
        <v>42</v>
      </c>
      <c r="H135" s="53" t="s">
        <v>164</v>
      </c>
      <c r="I135" s="53" t="s">
        <v>159</v>
      </c>
      <c r="J135" s="53" t="s">
        <v>38</v>
      </c>
      <c r="K135" s="53" t="s">
        <v>161</v>
      </c>
      <c r="L135" s="53">
        <v>2</v>
      </c>
      <c r="N135" s="53">
        <v>8</v>
      </c>
      <c r="O135" s="53">
        <v>0.4</v>
      </c>
      <c r="P135" s="53">
        <v>0.35</v>
      </c>
      <c r="Q135" s="74">
        <f t="shared" si="8"/>
        <v>0.375</v>
      </c>
      <c r="R135" s="53">
        <v>12.2</v>
      </c>
      <c r="S135" s="53">
        <v>105</v>
      </c>
      <c r="T135" s="16">
        <f t="shared" si="9"/>
        <v>33</v>
      </c>
      <c r="U135" s="53">
        <v>537</v>
      </c>
      <c r="V135" s="16">
        <f t="shared" si="10"/>
        <v>2215.125</v>
      </c>
      <c r="W135" s="53">
        <v>3</v>
      </c>
      <c r="X135" s="53" t="s">
        <v>46</v>
      </c>
      <c r="Y135" s="53" t="s">
        <v>55</v>
      </c>
      <c r="Z135" s="53" t="s">
        <v>69</v>
      </c>
      <c r="AA135" s="53" t="s">
        <v>86</v>
      </c>
      <c r="AB135" s="53" t="s">
        <v>158</v>
      </c>
      <c r="AC135" s="76"/>
      <c r="AD135" s="76"/>
      <c r="AE135" s="76"/>
      <c r="AF135" s="76"/>
      <c r="AG135" s="76"/>
      <c r="AH135" s="76"/>
    </row>
    <row r="136" spans="1:34" x14ac:dyDescent="0.15">
      <c r="A136" s="53" t="s">
        <v>41</v>
      </c>
      <c r="B136" s="53" t="s">
        <v>157</v>
      </c>
      <c r="C136" s="62">
        <v>2019</v>
      </c>
      <c r="D136" s="63" t="s">
        <v>185</v>
      </c>
      <c r="E136" s="53" t="s">
        <v>201</v>
      </c>
      <c r="F136" s="53" t="s">
        <v>202</v>
      </c>
      <c r="G136" s="53" t="s">
        <v>42</v>
      </c>
      <c r="H136" s="53" t="s">
        <v>164</v>
      </c>
      <c r="I136" s="53" t="s">
        <v>159</v>
      </c>
      <c r="J136" s="53" t="s">
        <v>38</v>
      </c>
      <c r="K136" s="53" t="s">
        <v>161</v>
      </c>
      <c r="L136" s="53">
        <v>3</v>
      </c>
      <c r="N136" s="53">
        <v>8</v>
      </c>
      <c r="O136" s="53">
        <v>0.35</v>
      </c>
      <c r="P136" s="53">
        <v>0.4</v>
      </c>
      <c r="Q136" s="75">
        <f t="shared" si="8"/>
        <v>0.375</v>
      </c>
      <c r="R136" s="53">
        <v>12.6</v>
      </c>
      <c r="S136" s="53">
        <v>110</v>
      </c>
      <c r="T136" s="38">
        <f t="shared" si="9"/>
        <v>33</v>
      </c>
      <c r="U136" s="53">
        <v>537</v>
      </c>
      <c r="V136" s="16">
        <f t="shared" si="10"/>
        <v>2215.125</v>
      </c>
      <c r="W136" s="53">
        <v>3</v>
      </c>
      <c r="X136" s="53" t="s">
        <v>46</v>
      </c>
      <c r="Y136" s="53" t="s">
        <v>55</v>
      </c>
      <c r="Z136" s="53" t="s">
        <v>69</v>
      </c>
      <c r="AA136" s="53" t="s">
        <v>86</v>
      </c>
      <c r="AB136" s="53" t="s">
        <v>158</v>
      </c>
      <c r="AC136" s="76"/>
      <c r="AD136" s="76"/>
      <c r="AE136" s="76"/>
      <c r="AF136" s="76"/>
      <c r="AG136" s="76"/>
      <c r="AH136" s="76"/>
    </row>
    <row r="137" spans="1:34" x14ac:dyDescent="0.15">
      <c r="A137" s="53" t="s">
        <v>41</v>
      </c>
      <c r="B137" s="53" t="s">
        <v>157</v>
      </c>
      <c r="C137" s="62">
        <v>2019</v>
      </c>
      <c r="D137" s="63" t="s">
        <v>185</v>
      </c>
      <c r="E137" s="53" t="s">
        <v>201</v>
      </c>
      <c r="F137" s="53" t="s">
        <v>208</v>
      </c>
      <c r="G137" s="53" t="s">
        <v>42</v>
      </c>
      <c r="H137" s="53" t="s">
        <v>160</v>
      </c>
      <c r="I137" s="53" t="s">
        <v>159</v>
      </c>
      <c r="J137" s="53" t="s">
        <v>38</v>
      </c>
      <c r="K137" s="53" t="s">
        <v>161</v>
      </c>
      <c r="L137" s="53">
        <v>1</v>
      </c>
      <c r="N137" s="53">
        <v>1</v>
      </c>
      <c r="O137" s="53">
        <v>0.3</v>
      </c>
      <c r="P137" s="53">
        <v>0.45</v>
      </c>
      <c r="Q137" s="75">
        <f t="shared" si="8"/>
        <v>0.375</v>
      </c>
      <c r="R137" s="53">
        <v>12.3</v>
      </c>
      <c r="S137" s="53">
        <v>129</v>
      </c>
      <c r="T137" s="38">
        <f t="shared" si="9"/>
        <v>25</v>
      </c>
      <c r="U137" s="53">
        <v>105</v>
      </c>
      <c r="V137" s="16">
        <f t="shared" si="10"/>
        <v>2625</v>
      </c>
      <c r="W137" s="53">
        <v>3</v>
      </c>
      <c r="X137" s="53" t="s">
        <v>46</v>
      </c>
      <c r="Y137" s="53" t="s">
        <v>55</v>
      </c>
      <c r="Z137" s="53" t="s">
        <v>69</v>
      </c>
      <c r="AA137" s="53" t="s">
        <v>97</v>
      </c>
      <c r="AB137" s="53" t="s">
        <v>158</v>
      </c>
      <c r="AC137" s="76"/>
      <c r="AD137" s="76"/>
      <c r="AE137" s="76"/>
      <c r="AF137" s="76"/>
      <c r="AG137" s="76"/>
      <c r="AH137" s="76"/>
    </row>
    <row r="138" spans="1:34" x14ac:dyDescent="0.15">
      <c r="A138" s="53" t="s">
        <v>41</v>
      </c>
      <c r="B138" s="53" t="s">
        <v>157</v>
      </c>
      <c r="C138" s="62">
        <v>2019</v>
      </c>
      <c r="D138" s="63" t="s">
        <v>185</v>
      </c>
      <c r="E138" s="53" t="s">
        <v>201</v>
      </c>
      <c r="F138" s="53" t="s">
        <v>208</v>
      </c>
      <c r="G138" s="53" t="s">
        <v>42</v>
      </c>
      <c r="H138" s="53" t="s">
        <v>160</v>
      </c>
      <c r="I138" s="53" t="s">
        <v>159</v>
      </c>
      <c r="J138" s="53" t="s">
        <v>38</v>
      </c>
      <c r="K138" s="53" t="s">
        <v>161</v>
      </c>
      <c r="L138" s="53">
        <v>2</v>
      </c>
      <c r="N138" s="53">
        <v>1</v>
      </c>
      <c r="O138" s="53">
        <v>0.65</v>
      </c>
      <c r="P138" s="53">
        <v>0.5</v>
      </c>
      <c r="Q138" s="75">
        <f t="shared" si="8"/>
        <v>0.57499999999999996</v>
      </c>
      <c r="R138" s="53">
        <v>13.5</v>
      </c>
      <c r="S138" s="53">
        <v>130</v>
      </c>
      <c r="T138" s="38">
        <f t="shared" si="9"/>
        <v>25</v>
      </c>
      <c r="U138" s="53">
        <v>105</v>
      </c>
      <c r="V138" s="16">
        <f t="shared" si="10"/>
        <v>2625</v>
      </c>
      <c r="W138" s="53">
        <v>3</v>
      </c>
      <c r="X138" s="53" t="s">
        <v>46</v>
      </c>
      <c r="Y138" s="53" t="s">
        <v>55</v>
      </c>
      <c r="Z138" s="53" t="s">
        <v>69</v>
      </c>
      <c r="AA138" s="53" t="s">
        <v>97</v>
      </c>
      <c r="AB138" s="53" t="s">
        <v>158</v>
      </c>
      <c r="AC138" s="76"/>
      <c r="AD138" s="76"/>
      <c r="AE138" s="76"/>
      <c r="AF138" s="76"/>
      <c r="AG138" s="76"/>
      <c r="AH138" s="76"/>
    </row>
    <row r="139" spans="1:34" x14ac:dyDescent="0.15">
      <c r="A139" s="53" t="s">
        <v>41</v>
      </c>
      <c r="B139" s="53" t="s">
        <v>157</v>
      </c>
      <c r="C139" s="62">
        <v>2019</v>
      </c>
      <c r="D139" s="63" t="s">
        <v>185</v>
      </c>
      <c r="E139" s="53" t="s">
        <v>201</v>
      </c>
      <c r="F139" s="53" t="s">
        <v>208</v>
      </c>
      <c r="G139" s="53" t="s">
        <v>42</v>
      </c>
      <c r="H139" s="53" t="s">
        <v>160</v>
      </c>
      <c r="I139" s="53" t="s">
        <v>159</v>
      </c>
      <c r="J139" s="53" t="s">
        <v>38</v>
      </c>
      <c r="K139" s="53" t="s">
        <v>161</v>
      </c>
      <c r="L139" s="53">
        <v>3</v>
      </c>
      <c r="N139" s="53">
        <v>1</v>
      </c>
      <c r="O139" s="53">
        <v>0.45</v>
      </c>
      <c r="P139" s="53">
        <v>0.5</v>
      </c>
      <c r="Q139" s="75">
        <f t="shared" si="8"/>
        <v>0.47499999999999998</v>
      </c>
      <c r="R139" s="53">
        <v>15.8</v>
      </c>
      <c r="S139" s="53">
        <v>127</v>
      </c>
      <c r="T139" s="38">
        <f t="shared" si="9"/>
        <v>27</v>
      </c>
      <c r="U139" s="53">
        <v>105</v>
      </c>
      <c r="V139" s="38">
        <f t="shared" si="10"/>
        <v>2835</v>
      </c>
      <c r="W139" s="53">
        <v>3</v>
      </c>
      <c r="X139" s="53" t="s">
        <v>46</v>
      </c>
      <c r="Y139" s="53" t="s">
        <v>55</v>
      </c>
      <c r="Z139" s="53" t="s">
        <v>69</v>
      </c>
      <c r="AA139" s="53" t="s">
        <v>97</v>
      </c>
      <c r="AB139" s="53" t="s">
        <v>158</v>
      </c>
      <c r="AC139" s="76"/>
      <c r="AD139" s="76"/>
      <c r="AE139" s="76"/>
      <c r="AF139" s="76"/>
      <c r="AG139" s="76"/>
      <c r="AH139" s="76"/>
    </row>
    <row r="140" spans="1:34" x14ac:dyDescent="0.15">
      <c r="A140" s="53" t="s">
        <v>41</v>
      </c>
      <c r="B140" s="53" t="s">
        <v>157</v>
      </c>
      <c r="C140" s="62">
        <v>2019</v>
      </c>
      <c r="D140" s="63" t="s">
        <v>185</v>
      </c>
      <c r="E140" s="53" t="s">
        <v>201</v>
      </c>
      <c r="F140" s="53" t="s">
        <v>208</v>
      </c>
      <c r="G140" s="53" t="s">
        <v>42</v>
      </c>
      <c r="H140" s="53" t="s">
        <v>160</v>
      </c>
      <c r="I140" s="53" t="s">
        <v>159</v>
      </c>
      <c r="J140" s="53" t="s">
        <v>38</v>
      </c>
      <c r="K140" s="53" t="s">
        <v>161</v>
      </c>
      <c r="L140" s="53">
        <v>1</v>
      </c>
      <c r="N140" s="53">
        <v>3</v>
      </c>
      <c r="O140" s="53">
        <v>0.65</v>
      </c>
      <c r="P140" s="53">
        <v>0.45</v>
      </c>
      <c r="Q140" s="75">
        <f t="shared" si="8"/>
        <v>0.55000000000000004</v>
      </c>
      <c r="R140" s="53">
        <v>15.2</v>
      </c>
      <c r="S140" s="53">
        <v>164</v>
      </c>
      <c r="T140" s="38">
        <f t="shared" si="9"/>
        <v>22</v>
      </c>
      <c r="U140" s="53">
        <v>429</v>
      </c>
      <c r="V140" s="38">
        <f t="shared" si="10"/>
        <v>3146</v>
      </c>
      <c r="W140" s="53">
        <v>2</v>
      </c>
      <c r="X140" s="53" t="s">
        <v>46</v>
      </c>
      <c r="Y140" s="53" t="s">
        <v>55</v>
      </c>
      <c r="Z140" s="53" t="s">
        <v>69</v>
      </c>
      <c r="AA140" s="53" t="s">
        <v>97</v>
      </c>
      <c r="AB140" s="53" t="s">
        <v>158</v>
      </c>
      <c r="AC140" s="76"/>
      <c r="AD140" s="76"/>
      <c r="AE140" s="76"/>
      <c r="AF140" s="76"/>
      <c r="AG140" s="76"/>
      <c r="AH140" s="76"/>
    </row>
    <row r="141" spans="1:34" x14ac:dyDescent="0.15">
      <c r="A141" s="53" t="s">
        <v>41</v>
      </c>
      <c r="B141" s="53" t="s">
        <v>157</v>
      </c>
      <c r="C141" s="62">
        <v>2019</v>
      </c>
      <c r="D141" s="63" t="s">
        <v>185</v>
      </c>
      <c r="E141" s="53" t="s">
        <v>201</v>
      </c>
      <c r="F141" s="53" t="s">
        <v>208</v>
      </c>
      <c r="G141" s="53" t="s">
        <v>42</v>
      </c>
      <c r="H141" s="53" t="s">
        <v>160</v>
      </c>
      <c r="I141" s="53" t="s">
        <v>159</v>
      </c>
      <c r="J141" s="53" t="s">
        <v>38</v>
      </c>
      <c r="K141" s="53" t="s">
        <v>161</v>
      </c>
      <c r="L141" s="53">
        <v>2</v>
      </c>
      <c r="N141" s="53">
        <v>3</v>
      </c>
      <c r="O141" s="53">
        <v>0.5</v>
      </c>
      <c r="P141" s="53">
        <v>0.5</v>
      </c>
      <c r="Q141" s="75">
        <f t="shared" si="8"/>
        <v>0.5</v>
      </c>
      <c r="R141" s="53">
        <v>15.1</v>
      </c>
      <c r="S141" s="53">
        <v>160</v>
      </c>
      <c r="T141" s="38">
        <f t="shared" si="9"/>
        <v>22</v>
      </c>
      <c r="U141" s="53">
        <v>429</v>
      </c>
      <c r="V141" s="38">
        <f t="shared" si="10"/>
        <v>3146</v>
      </c>
      <c r="W141" s="53">
        <v>2</v>
      </c>
      <c r="X141" s="53" t="s">
        <v>46</v>
      </c>
      <c r="Y141" s="53" t="s">
        <v>55</v>
      </c>
      <c r="Z141" s="53" t="s">
        <v>69</v>
      </c>
      <c r="AA141" s="53" t="s">
        <v>97</v>
      </c>
      <c r="AB141" s="53" t="s">
        <v>158</v>
      </c>
      <c r="AC141" s="76"/>
      <c r="AD141" s="76"/>
      <c r="AE141" s="76"/>
      <c r="AF141" s="76"/>
      <c r="AG141" s="76"/>
      <c r="AH141" s="76"/>
    </row>
    <row r="142" spans="1:34" x14ac:dyDescent="0.15">
      <c r="A142" s="53" t="s">
        <v>41</v>
      </c>
      <c r="B142" s="53" t="s">
        <v>157</v>
      </c>
      <c r="C142" s="62">
        <v>2019</v>
      </c>
      <c r="D142" s="63" t="s">
        <v>185</v>
      </c>
      <c r="E142" s="53" t="s">
        <v>201</v>
      </c>
      <c r="F142" s="53" t="s">
        <v>208</v>
      </c>
      <c r="G142" s="53" t="s">
        <v>42</v>
      </c>
      <c r="H142" s="53" t="s">
        <v>160</v>
      </c>
      <c r="I142" s="53" t="s">
        <v>159</v>
      </c>
      <c r="J142" s="53" t="s">
        <v>38</v>
      </c>
      <c r="K142" s="53" t="s">
        <v>161</v>
      </c>
      <c r="L142" s="53">
        <v>3</v>
      </c>
      <c r="N142" s="53">
        <v>3</v>
      </c>
      <c r="O142" s="53">
        <v>0.25</v>
      </c>
      <c r="P142" s="53">
        <v>0.3</v>
      </c>
      <c r="Q142" s="75">
        <f t="shared" si="8"/>
        <v>0.27500000000000002</v>
      </c>
      <c r="R142" s="53">
        <v>14.1</v>
      </c>
      <c r="S142" s="53">
        <v>158</v>
      </c>
      <c r="T142" s="38">
        <f t="shared" si="9"/>
        <v>22</v>
      </c>
      <c r="U142" s="53">
        <v>429</v>
      </c>
      <c r="V142" s="38">
        <f t="shared" si="10"/>
        <v>3146</v>
      </c>
      <c r="W142" s="53">
        <v>2</v>
      </c>
      <c r="X142" s="53" t="s">
        <v>46</v>
      </c>
      <c r="Y142" s="53" t="s">
        <v>55</v>
      </c>
      <c r="Z142" s="53" t="s">
        <v>69</v>
      </c>
      <c r="AA142" s="53" t="s">
        <v>97</v>
      </c>
      <c r="AB142" s="53" t="s">
        <v>158</v>
      </c>
      <c r="AC142" s="76"/>
      <c r="AD142" s="76"/>
      <c r="AE142" s="76"/>
      <c r="AF142" s="76"/>
      <c r="AG142" s="76"/>
      <c r="AH142" s="76"/>
    </row>
    <row r="143" spans="1:34" x14ac:dyDescent="0.15">
      <c r="A143" s="53" t="s">
        <v>41</v>
      </c>
      <c r="B143" s="53" t="s">
        <v>157</v>
      </c>
      <c r="C143" s="62">
        <v>2019</v>
      </c>
      <c r="D143" s="63" t="s">
        <v>185</v>
      </c>
      <c r="E143" s="53" t="s">
        <v>201</v>
      </c>
      <c r="F143" s="53" t="s">
        <v>208</v>
      </c>
      <c r="G143" s="53" t="s">
        <v>42</v>
      </c>
      <c r="H143" s="53" t="s">
        <v>160</v>
      </c>
      <c r="I143" s="53" t="s">
        <v>159</v>
      </c>
      <c r="J143" s="53" t="s">
        <v>38</v>
      </c>
      <c r="K143" s="53" t="s">
        <v>161</v>
      </c>
      <c r="L143" s="53">
        <v>1</v>
      </c>
      <c r="N143" s="53">
        <v>6</v>
      </c>
      <c r="O143" s="53">
        <v>0.65</v>
      </c>
      <c r="P143" s="53">
        <v>0.6</v>
      </c>
      <c r="Q143" s="74">
        <f t="shared" si="8"/>
        <v>0.625</v>
      </c>
      <c r="R143" s="53">
        <v>14.3</v>
      </c>
      <c r="S143" s="53">
        <v>118</v>
      </c>
      <c r="T143" s="16">
        <f t="shared" si="9"/>
        <v>30</v>
      </c>
      <c r="U143" s="53">
        <v>626</v>
      </c>
      <c r="V143" s="16">
        <f t="shared" si="10"/>
        <v>3130</v>
      </c>
      <c r="W143" s="53">
        <v>3</v>
      </c>
      <c r="X143" s="53" t="s">
        <v>46</v>
      </c>
      <c r="Y143" s="53" t="s">
        <v>55</v>
      </c>
      <c r="Z143" s="53" t="s">
        <v>69</v>
      </c>
      <c r="AA143" s="53" t="s">
        <v>97</v>
      </c>
      <c r="AB143" s="53" t="s">
        <v>158</v>
      </c>
      <c r="AC143" s="76"/>
      <c r="AD143" s="76"/>
      <c r="AE143" s="76"/>
      <c r="AF143" s="76"/>
      <c r="AG143" s="76"/>
      <c r="AH143" s="76"/>
    </row>
    <row r="144" spans="1:34" x14ac:dyDescent="0.15">
      <c r="A144" s="53" t="s">
        <v>41</v>
      </c>
      <c r="B144" s="53" t="s">
        <v>157</v>
      </c>
      <c r="C144" s="62">
        <v>2019</v>
      </c>
      <c r="D144" s="63" t="s">
        <v>185</v>
      </c>
      <c r="E144" s="53" t="s">
        <v>201</v>
      </c>
      <c r="F144" s="53" t="s">
        <v>208</v>
      </c>
      <c r="G144" s="53" t="s">
        <v>42</v>
      </c>
      <c r="H144" s="53" t="s">
        <v>160</v>
      </c>
      <c r="I144" s="53" t="s">
        <v>159</v>
      </c>
      <c r="J144" s="53" t="s">
        <v>38</v>
      </c>
      <c r="K144" s="53" t="s">
        <v>161</v>
      </c>
      <c r="L144" s="53">
        <v>2</v>
      </c>
      <c r="N144" s="53">
        <v>6</v>
      </c>
      <c r="O144" s="53">
        <v>0.75</v>
      </c>
      <c r="P144" s="53">
        <v>0.85</v>
      </c>
      <c r="Q144" s="74">
        <f t="shared" si="8"/>
        <v>0.8</v>
      </c>
      <c r="R144" s="53">
        <v>14.6</v>
      </c>
      <c r="S144" s="53">
        <v>120</v>
      </c>
      <c r="T144" s="16">
        <f t="shared" si="9"/>
        <v>30</v>
      </c>
      <c r="U144" s="53">
        <v>626</v>
      </c>
      <c r="V144" s="16">
        <f t="shared" si="10"/>
        <v>3130</v>
      </c>
      <c r="W144" s="53">
        <v>3</v>
      </c>
      <c r="X144" s="53" t="s">
        <v>46</v>
      </c>
      <c r="Y144" s="53" t="s">
        <v>55</v>
      </c>
      <c r="Z144" s="53" t="s">
        <v>69</v>
      </c>
      <c r="AA144" s="53" t="s">
        <v>97</v>
      </c>
      <c r="AB144" s="53" t="s">
        <v>158</v>
      </c>
      <c r="AC144" s="76"/>
      <c r="AD144" s="76"/>
      <c r="AE144" s="76"/>
      <c r="AF144" s="76"/>
      <c r="AG144" s="76"/>
      <c r="AH144" s="76"/>
    </row>
    <row r="145" spans="1:34" x14ac:dyDescent="0.15">
      <c r="A145" s="53" t="s">
        <v>41</v>
      </c>
      <c r="B145" s="53" t="s">
        <v>157</v>
      </c>
      <c r="C145" s="62">
        <v>2019</v>
      </c>
      <c r="D145" s="63" t="s">
        <v>185</v>
      </c>
      <c r="E145" s="53" t="s">
        <v>201</v>
      </c>
      <c r="F145" s="53" t="s">
        <v>208</v>
      </c>
      <c r="G145" s="53" t="s">
        <v>42</v>
      </c>
      <c r="H145" s="53" t="s">
        <v>160</v>
      </c>
      <c r="I145" s="53" t="s">
        <v>159</v>
      </c>
      <c r="J145" s="53" t="s">
        <v>38</v>
      </c>
      <c r="K145" s="53" t="s">
        <v>161</v>
      </c>
      <c r="L145" s="53">
        <v>3</v>
      </c>
      <c r="N145" s="53">
        <v>6</v>
      </c>
      <c r="O145" s="53">
        <v>0.8</v>
      </c>
      <c r="P145" s="53">
        <v>0.9</v>
      </c>
      <c r="Q145" s="74">
        <f t="shared" si="8"/>
        <v>0.85000000000000009</v>
      </c>
      <c r="R145" s="53">
        <v>12.8</v>
      </c>
      <c r="S145" s="53">
        <v>115</v>
      </c>
      <c r="T145" s="16">
        <f t="shared" si="9"/>
        <v>30</v>
      </c>
      <c r="U145" s="53">
        <v>626</v>
      </c>
      <c r="V145" s="16">
        <f t="shared" si="10"/>
        <v>3130</v>
      </c>
      <c r="W145" s="53">
        <v>3</v>
      </c>
      <c r="X145" s="53" t="s">
        <v>46</v>
      </c>
      <c r="Y145" s="53" t="s">
        <v>55</v>
      </c>
      <c r="Z145" s="53" t="s">
        <v>69</v>
      </c>
      <c r="AA145" s="53" t="s">
        <v>97</v>
      </c>
      <c r="AB145" s="53" t="s">
        <v>158</v>
      </c>
      <c r="AC145" s="76"/>
      <c r="AD145" s="76"/>
      <c r="AE145" s="76"/>
      <c r="AF145" s="76"/>
      <c r="AG145" s="76"/>
      <c r="AH145" s="76"/>
    </row>
    <row r="146" spans="1:34" x14ac:dyDescent="0.15">
      <c r="A146" s="53" t="s">
        <v>41</v>
      </c>
      <c r="B146" s="53" t="s">
        <v>157</v>
      </c>
      <c r="C146" s="62">
        <v>2019</v>
      </c>
      <c r="D146" s="63" t="s">
        <v>185</v>
      </c>
      <c r="E146" s="53" t="s">
        <v>201</v>
      </c>
      <c r="F146" s="53" t="s">
        <v>208</v>
      </c>
      <c r="G146" s="53" t="s">
        <v>42</v>
      </c>
      <c r="H146" s="53" t="s">
        <v>164</v>
      </c>
      <c r="I146" s="53" t="s">
        <v>159</v>
      </c>
      <c r="J146" s="53" t="s">
        <v>38</v>
      </c>
      <c r="K146" s="53" t="s">
        <v>161</v>
      </c>
      <c r="L146" s="53">
        <v>1</v>
      </c>
      <c r="N146" s="53">
        <v>1</v>
      </c>
      <c r="O146" s="53">
        <v>0.7</v>
      </c>
      <c r="P146" s="53">
        <v>0.65</v>
      </c>
      <c r="Q146" s="74">
        <f t="shared" si="8"/>
        <v>0.67500000000000004</v>
      </c>
      <c r="R146" s="53">
        <v>13.2</v>
      </c>
      <c r="S146" s="53">
        <v>126</v>
      </c>
      <c r="T146" s="16">
        <f t="shared" si="9"/>
        <v>27</v>
      </c>
      <c r="U146" s="53">
        <v>105</v>
      </c>
      <c r="V146" s="16">
        <f t="shared" si="10"/>
        <v>2835</v>
      </c>
      <c r="W146" s="53">
        <v>3</v>
      </c>
      <c r="X146" s="53" t="s">
        <v>46</v>
      </c>
      <c r="Y146" s="53" t="s">
        <v>55</v>
      </c>
      <c r="Z146" s="53" t="s">
        <v>69</v>
      </c>
      <c r="AA146" s="53" t="s">
        <v>97</v>
      </c>
      <c r="AB146" s="53" t="s">
        <v>158</v>
      </c>
      <c r="AC146" s="76"/>
      <c r="AD146" s="76"/>
      <c r="AE146" s="76"/>
      <c r="AF146" s="76"/>
      <c r="AG146" s="76"/>
      <c r="AH146" s="76"/>
    </row>
    <row r="147" spans="1:34" x14ac:dyDescent="0.15">
      <c r="A147" s="53" t="s">
        <v>41</v>
      </c>
      <c r="B147" s="53" t="s">
        <v>157</v>
      </c>
      <c r="C147" s="62">
        <v>2019</v>
      </c>
      <c r="D147" s="63" t="s">
        <v>185</v>
      </c>
      <c r="E147" s="53" t="s">
        <v>201</v>
      </c>
      <c r="F147" s="53" t="s">
        <v>208</v>
      </c>
      <c r="G147" s="53" t="s">
        <v>42</v>
      </c>
      <c r="H147" s="53" t="s">
        <v>164</v>
      </c>
      <c r="I147" s="53" t="s">
        <v>159</v>
      </c>
      <c r="J147" s="53" t="s">
        <v>38</v>
      </c>
      <c r="K147" s="53" t="s">
        <v>161</v>
      </c>
      <c r="L147" s="53">
        <v>2</v>
      </c>
      <c r="N147" s="53">
        <v>1</v>
      </c>
      <c r="O147" s="53">
        <v>0.6</v>
      </c>
      <c r="P147" s="53">
        <v>0.5</v>
      </c>
      <c r="Q147" s="74">
        <f t="shared" si="8"/>
        <v>0.55000000000000004</v>
      </c>
      <c r="R147" s="53">
        <v>13</v>
      </c>
      <c r="S147" s="53">
        <v>122</v>
      </c>
      <c r="T147" s="16">
        <f t="shared" si="9"/>
        <v>27</v>
      </c>
      <c r="U147" s="53">
        <v>105</v>
      </c>
      <c r="V147" s="16">
        <f t="shared" si="10"/>
        <v>2835</v>
      </c>
      <c r="W147" s="53">
        <v>3</v>
      </c>
      <c r="X147" s="53" t="s">
        <v>46</v>
      </c>
      <c r="Y147" s="53" t="s">
        <v>55</v>
      </c>
      <c r="Z147" s="53" t="s">
        <v>69</v>
      </c>
      <c r="AA147" s="53" t="s">
        <v>97</v>
      </c>
      <c r="AB147" s="53" t="s">
        <v>158</v>
      </c>
      <c r="AC147" s="76"/>
      <c r="AD147" s="76"/>
      <c r="AE147" s="76"/>
      <c r="AF147" s="76"/>
      <c r="AG147" s="76"/>
      <c r="AH147" s="76"/>
    </row>
    <row r="148" spans="1:34" x14ac:dyDescent="0.15">
      <c r="A148" s="53" t="s">
        <v>41</v>
      </c>
      <c r="B148" s="53" t="s">
        <v>157</v>
      </c>
      <c r="C148" s="62">
        <v>2019</v>
      </c>
      <c r="D148" s="63" t="s">
        <v>185</v>
      </c>
      <c r="E148" s="53" t="s">
        <v>201</v>
      </c>
      <c r="F148" s="53" t="s">
        <v>208</v>
      </c>
      <c r="G148" s="53" t="s">
        <v>42</v>
      </c>
      <c r="H148" s="53" t="s">
        <v>164</v>
      </c>
      <c r="I148" s="53" t="s">
        <v>159</v>
      </c>
      <c r="J148" s="53" t="s">
        <v>38</v>
      </c>
      <c r="K148" s="53" t="s">
        <v>161</v>
      </c>
      <c r="L148" s="53">
        <v>3</v>
      </c>
      <c r="N148" s="53">
        <v>1</v>
      </c>
      <c r="O148" s="53">
        <v>0.85</v>
      </c>
      <c r="P148" s="53">
        <v>0.75</v>
      </c>
      <c r="Q148" s="74">
        <f t="shared" si="8"/>
        <v>0.8</v>
      </c>
      <c r="R148" s="53">
        <v>12.8</v>
      </c>
      <c r="S148" s="53">
        <v>127</v>
      </c>
      <c r="T148" s="16">
        <f t="shared" si="9"/>
        <v>27</v>
      </c>
      <c r="U148" s="53">
        <v>105</v>
      </c>
      <c r="V148" s="16">
        <f t="shared" si="10"/>
        <v>2835</v>
      </c>
      <c r="W148" s="53">
        <v>3</v>
      </c>
      <c r="X148" s="53" t="s">
        <v>46</v>
      </c>
      <c r="Y148" s="53" t="s">
        <v>55</v>
      </c>
      <c r="Z148" s="53" t="s">
        <v>69</v>
      </c>
      <c r="AA148" s="53" t="s">
        <v>97</v>
      </c>
      <c r="AB148" s="53" t="s">
        <v>158</v>
      </c>
      <c r="AC148" s="76"/>
      <c r="AD148" s="76"/>
      <c r="AE148" s="76"/>
      <c r="AF148" s="76"/>
      <c r="AG148" s="76"/>
      <c r="AH148" s="76"/>
    </row>
    <row r="149" spans="1:34" x14ac:dyDescent="0.15">
      <c r="A149" s="53" t="s">
        <v>41</v>
      </c>
      <c r="B149" s="53" t="s">
        <v>157</v>
      </c>
      <c r="C149" s="62">
        <v>2019</v>
      </c>
      <c r="D149" s="63" t="s">
        <v>185</v>
      </c>
      <c r="E149" s="53" t="s">
        <v>201</v>
      </c>
      <c r="F149" s="53" t="s">
        <v>208</v>
      </c>
      <c r="G149" s="53" t="s">
        <v>42</v>
      </c>
      <c r="H149" s="53" t="s">
        <v>164</v>
      </c>
      <c r="I149" s="53" t="s">
        <v>159</v>
      </c>
      <c r="J149" s="53" t="s">
        <v>38</v>
      </c>
      <c r="K149" s="53" t="s">
        <v>161</v>
      </c>
      <c r="L149" s="53">
        <v>1</v>
      </c>
      <c r="N149" s="53">
        <v>5</v>
      </c>
      <c r="O149" s="53">
        <v>0.25</v>
      </c>
      <c r="P149" s="53">
        <v>0.2</v>
      </c>
      <c r="Q149" s="74">
        <f t="shared" si="8"/>
        <v>0.22500000000000001</v>
      </c>
      <c r="R149" s="53">
        <v>15.4</v>
      </c>
      <c r="S149" s="53">
        <v>115</v>
      </c>
      <c r="T149" s="16">
        <f t="shared" si="9"/>
        <v>30</v>
      </c>
      <c r="U149" s="53">
        <v>378</v>
      </c>
      <c r="V149" s="16">
        <f t="shared" si="10"/>
        <v>2268</v>
      </c>
      <c r="W149" s="53">
        <v>2</v>
      </c>
      <c r="X149" s="53" t="s">
        <v>46</v>
      </c>
      <c r="Y149" s="53" t="s">
        <v>55</v>
      </c>
      <c r="Z149" s="53" t="s">
        <v>69</v>
      </c>
      <c r="AA149" s="53" t="s">
        <v>97</v>
      </c>
      <c r="AB149" s="53" t="s">
        <v>158</v>
      </c>
      <c r="AC149" s="76"/>
      <c r="AD149" s="76"/>
      <c r="AE149" s="76"/>
      <c r="AF149" s="76"/>
      <c r="AG149" s="76"/>
      <c r="AH149" s="76"/>
    </row>
    <row r="150" spans="1:34" x14ac:dyDescent="0.15">
      <c r="A150" s="53" t="s">
        <v>41</v>
      </c>
      <c r="B150" s="53" t="s">
        <v>157</v>
      </c>
      <c r="C150" s="62">
        <v>2019</v>
      </c>
      <c r="D150" s="63" t="s">
        <v>185</v>
      </c>
      <c r="E150" s="53" t="s">
        <v>201</v>
      </c>
      <c r="F150" s="53" t="s">
        <v>208</v>
      </c>
      <c r="G150" s="53" t="s">
        <v>42</v>
      </c>
      <c r="H150" s="53" t="s">
        <v>164</v>
      </c>
      <c r="I150" s="53" t="s">
        <v>159</v>
      </c>
      <c r="J150" s="53" t="s">
        <v>38</v>
      </c>
      <c r="K150" s="53" t="s">
        <v>161</v>
      </c>
      <c r="L150" s="53">
        <v>2</v>
      </c>
      <c r="N150" s="53">
        <v>5</v>
      </c>
      <c r="O150" s="53">
        <v>0.35</v>
      </c>
      <c r="P150" s="53">
        <v>0.3</v>
      </c>
      <c r="Q150" s="74">
        <f t="shared" si="8"/>
        <v>0.32499999999999996</v>
      </c>
      <c r="R150" s="53">
        <v>12</v>
      </c>
      <c r="S150" s="53">
        <v>120</v>
      </c>
      <c r="T150" s="16">
        <f t="shared" si="9"/>
        <v>30</v>
      </c>
      <c r="U150" s="53">
        <v>378</v>
      </c>
      <c r="V150" s="16">
        <f t="shared" si="10"/>
        <v>2268</v>
      </c>
      <c r="W150" s="53">
        <v>2</v>
      </c>
      <c r="X150" s="53" t="s">
        <v>46</v>
      </c>
      <c r="Y150" s="53" t="s">
        <v>55</v>
      </c>
      <c r="Z150" s="53" t="s">
        <v>69</v>
      </c>
      <c r="AA150" s="53" t="s">
        <v>97</v>
      </c>
      <c r="AB150" s="53" t="s">
        <v>158</v>
      </c>
      <c r="AC150" s="76"/>
      <c r="AD150" s="76"/>
      <c r="AE150" s="76"/>
      <c r="AF150" s="76"/>
      <c r="AG150" s="76"/>
      <c r="AH150" s="76"/>
    </row>
    <row r="151" spans="1:34" x14ac:dyDescent="0.15">
      <c r="A151" s="53" t="s">
        <v>41</v>
      </c>
      <c r="B151" s="53" t="s">
        <v>157</v>
      </c>
      <c r="C151" s="62">
        <v>2019</v>
      </c>
      <c r="D151" s="63" t="s">
        <v>185</v>
      </c>
      <c r="E151" s="53" t="s">
        <v>201</v>
      </c>
      <c r="F151" s="53" t="s">
        <v>208</v>
      </c>
      <c r="G151" s="53" t="s">
        <v>42</v>
      </c>
      <c r="H151" s="53" t="s">
        <v>164</v>
      </c>
      <c r="I151" s="53" t="s">
        <v>159</v>
      </c>
      <c r="J151" s="53" t="s">
        <v>38</v>
      </c>
      <c r="K151" s="53" t="s">
        <v>161</v>
      </c>
      <c r="L151" s="53">
        <v>3</v>
      </c>
      <c r="N151" s="53">
        <v>5</v>
      </c>
      <c r="O151" s="53">
        <v>0.4</v>
      </c>
      <c r="P151" s="53">
        <v>0.45</v>
      </c>
      <c r="Q151" s="74">
        <f t="shared" si="8"/>
        <v>0.42500000000000004</v>
      </c>
      <c r="R151" s="53">
        <v>13.7</v>
      </c>
      <c r="S151" s="53">
        <v>118</v>
      </c>
      <c r="T151" s="16">
        <f t="shared" si="9"/>
        <v>30</v>
      </c>
      <c r="U151" s="53">
        <v>378</v>
      </c>
      <c r="V151" s="16">
        <f t="shared" si="10"/>
        <v>2268</v>
      </c>
      <c r="W151" s="53">
        <v>2</v>
      </c>
      <c r="X151" s="53" t="s">
        <v>46</v>
      </c>
      <c r="Y151" s="53" t="s">
        <v>55</v>
      </c>
      <c r="Z151" s="53" t="s">
        <v>69</v>
      </c>
      <c r="AA151" s="53" t="s">
        <v>97</v>
      </c>
      <c r="AB151" s="53" t="s">
        <v>158</v>
      </c>
      <c r="AC151" s="76"/>
      <c r="AD151" s="76"/>
      <c r="AE151" s="76"/>
      <c r="AF151" s="76"/>
      <c r="AG151" s="76"/>
      <c r="AH151" s="76"/>
    </row>
    <row r="152" spans="1:34" x14ac:dyDescent="0.15">
      <c r="A152" s="53" t="s">
        <v>41</v>
      </c>
      <c r="B152" s="53" t="s">
        <v>157</v>
      </c>
      <c r="C152" s="62">
        <v>2019</v>
      </c>
      <c r="D152" s="63" t="s">
        <v>185</v>
      </c>
      <c r="E152" s="53" t="s">
        <v>201</v>
      </c>
      <c r="F152" s="53" t="s">
        <v>208</v>
      </c>
      <c r="G152" s="53" t="s">
        <v>42</v>
      </c>
      <c r="H152" s="53" t="s">
        <v>164</v>
      </c>
      <c r="I152" s="53" t="s">
        <v>159</v>
      </c>
      <c r="J152" s="53" t="s">
        <v>38</v>
      </c>
      <c r="K152" s="53" t="s">
        <v>161</v>
      </c>
      <c r="L152" s="53">
        <v>1</v>
      </c>
      <c r="N152" s="53">
        <v>8</v>
      </c>
      <c r="O152" s="53">
        <v>0.5</v>
      </c>
      <c r="P152" s="53">
        <v>0.4</v>
      </c>
      <c r="Q152" s="74">
        <f t="shared" si="8"/>
        <v>0.45</v>
      </c>
      <c r="R152" s="53">
        <v>14.7</v>
      </c>
      <c r="S152" s="53">
        <v>115</v>
      </c>
      <c r="T152" s="16">
        <f t="shared" si="9"/>
        <v>30</v>
      </c>
      <c r="U152" s="53">
        <v>537</v>
      </c>
      <c r="V152" s="16">
        <f t="shared" si="10"/>
        <v>2013.75</v>
      </c>
      <c r="W152" s="53">
        <v>2</v>
      </c>
      <c r="X152" s="53" t="s">
        <v>46</v>
      </c>
      <c r="Y152" s="53" t="s">
        <v>55</v>
      </c>
      <c r="Z152" s="53" t="s">
        <v>69</v>
      </c>
      <c r="AA152" s="53" t="s">
        <v>97</v>
      </c>
      <c r="AB152" s="53" t="s">
        <v>158</v>
      </c>
      <c r="AC152" s="76"/>
      <c r="AD152" s="76"/>
      <c r="AE152" s="76"/>
      <c r="AF152" s="76"/>
      <c r="AG152" s="76"/>
      <c r="AH152" s="76"/>
    </row>
    <row r="153" spans="1:34" x14ac:dyDescent="0.15">
      <c r="A153" s="53" t="s">
        <v>41</v>
      </c>
      <c r="B153" s="53" t="s">
        <v>157</v>
      </c>
      <c r="C153" s="62">
        <v>2019</v>
      </c>
      <c r="D153" s="63" t="s">
        <v>185</v>
      </c>
      <c r="E153" s="53" t="s">
        <v>201</v>
      </c>
      <c r="F153" s="53" t="s">
        <v>208</v>
      </c>
      <c r="G153" s="53" t="s">
        <v>42</v>
      </c>
      <c r="H153" s="53" t="s">
        <v>164</v>
      </c>
      <c r="I153" s="53" t="s">
        <v>159</v>
      </c>
      <c r="J153" s="53" t="s">
        <v>38</v>
      </c>
      <c r="K153" s="53" t="s">
        <v>161</v>
      </c>
      <c r="L153" s="53">
        <v>2</v>
      </c>
      <c r="N153" s="53">
        <v>8</v>
      </c>
      <c r="O153" s="53">
        <v>0.3</v>
      </c>
      <c r="P153" s="53">
        <v>0.35</v>
      </c>
      <c r="Q153" s="74">
        <f t="shared" si="8"/>
        <v>0.32499999999999996</v>
      </c>
      <c r="R153" s="53">
        <v>14.4</v>
      </c>
      <c r="S153" s="53">
        <v>110</v>
      </c>
      <c r="T153" s="16">
        <f t="shared" si="9"/>
        <v>33</v>
      </c>
      <c r="U153" s="53">
        <v>537</v>
      </c>
      <c r="V153" s="16">
        <f t="shared" si="10"/>
        <v>2215.125</v>
      </c>
      <c r="W153" s="53">
        <v>2</v>
      </c>
      <c r="X153" s="53" t="s">
        <v>46</v>
      </c>
      <c r="Y153" s="53" t="s">
        <v>55</v>
      </c>
      <c r="Z153" s="53" t="s">
        <v>69</v>
      </c>
      <c r="AA153" s="53" t="s">
        <v>97</v>
      </c>
      <c r="AB153" s="53" t="s">
        <v>158</v>
      </c>
      <c r="AC153" s="76"/>
      <c r="AD153" s="76"/>
      <c r="AE153" s="76"/>
      <c r="AF153" s="76"/>
      <c r="AG153" s="76"/>
      <c r="AH153" s="76"/>
    </row>
    <row r="154" spans="1:34" x14ac:dyDescent="0.15">
      <c r="A154" s="53" t="s">
        <v>41</v>
      </c>
      <c r="B154" s="53" t="s">
        <v>157</v>
      </c>
      <c r="C154" s="62">
        <v>2019</v>
      </c>
      <c r="D154" s="63" t="s">
        <v>185</v>
      </c>
      <c r="E154" s="53" t="s">
        <v>201</v>
      </c>
      <c r="F154" s="53" t="s">
        <v>208</v>
      </c>
      <c r="G154" s="53" t="s">
        <v>42</v>
      </c>
      <c r="H154" s="53" t="s">
        <v>164</v>
      </c>
      <c r="I154" s="53" t="s">
        <v>159</v>
      </c>
      <c r="J154" s="53" t="s">
        <v>38</v>
      </c>
      <c r="K154" s="53" t="s">
        <v>161</v>
      </c>
      <c r="L154" s="53">
        <v>3</v>
      </c>
      <c r="N154" s="53">
        <v>8</v>
      </c>
      <c r="O154" s="53">
        <v>0.25</v>
      </c>
      <c r="P154" s="53">
        <v>0.25</v>
      </c>
      <c r="Q154" s="75">
        <f t="shared" si="8"/>
        <v>0.25</v>
      </c>
      <c r="R154" s="53">
        <v>14.1</v>
      </c>
      <c r="S154" s="53">
        <v>114</v>
      </c>
      <c r="T154" s="38">
        <f t="shared" si="9"/>
        <v>30</v>
      </c>
      <c r="U154" s="53">
        <v>537</v>
      </c>
      <c r="V154" s="16">
        <f t="shared" si="10"/>
        <v>2013.75</v>
      </c>
      <c r="W154" s="53">
        <v>2</v>
      </c>
      <c r="X154" s="53" t="s">
        <v>46</v>
      </c>
      <c r="Y154" s="53" t="s">
        <v>55</v>
      </c>
      <c r="Z154" s="53" t="s">
        <v>69</v>
      </c>
      <c r="AA154" s="53" t="s">
        <v>97</v>
      </c>
      <c r="AB154" s="53" t="s">
        <v>158</v>
      </c>
      <c r="AC154" s="76"/>
      <c r="AD154" s="76"/>
      <c r="AE154" s="76"/>
      <c r="AF154" s="76"/>
      <c r="AG154" s="76"/>
      <c r="AH154" s="76"/>
    </row>
    <row r="155" spans="1:34" x14ac:dyDescent="0.15">
      <c r="A155" s="53" t="s">
        <v>41</v>
      </c>
      <c r="B155" s="53" t="s">
        <v>157</v>
      </c>
      <c r="C155" s="62">
        <v>2019</v>
      </c>
      <c r="D155" s="63" t="s">
        <v>185</v>
      </c>
      <c r="E155" s="53" t="s">
        <v>204</v>
      </c>
      <c r="F155" s="53" t="s">
        <v>205</v>
      </c>
      <c r="G155" s="53" t="s">
        <v>42</v>
      </c>
      <c r="H155" s="53" t="s">
        <v>164</v>
      </c>
      <c r="I155" s="53" t="s">
        <v>159</v>
      </c>
      <c r="J155" s="53" t="s">
        <v>38</v>
      </c>
      <c r="K155" s="53" t="s">
        <v>161</v>
      </c>
      <c r="L155" s="53">
        <v>1</v>
      </c>
      <c r="N155" s="53">
        <v>1</v>
      </c>
      <c r="O155" s="53">
        <v>0.65</v>
      </c>
      <c r="P155" s="53">
        <v>0.7</v>
      </c>
      <c r="Q155" s="75">
        <f t="shared" si="8"/>
        <v>0.67500000000000004</v>
      </c>
      <c r="R155" s="53">
        <v>14.2</v>
      </c>
      <c r="S155" s="53">
        <v>126</v>
      </c>
      <c r="T155" s="38">
        <f t="shared" si="9"/>
        <v>27</v>
      </c>
      <c r="U155" s="53">
        <v>105</v>
      </c>
      <c r="V155" s="16">
        <f t="shared" si="10"/>
        <v>2835</v>
      </c>
      <c r="W155" s="53">
        <v>8</v>
      </c>
      <c r="X155" s="53" t="s">
        <v>46</v>
      </c>
      <c r="Y155" s="53" t="s">
        <v>97</v>
      </c>
      <c r="Z155" s="53" t="s">
        <v>55</v>
      </c>
      <c r="AA155" s="53" t="s">
        <v>69</v>
      </c>
      <c r="AB155" s="53" t="s">
        <v>158</v>
      </c>
    </row>
    <row r="156" spans="1:34" x14ac:dyDescent="0.15">
      <c r="A156" s="53" t="s">
        <v>41</v>
      </c>
      <c r="B156" s="53" t="s">
        <v>157</v>
      </c>
      <c r="C156" s="62">
        <v>2019</v>
      </c>
      <c r="D156" s="63" t="s">
        <v>185</v>
      </c>
      <c r="E156" s="53" t="s">
        <v>204</v>
      </c>
      <c r="F156" s="53" t="s">
        <v>205</v>
      </c>
      <c r="G156" s="53" t="s">
        <v>42</v>
      </c>
      <c r="H156" s="53" t="s">
        <v>164</v>
      </c>
      <c r="I156" s="53" t="s">
        <v>159</v>
      </c>
      <c r="J156" s="53" t="s">
        <v>38</v>
      </c>
      <c r="K156" s="53" t="s">
        <v>161</v>
      </c>
      <c r="L156" s="53">
        <v>2</v>
      </c>
      <c r="N156" s="53">
        <v>1</v>
      </c>
      <c r="O156" s="53">
        <v>0.8</v>
      </c>
      <c r="P156" s="53">
        <v>0.95</v>
      </c>
      <c r="Q156" s="75">
        <f t="shared" si="8"/>
        <v>0.875</v>
      </c>
      <c r="R156" s="53">
        <v>13</v>
      </c>
      <c r="S156" s="53">
        <v>127</v>
      </c>
      <c r="T156" s="38">
        <f t="shared" si="9"/>
        <v>27</v>
      </c>
      <c r="U156" s="53">
        <v>105</v>
      </c>
      <c r="V156" s="16">
        <f t="shared" si="10"/>
        <v>2835</v>
      </c>
      <c r="W156" s="53">
        <v>8</v>
      </c>
      <c r="X156" s="53" t="s">
        <v>46</v>
      </c>
      <c r="Y156" s="53" t="s">
        <v>97</v>
      </c>
      <c r="Z156" s="53" t="s">
        <v>55</v>
      </c>
      <c r="AA156" s="53" t="s">
        <v>69</v>
      </c>
      <c r="AB156" s="53" t="s">
        <v>158</v>
      </c>
    </row>
    <row r="157" spans="1:34" x14ac:dyDescent="0.15">
      <c r="A157" s="53" t="s">
        <v>41</v>
      </c>
      <c r="B157" s="53" t="s">
        <v>157</v>
      </c>
      <c r="C157" s="62">
        <v>2019</v>
      </c>
      <c r="D157" s="63" t="s">
        <v>185</v>
      </c>
      <c r="E157" s="53" t="s">
        <v>204</v>
      </c>
      <c r="F157" s="53" t="s">
        <v>205</v>
      </c>
      <c r="G157" s="53" t="s">
        <v>42</v>
      </c>
      <c r="H157" s="53" t="s">
        <v>164</v>
      </c>
      <c r="I157" s="53" t="s">
        <v>159</v>
      </c>
      <c r="J157" s="53" t="s">
        <v>38</v>
      </c>
      <c r="K157" s="53" t="s">
        <v>161</v>
      </c>
      <c r="L157" s="53">
        <v>3</v>
      </c>
      <c r="N157" s="53">
        <v>1</v>
      </c>
      <c r="O157" s="53">
        <v>0.7</v>
      </c>
      <c r="P157" s="53">
        <v>0.7</v>
      </c>
      <c r="Q157" s="75">
        <f t="shared" si="8"/>
        <v>0.7</v>
      </c>
      <c r="R157" s="53">
        <v>12.8</v>
      </c>
      <c r="S157" s="53">
        <v>122</v>
      </c>
      <c r="T157" s="38">
        <f t="shared" si="9"/>
        <v>27</v>
      </c>
      <c r="U157" s="53">
        <v>105</v>
      </c>
      <c r="V157" s="38">
        <f t="shared" si="10"/>
        <v>2835</v>
      </c>
      <c r="W157" s="53">
        <v>8</v>
      </c>
      <c r="X157" s="53" t="s">
        <v>46</v>
      </c>
      <c r="Y157" s="53" t="s">
        <v>97</v>
      </c>
      <c r="Z157" s="53" t="s">
        <v>55</v>
      </c>
      <c r="AA157" s="53" t="s">
        <v>69</v>
      </c>
      <c r="AB157" s="53" t="s">
        <v>158</v>
      </c>
    </row>
    <row r="158" spans="1:34" x14ac:dyDescent="0.15">
      <c r="A158" s="53" t="s">
        <v>41</v>
      </c>
      <c r="B158" s="53" t="s">
        <v>157</v>
      </c>
      <c r="C158" s="62">
        <v>2018</v>
      </c>
      <c r="D158" s="63" t="s">
        <v>185</v>
      </c>
      <c r="E158" s="53" t="s">
        <v>204</v>
      </c>
      <c r="F158" s="53" t="s">
        <v>205</v>
      </c>
      <c r="G158" s="53" t="s">
        <v>42</v>
      </c>
      <c r="H158" s="53" t="s">
        <v>164</v>
      </c>
      <c r="I158" s="53" t="s">
        <v>159</v>
      </c>
      <c r="J158" s="53" t="s">
        <v>38</v>
      </c>
      <c r="K158" s="53" t="s">
        <v>161</v>
      </c>
      <c r="L158" s="53">
        <v>1</v>
      </c>
      <c r="N158" s="53">
        <v>8</v>
      </c>
      <c r="O158" s="53">
        <v>0.65</v>
      </c>
      <c r="P158" s="53">
        <v>0.8</v>
      </c>
      <c r="Q158" s="16">
        <f t="shared" si="8"/>
        <v>0.72500000000000009</v>
      </c>
      <c r="R158" s="53">
        <v>13.4</v>
      </c>
      <c r="S158" s="53">
        <v>105</v>
      </c>
      <c r="T158" s="16">
        <f t="shared" si="9"/>
        <v>33</v>
      </c>
      <c r="U158" s="53">
        <v>626</v>
      </c>
      <c r="V158" s="16">
        <f t="shared" si="10"/>
        <v>2582.25</v>
      </c>
      <c r="W158" s="53">
        <v>4</v>
      </c>
      <c r="X158" s="53" t="s">
        <v>46</v>
      </c>
      <c r="Y158" s="53" t="s">
        <v>97</v>
      </c>
      <c r="Z158" s="53" t="s">
        <v>55</v>
      </c>
      <c r="AA158" s="53" t="s">
        <v>69</v>
      </c>
      <c r="AB158" s="53" t="s">
        <v>158</v>
      </c>
    </row>
    <row r="159" spans="1:34" x14ac:dyDescent="0.15">
      <c r="A159" s="53" t="s">
        <v>41</v>
      </c>
      <c r="B159" s="53" t="s">
        <v>157</v>
      </c>
      <c r="C159" s="62">
        <v>2018</v>
      </c>
      <c r="D159" s="63" t="s">
        <v>185</v>
      </c>
      <c r="E159" s="53" t="s">
        <v>204</v>
      </c>
      <c r="F159" s="53" t="s">
        <v>205</v>
      </c>
      <c r="G159" s="53" t="s">
        <v>42</v>
      </c>
      <c r="H159" s="53" t="s">
        <v>164</v>
      </c>
      <c r="I159" s="53" t="s">
        <v>159</v>
      </c>
      <c r="J159" s="53" t="s">
        <v>38</v>
      </c>
      <c r="K159" s="53" t="s">
        <v>161</v>
      </c>
      <c r="L159" s="53">
        <v>2</v>
      </c>
      <c r="N159" s="53">
        <v>8</v>
      </c>
      <c r="O159" s="53">
        <v>0.7</v>
      </c>
      <c r="P159" s="53">
        <v>0.75</v>
      </c>
      <c r="Q159" s="16">
        <f t="shared" si="8"/>
        <v>0.72499999999999998</v>
      </c>
      <c r="R159" s="53">
        <v>12.8</v>
      </c>
      <c r="S159" s="53">
        <v>110</v>
      </c>
      <c r="T159" s="16">
        <f t="shared" si="9"/>
        <v>33</v>
      </c>
      <c r="U159" s="53">
        <v>626</v>
      </c>
      <c r="V159" s="16">
        <f t="shared" si="10"/>
        <v>2582.25</v>
      </c>
      <c r="W159" s="53">
        <v>4</v>
      </c>
      <c r="X159" s="53" t="s">
        <v>46</v>
      </c>
      <c r="Y159" s="53" t="s">
        <v>97</v>
      </c>
      <c r="Z159" s="53" t="s">
        <v>55</v>
      </c>
      <c r="AA159" s="53" t="s">
        <v>69</v>
      </c>
      <c r="AB159" s="53" t="s">
        <v>158</v>
      </c>
    </row>
    <row r="160" spans="1:34" x14ac:dyDescent="0.15">
      <c r="A160" s="53" t="s">
        <v>41</v>
      </c>
      <c r="B160" s="53" t="s">
        <v>157</v>
      </c>
      <c r="C160" s="62">
        <v>2018</v>
      </c>
      <c r="D160" s="63" t="s">
        <v>185</v>
      </c>
      <c r="E160" s="53" t="s">
        <v>204</v>
      </c>
      <c r="F160" s="53" t="s">
        <v>205</v>
      </c>
      <c r="G160" s="53" t="s">
        <v>42</v>
      </c>
      <c r="H160" s="53" t="s">
        <v>164</v>
      </c>
      <c r="I160" s="53" t="s">
        <v>159</v>
      </c>
      <c r="J160" s="53" t="s">
        <v>38</v>
      </c>
      <c r="K160" s="53" t="s">
        <v>161</v>
      </c>
      <c r="L160" s="53">
        <v>3</v>
      </c>
      <c r="N160" s="53">
        <v>8</v>
      </c>
      <c r="O160" s="53">
        <v>0.55000000000000004</v>
      </c>
      <c r="P160" s="53">
        <v>0.7</v>
      </c>
      <c r="Q160" s="16">
        <f t="shared" si="8"/>
        <v>0.625</v>
      </c>
      <c r="R160" s="53">
        <v>14</v>
      </c>
      <c r="S160" s="53">
        <v>104</v>
      </c>
      <c r="T160" s="16">
        <f t="shared" si="9"/>
        <v>33</v>
      </c>
      <c r="U160" s="53">
        <v>626</v>
      </c>
      <c r="V160" s="16">
        <f t="shared" si="10"/>
        <v>2582.25</v>
      </c>
      <c r="W160" s="53">
        <v>4</v>
      </c>
      <c r="X160" s="53" t="s">
        <v>46</v>
      </c>
      <c r="Y160" s="53" t="s">
        <v>97</v>
      </c>
      <c r="Z160" s="53" t="s">
        <v>55</v>
      </c>
      <c r="AA160" s="53" t="s">
        <v>69</v>
      </c>
      <c r="AB160" s="53" t="s">
        <v>158</v>
      </c>
    </row>
    <row r="161" spans="1:34" x14ac:dyDescent="0.15">
      <c r="A161" s="53" t="s">
        <v>41</v>
      </c>
      <c r="B161" s="53" t="s">
        <v>157</v>
      </c>
      <c r="C161" s="62">
        <v>2018</v>
      </c>
      <c r="D161" s="63" t="s">
        <v>185</v>
      </c>
      <c r="E161" s="53" t="s">
        <v>204</v>
      </c>
      <c r="F161" s="53" t="s">
        <v>205</v>
      </c>
      <c r="G161" s="53" t="s">
        <v>42</v>
      </c>
      <c r="H161" s="53" t="s">
        <v>160</v>
      </c>
      <c r="I161" s="53" t="s">
        <v>159</v>
      </c>
      <c r="J161" s="53" t="s">
        <v>38</v>
      </c>
      <c r="K161" s="53" t="s">
        <v>161</v>
      </c>
      <c r="L161" s="53">
        <v>1</v>
      </c>
      <c r="N161" s="53">
        <v>1</v>
      </c>
      <c r="O161" s="53">
        <v>0.65</v>
      </c>
      <c r="P161" s="53">
        <v>0.8</v>
      </c>
      <c r="Q161" s="16">
        <f t="shared" si="8"/>
        <v>0.72500000000000009</v>
      </c>
      <c r="R161" s="53">
        <v>15.4</v>
      </c>
      <c r="S161" s="53">
        <v>122</v>
      </c>
      <c r="T161" s="16">
        <f t="shared" si="9"/>
        <v>27</v>
      </c>
      <c r="U161" s="53">
        <v>105</v>
      </c>
      <c r="V161" s="16">
        <f t="shared" si="10"/>
        <v>2835</v>
      </c>
      <c r="W161" s="53">
        <v>2</v>
      </c>
      <c r="X161" s="53" t="s">
        <v>46</v>
      </c>
      <c r="Y161" s="53" t="s">
        <v>97</v>
      </c>
      <c r="Z161" s="53" t="s">
        <v>55</v>
      </c>
      <c r="AA161" s="53" t="s">
        <v>69</v>
      </c>
      <c r="AB161" s="53" t="s">
        <v>158</v>
      </c>
    </row>
    <row r="162" spans="1:34" x14ac:dyDescent="0.15">
      <c r="A162" s="53" t="s">
        <v>41</v>
      </c>
      <c r="B162" s="53" t="s">
        <v>157</v>
      </c>
      <c r="C162" s="62">
        <v>2018</v>
      </c>
      <c r="D162" s="63" t="s">
        <v>185</v>
      </c>
      <c r="E162" s="53" t="s">
        <v>204</v>
      </c>
      <c r="F162" s="53" t="s">
        <v>205</v>
      </c>
      <c r="G162" s="53" t="s">
        <v>42</v>
      </c>
      <c r="H162" s="53" t="s">
        <v>160</v>
      </c>
      <c r="I162" s="53" t="s">
        <v>159</v>
      </c>
      <c r="J162" s="53" t="s">
        <v>38</v>
      </c>
      <c r="K162" s="53" t="s">
        <v>161</v>
      </c>
      <c r="L162" s="53">
        <v>2</v>
      </c>
      <c r="N162" s="53">
        <v>1</v>
      </c>
      <c r="O162" s="53">
        <v>0.9</v>
      </c>
      <c r="P162" s="53">
        <v>0.9</v>
      </c>
      <c r="Q162" s="16">
        <f t="shared" si="8"/>
        <v>0.9</v>
      </c>
      <c r="R162" s="53">
        <v>14.8</v>
      </c>
      <c r="S162" s="53">
        <v>125</v>
      </c>
      <c r="T162" s="16">
        <f t="shared" si="9"/>
        <v>27</v>
      </c>
      <c r="U162" s="53">
        <v>105</v>
      </c>
      <c r="V162" s="16">
        <f t="shared" si="10"/>
        <v>2835</v>
      </c>
      <c r="W162" s="53">
        <v>2</v>
      </c>
      <c r="X162" s="53" t="s">
        <v>46</v>
      </c>
      <c r="Y162" s="53" t="s">
        <v>97</v>
      </c>
      <c r="Z162" s="53" t="s">
        <v>55</v>
      </c>
      <c r="AA162" s="53" t="s">
        <v>69</v>
      </c>
      <c r="AB162" s="53" t="s">
        <v>158</v>
      </c>
    </row>
    <row r="163" spans="1:34" x14ac:dyDescent="0.15">
      <c r="A163" s="53" t="s">
        <v>41</v>
      </c>
      <c r="B163" s="53" t="s">
        <v>157</v>
      </c>
      <c r="C163" s="62">
        <v>2018</v>
      </c>
      <c r="D163" s="63" t="s">
        <v>185</v>
      </c>
      <c r="E163" s="53" t="s">
        <v>204</v>
      </c>
      <c r="F163" s="53" t="s">
        <v>205</v>
      </c>
      <c r="G163" s="53" t="s">
        <v>42</v>
      </c>
      <c r="H163" s="53" t="s">
        <v>160</v>
      </c>
      <c r="I163" s="53" t="s">
        <v>159</v>
      </c>
      <c r="J163" s="53" t="s">
        <v>38</v>
      </c>
      <c r="K163" s="53" t="s">
        <v>161</v>
      </c>
      <c r="L163" s="53">
        <v>3</v>
      </c>
      <c r="N163" s="53">
        <v>1</v>
      </c>
      <c r="O163" s="53">
        <v>0.85</v>
      </c>
      <c r="P163" s="53">
        <v>0.75</v>
      </c>
      <c r="Q163" s="16">
        <f t="shared" si="8"/>
        <v>0.8</v>
      </c>
      <c r="R163" s="53">
        <v>14.9</v>
      </c>
      <c r="S163" s="53">
        <v>123</v>
      </c>
      <c r="T163" s="16">
        <f t="shared" si="9"/>
        <v>27</v>
      </c>
      <c r="U163" s="53">
        <v>105</v>
      </c>
      <c r="V163" s="16">
        <f t="shared" si="10"/>
        <v>2835</v>
      </c>
      <c r="W163" s="53">
        <v>2</v>
      </c>
      <c r="X163" s="53" t="s">
        <v>46</v>
      </c>
      <c r="Y163" s="53" t="s">
        <v>97</v>
      </c>
      <c r="Z163" s="53" t="s">
        <v>55</v>
      </c>
      <c r="AA163" s="53" t="s">
        <v>69</v>
      </c>
      <c r="AB163" s="53" t="s">
        <v>158</v>
      </c>
    </row>
    <row r="164" spans="1:34" x14ac:dyDescent="0.15">
      <c r="A164" s="53" t="s">
        <v>41</v>
      </c>
      <c r="B164" s="53" t="s">
        <v>157</v>
      </c>
      <c r="C164" s="62">
        <v>2018</v>
      </c>
      <c r="D164" s="63" t="s">
        <v>185</v>
      </c>
      <c r="E164" s="53" t="s">
        <v>204</v>
      </c>
      <c r="F164" s="53" t="s">
        <v>205</v>
      </c>
      <c r="G164" s="53" t="s">
        <v>42</v>
      </c>
      <c r="H164" s="53" t="s">
        <v>160</v>
      </c>
      <c r="I164" s="53" t="s">
        <v>159</v>
      </c>
      <c r="J164" s="53" t="s">
        <v>38</v>
      </c>
      <c r="K164" s="53" t="s">
        <v>161</v>
      </c>
      <c r="L164" s="53">
        <v>1</v>
      </c>
      <c r="N164" s="53">
        <v>8</v>
      </c>
      <c r="O164" s="53">
        <v>0.45</v>
      </c>
      <c r="P164" s="53">
        <v>0.45</v>
      </c>
      <c r="Q164" s="16">
        <f t="shared" si="8"/>
        <v>0.45</v>
      </c>
      <c r="R164" s="53">
        <v>14</v>
      </c>
      <c r="S164" s="53">
        <v>104</v>
      </c>
      <c r="T164" s="16">
        <f t="shared" si="9"/>
        <v>33</v>
      </c>
      <c r="U164" s="53">
        <v>626</v>
      </c>
      <c r="V164" s="16">
        <f t="shared" si="10"/>
        <v>2582.25</v>
      </c>
      <c r="W164" s="53">
        <v>2</v>
      </c>
      <c r="X164" s="53" t="s">
        <v>46</v>
      </c>
      <c r="Y164" s="53" t="s">
        <v>97</v>
      </c>
      <c r="Z164" s="53" t="s">
        <v>55</v>
      </c>
      <c r="AA164" s="53" t="s">
        <v>69</v>
      </c>
      <c r="AB164" s="53" t="s">
        <v>158</v>
      </c>
      <c r="AC164" s="76"/>
      <c r="AD164" s="76"/>
      <c r="AE164" s="76"/>
      <c r="AF164" s="76"/>
      <c r="AG164" s="76"/>
      <c r="AH164" s="76"/>
    </row>
    <row r="165" spans="1:34" x14ac:dyDescent="0.15">
      <c r="A165" s="53" t="s">
        <v>41</v>
      </c>
      <c r="B165" s="53" t="s">
        <v>157</v>
      </c>
      <c r="C165" s="62">
        <v>2018</v>
      </c>
      <c r="D165" s="63" t="s">
        <v>185</v>
      </c>
      <c r="E165" s="53" t="s">
        <v>204</v>
      </c>
      <c r="F165" s="53" t="s">
        <v>205</v>
      </c>
      <c r="G165" s="53" t="s">
        <v>42</v>
      </c>
      <c r="H165" s="53" t="s">
        <v>160</v>
      </c>
      <c r="I165" s="53" t="s">
        <v>159</v>
      </c>
      <c r="J165" s="53" t="s">
        <v>38</v>
      </c>
      <c r="K165" s="53" t="s">
        <v>161</v>
      </c>
      <c r="L165" s="53">
        <v>2</v>
      </c>
      <c r="N165" s="53">
        <v>8</v>
      </c>
      <c r="O165" s="53">
        <v>0.4</v>
      </c>
      <c r="P165" s="53">
        <v>0.5</v>
      </c>
      <c r="Q165" s="16">
        <f t="shared" si="8"/>
        <v>0.45</v>
      </c>
      <c r="R165" s="53">
        <v>13.8</v>
      </c>
      <c r="S165" s="53">
        <v>105</v>
      </c>
      <c r="T165" s="16">
        <f t="shared" si="9"/>
        <v>33</v>
      </c>
      <c r="U165" s="53">
        <v>626</v>
      </c>
      <c r="V165" s="16">
        <f t="shared" si="10"/>
        <v>2582.25</v>
      </c>
      <c r="W165" s="53">
        <v>2</v>
      </c>
      <c r="X165" s="53" t="s">
        <v>46</v>
      </c>
      <c r="Y165" s="53" t="s">
        <v>97</v>
      </c>
      <c r="Z165" s="53" t="s">
        <v>55</v>
      </c>
      <c r="AA165" s="53" t="s">
        <v>69</v>
      </c>
      <c r="AB165" s="53" t="s">
        <v>158</v>
      </c>
      <c r="AC165" s="76"/>
      <c r="AD165" s="76"/>
      <c r="AE165" s="76"/>
      <c r="AF165" s="76"/>
      <c r="AG165" s="76"/>
      <c r="AH165" s="76"/>
    </row>
    <row r="166" spans="1:34" x14ac:dyDescent="0.15">
      <c r="A166" s="53" t="s">
        <v>41</v>
      </c>
      <c r="B166" s="53" t="s">
        <v>157</v>
      </c>
      <c r="C166" s="62">
        <v>2018</v>
      </c>
      <c r="D166" s="63" t="s">
        <v>185</v>
      </c>
      <c r="E166" s="53" t="s">
        <v>204</v>
      </c>
      <c r="F166" s="53" t="s">
        <v>205</v>
      </c>
      <c r="G166" s="53" t="s">
        <v>42</v>
      </c>
      <c r="H166" s="53" t="s">
        <v>160</v>
      </c>
      <c r="I166" s="53" t="s">
        <v>159</v>
      </c>
      <c r="J166" s="53" t="s">
        <v>38</v>
      </c>
      <c r="K166" s="53" t="s">
        <v>161</v>
      </c>
      <c r="L166" s="53">
        <v>2</v>
      </c>
      <c r="N166" s="53">
        <v>8</v>
      </c>
      <c r="O166" s="53">
        <v>0.35</v>
      </c>
      <c r="P166" s="53">
        <v>0.35</v>
      </c>
      <c r="Q166" s="16">
        <f t="shared" si="8"/>
        <v>0.35</v>
      </c>
      <c r="R166" s="53">
        <v>12.8</v>
      </c>
      <c r="S166" s="53">
        <v>108</v>
      </c>
      <c r="T166" s="16">
        <f t="shared" si="9"/>
        <v>33</v>
      </c>
      <c r="U166" s="53">
        <v>626</v>
      </c>
      <c r="V166" s="16">
        <f t="shared" si="10"/>
        <v>2582.25</v>
      </c>
      <c r="W166" s="53">
        <v>2</v>
      </c>
      <c r="X166" s="53" t="s">
        <v>46</v>
      </c>
      <c r="Y166" s="53" t="s">
        <v>97</v>
      </c>
      <c r="Z166" s="53" t="s">
        <v>55</v>
      </c>
      <c r="AA166" s="53" t="s">
        <v>69</v>
      </c>
      <c r="AB166" s="53" t="s">
        <v>158</v>
      </c>
      <c r="AC166" s="76"/>
      <c r="AD166" s="76"/>
      <c r="AE166" s="76"/>
      <c r="AF166" s="76"/>
      <c r="AG166" s="76"/>
      <c r="AH166" s="76"/>
    </row>
    <row r="167" spans="1:34" x14ac:dyDescent="0.15">
      <c r="A167" s="53" t="s">
        <v>41</v>
      </c>
      <c r="B167" s="53" t="s">
        <v>157</v>
      </c>
      <c r="C167" s="62">
        <v>2019</v>
      </c>
      <c r="D167" s="63" t="s">
        <v>185</v>
      </c>
      <c r="E167" s="53" t="s">
        <v>210</v>
      </c>
      <c r="F167" s="53" t="s">
        <v>211</v>
      </c>
      <c r="G167" s="53" t="s">
        <v>42</v>
      </c>
      <c r="H167" s="53" t="s">
        <v>160</v>
      </c>
      <c r="I167" s="53" t="s">
        <v>159</v>
      </c>
      <c r="J167" s="53" t="s">
        <v>38</v>
      </c>
      <c r="K167" s="53" t="s">
        <v>161</v>
      </c>
      <c r="L167" s="53">
        <v>1</v>
      </c>
      <c r="N167" s="53">
        <v>1</v>
      </c>
      <c r="O167" s="53">
        <v>0.6</v>
      </c>
      <c r="P167" s="53">
        <v>0.45</v>
      </c>
      <c r="Q167" s="16">
        <f t="shared" si="8"/>
        <v>0.52500000000000002</v>
      </c>
      <c r="R167" s="53">
        <v>14.8</v>
      </c>
      <c r="S167" s="53">
        <v>132</v>
      </c>
      <c r="T167" s="38">
        <f t="shared" si="9"/>
        <v>25</v>
      </c>
      <c r="U167" s="53">
        <v>96</v>
      </c>
      <c r="V167" s="38">
        <f t="shared" si="10"/>
        <v>2400</v>
      </c>
      <c r="W167" s="53">
        <v>6</v>
      </c>
      <c r="X167" s="53" t="s">
        <v>46</v>
      </c>
      <c r="Y167" s="53" t="s">
        <v>55</v>
      </c>
      <c r="Z167" s="53" t="s">
        <v>69</v>
      </c>
      <c r="AA167" s="53" t="s">
        <v>86</v>
      </c>
      <c r="AB167" s="53" t="s">
        <v>158</v>
      </c>
      <c r="AC167" s="76"/>
      <c r="AD167" s="76"/>
      <c r="AE167" s="76"/>
      <c r="AF167" s="76"/>
      <c r="AG167" s="76"/>
      <c r="AH167" s="76"/>
    </row>
    <row r="168" spans="1:34" x14ac:dyDescent="0.15">
      <c r="A168" s="53" t="s">
        <v>41</v>
      </c>
      <c r="B168" s="53" t="s">
        <v>157</v>
      </c>
      <c r="C168" s="62">
        <v>2019</v>
      </c>
      <c r="D168" s="63" t="s">
        <v>185</v>
      </c>
      <c r="E168" s="53" t="s">
        <v>210</v>
      </c>
      <c r="F168" s="53" t="s">
        <v>211</v>
      </c>
      <c r="G168" s="53" t="s">
        <v>42</v>
      </c>
      <c r="H168" s="53" t="s">
        <v>160</v>
      </c>
      <c r="I168" s="53" t="s">
        <v>159</v>
      </c>
      <c r="J168" s="53" t="s">
        <v>38</v>
      </c>
      <c r="K168" s="53" t="s">
        <v>161</v>
      </c>
      <c r="L168" s="53">
        <v>2</v>
      </c>
      <c r="N168" s="53">
        <v>1</v>
      </c>
      <c r="O168" s="53">
        <v>0.45</v>
      </c>
      <c r="P168" s="53">
        <v>0.35</v>
      </c>
      <c r="Q168" s="16">
        <f t="shared" si="8"/>
        <v>0.4</v>
      </c>
      <c r="R168" s="53">
        <v>13.8</v>
      </c>
      <c r="S168" s="53">
        <v>130</v>
      </c>
      <c r="T168" s="38">
        <f t="shared" si="9"/>
        <v>25</v>
      </c>
      <c r="U168" s="53">
        <v>96</v>
      </c>
      <c r="V168" s="38">
        <f t="shared" si="10"/>
        <v>2400</v>
      </c>
      <c r="W168" s="53">
        <v>6</v>
      </c>
      <c r="X168" s="53" t="s">
        <v>46</v>
      </c>
      <c r="Y168" s="53" t="s">
        <v>55</v>
      </c>
      <c r="Z168" s="53" t="s">
        <v>69</v>
      </c>
      <c r="AA168" s="53" t="s">
        <v>86</v>
      </c>
      <c r="AB168" s="53" t="s">
        <v>158</v>
      </c>
      <c r="AC168" s="76"/>
      <c r="AD168" s="76"/>
      <c r="AE168" s="76"/>
      <c r="AF168" s="76"/>
      <c r="AG168" s="76"/>
      <c r="AH168" s="76"/>
    </row>
    <row r="169" spans="1:34" x14ac:dyDescent="0.15">
      <c r="A169" s="53" t="s">
        <v>41</v>
      </c>
      <c r="B169" s="53" t="s">
        <v>157</v>
      </c>
      <c r="C169" s="62">
        <v>2019</v>
      </c>
      <c r="D169" s="63" t="s">
        <v>185</v>
      </c>
      <c r="E169" s="53" t="s">
        <v>210</v>
      </c>
      <c r="F169" s="53" t="s">
        <v>211</v>
      </c>
      <c r="G169" s="53" t="s">
        <v>42</v>
      </c>
      <c r="H169" s="53" t="s">
        <v>160</v>
      </c>
      <c r="I169" s="53" t="s">
        <v>159</v>
      </c>
      <c r="J169" s="53" t="s">
        <v>38</v>
      </c>
      <c r="K169" s="53" t="s">
        <v>161</v>
      </c>
      <c r="L169" s="53">
        <v>3</v>
      </c>
      <c r="N169" s="53">
        <v>1</v>
      </c>
      <c r="O169" s="53">
        <v>0.35</v>
      </c>
      <c r="P169" s="53">
        <v>0.3</v>
      </c>
      <c r="Q169" s="16">
        <f t="shared" si="8"/>
        <v>0.32499999999999996</v>
      </c>
      <c r="R169" s="53">
        <v>15.4</v>
      </c>
      <c r="S169" s="53">
        <v>134</v>
      </c>
      <c r="T169" s="38">
        <f t="shared" si="9"/>
        <v>25</v>
      </c>
      <c r="U169" s="53">
        <v>96</v>
      </c>
      <c r="V169" s="38">
        <f t="shared" si="10"/>
        <v>2400</v>
      </c>
      <c r="W169" s="53">
        <v>6</v>
      </c>
      <c r="X169" s="53" t="s">
        <v>46</v>
      </c>
      <c r="Y169" s="53" t="s">
        <v>55</v>
      </c>
      <c r="Z169" s="53" t="s">
        <v>69</v>
      </c>
      <c r="AA169" s="53" t="s">
        <v>86</v>
      </c>
      <c r="AB169" s="53" t="s">
        <v>158</v>
      </c>
      <c r="AC169" s="76"/>
      <c r="AD169" s="76"/>
      <c r="AE169" s="76"/>
      <c r="AF169" s="76"/>
      <c r="AG169" s="76"/>
      <c r="AH169" s="76"/>
    </row>
    <row r="170" spans="1:34" x14ac:dyDescent="0.15">
      <c r="A170" s="53" t="s">
        <v>41</v>
      </c>
      <c r="B170" s="53" t="s">
        <v>157</v>
      </c>
      <c r="C170" s="62">
        <v>2019</v>
      </c>
      <c r="D170" s="63" t="s">
        <v>185</v>
      </c>
      <c r="E170" s="53" t="s">
        <v>210</v>
      </c>
      <c r="F170" s="53" t="s">
        <v>211</v>
      </c>
      <c r="G170" s="53" t="s">
        <v>42</v>
      </c>
      <c r="H170" s="53" t="s">
        <v>160</v>
      </c>
      <c r="I170" s="53" t="s">
        <v>159</v>
      </c>
      <c r="J170" s="53" t="s">
        <v>38</v>
      </c>
      <c r="K170" s="53" t="s">
        <v>161</v>
      </c>
      <c r="L170" s="53">
        <v>1</v>
      </c>
      <c r="N170" s="53">
        <v>4</v>
      </c>
      <c r="O170" s="53">
        <v>0.45</v>
      </c>
      <c r="P170" s="53">
        <v>0.6</v>
      </c>
      <c r="Q170" s="16">
        <f t="shared" si="8"/>
        <v>0.52500000000000002</v>
      </c>
      <c r="R170" s="53">
        <v>13</v>
      </c>
      <c r="S170" s="53">
        <v>120</v>
      </c>
      <c r="T170" s="38">
        <f t="shared" si="9"/>
        <v>30</v>
      </c>
      <c r="U170" s="53">
        <v>320</v>
      </c>
      <c r="V170" s="38">
        <f t="shared" si="10"/>
        <v>2400</v>
      </c>
      <c r="W170" s="53">
        <v>3</v>
      </c>
      <c r="X170" s="53" t="s">
        <v>46</v>
      </c>
      <c r="Y170" s="53" t="s">
        <v>55</v>
      </c>
      <c r="Z170" s="53" t="s">
        <v>69</v>
      </c>
      <c r="AA170" s="53" t="s">
        <v>86</v>
      </c>
      <c r="AB170" s="53" t="s">
        <v>158</v>
      </c>
      <c r="AC170" s="76"/>
      <c r="AD170" s="76"/>
      <c r="AE170" s="76"/>
      <c r="AF170" s="76"/>
      <c r="AG170" s="76"/>
      <c r="AH170" s="76"/>
    </row>
    <row r="171" spans="1:34" x14ac:dyDescent="0.15">
      <c r="A171" s="53" t="s">
        <v>41</v>
      </c>
      <c r="B171" s="53" t="s">
        <v>157</v>
      </c>
      <c r="C171" s="62">
        <v>2019</v>
      </c>
      <c r="D171" s="63" t="s">
        <v>185</v>
      </c>
      <c r="E171" s="53" t="s">
        <v>210</v>
      </c>
      <c r="F171" s="53" t="s">
        <v>211</v>
      </c>
      <c r="G171" s="53" t="s">
        <v>42</v>
      </c>
      <c r="H171" s="53" t="s">
        <v>160</v>
      </c>
      <c r="I171" s="53" t="s">
        <v>159</v>
      </c>
      <c r="J171" s="53" t="s">
        <v>38</v>
      </c>
      <c r="K171" s="53" t="s">
        <v>161</v>
      </c>
      <c r="L171" s="53">
        <v>2</v>
      </c>
      <c r="N171" s="53">
        <v>4</v>
      </c>
      <c r="O171" s="53">
        <v>0.45</v>
      </c>
      <c r="P171" s="53">
        <v>0.5</v>
      </c>
      <c r="Q171" s="16">
        <f t="shared" si="8"/>
        <v>0.47499999999999998</v>
      </c>
      <c r="R171" s="53">
        <v>14</v>
      </c>
      <c r="S171" s="53">
        <v>115</v>
      </c>
      <c r="T171" s="38">
        <f t="shared" si="9"/>
        <v>30</v>
      </c>
      <c r="U171" s="53">
        <v>320</v>
      </c>
      <c r="V171" s="38">
        <f t="shared" si="10"/>
        <v>2400</v>
      </c>
      <c r="W171" s="53">
        <v>3</v>
      </c>
      <c r="X171" s="53" t="s">
        <v>46</v>
      </c>
      <c r="Y171" s="53" t="s">
        <v>55</v>
      </c>
      <c r="Z171" s="53" t="s">
        <v>69</v>
      </c>
      <c r="AA171" s="53" t="s">
        <v>86</v>
      </c>
      <c r="AB171" s="53" t="s">
        <v>158</v>
      </c>
      <c r="AC171" s="76"/>
      <c r="AD171" s="76"/>
      <c r="AE171" s="76"/>
      <c r="AF171" s="76"/>
      <c r="AG171" s="76"/>
      <c r="AH171" s="76"/>
    </row>
    <row r="172" spans="1:34" x14ac:dyDescent="0.15">
      <c r="A172" s="53" t="s">
        <v>41</v>
      </c>
      <c r="B172" s="53" t="s">
        <v>157</v>
      </c>
      <c r="C172" s="62">
        <v>2019</v>
      </c>
      <c r="D172" s="63" t="s">
        <v>185</v>
      </c>
      <c r="E172" s="53" t="s">
        <v>210</v>
      </c>
      <c r="F172" s="53" t="s">
        <v>211</v>
      </c>
      <c r="G172" s="53" t="s">
        <v>42</v>
      </c>
      <c r="H172" s="53" t="s">
        <v>160</v>
      </c>
      <c r="I172" s="53" t="s">
        <v>159</v>
      </c>
      <c r="J172" s="53" t="s">
        <v>38</v>
      </c>
      <c r="K172" s="53" t="s">
        <v>161</v>
      </c>
      <c r="L172" s="53">
        <v>3</v>
      </c>
      <c r="N172" s="53">
        <v>4</v>
      </c>
      <c r="O172" s="53">
        <v>0.5</v>
      </c>
      <c r="P172" s="53">
        <v>0.45</v>
      </c>
      <c r="Q172" s="16">
        <f t="shared" si="8"/>
        <v>0.47499999999999998</v>
      </c>
      <c r="R172" s="53">
        <v>15.5</v>
      </c>
      <c r="S172" s="53">
        <v>120</v>
      </c>
      <c r="T172" s="38">
        <f t="shared" si="9"/>
        <v>30</v>
      </c>
      <c r="U172" s="53">
        <v>320</v>
      </c>
      <c r="V172" s="38">
        <f t="shared" si="10"/>
        <v>2400</v>
      </c>
      <c r="W172" s="53">
        <v>3</v>
      </c>
      <c r="X172" s="53" t="s">
        <v>46</v>
      </c>
      <c r="Y172" s="53" t="s">
        <v>55</v>
      </c>
      <c r="Z172" s="53" t="s">
        <v>69</v>
      </c>
      <c r="AA172" s="53" t="s">
        <v>86</v>
      </c>
      <c r="AB172" s="53" t="s">
        <v>158</v>
      </c>
      <c r="AC172" s="76"/>
      <c r="AD172" s="76"/>
      <c r="AE172" s="76"/>
      <c r="AF172" s="76"/>
      <c r="AG172" s="76"/>
      <c r="AH172" s="76"/>
    </row>
    <row r="173" spans="1:34" x14ac:dyDescent="0.15">
      <c r="A173" s="53" t="s">
        <v>41</v>
      </c>
      <c r="B173" s="53" t="s">
        <v>157</v>
      </c>
      <c r="C173" s="62">
        <v>2019</v>
      </c>
      <c r="D173" s="63" t="s">
        <v>185</v>
      </c>
      <c r="E173" s="53" t="s">
        <v>210</v>
      </c>
      <c r="F173" s="53" t="s">
        <v>211</v>
      </c>
      <c r="G173" s="53" t="s">
        <v>42</v>
      </c>
      <c r="H173" s="53" t="s">
        <v>164</v>
      </c>
      <c r="I173" s="53" t="s">
        <v>159</v>
      </c>
      <c r="J173" s="53" t="s">
        <v>38</v>
      </c>
      <c r="K173" s="53" t="s">
        <v>161</v>
      </c>
      <c r="L173" s="53">
        <v>1</v>
      </c>
      <c r="N173" s="53">
        <v>1</v>
      </c>
      <c r="O173" s="53">
        <v>0.75</v>
      </c>
      <c r="P173" s="53">
        <v>0.7</v>
      </c>
      <c r="Q173" s="16">
        <f t="shared" si="8"/>
        <v>0.72499999999999998</v>
      </c>
      <c r="R173" s="53">
        <v>15.1</v>
      </c>
      <c r="S173" s="53">
        <v>131</v>
      </c>
      <c r="T173" s="38">
        <f t="shared" si="9"/>
        <v>25</v>
      </c>
      <c r="U173" s="53">
        <v>96</v>
      </c>
      <c r="V173" s="38">
        <f t="shared" si="10"/>
        <v>2400</v>
      </c>
      <c r="W173" s="53">
        <v>6</v>
      </c>
      <c r="X173" s="53" t="s">
        <v>46</v>
      </c>
      <c r="Y173" s="53" t="s">
        <v>55</v>
      </c>
      <c r="Z173" s="53" t="s">
        <v>69</v>
      </c>
      <c r="AA173" s="53" t="s">
        <v>86</v>
      </c>
      <c r="AB173" s="53" t="s">
        <v>158</v>
      </c>
      <c r="AC173" s="76"/>
      <c r="AD173" s="76"/>
      <c r="AE173" s="76"/>
      <c r="AF173" s="76"/>
      <c r="AG173" s="76"/>
      <c r="AH173" s="76"/>
    </row>
    <row r="174" spans="1:34" x14ac:dyDescent="0.15">
      <c r="A174" s="53" t="s">
        <v>41</v>
      </c>
      <c r="B174" s="53" t="s">
        <v>157</v>
      </c>
      <c r="C174" s="62">
        <v>2019</v>
      </c>
      <c r="D174" s="63" t="s">
        <v>185</v>
      </c>
      <c r="E174" s="53" t="s">
        <v>210</v>
      </c>
      <c r="F174" s="53" t="s">
        <v>211</v>
      </c>
      <c r="G174" s="53" t="s">
        <v>42</v>
      </c>
      <c r="H174" s="53" t="s">
        <v>164</v>
      </c>
      <c r="I174" s="53" t="s">
        <v>159</v>
      </c>
      <c r="J174" s="53" t="s">
        <v>38</v>
      </c>
      <c r="K174" s="53" t="s">
        <v>161</v>
      </c>
      <c r="L174" s="53">
        <v>2</v>
      </c>
      <c r="N174" s="53">
        <v>1</v>
      </c>
      <c r="O174" s="53">
        <v>0.8</v>
      </c>
      <c r="P174" s="53">
        <v>0.95</v>
      </c>
      <c r="Q174" s="16">
        <f t="shared" si="8"/>
        <v>0.875</v>
      </c>
      <c r="R174" s="53">
        <v>14.7</v>
      </c>
      <c r="S174" s="53">
        <v>128</v>
      </c>
      <c r="T174" s="38">
        <f t="shared" si="9"/>
        <v>27</v>
      </c>
      <c r="U174" s="53">
        <v>96</v>
      </c>
      <c r="V174" s="38">
        <f t="shared" si="10"/>
        <v>2592</v>
      </c>
      <c r="W174" s="53">
        <v>6</v>
      </c>
      <c r="X174" s="53" t="s">
        <v>46</v>
      </c>
      <c r="Y174" s="53" t="s">
        <v>55</v>
      </c>
      <c r="Z174" s="53" t="s">
        <v>69</v>
      </c>
      <c r="AA174" s="53" t="s">
        <v>86</v>
      </c>
      <c r="AB174" s="53" t="s">
        <v>158</v>
      </c>
      <c r="AC174" s="76"/>
      <c r="AD174" s="76"/>
      <c r="AE174" s="76"/>
      <c r="AF174" s="76"/>
      <c r="AG174" s="76"/>
      <c r="AH174" s="76"/>
    </row>
    <row r="175" spans="1:34" x14ac:dyDescent="0.15">
      <c r="A175" s="53" t="s">
        <v>41</v>
      </c>
      <c r="B175" s="53" t="s">
        <v>157</v>
      </c>
      <c r="C175" s="62">
        <v>2019</v>
      </c>
      <c r="D175" s="63" t="s">
        <v>185</v>
      </c>
      <c r="E175" s="53" t="s">
        <v>210</v>
      </c>
      <c r="F175" s="53" t="s">
        <v>211</v>
      </c>
      <c r="G175" s="53" t="s">
        <v>42</v>
      </c>
      <c r="H175" s="53" t="s">
        <v>164</v>
      </c>
      <c r="I175" s="53" t="s">
        <v>159</v>
      </c>
      <c r="J175" s="53" t="s">
        <v>38</v>
      </c>
      <c r="K175" s="53" t="s">
        <v>161</v>
      </c>
      <c r="L175" s="53">
        <v>3</v>
      </c>
      <c r="N175" s="53">
        <v>1</v>
      </c>
      <c r="O175" s="53">
        <v>0.7</v>
      </c>
      <c r="P175" s="53">
        <v>0.85</v>
      </c>
      <c r="Q175" s="16">
        <f t="shared" si="8"/>
        <v>0.77499999999999991</v>
      </c>
      <c r="R175" s="53">
        <v>13.8</v>
      </c>
      <c r="S175" s="53">
        <v>126</v>
      </c>
      <c r="T175" s="38">
        <f t="shared" si="9"/>
        <v>27</v>
      </c>
      <c r="U175" s="53">
        <v>96</v>
      </c>
      <c r="V175" s="38">
        <f t="shared" si="10"/>
        <v>2592</v>
      </c>
      <c r="W175" s="53">
        <v>6</v>
      </c>
      <c r="X175" s="53" t="s">
        <v>46</v>
      </c>
      <c r="Y175" s="53" t="s">
        <v>55</v>
      </c>
      <c r="Z175" s="53" t="s">
        <v>69</v>
      </c>
      <c r="AA175" s="53" t="s">
        <v>86</v>
      </c>
      <c r="AB175" s="53" t="s">
        <v>158</v>
      </c>
      <c r="AC175" s="76"/>
      <c r="AD175" s="76"/>
      <c r="AE175" s="76"/>
      <c r="AF175" s="76"/>
      <c r="AG175" s="76"/>
      <c r="AH175" s="76"/>
    </row>
    <row r="176" spans="1:34" x14ac:dyDescent="0.15">
      <c r="A176" s="53" t="s">
        <v>41</v>
      </c>
      <c r="B176" s="53" t="s">
        <v>157</v>
      </c>
      <c r="C176" s="62">
        <v>2019</v>
      </c>
      <c r="D176" s="63" t="s">
        <v>185</v>
      </c>
      <c r="E176" s="53" t="s">
        <v>210</v>
      </c>
      <c r="F176" s="53" t="s">
        <v>211</v>
      </c>
      <c r="G176" s="53" t="s">
        <v>42</v>
      </c>
      <c r="H176" s="53" t="s">
        <v>164</v>
      </c>
      <c r="I176" s="53" t="s">
        <v>159</v>
      </c>
      <c r="J176" s="53" t="s">
        <v>38</v>
      </c>
      <c r="K176" s="53" t="s">
        <v>161</v>
      </c>
      <c r="L176" s="53">
        <v>1</v>
      </c>
      <c r="N176" s="53">
        <v>4</v>
      </c>
      <c r="O176" s="53">
        <v>0.35</v>
      </c>
      <c r="P176" s="53">
        <v>0.4</v>
      </c>
      <c r="Q176" s="16">
        <f t="shared" si="8"/>
        <v>0.375</v>
      </c>
      <c r="R176" s="53">
        <v>14</v>
      </c>
      <c r="S176" s="53">
        <v>115</v>
      </c>
      <c r="T176" s="38">
        <f t="shared" si="9"/>
        <v>30</v>
      </c>
      <c r="U176" s="53">
        <v>320</v>
      </c>
      <c r="V176" s="38">
        <f t="shared" si="10"/>
        <v>2400</v>
      </c>
      <c r="W176" s="53">
        <v>2</v>
      </c>
      <c r="X176" s="53" t="s">
        <v>46</v>
      </c>
      <c r="Y176" s="53" t="s">
        <v>55</v>
      </c>
      <c r="Z176" s="53" t="s">
        <v>69</v>
      </c>
      <c r="AA176" s="53" t="s">
        <v>86</v>
      </c>
      <c r="AB176" s="53" t="s">
        <v>158</v>
      </c>
    </row>
    <row r="177" spans="1:28" x14ac:dyDescent="0.15">
      <c r="A177" s="53" t="s">
        <v>41</v>
      </c>
      <c r="B177" s="53" t="s">
        <v>157</v>
      </c>
      <c r="C177" s="62">
        <v>2019</v>
      </c>
      <c r="D177" s="63" t="s">
        <v>185</v>
      </c>
      <c r="E177" s="53" t="s">
        <v>210</v>
      </c>
      <c r="F177" s="53" t="s">
        <v>211</v>
      </c>
      <c r="G177" s="53" t="s">
        <v>42</v>
      </c>
      <c r="H177" s="53" t="s">
        <v>164</v>
      </c>
      <c r="I177" s="53" t="s">
        <v>159</v>
      </c>
      <c r="J177" s="53" t="s">
        <v>38</v>
      </c>
      <c r="K177" s="53" t="s">
        <v>161</v>
      </c>
      <c r="L177" s="53">
        <v>2</v>
      </c>
      <c r="N177" s="53">
        <v>4</v>
      </c>
      <c r="O177" s="53">
        <v>0.45</v>
      </c>
      <c r="P177" s="53">
        <v>0.25</v>
      </c>
      <c r="Q177" s="16">
        <f t="shared" si="8"/>
        <v>0.35</v>
      </c>
      <c r="R177" s="53">
        <v>12.5</v>
      </c>
      <c r="S177" s="53">
        <v>117</v>
      </c>
      <c r="T177" s="38">
        <f t="shared" si="9"/>
        <v>30</v>
      </c>
      <c r="U177" s="53">
        <v>320</v>
      </c>
      <c r="V177" s="38">
        <f t="shared" si="10"/>
        <v>2400</v>
      </c>
      <c r="W177" s="53">
        <v>2</v>
      </c>
      <c r="X177" s="53" t="s">
        <v>46</v>
      </c>
      <c r="Y177" s="53" t="s">
        <v>55</v>
      </c>
      <c r="Z177" s="53" t="s">
        <v>69</v>
      </c>
      <c r="AA177" s="53" t="s">
        <v>86</v>
      </c>
      <c r="AB177" s="53" t="s">
        <v>158</v>
      </c>
    </row>
    <row r="178" spans="1:28" x14ac:dyDescent="0.15">
      <c r="A178" s="53" t="s">
        <v>41</v>
      </c>
      <c r="B178" s="53" t="s">
        <v>157</v>
      </c>
      <c r="C178" s="62">
        <v>2019</v>
      </c>
      <c r="D178" s="63" t="s">
        <v>185</v>
      </c>
      <c r="E178" s="53" t="s">
        <v>210</v>
      </c>
      <c r="F178" s="53" t="s">
        <v>211</v>
      </c>
      <c r="G178" s="53" t="s">
        <v>42</v>
      </c>
      <c r="H178" s="53" t="s">
        <v>164</v>
      </c>
      <c r="I178" s="53" t="s">
        <v>159</v>
      </c>
      <c r="J178" s="53" t="s">
        <v>38</v>
      </c>
      <c r="K178" s="53" t="s">
        <v>161</v>
      </c>
      <c r="L178" s="53">
        <v>3</v>
      </c>
      <c r="N178" s="53">
        <v>4</v>
      </c>
      <c r="O178" s="53">
        <v>0.5</v>
      </c>
      <c r="P178" s="53">
        <v>0.4</v>
      </c>
      <c r="Q178" s="16">
        <f t="shared" si="8"/>
        <v>0.45</v>
      </c>
      <c r="R178" s="53">
        <v>12.4</v>
      </c>
      <c r="S178" s="53">
        <v>116</v>
      </c>
      <c r="T178" s="38">
        <f t="shared" si="9"/>
        <v>30</v>
      </c>
      <c r="U178" s="53">
        <v>320</v>
      </c>
      <c r="V178" s="38">
        <f t="shared" si="10"/>
        <v>2400</v>
      </c>
      <c r="W178" s="53">
        <v>2</v>
      </c>
      <c r="X178" s="53" t="s">
        <v>46</v>
      </c>
      <c r="Y178" s="53" t="s">
        <v>55</v>
      </c>
      <c r="Z178" s="53" t="s">
        <v>69</v>
      </c>
      <c r="AA178" s="53" t="s">
        <v>86</v>
      </c>
      <c r="AB178" s="53" t="s">
        <v>158</v>
      </c>
    </row>
    <row r="179" spans="1:28" x14ac:dyDescent="0.15">
      <c r="Q179" s="74" t="str">
        <f t="shared" si="8"/>
        <v/>
      </c>
      <c r="T179" s="16" t="str">
        <f t="shared" si="9"/>
        <v/>
      </c>
      <c r="V179" s="16" t="str">
        <f t="shared" si="10"/>
        <v/>
      </c>
    </row>
    <row r="180" spans="1:28" x14ac:dyDescent="0.15">
      <c r="Q180" s="74" t="str">
        <f t="shared" si="8"/>
        <v/>
      </c>
      <c r="T180" s="16" t="str">
        <f t="shared" si="9"/>
        <v/>
      </c>
      <c r="V180" s="16" t="str">
        <f t="shared" si="10"/>
        <v/>
      </c>
    </row>
    <row r="181" spans="1:28" x14ac:dyDescent="0.15">
      <c r="Q181" s="74" t="str">
        <f t="shared" si="8"/>
        <v/>
      </c>
      <c r="T181" s="16" t="str">
        <f t="shared" si="9"/>
        <v/>
      </c>
      <c r="V181" s="16" t="str">
        <f t="shared" si="10"/>
        <v/>
      </c>
    </row>
    <row r="182" spans="1:28" x14ac:dyDescent="0.15">
      <c r="Q182" s="74" t="str">
        <f t="shared" si="8"/>
        <v/>
      </c>
      <c r="T182" s="16" t="str">
        <f t="shared" si="9"/>
        <v/>
      </c>
      <c r="V182" s="16" t="str">
        <f t="shared" si="10"/>
        <v/>
      </c>
    </row>
    <row r="183" spans="1:28" x14ac:dyDescent="0.15">
      <c r="Q183" s="74" t="str">
        <f t="shared" si="8"/>
        <v/>
      </c>
      <c r="T183" s="16" t="str">
        <f t="shared" si="9"/>
        <v/>
      </c>
      <c r="V183" s="16" t="str">
        <f t="shared" si="10"/>
        <v/>
      </c>
    </row>
    <row r="184" spans="1:28" x14ac:dyDescent="0.15">
      <c r="Q184" s="74" t="str">
        <f t="shared" si="8"/>
        <v/>
      </c>
      <c r="T184" s="16" t="str">
        <f t="shared" si="9"/>
        <v/>
      </c>
      <c r="V184" s="16" t="str">
        <f t="shared" si="10"/>
        <v/>
      </c>
    </row>
    <row r="185" spans="1:28" x14ac:dyDescent="0.15">
      <c r="Q185" s="74" t="str">
        <f t="shared" si="8"/>
        <v/>
      </c>
      <c r="T185" s="16" t="str">
        <f t="shared" si="9"/>
        <v/>
      </c>
      <c r="V185" s="16" t="str">
        <f t="shared" si="10"/>
        <v/>
      </c>
    </row>
    <row r="186" spans="1:28" x14ac:dyDescent="0.15">
      <c r="Q186" s="74" t="str">
        <f t="shared" si="8"/>
        <v/>
      </c>
      <c r="T186" s="16" t="str">
        <f t="shared" si="9"/>
        <v/>
      </c>
      <c r="V186" s="16" t="str">
        <f t="shared" si="10"/>
        <v/>
      </c>
    </row>
    <row r="187" spans="1:28" x14ac:dyDescent="0.15">
      <c r="Q187" s="74" t="str">
        <f t="shared" si="8"/>
        <v/>
      </c>
      <c r="T187" s="16" t="str">
        <f t="shared" si="9"/>
        <v/>
      </c>
      <c r="V187" s="16" t="str">
        <f t="shared" si="10"/>
        <v/>
      </c>
    </row>
    <row r="188" spans="1:28" x14ac:dyDescent="0.15">
      <c r="Q188" s="74" t="str">
        <f t="shared" si="8"/>
        <v/>
      </c>
      <c r="T188" s="16" t="str">
        <f t="shared" si="9"/>
        <v/>
      </c>
      <c r="V188" s="16" t="str">
        <f t="shared" si="10"/>
        <v/>
      </c>
    </row>
    <row r="189" spans="1:28" x14ac:dyDescent="0.15">
      <c r="Q189" s="74" t="str">
        <f t="shared" si="8"/>
        <v/>
      </c>
      <c r="T189" s="16" t="str">
        <f t="shared" si="9"/>
        <v/>
      </c>
      <c r="V189" s="16" t="str">
        <f t="shared" si="10"/>
        <v/>
      </c>
    </row>
    <row r="190" spans="1:28" x14ac:dyDescent="0.15">
      <c r="Q190" s="74" t="str">
        <f t="shared" si="8"/>
        <v/>
      </c>
      <c r="T190" s="16" t="str">
        <f t="shared" si="9"/>
        <v/>
      </c>
      <c r="V190" s="16" t="str">
        <f t="shared" si="10"/>
        <v/>
      </c>
    </row>
    <row r="191" spans="1:28" x14ac:dyDescent="0.15">
      <c r="Q191" s="74" t="str">
        <f t="shared" si="8"/>
        <v/>
      </c>
      <c r="T191" s="16" t="str">
        <f t="shared" si="9"/>
        <v/>
      </c>
      <c r="V191" s="16" t="str">
        <f t="shared" si="10"/>
        <v/>
      </c>
    </row>
    <row r="192" spans="1:28" x14ac:dyDescent="0.15">
      <c r="Q192" s="74" t="str">
        <f t="shared" si="8"/>
        <v/>
      </c>
      <c r="T192" s="16" t="str">
        <f t="shared" si="9"/>
        <v/>
      </c>
      <c r="V192" s="16" t="str">
        <f t="shared" si="10"/>
        <v/>
      </c>
    </row>
    <row r="193" spans="17:22" x14ac:dyDescent="0.15">
      <c r="Q193" s="74" t="str">
        <f t="shared" si="8"/>
        <v/>
      </c>
      <c r="T193" s="16" t="str">
        <f t="shared" si="9"/>
        <v/>
      </c>
      <c r="V193" s="16" t="str">
        <f t="shared" si="10"/>
        <v/>
      </c>
    </row>
    <row r="194" spans="17:22" x14ac:dyDescent="0.15">
      <c r="Q194" s="74" t="str">
        <f t="shared" ref="Q194:Q257" si="11">IF(OR(O194="",P194=""),"",AVERAGE(O194,P194))</f>
        <v/>
      </c>
      <c r="T194" s="16" t="str">
        <f t="shared" ref="T194:T257" si="12">IF(H194="","",IF(OR(H194="GREEN",H194="GK"),IF(S194&gt;=$AX$2,VLOOKUP(S194,$AX$2:$AY$10,2,1),""),IF(S194&gt;=$AZ$2,VLOOKUP(S194,$AZ$2:$BA$10,2,1),"")))</f>
        <v/>
      </c>
      <c r="V194" s="16" t="str">
        <f t="shared" ref="V194:V257" si="13">IF(OR(N194="",U194="",T194=""),"",U194/N194*T194)</f>
        <v/>
      </c>
    </row>
    <row r="195" spans="17:22" x14ac:dyDescent="0.15">
      <c r="Q195" s="74" t="str">
        <f t="shared" si="11"/>
        <v/>
      </c>
      <c r="T195" s="16" t="str">
        <f t="shared" si="12"/>
        <v/>
      </c>
      <c r="V195" s="16" t="str">
        <f t="shared" si="13"/>
        <v/>
      </c>
    </row>
    <row r="196" spans="17:22" x14ac:dyDescent="0.15">
      <c r="Q196" s="74" t="str">
        <f t="shared" si="11"/>
        <v/>
      </c>
      <c r="T196" s="16" t="str">
        <f t="shared" si="12"/>
        <v/>
      </c>
      <c r="V196" s="16" t="str">
        <f t="shared" si="13"/>
        <v/>
      </c>
    </row>
    <row r="197" spans="17:22" x14ac:dyDescent="0.15">
      <c r="Q197" s="74" t="str">
        <f t="shared" si="11"/>
        <v/>
      </c>
      <c r="T197" s="16" t="str">
        <f t="shared" si="12"/>
        <v/>
      </c>
      <c r="V197" s="16" t="str">
        <f t="shared" si="13"/>
        <v/>
      </c>
    </row>
    <row r="198" spans="17:22" x14ac:dyDescent="0.15">
      <c r="Q198" s="74" t="str">
        <f t="shared" si="11"/>
        <v/>
      </c>
      <c r="T198" s="16" t="str">
        <f t="shared" si="12"/>
        <v/>
      </c>
      <c r="V198" s="16" t="str">
        <f t="shared" si="13"/>
        <v/>
      </c>
    </row>
    <row r="199" spans="17:22" x14ac:dyDescent="0.15">
      <c r="Q199" s="74" t="str">
        <f t="shared" si="11"/>
        <v/>
      </c>
      <c r="T199" s="16" t="str">
        <f t="shared" si="12"/>
        <v/>
      </c>
      <c r="V199" s="16" t="str">
        <f t="shared" si="13"/>
        <v/>
      </c>
    </row>
    <row r="200" spans="17:22" x14ac:dyDescent="0.15">
      <c r="Q200" s="74" t="str">
        <f t="shared" si="11"/>
        <v/>
      </c>
      <c r="T200" s="16" t="str">
        <f t="shared" si="12"/>
        <v/>
      </c>
      <c r="V200" s="16" t="str">
        <f t="shared" si="13"/>
        <v/>
      </c>
    </row>
    <row r="201" spans="17:22" x14ac:dyDescent="0.15">
      <c r="Q201" s="74" t="str">
        <f t="shared" si="11"/>
        <v/>
      </c>
      <c r="T201" s="16" t="str">
        <f t="shared" si="12"/>
        <v/>
      </c>
      <c r="V201" s="16" t="str">
        <f t="shared" si="13"/>
        <v/>
      </c>
    </row>
    <row r="202" spans="17:22" x14ac:dyDescent="0.15">
      <c r="Q202" s="74" t="str">
        <f t="shared" si="11"/>
        <v/>
      </c>
      <c r="T202" s="16" t="str">
        <f t="shared" si="12"/>
        <v/>
      </c>
      <c r="V202" s="16" t="str">
        <f t="shared" si="13"/>
        <v/>
      </c>
    </row>
    <row r="203" spans="17:22" x14ac:dyDescent="0.15">
      <c r="Q203" s="74" t="str">
        <f t="shared" si="11"/>
        <v/>
      </c>
      <c r="T203" s="16" t="str">
        <f t="shared" si="12"/>
        <v/>
      </c>
      <c r="V203" s="16" t="str">
        <f t="shared" si="13"/>
        <v/>
      </c>
    </row>
    <row r="204" spans="17:22" x14ac:dyDescent="0.15">
      <c r="Q204" s="74" t="str">
        <f t="shared" si="11"/>
        <v/>
      </c>
      <c r="T204" s="16" t="str">
        <f t="shared" si="12"/>
        <v/>
      </c>
      <c r="V204" s="16" t="str">
        <f t="shared" si="13"/>
        <v/>
      </c>
    </row>
    <row r="205" spans="17:22" x14ac:dyDescent="0.15">
      <c r="Q205" s="74" t="str">
        <f t="shared" si="11"/>
        <v/>
      </c>
      <c r="T205" s="16" t="str">
        <f t="shared" si="12"/>
        <v/>
      </c>
      <c r="V205" s="16" t="str">
        <f t="shared" si="13"/>
        <v/>
      </c>
    </row>
    <row r="206" spans="17:22" x14ac:dyDescent="0.15">
      <c r="Q206" s="74" t="str">
        <f t="shared" si="11"/>
        <v/>
      </c>
      <c r="T206" s="16" t="str">
        <f t="shared" si="12"/>
        <v/>
      </c>
      <c r="V206" s="16" t="str">
        <f t="shared" si="13"/>
        <v/>
      </c>
    </row>
    <row r="207" spans="17:22" x14ac:dyDescent="0.15">
      <c r="Q207" s="74" t="str">
        <f t="shared" si="11"/>
        <v/>
      </c>
      <c r="T207" s="16" t="str">
        <f t="shared" si="12"/>
        <v/>
      </c>
      <c r="V207" s="16" t="str">
        <f t="shared" si="13"/>
        <v/>
      </c>
    </row>
    <row r="208" spans="17:22" x14ac:dyDescent="0.15">
      <c r="Q208" s="74" t="str">
        <f t="shared" si="11"/>
        <v/>
      </c>
      <c r="T208" s="16" t="str">
        <f t="shared" si="12"/>
        <v/>
      </c>
      <c r="V208" s="16" t="str">
        <f t="shared" si="13"/>
        <v/>
      </c>
    </row>
    <row r="209" spans="17:22" x14ac:dyDescent="0.15">
      <c r="Q209" s="74" t="str">
        <f t="shared" si="11"/>
        <v/>
      </c>
      <c r="T209" s="16" t="str">
        <f t="shared" si="12"/>
        <v/>
      </c>
      <c r="V209" s="16" t="str">
        <f t="shared" si="13"/>
        <v/>
      </c>
    </row>
    <row r="210" spans="17:22" x14ac:dyDescent="0.15">
      <c r="Q210" s="74" t="str">
        <f t="shared" si="11"/>
        <v/>
      </c>
      <c r="T210" s="16" t="str">
        <f t="shared" si="12"/>
        <v/>
      </c>
      <c r="V210" s="16" t="str">
        <f t="shared" si="13"/>
        <v/>
      </c>
    </row>
    <row r="211" spans="17:22" x14ac:dyDescent="0.15">
      <c r="Q211" s="74" t="str">
        <f t="shared" si="11"/>
        <v/>
      </c>
      <c r="T211" s="16" t="str">
        <f t="shared" si="12"/>
        <v/>
      </c>
      <c r="V211" s="16" t="str">
        <f t="shared" si="13"/>
        <v/>
      </c>
    </row>
    <row r="212" spans="17:22" x14ac:dyDescent="0.15">
      <c r="Q212" s="74" t="str">
        <f t="shared" si="11"/>
        <v/>
      </c>
      <c r="T212" s="16" t="str">
        <f t="shared" si="12"/>
        <v/>
      </c>
      <c r="V212" s="16" t="str">
        <f t="shared" si="13"/>
        <v/>
      </c>
    </row>
    <row r="213" spans="17:22" x14ac:dyDescent="0.15">
      <c r="Q213" s="74" t="str">
        <f t="shared" si="11"/>
        <v/>
      </c>
      <c r="T213" s="16" t="str">
        <f t="shared" si="12"/>
        <v/>
      </c>
      <c r="V213" s="16" t="str">
        <f t="shared" si="13"/>
        <v/>
      </c>
    </row>
    <row r="214" spans="17:22" x14ac:dyDescent="0.15">
      <c r="Q214" s="74" t="str">
        <f t="shared" si="11"/>
        <v/>
      </c>
      <c r="T214" s="16" t="str">
        <f t="shared" si="12"/>
        <v/>
      </c>
      <c r="V214" s="16" t="str">
        <f t="shared" si="13"/>
        <v/>
      </c>
    </row>
    <row r="215" spans="17:22" x14ac:dyDescent="0.15">
      <c r="Q215" s="74" t="str">
        <f t="shared" si="11"/>
        <v/>
      </c>
      <c r="T215" s="16" t="str">
        <f t="shared" si="12"/>
        <v/>
      </c>
      <c r="V215" s="16" t="str">
        <f t="shared" si="13"/>
        <v/>
      </c>
    </row>
    <row r="216" spans="17:22" x14ac:dyDescent="0.15">
      <c r="Q216" s="74" t="str">
        <f t="shared" si="11"/>
        <v/>
      </c>
      <c r="T216" s="16" t="str">
        <f t="shared" si="12"/>
        <v/>
      </c>
      <c r="V216" s="16" t="str">
        <f t="shared" si="13"/>
        <v/>
      </c>
    </row>
    <row r="217" spans="17:22" x14ac:dyDescent="0.15">
      <c r="Q217" s="74" t="str">
        <f t="shared" si="11"/>
        <v/>
      </c>
      <c r="T217" s="16" t="str">
        <f t="shared" si="12"/>
        <v/>
      </c>
      <c r="V217" s="16" t="str">
        <f t="shared" si="13"/>
        <v/>
      </c>
    </row>
    <row r="218" spans="17:22" x14ac:dyDescent="0.15">
      <c r="Q218" s="74" t="str">
        <f t="shared" si="11"/>
        <v/>
      </c>
      <c r="T218" s="16" t="str">
        <f t="shared" si="12"/>
        <v/>
      </c>
      <c r="V218" s="16" t="str">
        <f t="shared" si="13"/>
        <v/>
      </c>
    </row>
    <row r="219" spans="17:22" x14ac:dyDescent="0.15">
      <c r="Q219" s="74" t="str">
        <f t="shared" si="11"/>
        <v/>
      </c>
      <c r="T219" s="16" t="str">
        <f t="shared" si="12"/>
        <v/>
      </c>
      <c r="V219" s="16" t="str">
        <f t="shared" si="13"/>
        <v/>
      </c>
    </row>
    <row r="220" spans="17:22" x14ac:dyDescent="0.15">
      <c r="Q220" s="74" t="str">
        <f t="shared" si="11"/>
        <v/>
      </c>
      <c r="T220" s="16" t="str">
        <f t="shared" si="12"/>
        <v/>
      </c>
      <c r="V220" s="16" t="str">
        <f t="shared" si="13"/>
        <v/>
      </c>
    </row>
    <row r="221" spans="17:22" x14ac:dyDescent="0.15">
      <c r="Q221" s="74" t="str">
        <f t="shared" si="11"/>
        <v/>
      </c>
      <c r="T221" s="16" t="str">
        <f t="shared" si="12"/>
        <v/>
      </c>
      <c r="V221" s="16" t="str">
        <f t="shared" si="13"/>
        <v/>
      </c>
    </row>
    <row r="222" spans="17:22" x14ac:dyDescent="0.15">
      <c r="Q222" s="74" t="str">
        <f t="shared" si="11"/>
        <v/>
      </c>
      <c r="T222" s="16" t="str">
        <f t="shared" si="12"/>
        <v/>
      </c>
      <c r="V222" s="16" t="str">
        <f t="shared" si="13"/>
        <v/>
      </c>
    </row>
    <row r="223" spans="17:22" x14ac:dyDescent="0.15">
      <c r="Q223" s="74" t="str">
        <f t="shared" si="11"/>
        <v/>
      </c>
      <c r="T223" s="16" t="str">
        <f t="shared" si="12"/>
        <v/>
      </c>
      <c r="V223" s="16" t="str">
        <f t="shared" si="13"/>
        <v/>
      </c>
    </row>
    <row r="224" spans="17:22" x14ac:dyDescent="0.15">
      <c r="Q224" s="74" t="str">
        <f t="shared" si="11"/>
        <v/>
      </c>
      <c r="T224" s="16" t="str">
        <f t="shared" si="12"/>
        <v/>
      </c>
      <c r="V224" s="16" t="str">
        <f t="shared" si="13"/>
        <v/>
      </c>
    </row>
    <row r="225" spans="17:22" x14ac:dyDescent="0.15">
      <c r="Q225" s="74" t="str">
        <f t="shared" si="11"/>
        <v/>
      </c>
      <c r="T225" s="16" t="str">
        <f t="shared" si="12"/>
        <v/>
      </c>
      <c r="V225" s="16" t="str">
        <f t="shared" si="13"/>
        <v/>
      </c>
    </row>
    <row r="226" spans="17:22" x14ac:dyDescent="0.15">
      <c r="Q226" s="74" t="str">
        <f t="shared" si="11"/>
        <v/>
      </c>
      <c r="T226" s="16" t="str">
        <f t="shared" si="12"/>
        <v/>
      </c>
      <c r="V226" s="16" t="str">
        <f t="shared" si="13"/>
        <v/>
      </c>
    </row>
    <row r="227" spans="17:22" x14ac:dyDescent="0.15">
      <c r="Q227" s="74" t="str">
        <f t="shared" si="11"/>
        <v/>
      </c>
      <c r="T227" s="16" t="str">
        <f t="shared" si="12"/>
        <v/>
      </c>
      <c r="V227" s="16" t="str">
        <f t="shared" si="13"/>
        <v/>
      </c>
    </row>
    <row r="228" spans="17:22" x14ac:dyDescent="0.15">
      <c r="Q228" s="74" t="str">
        <f t="shared" si="11"/>
        <v/>
      </c>
      <c r="T228" s="16" t="str">
        <f t="shared" si="12"/>
        <v/>
      </c>
      <c r="V228" s="16" t="str">
        <f t="shared" si="13"/>
        <v/>
      </c>
    </row>
    <row r="229" spans="17:22" x14ac:dyDescent="0.15">
      <c r="Q229" s="74" t="str">
        <f t="shared" si="11"/>
        <v/>
      </c>
      <c r="T229" s="16" t="str">
        <f t="shared" si="12"/>
        <v/>
      </c>
      <c r="V229" s="16" t="str">
        <f t="shared" si="13"/>
        <v/>
      </c>
    </row>
    <row r="230" spans="17:22" x14ac:dyDescent="0.15">
      <c r="Q230" s="74" t="str">
        <f t="shared" si="11"/>
        <v/>
      </c>
      <c r="T230" s="16" t="str">
        <f t="shared" si="12"/>
        <v/>
      </c>
      <c r="V230" s="16" t="str">
        <f t="shared" si="13"/>
        <v/>
      </c>
    </row>
    <row r="231" spans="17:22" x14ac:dyDescent="0.15">
      <c r="Q231" s="74" t="str">
        <f t="shared" si="11"/>
        <v/>
      </c>
      <c r="T231" s="16" t="str">
        <f t="shared" si="12"/>
        <v/>
      </c>
      <c r="V231" s="16" t="str">
        <f t="shared" si="13"/>
        <v/>
      </c>
    </row>
    <row r="232" spans="17:22" x14ac:dyDescent="0.15">
      <c r="Q232" s="74" t="str">
        <f t="shared" si="11"/>
        <v/>
      </c>
      <c r="T232" s="16" t="str">
        <f t="shared" si="12"/>
        <v/>
      </c>
      <c r="V232" s="16" t="str">
        <f t="shared" si="13"/>
        <v/>
      </c>
    </row>
    <row r="233" spans="17:22" x14ac:dyDescent="0.15">
      <c r="Q233" s="74" t="str">
        <f t="shared" si="11"/>
        <v/>
      </c>
      <c r="T233" s="16" t="str">
        <f t="shared" si="12"/>
        <v/>
      </c>
      <c r="V233" s="16" t="str">
        <f t="shared" si="13"/>
        <v/>
      </c>
    </row>
    <row r="234" spans="17:22" x14ac:dyDescent="0.15">
      <c r="Q234" s="74" t="str">
        <f t="shared" si="11"/>
        <v/>
      </c>
      <c r="T234" s="16" t="str">
        <f t="shared" si="12"/>
        <v/>
      </c>
      <c r="V234" s="16" t="str">
        <f t="shared" si="13"/>
        <v/>
      </c>
    </row>
    <row r="235" spans="17:22" x14ac:dyDescent="0.15">
      <c r="Q235" s="74" t="str">
        <f t="shared" si="11"/>
        <v/>
      </c>
      <c r="T235" s="16" t="str">
        <f t="shared" si="12"/>
        <v/>
      </c>
      <c r="V235" s="16" t="str">
        <f t="shared" si="13"/>
        <v/>
      </c>
    </row>
    <row r="236" spans="17:22" x14ac:dyDescent="0.15">
      <c r="Q236" s="74" t="str">
        <f t="shared" si="11"/>
        <v/>
      </c>
      <c r="T236" s="16" t="str">
        <f t="shared" si="12"/>
        <v/>
      </c>
      <c r="V236" s="16" t="str">
        <f t="shared" si="13"/>
        <v/>
      </c>
    </row>
    <row r="237" spans="17:22" x14ac:dyDescent="0.15">
      <c r="Q237" s="74" t="str">
        <f t="shared" si="11"/>
        <v/>
      </c>
      <c r="T237" s="16" t="str">
        <f t="shared" si="12"/>
        <v/>
      </c>
      <c r="V237" s="16" t="str">
        <f t="shared" si="13"/>
        <v/>
      </c>
    </row>
    <row r="238" spans="17:22" x14ac:dyDescent="0.15">
      <c r="Q238" s="74" t="str">
        <f t="shared" si="11"/>
        <v/>
      </c>
      <c r="T238" s="16" t="str">
        <f t="shared" si="12"/>
        <v/>
      </c>
      <c r="V238" s="16" t="str">
        <f t="shared" si="13"/>
        <v/>
      </c>
    </row>
    <row r="239" spans="17:22" x14ac:dyDescent="0.15">
      <c r="Q239" s="74" t="str">
        <f t="shared" si="11"/>
        <v/>
      </c>
      <c r="T239" s="16" t="str">
        <f t="shared" si="12"/>
        <v/>
      </c>
      <c r="V239" s="16" t="str">
        <f t="shared" si="13"/>
        <v/>
      </c>
    </row>
    <row r="240" spans="17:22" x14ac:dyDescent="0.15">
      <c r="Q240" s="74" t="str">
        <f t="shared" si="11"/>
        <v/>
      </c>
      <c r="T240" s="16" t="str">
        <f t="shared" si="12"/>
        <v/>
      </c>
      <c r="V240" s="16" t="str">
        <f t="shared" si="13"/>
        <v/>
      </c>
    </row>
    <row r="241" spans="17:22" x14ac:dyDescent="0.15">
      <c r="Q241" s="74" t="str">
        <f t="shared" si="11"/>
        <v/>
      </c>
      <c r="T241" s="16" t="str">
        <f t="shared" si="12"/>
        <v/>
      </c>
      <c r="V241" s="16" t="str">
        <f t="shared" si="13"/>
        <v/>
      </c>
    </row>
    <row r="242" spans="17:22" x14ac:dyDescent="0.15">
      <c r="Q242" s="74" t="str">
        <f t="shared" si="11"/>
        <v/>
      </c>
      <c r="T242" s="16" t="str">
        <f t="shared" si="12"/>
        <v/>
      </c>
      <c r="V242" s="16" t="str">
        <f t="shared" si="13"/>
        <v/>
      </c>
    </row>
    <row r="243" spans="17:22" x14ac:dyDescent="0.15">
      <c r="Q243" s="74" t="str">
        <f t="shared" si="11"/>
        <v/>
      </c>
      <c r="T243" s="16" t="str">
        <f t="shared" si="12"/>
        <v/>
      </c>
      <c r="V243" s="16" t="str">
        <f t="shared" si="13"/>
        <v/>
      </c>
    </row>
    <row r="244" spans="17:22" x14ac:dyDescent="0.15">
      <c r="Q244" s="74" t="str">
        <f t="shared" si="11"/>
        <v/>
      </c>
      <c r="T244" s="16" t="str">
        <f t="shared" si="12"/>
        <v/>
      </c>
      <c r="V244" s="16" t="str">
        <f t="shared" si="13"/>
        <v/>
      </c>
    </row>
    <row r="245" spans="17:22" x14ac:dyDescent="0.15">
      <c r="Q245" s="74" t="str">
        <f t="shared" si="11"/>
        <v/>
      </c>
      <c r="T245" s="16" t="str">
        <f t="shared" si="12"/>
        <v/>
      </c>
      <c r="V245" s="16" t="str">
        <f t="shared" si="13"/>
        <v/>
      </c>
    </row>
    <row r="246" spans="17:22" x14ac:dyDescent="0.15">
      <c r="Q246" s="74" t="str">
        <f t="shared" si="11"/>
        <v/>
      </c>
      <c r="T246" s="16" t="str">
        <f t="shared" si="12"/>
        <v/>
      </c>
      <c r="V246" s="16" t="str">
        <f t="shared" si="13"/>
        <v/>
      </c>
    </row>
    <row r="247" spans="17:22" x14ac:dyDescent="0.15">
      <c r="Q247" s="74" t="str">
        <f t="shared" si="11"/>
        <v/>
      </c>
      <c r="T247" s="16" t="str">
        <f t="shared" si="12"/>
        <v/>
      </c>
      <c r="V247" s="16" t="str">
        <f t="shared" si="13"/>
        <v/>
      </c>
    </row>
    <row r="248" spans="17:22" x14ac:dyDescent="0.15">
      <c r="Q248" s="74" t="str">
        <f t="shared" si="11"/>
        <v/>
      </c>
      <c r="T248" s="16" t="str">
        <f t="shared" si="12"/>
        <v/>
      </c>
      <c r="V248" s="16" t="str">
        <f t="shared" si="13"/>
        <v/>
      </c>
    </row>
    <row r="249" spans="17:22" x14ac:dyDescent="0.15">
      <c r="Q249" s="74" t="str">
        <f t="shared" si="11"/>
        <v/>
      </c>
      <c r="T249" s="16" t="str">
        <f t="shared" si="12"/>
        <v/>
      </c>
      <c r="V249" s="16" t="str">
        <f t="shared" si="13"/>
        <v/>
      </c>
    </row>
    <row r="250" spans="17:22" x14ac:dyDescent="0.15">
      <c r="Q250" s="74" t="str">
        <f t="shared" si="11"/>
        <v/>
      </c>
      <c r="T250" s="16" t="str">
        <f t="shared" si="12"/>
        <v/>
      </c>
      <c r="V250" s="16" t="str">
        <f t="shared" si="13"/>
        <v/>
      </c>
    </row>
    <row r="251" spans="17:22" x14ac:dyDescent="0.15">
      <c r="Q251" s="74" t="str">
        <f t="shared" si="11"/>
        <v/>
      </c>
      <c r="T251" s="16" t="str">
        <f t="shared" si="12"/>
        <v/>
      </c>
      <c r="V251" s="16" t="str">
        <f t="shared" si="13"/>
        <v/>
      </c>
    </row>
    <row r="252" spans="17:22" x14ac:dyDescent="0.15">
      <c r="Q252" s="74" t="str">
        <f t="shared" si="11"/>
        <v/>
      </c>
      <c r="T252" s="16" t="str">
        <f t="shared" si="12"/>
        <v/>
      </c>
      <c r="V252" s="16" t="str">
        <f t="shared" si="13"/>
        <v/>
      </c>
    </row>
    <row r="253" spans="17:22" x14ac:dyDescent="0.15">
      <c r="Q253" s="74" t="str">
        <f t="shared" si="11"/>
        <v/>
      </c>
      <c r="T253" s="16" t="str">
        <f t="shared" si="12"/>
        <v/>
      </c>
      <c r="V253" s="16" t="str">
        <f t="shared" si="13"/>
        <v/>
      </c>
    </row>
    <row r="254" spans="17:22" x14ac:dyDescent="0.15">
      <c r="Q254" s="74" t="str">
        <f t="shared" si="11"/>
        <v/>
      </c>
      <c r="T254" s="16" t="str">
        <f t="shared" si="12"/>
        <v/>
      </c>
      <c r="V254" s="16" t="str">
        <f t="shared" si="13"/>
        <v/>
      </c>
    </row>
    <row r="255" spans="17:22" x14ac:dyDescent="0.15">
      <c r="Q255" s="74" t="str">
        <f t="shared" si="11"/>
        <v/>
      </c>
      <c r="T255" s="16" t="str">
        <f t="shared" si="12"/>
        <v/>
      </c>
      <c r="V255" s="16" t="str">
        <f t="shared" si="13"/>
        <v/>
      </c>
    </row>
    <row r="256" spans="17:22" x14ac:dyDescent="0.15">
      <c r="Q256" s="74" t="str">
        <f t="shared" si="11"/>
        <v/>
      </c>
      <c r="T256" s="16" t="str">
        <f t="shared" si="12"/>
        <v/>
      </c>
      <c r="V256" s="16" t="str">
        <f t="shared" si="13"/>
        <v/>
      </c>
    </row>
    <row r="257" spans="17:22" x14ac:dyDescent="0.15">
      <c r="Q257" s="74" t="str">
        <f t="shared" si="11"/>
        <v/>
      </c>
      <c r="T257" s="16" t="str">
        <f t="shared" si="12"/>
        <v/>
      </c>
      <c r="V257" s="16" t="str">
        <f t="shared" si="13"/>
        <v/>
      </c>
    </row>
    <row r="258" spans="17:22" x14ac:dyDescent="0.15">
      <c r="Q258" s="74" t="str">
        <f t="shared" ref="Q258:Q321" si="14">IF(OR(O258="",P258=""),"",AVERAGE(O258,P258))</f>
        <v/>
      </c>
      <c r="T258" s="16" t="str">
        <f t="shared" ref="T258:T321" si="15">IF(H258="","",IF(OR(H258="GREEN",H258="GK"),IF(S258&gt;=$AX$2,VLOOKUP(S258,$AX$2:$AY$10,2,1),""),IF(S258&gt;=$AZ$2,VLOOKUP(S258,$AZ$2:$BA$10,2,1),"")))</f>
        <v/>
      </c>
      <c r="V258" s="16" t="str">
        <f t="shared" ref="V258:V321" si="16">IF(OR(N258="",U258="",T258=""),"",U258/N258*T258)</f>
        <v/>
      </c>
    </row>
    <row r="259" spans="17:22" x14ac:dyDescent="0.15">
      <c r="Q259" s="74" t="str">
        <f t="shared" si="14"/>
        <v/>
      </c>
      <c r="T259" s="16" t="str">
        <f t="shared" si="15"/>
        <v/>
      </c>
      <c r="V259" s="16" t="str">
        <f t="shared" si="16"/>
        <v/>
      </c>
    </row>
    <row r="260" spans="17:22" x14ac:dyDescent="0.15">
      <c r="Q260" s="74" t="str">
        <f t="shared" si="14"/>
        <v/>
      </c>
      <c r="T260" s="16" t="str">
        <f t="shared" si="15"/>
        <v/>
      </c>
      <c r="V260" s="16" t="str">
        <f t="shared" si="16"/>
        <v/>
      </c>
    </row>
    <row r="261" spans="17:22" x14ac:dyDescent="0.15">
      <c r="Q261" s="74" t="str">
        <f t="shared" si="14"/>
        <v/>
      </c>
      <c r="T261" s="16" t="str">
        <f t="shared" si="15"/>
        <v/>
      </c>
      <c r="V261" s="16" t="str">
        <f t="shared" si="16"/>
        <v/>
      </c>
    </row>
    <row r="262" spans="17:22" x14ac:dyDescent="0.15">
      <c r="Q262" s="74" t="str">
        <f t="shared" si="14"/>
        <v/>
      </c>
      <c r="T262" s="16" t="str">
        <f t="shared" si="15"/>
        <v/>
      </c>
      <c r="V262" s="16" t="str">
        <f t="shared" si="16"/>
        <v/>
      </c>
    </row>
    <row r="263" spans="17:22" x14ac:dyDescent="0.15">
      <c r="Q263" s="74" t="str">
        <f t="shared" si="14"/>
        <v/>
      </c>
      <c r="T263" s="16" t="str">
        <f t="shared" si="15"/>
        <v/>
      </c>
      <c r="V263" s="16" t="str">
        <f t="shared" si="16"/>
        <v/>
      </c>
    </row>
    <row r="264" spans="17:22" x14ac:dyDescent="0.15">
      <c r="Q264" s="74" t="str">
        <f t="shared" si="14"/>
        <v/>
      </c>
      <c r="T264" s="16" t="str">
        <f t="shared" si="15"/>
        <v/>
      </c>
      <c r="V264" s="16" t="str">
        <f t="shared" si="16"/>
        <v/>
      </c>
    </row>
    <row r="265" spans="17:22" x14ac:dyDescent="0.15">
      <c r="Q265" s="74" t="str">
        <f t="shared" si="14"/>
        <v/>
      </c>
      <c r="T265" s="16" t="str">
        <f t="shared" si="15"/>
        <v/>
      </c>
      <c r="V265" s="16" t="str">
        <f t="shared" si="16"/>
        <v/>
      </c>
    </row>
    <row r="266" spans="17:22" x14ac:dyDescent="0.15">
      <c r="Q266" s="74" t="str">
        <f t="shared" si="14"/>
        <v/>
      </c>
      <c r="T266" s="16" t="str">
        <f t="shared" si="15"/>
        <v/>
      </c>
      <c r="V266" s="16" t="str">
        <f t="shared" si="16"/>
        <v/>
      </c>
    </row>
    <row r="267" spans="17:22" x14ac:dyDescent="0.15">
      <c r="Q267" s="74" t="str">
        <f t="shared" si="14"/>
        <v/>
      </c>
      <c r="T267" s="16" t="str">
        <f t="shared" si="15"/>
        <v/>
      </c>
      <c r="V267" s="16" t="str">
        <f t="shared" si="16"/>
        <v/>
      </c>
    </row>
    <row r="268" spans="17:22" x14ac:dyDescent="0.15">
      <c r="Q268" s="74" t="str">
        <f t="shared" si="14"/>
        <v/>
      </c>
      <c r="T268" s="16" t="str">
        <f t="shared" si="15"/>
        <v/>
      </c>
      <c r="V268" s="16" t="str">
        <f t="shared" si="16"/>
        <v/>
      </c>
    </row>
    <row r="269" spans="17:22" x14ac:dyDescent="0.15">
      <c r="Q269" s="74" t="str">
        <f t="shared" si="14"/>
        <v/>
      </c>
      <c r="T269" s="16" t="str">
        <f t="shared" si="15"/>
        <v/>
      </c>
      <c r="V269" s="16" t="str">
        <f t="shared" si="16"/>
        <v/>
      </c>
    </row>
    <row r="270" spans="17:22" x14ac:dyDescent="0.15">
      <c r="Q270" s="74" t="str">
        <f t="shared" si="14"/>
        <v/>
      </c>
      <c r="T270" s="16" t="str">
        <f t="shared" si="15"/>
        <v/>
      </c>
      <c r="V270" s="16" t="str">
        <f t="shared" si="16"/>
        <v/>
      </c>
    </row>
    <row r="271" spans="17:22" x14ac:dyDescent="0.15">
      <c r="Q271" s="74" t="str">
        <f t="shared" si="14"/>
        <v/>
      </c>
      <c r="T271" s="16" t="str">
        <f t="shared" si="15"/>
        <v/>
      </c>
      <c r="V271" s="16" t="str">
        <f t="shared" si="16"/>
        <v/>
      </c>
    </row>
    <row r="272" spans="17:22" x14ac:dyDescent="0.15">
      <c r="Q272" s="74" t="str">
        <f t="shared" si="14"/>
        <v/>
      </c>
      <c r="T272" s="16" t="str">
        <f t="shared" si="15"/>
        <v/>
      </c>
      <c r="V272" s="16" t="str">
        <f t="shared" si="16"/>
        <v/>
      </c>
    </row>
    <row r="273" spans="17:22" x14ac:dyDescent="0.15">
      <c r="Q273" s="74" t="str">
        <f t="shared" si="14"/>
        <v/>
      </c>
      <c r="T273" s="16" t="str">
        <f t="shared" si="15"/>
        <v/>
      </c>
      <c r="V273" s="16" t="str">
        <f t="shared" si="16"/>
        <v/>
      </c>
    </row>
    <row r="274" spans="17:22" x14ac:dyDescent="0.15">
      <c r="Q274" s="74" t="str">
        <f t="shared" si="14"/>
        <v/>
      </c>
      <c r="T274" s="16" t="str">
        <f t="shared" si="15"/>
        <v/>
      </c>
      <c r="V274" s="16" t="str">
        <f t="shared" si="16"/>
        <v/>
      </c>
    </row>
    <row r="275" spans="17:22" x14ac:dyDescent="0.15">
      <c r="Q275" s="74" t="str">
        <f t="shared" si="14"/>
        <v/>
      </c>
      <c r="T275" s="16" t="str">
        <f t="shared" si="15"/>
        <v/>
      </c>
      <c r="V275" s="16" t="str">
        <f t="shared" si="16"/>
        <v/>
      </c>
    </row>
    <row r="276" spans="17:22" x14ac:dyDescent="0.15">
      <c r="Q276" s="74" t="str">
        <f t="shared" si="14"/>
        <v/>
      </c>
      <c r="T276" s="16" t="str">
        <f t="shared" si="15"/>
        <v/>
      </c>
      <c r="V276" s="16" t="str">
        <f t="shared" si="16"/>
        <v/>
      </c>
    </row>
    <row r="277" spans="17:22" x14ac:dyDescent="0.15">
      <c r="Q277" s="74" t="str">
        <f t="shared" si="14"/>
        <v/>
      </c>
      <c r="T277" s="16" t="str">
        <f t="shared" si="15"/>
        <v/>
      </c>
      <c r="V277" s="16" t="str">
        <f t="shared" si="16"/>
        <v/>
      </c>
    </row>
    <row r="278" spans="17:22" x14ac:dyDescent="0.15">
      <c r="Q278" s="74" t="str">
        <f t="shared" si="14"/>
        <v/>
      </c>
      <c r="T278" s="16" t="str">
        <f t="shared" si="15"/>
        <v/>
      </c>
      <c r="V278" s="16" t="str">
        <f t="shared" si="16"/>
        <v/>
      </c>
    </row>
    <row r="279" spans="17:22" x14ac:dyDescent="0.15">
      <c r="Q279" s="74" t="str">
        <f t="shared" si="14"/>
        <v/>
      </c>
      <c r="T279" s="16" t="str">
        <f t="shared" si="15"/>
        <v/>
      </c>
      <c r="V279" s="16" t="str">
        <f t="shared" si="16"/>
        <v/>
      </c>
    </row>
    <row r="280" spans="17:22" x14ac:dyDescent="0.15">
      <c r="Q280" s="74" t="str">
        <f t="shared" si="14"/>
        <v/>
      </c>
      <c r="T280" s="16" t="str">
        <f t="shared" si="15"/>
        <v/>
      </c>
      <c r="V280" s="16" t="str">
        <f t="shared" si="16"/>
        <v/>
      </c>
    </row>
    <row r="281" spans="17:22" x14ac:dyDescent="0.15">
      <c r="Q281" s="74" t="str">
        <f t="shared" si="14"/>
        <v/>
      </c>
      <c r="T281" s="16" t="str">
        <f t="shared" si="15"/>
        <v/>
      </c>
      <c r="V281" s="16" t="str">
        <f t="shared" si="16"/>
        <v/>
      </c>
    </row>
    <row r="282" spans="17:22" x14ac:dyDescent="0.15">
      <c r="Q282" s="74" t="str">
        <f t="shared" si="14"/>
        <v/>
      </c>
      <c r="T282" s="16" t="str">
        <f t="shared" si="15"/>
        <v/>
      </c>
      <c r="V282" s="16" t="str">
        <f t="shared" si="16"/>
        <v/>
      </c>
    </row>
    <row r="283" spans="17:22" x14ac:dyDescent="0.15">
      <c r="Q283" s="74" t="str">
        <f t="shared" si="14"/>
        <v/>
      </c>
      <c r="T283" s="16" t="str">
        <f t="shared" si="15"/>
        <v/>
      </c>
      <c r="V283" s="16" t="str">
        <f t="shared" si="16"/>
        <v/>
      </c>
    </row>
    <row r="284" spans="17:22" x14ac:dyDescent="0.15">
      <c r="Q284" s="74" t="str">
        <f t="shared" si="14"/>
        <v/>
      </c>
      <c r="T284" s="16" t="str">
        <f t="shared" si="15"/>
        <v/>
      </c>
      <c r="V284" s="16" t="str">
        <f t="shared" si="16"/>
        <v/>
      </c>
    </row>
    <row r="285" spans="17:22" x14ac:dyDescent="0.15">
      <c r="Q285" s="74" t="str">
        <f t="shared" si="14"/>
        <v/>
      </c>
      <c r="T285" s="16" t="str">
        <f t="shared" si="15"/>
        <v/>
      </c>
      <c r="V285" s="16" t="str">
        <f t="shared" si="16"/>
        <v/>
      </c>
    </row>
    <row r="286" spans="17:22" x14ac:dyDescent="0.15">
      <c r="Q286" s="74" t="str">
        <f t="shared" si="14"/>
        <v/>
      </c>
      <c r="T286" s="16" t="str">
        <f t="shared" si="15"/>
        <v/>
      </c>
      <c r="V286" s="16" t="str">
        <f t="shared" si="16"/>
        <v/>
      </c>
    </row>
    <row r="287" spans="17:22" x14ac:dyDescent="0.15">
      <c r="Q287" s="74" t="str">
        <f t="shared" si="14"/>
        <v/>
      </c>
      <c r="T287" s="16" t="str">
        <f t="shared" si="15"/>
        <v/>
      </c>
      <c r="V287" s="16" t="str">
        <f t="shared" si="16"/>
        <v/>
      </c>
    </row>
    <row r="288" spans="17:22" x14ac:dyDescent="0.15">
      <c r="Q288" s="74" t="str">
        <f t="shared" si="14"/>
        <v/>
      </c>
      <c r="T288" s="16" t="str">
        <f t="shared" si="15"/>
        <v/>
      </c>
      <c r="V288" s="16" t="str">
        <f t="shared" si="16"/>
        <v/>
      </c>
    </row>
    <row r="289" spans="17:22" x14ac:dyDescent="0.15">
      <c r="Q289" s="74" t="str">
        <f t="shared" si="14"/>
        <v/>
      </c>
      <c r="T289" s="16" t="str">
        <f t="shared" si="15"/>
        <v/>
      </c>
      <c r="V289" s="16" t="str">
        <f t="shared" si="16"/>
        <v/>
      </c>
    </row>
    <row r="290" spans="17:22" x14ac:dyDescent="0.15">
      <c r="Q290" s="74" t="str">
        <f t="shared" si="14"/>
        <v/>
      </c>
      <c r="T290" s="16" t="str">
        <f t="shared" si="15"/>
        <v/>
      </c>
      <c r="V290" s="16" t="str">
        <f t="shared" si="16"/>
        <v/>
      </c>
    </row>
    <row r="291" spans="17:22" x14ac:dyDescent="0.15">
      <c r="Q291" s="74" t="str">
        <f t="shared" si="14"/>
        <v/>
      </c>
      <c r="T291" s="16" t="str">
        <f t="shared" si="15"/>
        <v/>
      </c>
      <c r="V291" s="16" t="str">
        <f t="shared" si="16"/>
        <v/>
      </c>
    </row>
    <row r="292" spans="17:22" x14ac:dyDescent="0.15">
      <c r="Q292" s="74" t="str">
        <f t="shared" si="14"/>
        <v/>
      </c>
      <c r="T292" s="16" t="str">
        <f t="shared" si="15"/>
        <v/>
      </c>
      <c r="V292" s="16" t="str">
        <f t="shared" si="16"/>
        <v/>
      </c>
    </row>
    <row r="293" spans="17:22" x14ac:dyDescent="0.15">
      <c r="Q293" s="74" t="str">
        <f t="shared" si="14"/>
        <v/>
      </c>
      <c r="T293" s="16" t="str">
        <f t="shared" si="15"/>
        <v/>
      </c>
      <c r="V293" s="16" t="str">
        <f t="shared" si="16"/>
        <v/>
      </c>
    </row>
    <row r="294" spans="17:22" x14ac:dyDescent="0.15">
      <c r="Q294" s="74" t="str">
        <f t="shared" si="14"/>
        <v/>
      </c>
      <c r="T294" s="16" t="str">
        <f t="shared" si="15"/>
        <v/>
      </c>
      <c r="V294" s="16" t="str">
        <f t="shared" si="16"/>
        <v/>
      </c>
    </row>
    <row r="295" spans="17:22" x14ac:dyDescent="0.15">
      <c r="Q295" s="74" t="str">
        <f t="shared" si="14"/>
        <v/>
      </c>
      <c r="T295" s="16" t="str">
        <f t="shared" si="15"/>
        <v/>
      </c>
      <c r="V295" s="16" t="str">
        <f t="shared" si="16"/>
        <v/>
      </c>
    </row>
    <row r="296" spans="17:22" x14ac:dyDescent="0.15">
      <c r="Q296" s="74" t="str">
        <f t="shared" si="14"/>
        <v/>
      </c>
      <c r="T296" s="16" t="str">
        <f t="shared" si="15"/>
        <v/>
      </c>
      <c r="V296" s="16" t="str">
        <f t="shared" si="16"/>
        <v/>
      </c>
    </row>
    <row r="297" spans="17:22" x14ac:dyDescent="0.15">
      <c r="Q297" s="74" t="str">
        <f t="shared" si="14"/>
        <v/>
      </c>
      <c r="T297" s="16" t="str">
        <f t="shared" si="15"/>
        <v/>
      </c>
      <c r="V297" s="16" t="str">
        <f t="shared" si="16"/>
        <v/>
      </c>
    </row>
    <row r="298" spans="17:22" x14ac:dyDescent="0.15">
      <c r="Q298" s="74" t="str">
        <f t="shared" si="14"/>
        <v/>
      </c>
      <c r="T298" s="16" t="str">
        <f t="shared" si="15"/>
        <v/>
      </c>
      <c r="V298" s="16" t="str">
        <f t="shared" si="16"/>
        <v/>
      </c>
    </row>
    <row r="299" spans="17:22" x14ac:dyDescent="0.15">
      <c r="Q299" s="74" t="str">
        <f t="shared" si="14"/>
        <v/>
      </c>
      <c r="T299" s="16" t="str">
        <f t="shared" si="15"/>
        <v/>
      </c>
      <c r="V299" s="16" t="str">
        <f t="shared" si="16"/>
        <v/>
      </c>
    </row>
    <row r="300" spans="17:22" x14ac:dyDescent="0.15">
      <c r="Q300" s="74" t="str">
        <f t="shared" si="14"/>
        <v/>
      </c>
      <c r="T300" s="16" t="str">
        <f t="shared" si="15"/>
        <v/>
      </c>
      <c r="V300" s="16" t="str">
        <f t="shared" si="16"/>
        <v/>
      </c>
    </row>
    <row r="301" spans="17:22" x14ac:dyDescent="0.15">
      <c r="Q301" s="74" t="str">
        <f t="shared" si="14"/>
        <v/>
      </c>
      <c r="T301" s="16" t="str">
        <f t="shared" si="15"/>
        <v/>
      </c>
      <c r="V301" s="16" t="str">
        <f t="shared" si="16"/>
        <v/>
      </c>
    </row>
    <row r="302" spans="17:22" x14ac:dyDescent="0.15">
      <c r="Q302" s="74" t="str">
        <f t="shared" si="14"/>
        <v/>
      </c>
      <c r="T302" s="16" t="str">
        <f t="shared" si="15"/>
        <v/>
      </c>
      <c r="V302" s="16" t="str">
        <f t="shared" si="16"/>
        <v/>
      </c>
    </row>
    <row r="303" spans="17:22" x14ac:dyDescent="0.15">
      <c r="Q303" s="74" t="str">
        <f t="shared" si="14"/>
        <v/>
      </c>
      <c r="T303" s="16" t="str">
        <f t="shared" si="15"/>
        <v/>
      </c>
      <c r="V303" s="16" t="str">
        <f t="shared" si="16"/>
        <v/>
      </c>
    </row>
    <row r="304" spans="17:22" x14ac:dyDescent="0.15">
      <c r="Q304" s="74" t="str">
        <f t="shared" si="14"/>
        <v/>
      </c>
      <c r="T304" s="16" t="str">
        <f t="shared" si="15"/>
        <v/>
      </c>
      <c r="V304" s="16" t="str">
        <f t="shared" si="16"/>
        <v/>
      </c>
    </row>
    <row r="305" spans="17:22" x14ac:dyDescent="0.15">
      <c r="Q305" s="74" t="str">
        <f t="shared" si="14"/>
        <v/>
      </c>
      <c r="T305" s="16" t="str">
        <f t="shared" si="15"/>
        <v/>
      </c>
      <c r="V305" s="16" t="str">
        <f t="shared" si="16"/>
        <v/>
      </c>
    </row>
    <row r="306" spans="17:22" x14ac:dyDescent="0.15">
      <c r="Q306" s="74" t="str">
        <f t="shared" si="14"/>
        <v/>
      </c>
      <c r="T306" s="16" t="str">
        <f t="shared" si="15"/>
        <v/>
      </c>
      <c r="V306" s="16" t="str">
        <f t="shared" si="16"/>
        <v/>
      </c>
    </row>
    <row r="307" spans="17:22" x14ac:dyDescent="0.15">
      <c r="Q307" s="74" t="str">
        <f t="shared" si="14"/>
        <v/>
      </c>
      <c r="T307" s="16" t="str">
        <f t="shared" si="15"/>
        <v/>
      </c>
      <c r="V307" s="16" t="str">
        <f t="shared" si="16"/>
        <v/>
      </c>
    </row>
    <row r="308" spans="17:22" x14ac:dyDescent="0.15">
      <c r="Q308" s="74" t="str">
        <f t="shared" si="14"/>
        <v/>
      </c>
      <c r="T308" s="16" t="str">
        <f t="shared" si="15"/>
        <v/>
      </c>
      <c r="V308" s="16" t="str">
        <f t="shared" si="16"/>
        <v/>
      </c>
    </row>
    <row r="309" spans="17:22" x14ac:dyDescent="0.15">
      <c r="Q309" s="74" t="str">
        <f t="shared" si="14"/>
        <v/>
      </c>
      <c r="T309" s="16" t="str">
        <f t="shared" si="15"/>
        <v/>
      </c>
      <c r="V309" s="16" t="str">
        <f t="shared" si="16"/>
        <v/>
      </c>
    </row>
    <row r="310" spans="17:22" x14ac:dyDescent="0.15">
      <c r="Q310" s="74" t="str">
        <f t="shared" si="14"/>
        <v/>
      </c>
      <c r="T310" s="16" t="str">
        <f t="shared" si="15"/>
        <v/>
      </c>
      <c r="V310" s="16" t="str">
        <f t="shared" si="16"/>
        <v/>
      </c>
    </row>
    <row r="311" spans="17:22" x14ac:dyDescent="0.15">
      <c r="Q311" s="74" t="str">
        <f t="shared" si="14"/>
        <v/>
      </c>
      <c r="T311" s="16" t="str">
        <f t="shared" si="15"/>
        <v/>
      </c>
      <c r="V311" s="16" t="str">
        <f t="shared" si="16"/>
        <v/>
      </c>
    </row>
    <row r="312" spans="17:22" x14ac:dyDescent="0.15">
      <c r="Q312" s="74" t="str">
        <f t="shared" si="14"/>
        <v/>
      </c>
      <c r="T312" s="16" t="str">
        <f t="shared" si="15"/>
        <v/>
      </c>
      <c r="V312" s="16" t="str">
        <f t="shared" si="16"/>
        <v/>
      </c>
    </row>
    <row r="313" spans="17:22" x14ac:dyDescent="0.15">
      <c r="Q313" s="74" t="str">
        <f t="shared" si="14"/>
        <v/>
      </c>
      <c r="T313" s="16" t="str">
        <f t="shared" si="15"/>
        <v/>
      </c>
      <c r="V313" s="16" t="str">
        <f t="shared" si="16"/>
        <v/>
      </c>
    </row>
    <row r="314" spans="17:22" x14ac:dyDescent="0.15">
      <c r="Q314" s="74" t="str">
        <f t="shared" si="14"/>
        <v/>
      </c>
      <c r="T314" s="16" t="str">
        <f t="shared" si="15"/>
        <v/>
      </c>
      <c r="V314" s="16" t="str">
        <f t="shared" si="16"/>
        <v/>
      </c>
    </row>
    <row r="315" spans="17:22" x14ac:dyDescent="0.15">
      <c r="Q315" s="74" t="str">
        <f t="shared" si="14"/>
        <v/>
      </c>
      <c r="T315" s="16" t="str">
        <f t="shared" si="15"/>
        <v/>
      </c>
      <c r="V315" s="16" t="str">
        <f t="shared" si="16"/>
        <v/>
      </c>
    </row>
    <row r="316" spans="17:22" x14ac:dyDescent="0.15">
      <c r="Q316" s="74" t="str">
        <f t="shared" si="14"/>
        <v/>
      </c>
      <c r="T316" s="16" t="str">
        <f t="shared" si="15"/>
        <v/>
      </c>
      <c r="V316" s="16" t="str">
        <f t="shared" si="16"/>
        <v/>
      </c>
    </row>
    <row r="317" spans="17:22" x14ac:dyDescent="0.15">
      <c r="Q317" s="74" t="str">
        <f t="shared" si="14"/>
        <v/>
      </c>
      <c r="T317" s="16" t="str">
        <f t="shared" si="15"/>
        <v/>
      </c>
      <c r="V317" s="16" t="str">
        <f t="shared" si="16"/>
        <v/>
      </c>
    </row>
    <row r="318" spans="17:22" x14ac:dyDescent="0.15">
      <c r="Q318" s="74" t="str">
        <f t="shared" si="14"/>
        <v/>
      </c>
      <c r="T318" s="16" t="str">
        <f t="shared" si="15"/>
        <v/>
      </c>
      <c r="V318" s="16" t="str">
        <f t="shared" si="16"/>
        <v/>
      </c>
    </row>
    <row r="319" spans="17:22" x14ac:dyDescent="0.15">
      <c r="Q319" s="74" t="str">
        <f t="shared" si="14"/>
        <v/>
      </c>
      <c r="T319" s="16" t="str">
        <f t="shared" si="15"/>
        <v/>
      </c>
      <c r="V319" s="16" t="str">
        <f t="shared" si="16"/>
        <v/>
      </c>
    </row>
    <row r="320" spans="17:22" x14ac:dyDescent="0.15">
      <c r="Q320" s="74" t="str">
        <f t="shared" si="14"/>
        <v/>
      </c>
      <c r="T320" s="16" t="str">
        <f t="shared" si="15"/>
        <v/>
      </c>
      <c r="V320" s="16" t="str">
        <f t="shared" si="16"/>
        <v/>
      </c>
    </row>
    <row r="321" spans="17:22" x14ac:dyDescent="0.15">
      <c r="Q321" s="74" t="str">
        <f t="shared" si="14"/>
        <v/>
      </c>
      <c r="T321" s="16" t="str">
        <f t="shared" si="15"/>
        <v/>
      </c>
      <c r="V321" s="16" t="str">
        <f t="shared" si="16"/>
        <v/>
      </c>
    </row>
    <row r="322" spans="17:22" x14ac:dyDescent="0.15">
      <c r="Q322" s="74" t="str">
        <f t="shared" ref="Q322:Q385" si="17">IF(OR(O322="",P322=""),"",AVERAGE(O322,P322))</f>
        <v/>
      </c>
      <c r="T322" s="16" t="str">
        <f t="shared" ref="T322:T385" si="18">IF(H322="","",IF(OR(H322="GREEN",H322="GK"),IF(S322&gt;=$AX$2,VLOOKUP(S322,$AX$2:$AY$10,2,1),""),IF(S322&gt;=$AZ$2,VLOOKUP(S322,$AZ$2:$BA$10,2,1),"")))</f>
        <v/>
      </c>
      <c r="V322" s="16" t="str">
        <f t="shared" ref="V322:V385" si="19">IF(OR(N322="",U322="",T322=""),"",U322/N322*T322)</f>
        <v/>
      </c>
    </row>
    <row r="323" spans="17:22" x14ac:dyDescent="0.15">
      <c r="Q323" s="74" t="str">
        <f t="shared" si="17"/>
        <v/>
      </c>
      <c r="T323" s="16" t="str">
        <f t="shared" si="18"/>
        <v/>
      </c>
      <c r="V323" s="16" t="str">
        <f t="shared" si="19"/>
        <v/>
      </c>
    </row>
    <row r="324" spans="17:22" x14ac:dyDescent="0.15">
      <c r="Q324" s="74" t="str">
        <f t="shared" si="17"/>
        <v/>
      </c>
      <c r="T324" s="16" t="str">
        <f t="shared" si="18"/>
        <v/>
      </c>
      <c r="V324" s="16" t="str">
        <f t="shared" si="19"/>
        <v/>
      </c>
    </row>
    <row r="325" spans="17:22" x14ac:dyDescent="0.15">
      <c r="Q325" s="74" t="str">
        <f t="shared" si="17"/>
        <v/>
      </c>
      <c r="T325" s="16" t="str">
        <f t="shared" si="18"/>
        <v/>
      </c>
      <c r="V325" s="16" t="str">
        <f t="shared" si="19"/>
        <v/>
      </c>
    </row>
    <row r="326" spans="17:22" x14ac:dyDescent="0.15">
      <c r="Q326" s="74" t="str">
        <f t="shared" si="17"/>
        <v/>
      </c>
      <c r="T326" s="16" t="str">
        <f t="shared" si="18"/>
        <v/>
      </c>
      <c r="V326" s="16" t="str">
        <f t="shared" si="19"/>
        <v/>
      </c>
    </row>
    <row r="327" spans="17:22" x14ac:dyDescent="0.15">
      <c r="Q327" s="74" t="str">
        <f t="shared" si="17"/>
        <v/>
      </c>
      <c r="T327" s="16" t="str">
        <f t="shared" si="18"/>
        <v/>
      </c>
      <c r="V327" s="16" t="str">
        <f t="shared" si="19"/>
        <v/>
      </c>
    </row>
    <row r="328" spans="17:22" x14ac:dyDescent="0.15">
      <c r="Q328" s="74" t="str">
        <f t="shared" si="17"/>
        <v/>
      </c>
      <c r="T328" s="16" t="str">
        <f t="shared" si="18"/>
        <v/>
      </c>
      <c r="V328" s="16" t="str">
        <f t="shared" si="19"/>
        <v/>
      </c>
    </row>
    <row r="329" spans="17:22" x14ac:dyDescent="0.15">
      <c r="Q329" s="74" t="str">
        <f t="shared" si="17"/>
        <v/>
      </c>
      <c r="T329" s="16" t="str">
        <f t="shared" si="18"/>
        <v/>
      </c>
      <c r="V329" s="16" t="str">
        <f t="shared" si="19"/>
        <v/>
      </c>
    </row>
    <row r="330" spans="17:22" x14ac:dyDescent="0.15">
      <c r="Q330" s="74" t="str">
        <f t="shared" si="17"/>
        <v/>
      </c>
      <c r="T330" s="16" t="str">
        <f t="shared" si="18"/>
        <v/>
      </c>
      <c r="V330" s="16" t="str">
        <f t="shared" si="19"/>
        <v/>
      </c>
    </row>
    <row r="331" spans="17:22" x14ac:dyDescent="0.15">
      <c r="Q331" s="74" t="str">
        <f t="shared" si="17"/>
        <v/>
      </c>
      <c r="T331" s="16" t="str">
        <f t="shared" si="18"/>
        <v/>
      </c>
      <c r="V331" s="16" t="str">
        <f t="shared" si="19"/>
        <v/>
      </c>
    </row>
    <row r="332" spans="17:22" x14ac:dyDescent="0.15">
      <c r="Q332" s="74" t="str">
        <f t="shared" si="17"/>
        <v/>
      </c>
      <c r="T332" s="16" t="str">
        <f t="shared" si="18"/>
        <v/>
      </c>
      <c r="V332" s="16" t="str">
        <f t="shared" si="19"/>
        <v/>
      </c>
    </row>
    <row r="333" spans="17:22" x14ac:dyDescent="0.15">
      <c r="Q333" s="74" t="str">
        <f t="shared" si="17"/>
        <v/>
      </c>
      <c r="T333" s="16" t="str">
        <f t="shared" si="18"/>
        <v/>
      </c>
      <c r="V333" s="16" t="str">
        <f t="shared" si="19"/>
        <v/>
      </c>
    </row>
    <row r="334" spans="17:22" x14ac:dyDescent="0.15">
      <c r="Q334" s="74" t="str">
        <f t="shared" si="17"/>
        <v/>
      </c>
      <c r="T334" s="16" t="str">
        <f t="shared" si="18"/>
        <v/>
      </c>
      <c r="V334" s="16" t="str">
        <f t="shared" si="19"/>
        <v/>
      </c>
    </row>
    <row r="335" spans="17:22" x14ac:dyDescent="0.15">
      <c r="Q335" s="74" t="str">
        <f t="shared" si="17"/>
        <v/>
      </c>
      <c r="T335" s="16" t="str">
        <f t="shared" si="18"/>
        <v/>
      </c>
      <c r="V335" s="16" t="str">
        <f t="shared" si="19"/>
        <v/>
      </c>
    </row>
    <row r="336" spans="17:22" x14ac:dyDescent="0.15">
      <c r="Q336" s="74" t="str">
        <f t="shared" si="17"/>
        <v/>
      </c>
      <c r="T336" s="16" t="str">
        <f t="shared" si="18"/>
        <v/>
      </c>
      <c r="V336" s="16" t="str">
        <f t="shared" si="19"/>
        <v/>
      </c>
    </row>
    <row r="337" spans="17:22" x14ac:dyDescent="0.15">
      <c r="Q337" s="74" t="str">
        <f t="shared" si="17"/>
        <v/>
      </c>
      <c r="T337" s="16" t="str">
        <f t="shared" si="18"/>
        <v/>
      </c>
      <c r="V337" s="16" t="str">
        <f t="shared" si="19"/>
        <v/>
      </c>
    </row>
    <row r="338" spans="17:22" x14ac:dyDescent="0.15">
      <c r="Q338" s="74" t="str">
        <f t="shared" si="17"/>
        <v/>
      </c>
      <c r="T338" s="16" t="str">
        <f t="shared" si="18"/>
        <v/>
      </c>
      <c r="V338" s="16" t="str">
        <f t="shared" si="19"/>
        <v/>
      </c>
    </row>
    <row r="339" spans="17:22" x14ac:dyDescent="0.15">
      <c r="Q339" s="74" t="str">
        <f t="shared" si="17"/>
        <v/>
      </c>
      <c r="T339" s="16" t="str">
        <f t="shared" si="18"/>
        <v/>
      </c>
      <c r="V339" s="16" t="str">
        <f t="shared" si="19"/>
        <v/>
      </c>
    </row>
    <row r="340" spans="17:22" x14ac:dyDescent="0.15">
      <c r="Q340" s="74" t="str">
        <f t="shared" si="17"/>
        <v/>
      </c>
      <c r="T340" s="16" t="str">
        <f t="shared" si="18"/>
        <v/>
      </c>
      <c r="V340" s="16" t="str">
        <f t="shared" si="19"/>
        <v/>
      </c>
    </row>
    <row r="341" spans="17:22" x14ac:dyDescent="0.15">
      <c r="Q341" s="74" t="str">
        <f t="shared" si="17"/>
        <v/>
      </c>
      <c r="T341" s="16" t="str">
        <f t="shared" si="18"/>
        <v/>
      </c>
      <c r="V341" s="16" t="str">
        <f t="shared" si="19"/>
        <v/>
      </c>
    </row>
    <row r="342" spans="17:22" x14ac:dyDescent="0.15">
      <c r="Q342" s="74" t="str">
        <f t="shared" si="17"/>
        <v/>
      </c>
      <c r="T342" s="16" t="str">
        <f t="shared" si="18"/>
        <v/>
      </c>
      <c r="V342" s="16" t="str">
        <f t="shared" si="19"/>
        <v/>
      </c>
    </row>
    <row r="343" spans="17:22" x14ac:dyDescent="0.15">
      <c r="Q343" s="74" t="str">
        <f t="shared" si="17"/>
        <v/>
      </c>
      <c r="T343" s="16" t="str">
        <f t="shared" si="18"/>
        <v/>
      </c>
      <c r="V343" s="16" t="str">
        <f t="shared" si="19"/>
        <v/>
      </c>
    </row>
    <row r="344" spans="17:22" x14ac:dyDescent="0.15">
      <c r="Q344" s="74" t="str">
        <f t="shared" si="17"/>
        <v/>
      </c>
      <c r="T344" s="16" t="str">
        <f t="shared" si="18"/>
        <v/>
      </c>
      <c r="V344" s="16" t="str">
        <f t="shared" si="19"/>
        <v/>
      </c>
    </row>
    <row r="345" spans="17:22" x14ac:dyDescent="0.15">
      <c r="Q345" s="74" t="str">
        <f t="shared" si="17"/>
        <v/>
      </c>
      <c r="T345" s="16" t="str">
        <f t="shared" si="18"/>
        <v/>
      </c>
      <c r="V345" s="16" t="str">
        <f t="shared" si="19"/>
        <v/>
      </c>
    </row>
    <row r="346" spans="17:22" x14ac:dyDescent="0.15">
      <c r="Q346" s="74" t="str">
        <f t="shared" si="17"/>
        <v/>
      </c>
      <c r="T346" s="16" t="str">
        <f t="shared" si="18"/>
        <v/>
      </c>
      <c r="V346" s="16" t="str">
        <f t="shared" si="19"/>
        <v/>
      </c>
    </row>
    <row r="347" spans="17:22" x14ac:dyDescent="0.15">
      <c r="Q347" s="74" t="str">
        <f t="shared" si="17"/>
        <v/>
      </c>
      <c r="T347" s="16" t="str">
        <f t="shared" si="18"/>
        <v/>
      </c>
      <c r="V347" s="16" t="str">
        <f t="shared" si="19"/>
        <v/>
      </c>
    </row>
    <row r="348" spans="17:22" x14ac:dyDescent="0.15">
      <c r="Q348" s="74" t="str">
        <f t="shared" si="17"/>
        <v/>
      </c>
      <c r="T348" s="16" t="str">
        <f t="shared" si="18"/>
        <v/>
      </c>
      <c r="V348" s="16" t="str">
        <f t="shared" si="19"/>
        <v/>
      </c>
    </row>
    <row r="349" spans="17:22" x14ac:dyDescent="0.15">
      <c r="Q349" s="74" t="str">
        <f t="shared" si="17"/>
        <v/>
      </c>
      <c r="T349" s="16" t="str">
        <f t="shared" si="18"/>
        <v/>
      </c>
      <c r="V349" s="16" t="str">
        <f t="shared" si="19"/>
        <v/>
      </c>
    </row>
    <row r="350" spans="17:22" x14ac:dyDescent="0.15">
      <c r="Q350" s="74" t="str">
        <f t="shared" si="17"/>
        <v/>
      </c>
      <c r="T350" s="16" t="str">
        <f t="shared" si="18"/>
        <v/>
      </c>
      <c r="V350" s="16" t="str">
        <f t="shared" si="19"/>
        <v/>
      </c>
    </row>
    <row r="351" spans="17:22" x14ac:dyDescent="0.15">
      <c r="Q351" s="74" t="str">
        <f t="shared" si="17"/>
        <v/>
      </c>
      <c r="T351" s="16" t="str">
        <f t="shared" si="18"/>
        <v/>
      </c>
      <c r="V351" s="16" t="str">
        <f t="shared" si="19"/>
        <v/>
      </c>
    </row>
    <row r="352" spans="17:22" x14ac:dyDescent="0.15">
      <c r="Q352" s="74" t="str">
        <f t="shared" si="17"/>
        <v/>
      </c>
      <c r="T352" s="16" t="str">
        <f t="shared" si="18"/>
        <v/>
      </c>
      <c r="V352" s="16" t="str">
        <f t="shared" si="19"/>
        <v/>
      </c>
    </row>
    <row r="353" spans="17:22" x14ac:dyDescent="0.15">
      <c r="Q353" s="74" t="str">
        <f t="shared" si="17"/>
        <v/>
      </c>
      <c r="T353" s="16" t="str">
        <f t="shared" si="18"/>
        <v/>
      </c>
      <c r="V353" s="16" t="str">
        <f t="shared" si="19"/>
        <v/>
      </c>
    </row>
    <row r="354" spans="17:22" x14ac:dyDescent="0.15">
      <c r="Q354" s="74" t="str">
        <f t="shared" si="17"/>
        <v/>
      </c>
      <c r="T354" s="16" t="str">
        <f t="shared" si="18"/>
        <v/>
      </c>
      <c r="V354" s="16" t="str">
        <f t="shared" si="19"/>
        <v/>
      </c>
    </row>
    <row r="355" spans="17:22" x14ac:dyDescent="0.15">
      <c r="Q355" s="74" t="str">
        <f t="shared" si="17"/>
        <v/>
      </c>
      <c r="T355" s="16" t="str">
        <f t="shared" si="18"/>
        <v/>
      </c>
      <c r="V355" s="16" t="str">
        <f t="shared" si="19"/>
        <v/>
      </c>
    </row>
    <row r="356" spans="17:22" x14ac:dyDescent="0.15">
      <c r="Q356" s="74" t="str">
        <f t="shared" si="17"/>
        <v/>
      </c>
      <c r="T356" s="16" t="str">
        <f t="shared" si="18"/>
        <v/>
      </c>
      <c r="V356" s="16" t="str">
        <f t="shared" si="19"/>
        <v/>
      </c>
    </row>
    <row r="357" spans="17:22" x14ac:dyDescent="0.15">
      <c r="Q357" s="74" t="str">
        <f t="shared" si="17"/>
        <v/>
      </c>
      <c r="T357" s="16" t="str">
        <f t="shared" si="18"/>
        <v/>
      </c>
      <c r="V357" s="16" t="str">
        <f t="shared" si="19"/>
        <v/>
      </c>
    </row>
    <row r="358" spans="17:22" x14ac:dyDescent="0.15">
      <c r="Q358" s="74" t="str">
        <f t="shared" si="17"/>
        <v/>
      </c>
      <c r="T358" s="16" t="str">
        <f t="shared" si="18"/>
        <v/>
      </c>
      <c r="V358" s="16" t="str">
        <f t="shared" si="19"/>
        <v/>
      </c>
    </row>
    <row r="359" spans="17:22" x14ac:dyDescent="0.15">
      <c r="Q359" s="74" t="str">
        <f t="shared" si="17"/>
        <v/>
      </c>
      <c r="T359" s="16" t="str">
        <f t="shared" si="18"/>
        <v/>
      </c>
      <c r="V359" s="16" t="str">
        <f t="shared" si="19"/>
        <v/>
      </c>
    </row>
    <row r="360" spans="17:22" x14ac:dyDescent="0.15">
      <c r="Q360" s="74" t="str">
        <f t="shared" si="17"/>
        <v/>
      </c>
      <c r="T360" s="16" t="str">
        <f t="shared" si="18"/>
        <v/>
      </c>
      <c r="V360" s="16" t="str">
        <f t="shared" si="19"/>
        <v/>
      </c>
    </row>
    <row r="361" spans="17:22" x14ac:dyDescent="0.15">
      <c r="Q361" s="74" t="str">
        <f t="shared" si="17"/>
        <v/>
      </c>
      <c r="T361" s="16" t="str">
        <f t="shared" si="18"/>
        <v/>
      </c>
      <c r="V361" s="16" t="str">
        <f t="shared" si="19"/>
        <v/>
      </c>
    </row>
    <row r="362" spans="17:22" x14ac:dyDescent="0.15">
      <c r="Q362" s="74" t="str">
        <f t="shared" si="17"/>
        <v/>
      </c>
      <c r="T362" s="16" t="str">
        <f t="shared" si="18"/>
        <v/>
      </c>
      <c r="V362" s="16" t="str">
        <f t="shared" si="19"/>
        <v/>
      </c>
    </row>
    <row r="363" spans="17:22" x14ac:dyDescent="0.15">
      <c r="Q363" s="74" t="str">
        <f t="shared" si="17"/>
        <v/>
      </c>
      <c r="T363" s="16" t="str">
        <f t="shared" si="18"/>
        <v/>
      </c>
      <c r="V363" s="16" t="str">
        <f t="shared" si="19"/>
        <v/>
      </c>
    </row>
    <row r="364" spans="17:22" x14ac:dyDescent="0.15">
      <c r="Q364" s="74" t="str">
        <f t="shared" si="17"/>
        <v/>
      </c>
      <c r="T364" s="16" t="str">
        <f t="shared" si="18"/>
        <v/>
      </c>
      <c r="V364" s="16" t="str">
        <f t="shared" si="19"/>
        <v/>
      </c>
    </row>
    <row r="365" spans="17:22" x14ac:dyDescent="0.15">
      <c r="Q365" s="74" t="str">
        <f t="shared" si="17"/>
        <v/>
      </c>
      <c r="T365" s="16" t="str">
        <f t="shared" si="18"/>
        <v/>
      </c>
      <c r="V365" s="16" t="str">
        <f t="shared" si="19"/>
        <v/>
      </c>
    </row>
    <row r="366" spans="17:22" x14ac:dyDescent="0.15">
      <c r="Q366" s="74" t="str">
        <f t="shared" si="17"/>
        <v/>
      </c>
      <c r="T366" s="16" t="str">
        <f t="shared" si="18"/>
        <v/>
      </c>
      <c r="V366" s="16" t="str">
        <f t="shared" si="19"/>
        <v/>
      </c>
    </row>
    <row r="367" spans="17:22" x14ac:dyDescent="0.15">
      <c r="Q367" s="74" t="str">
        <f t="shared" si="17"/>
        <v/>
      </c>
      <c r="T367" s="16" t="str">
        <f t="shared" si="18"/>
        <v/>
      </c>
      <c r="V367" s="16" t="str">
        <f t="shared" si="19"/>
        <v/>
      </c>
    </row>
    <row r="368" spans="17:22" x14ac:dyDescent="0.15">
      <c r="Q368" s="74" t="str">
        <f t="shared" si="17"/>
        <v/>
      </c>
      <c r="T368" s="16" t="str">
        <f t="shared" si="18"/>
        <v/>
      </c>
      <c r="V368" s="16" t="str">
        <f t="shared" si="19"/>
        <v/>
      </c>
    </row>
    <row r="369" spans="17:22" x14ac:dyDescent="0.15">
      <c r="Q369" s="74" t="str">
        <f t="shared" si="17"/>
        <v/>
      </c>
      <c r="T369" s="16" t="str">
        <f t="shared" si="18"/>
        <v/>
      </c>
      <c r="V369" s="16" t="str">
        <f t="shared" si="19"/>
        <v/>
      </c>
    </row>
    <row r="370" spans="17:22" x14ac:dyDescent="0.15">
      <c r="Q370" s="74" t="str">
        <f t="shared" si="17"/>
        <v/>
      </c>
      <c r="T370" s="16" t="str">
        <f t="shared" si="18"/>
        <v/>
      </c>
      <c r="V370" s="16" t="str">
        <f t="shared" si="19"/>
        <v/>
      </c>
    </row>
    <row r="371" spans="17:22" x14ac:dyDescent="0.15">
      <c r="Q371" s="74" t="str">
        <f t="shared" si="17"/>
        <v/>
      </c>
      <c r="T371" s="16" t="str">
        <f t="shared" si="18"/>
        <v/>
      </c>
      <c r="V371" s="16" t="str">
        <f t="shared" si="19"/>
        <v/>
      </c>
    </row>
    <row r="372" spans="17:22" x14ac:dyDescent="0.15">
      <c r="Q372" s="74" t="str">
        <f t="shared" si="17"/>
        <v/>
      </c>
      <c r="T372" s="16" t="str">
        <f t="shared" si="18"/>
        <v/>
      </c>
      <c r="V372" s="16" t="str">
        <f t="shared" si="19"/>
        <v/>
      </c>
    </row>
    <row r="373" spans="17:22" x14ac:dyDescent="0.15">
      <c r="Q373" s="74" t="str">
        <f t="shared" si="17"/>
        <v/>
      </c>
      <c r="T373" s="16" t="str">
        <f t="shared" si="18"/>
        <v/>
      </c>
      <c r="V373" s="16" t="str">
        <f t="shared" si="19"/>
        <v/>
      </c>
    </row>
    <row r="374" spans="17:22" x14ac:dyDescent="0.15">
      <c r="Q374" s="74" t="str">
        <f t="shared" si="17"/>
        <v/>
      </c>
      <c r="T374" s="16" t="str">
        <f t="shared" si="18"/>
        <v/>
      </c>
      <c r="V374" s="16" t="str">
        <f t="shared" si="19"/>
        <v/>
      </c>
    </row>
    <row r="375" spans="17:22" x14ac:dyDescent="0.15">
      <c r="Q375" s="74" t="str">
        <f t="shared" si="17"/>
        <v/>
      </c>
      <c r="T375" s="16" t="str">
        <f t="shared" si="18"/>
        <v/>
      </c>
      <c r="V375" s="16" t="str">
        <f t="shared" si="19"/>
        <v/>
      </c>
    </row>
    <row r="376" spans="17:22" x14ac:dyDescent="0.15">
      <c r="Q376" s="74" t="str">
        <f t="shared" si="17"/>
        <v/>
      </c>
      <c r="T376" s="16" t="str">
        <f t="shared" si="18"/>
        <v/>
      </c>
      <c r="V376" s="16" t="str">
        <f t="shared" si="19"/>
        <v/>
      </c>
    </row>
    <row r="377" spans="17:22" x14ac:dyDescent="0.15">
      <c r="Q377" s="74" t="str">
        <f t="shared" si="17"/>
        <v/>
      </c>
      <c r="T377" s="16" t="str">
        <f t="shared" si="18"/>
        <v/>
      </c>
      <c r="V377" s="16" t="str">
        <f t="shared" si="19"/>
        <v/>
      </c>
    </row>
    <row r="378" spans="17:22" x14ac:dyDescent="0.15">
      <c r="Q378" s="74" t="str">
        <f t="shared" si="17"/>
        <v/>
      </c>
      <c r="T378" s="16" t="str">
        <f t="shared" si="18"/>
        <v/>
      </c>
      <c r="V378" s="16" t="str">
        <f t="shared" si="19"/>
        <v/>
      </c>
    </row>
    <row r="379" spans="17:22" x14ac:dyDescent="0.15">
      <c r="Q379" s="74" t="str">
        <f t="shared" si="17"/>
        <v/>
      </c>
      <c r="T379" s="16" t="str">
        <f t="shared" si="18"/>
        <v/>
      </c>
      <c r="V379" s="16" t="str">
        <f t="shared" si="19"/>
        <v/>
      </c>
    </row>
    <row r="380" spans="17:22" x14ac:dyDescent="0.15">
      <c r="Q380" s="74" t="str">
        <f t="shared" si="17"/>
        <v/>
      </c>
      <c r="T380" s="16" t="str">
        <f t="shared" si="18"/>
        <v/>
      </c>
      <c r="V380" s="16" t="str">
        <f t="shared" si="19"/>
        <v/>
      </c>
    </row>
    <row r="381" spans="17:22" x14ac:dyDescent="0.15">
      <c r="Q381" s="74" t="str">
        <f t="shared" si="17"/>
        <v/>
      </c>
      <c r="T381" s="16" t="str">
        <f t="shared" si="18"/>
        <v/>
      </c>
      <c r="V381" s="16" t="str">
        <f t="shared" si="19"/>
        <v/>
      </c>
    </row>
    <row r="382" spans="17:22" x14ac:dyDescent="0.15">
      <c r="Q382" s="74" t="str">
        <f t="shared" si="17"/>
        <v/>
      </c>
      <c r="T382" s="16" t="str">
        <f t="shared" si="18"/>
        <v/>
      </c>
      <c r="V382" s="16" t="str">
        <f t="shared" si="19"/>
        <v/>
      </c>
    </row>
    <row r="383" spans="17:22" x14ac:dyDescent="0.15">
      <c r="Q383" s="74" t="str">
        <f t="shared" si="17"/>
        <v/>
      </c>
      <c r="T383" s="16" t="str">
        <f t="shared" si="18"/>
        <v/>
      </c>
      <c r="V383" s="16" t="str">
        <f t="shared" si="19"/>
        <v/>
      </c>
    </row>
    <row r="384" spans="17:22" x14ac:dyDescent="0.15">
      <c r="Q384" s="74" t="str">
        <f t="shared" si="17"/>
        <v/>
      </c>
      <c r="T384" s="16" t="str">
        <f t="shared" si="18"/>
        <v/>
      </c>
      <c r="V384" s="16" t="str">
        <f t="shared" si="19"/>
        <v/>
      </c>
    </row>
    <row r="385" spans="17:22" x14ac:dyDescent="0.15">
      <c r="Q385" s="74" t="str">
        <f t="shared" si="17"/>
        <v/>
      </c>
      <c r="T385" s="16" t="str">
        <f t="shared" si="18"/>
        <v/>
      </c>
      <c r="V385" s="16" t="str">
        <f t="shared" si="19"/>
        <v/>
      </c>
    </row>
    <row r="386" spans="17:22" x14ac:dyDescent="0.15">
      <c r="Q386" s="74" t="str">
        <f t="shared" ref="Q386:Q444" si="20">IF(OR(O386="",P386=""),"",AVERAGE(O386,P386))</f>
        <v/>
      </c>
      <c r="T386" s="16" t="str">
        <f t="shared" ref="T386:T444" si="21">IF(H386="","",IF(OR(H386="GREEN",H386="GK"),IF(S386&gt;=$AX$2,VLOOKUP(S386,$AX$2:$AY$10,2,1),""),IF(S386&gt;=$AZ$2,VLOOKUP(S386,$AZ$2:$BA$10,2,1),"")))</f>
        <v/>
      </c>
      <c r="V386" s="16" t="str">
        <f t="shared" ref="V386:V449" si="22">IF(OR(N386="",U386="",T386=""),"",U386/N386*T386)</f>
        <v/>
      </c>
    </row>
    <row r="387" spans="17:22" x14ac:dyDescent="0.15">
      <c r="Q387" s="74" t="str">
        <f t="shared" si="20"/>
        <v/>
      </c>
      <c r="T387" s="16" t="str">
        <f t="shared" si="21"/>
        <v/>
      </c>
      <c r="V387" s="16" t="str">
        <f t="shared" si="22"/>
        <v/>
      </c>
    </row>
    <row r="388" spans="17:22" x14ac:dyDescent="0.15">
      <c r="Q388" s="74" t="str">
        <f t="shared" si="20"/>
        <v/>
      </c>
      <c r="T388" s="16" t="str">
        <f t="shared" si="21"/>
        <v/>
      </c>
      <c r="V388" s="16" t="str">
        <f t="shared" si="22"/>
        <v/>
      </c>
    </row>
    <row r="389" spans="17:22" x14ac:dyDescent="0.15">
      <c r="Q389" s="74" t="str">
        <f t="shared" si="20"/>
        <v/>
      </c>
      <c r="T389" s="16" t="str">
        <f t="shared" si="21"/>
        <v/>
      </c>
      <c r="V389" s="16" t="str">
        <f t="shared" si="22"/>
        <v/>
      </c>
    </row>
    <row r="390" spans="17:22" x14ac:dyDescent="0.15">
      <c r="Q390" s="74" t="str">
        <f t="shared" si="20"/>
        <v/>
      </c>
      <c r="T390" s="16" t="str">
        <f t="shared" si="21"/>
        <v/>
      </c>
      <c r="V390" s="16" t="str">
        <f t="shared" si="22"/>
        <v/>
      </c>
    </row>
    <row r="391" spans="17:22" x14ac:dyDescent="0.15">
      <c r="Q391" s="74" t="str">
        <f t="shared" si="20"/>
        <v/>
      </c>
      <c r="T391" s="16" t="str">
        <f t="shared" si="21"/>
        <v/>
      </c>
      <c r="V391" s="16" t="str">
        <f t="shared" si="22"/>
        <v/>
      </c>
    </row>
    <row r="392" spans="17:22" x14ac:dyDescent="0.15">
      <c r="Q392" s="74" t="str">
        <f t="shared" si="20"/>
        <v/>
      </c>
      <c r="T392" s="16" t="str">
        <f t="shared" si="21"/>
        <v/>
      </c>
      <c r="V392" s="16" t="str">
        <f t="shared" si="22"/>
        <v/>
      </c>
    </row>
    <row r="393" spans="17:22" x14ac:dyDescent="0.15">
      <c r="Q393" s="74" t="str">
        <f t="shared" si="20"/>
        <v/>
      </c>
      <c r="T393" s="16" t="str">
        <f t="shared" si="21"/>
        <v/>
      </c>
      <c r="V393" s="16" t="str">
        <f t="shared" si="22"/>
        <v/>
      </c>
    </row>
    <row r="394" spans="17:22" x14ac:dyDescent="0.15">
      <c r="Q394" s="74" t="str">
        <f t="shared" si="20"/>
        <v/>
      </c>
      <c r="T394" s="16" t="str">
        <f t="shared" si="21"/>
        <v/>
      </c>
      <c r="V394" s="16" t="str">
        <f t="shared" si="22"/>
        <v/>
      </c>
    </row>
    <row r="395" spans="17:22" x14ac:dyDescent="0.15">
      <c r="Q395" s="74" t="str">
        <f t="shared" si="20"/>
        <v/>
      </c>
      <c r="T395" s="16" t="str">
        <f t="shared" si="21"/>
        <v/>
      </c>
      <c r="V395" s="16" t="str">
        <f t="shared" si="22"/>
        <v/>
      </c>
    </row>
    <row r="396" spans="17:22" x14ac:dyDescent="0.15">
      <c r="Q396" s="74" t="str">
        <f t="shared" si="20"/>
        <v/>
      </c>
      <c r="T396" s="16" t="str">
        <f t="shared" si="21"/>
        <v/>
      </c>
      <c r="V396" s="16" t="str">
        <f t="shared" si="22"/>
        <v/>
      </c>
    </row>
    <row r="397" spans="17:22" x14ac:dyDescent="0.15">
      <c r="Q397" s="74" t="str">
        <f t="shared" si="20"/>
        <v/>
      </c>
      <c r="T397" s="16" t="str">
        <f t="shared" si="21"/>
        <v/>
      </c>
      <c r="V397" s="16" t="str">
        <f t="shared" si="22"/>
        <v/>
      </c>
    </row>
    <row r="398" spans="17:22" x14ac:dyDescent="0.15">
      <c r="Q398" s="74" t="str">
        <f t="shared" si="20"/>
        <v/>
      </c>
      <c r="T398" s="16" t="str">
        <f t="shared" si="21"/>
        <v/>
      </c>
      <c r="V398" s="16" t="str">
        <f t="shared" si="22"/>
        <v/>
      </c>
    </row>
    <row r="399" spans="17:22" x14ac:dyDescent="0.15">
      <c r="T399" s="16" t="str">
        <f t="shared" si="21"/>
        <v/>
      </c>
      <c r="V399" s="16" t="str">
        <f t="shared" si="22"/>
        <v/>
      </c>
    </row>
    <row r="400" spans="17:22" x14ac:dyDescent="0.15">
      <c r="T400" s="16" t="str">
        <f t="shared" si="21"/>
        <v/>
      </c>
      <c r="V400" s="16" t="str">
        <f t="shared" si="22"/>
        <v/>
      </c>
    </row>
    <row r="401" spans="20:22" x14ac:dyDescent="0.15">
      <c r="T401" s="16" t="str">
        <f t="shared" si="21"/>
        <v/>
      </c>
      <c r="V401" s="16" t="str">
        <f t="shared" si="22"/>
        <v/>
      </c>
    </row>
    <row r="402" spans="20:22" x14ac:dyDescent="0.15">
      <c r="T402" s="16" t="str">
        <f t="shared" si="21"/>
        <v/>
      </c>
      <c r="V402" s="16" t="str">
        <f t="shared" si="22"/>
        <v/>
      </c>
    </row>
    <row r="403" spans="20:22" x14ac:dyDescent="0.15">
      <c r="T403" s="16" t="str">
        <f t="shared" si="21"/>
        <v/>
      </c>
      <c r="V403" s="16" t="str">
        <f t="shared" si="22"/>
        <v/>
      </c>
    </row>
    <row r="404" spans="20:22" x14ac:dyDescent="0.15">
      <c r="T404" s="16" t="str">
        <f t="shared" si="21"/>
        <v/>
      </c>
      <c r="V404" s="16" t="str">
        <f t="shared" si="22"/>
        <v/>
      </c>
    </row>
    <row r="405" spans="20:22" x14ac:dyDescent="0.15">
      <c r="T405" s="16" t="str">
        <f t="shared" si="21"/>
        <v/>
      </c>
      <c r="V405" s="16" t="str">
        <f t="shared" si="22"/>
        <v/>
      </c>
    </row>
    <row r="406" spans="20:22" x14ac:dyDescent="0.15">
      <c r="T406" s="16" t="str">
        <f t="shared" si="21"/>
        <v/>
      </c>
      <c r="V406" s="16" t="str">
        <f t="shared" si="22"/>
        <v/>
      </c>
    </row>
    <row r="407" spans="20:22" x14ac:dyDescent="0.15">
      <c r="T407" s="16" t="str">
        <f t="shared" si="21"/>
        <v/>
      </c>
    </row>
    <row r="408" spans="20:22" x14ac:dyDescent="0.15">
      <c r="T408" s="16" t="str">
        <f t="shared" si="21"/>
        <v/>
      </c>
    </row>
    <row r="409" spans="20:22" x14ac:dyDescent="0.15">
      <c r="T409" s="16" t="str">
        <f t="shared" si="21"/>
        <v/>
      </c>
    </row>
    <row r="410" spans="20:22" x14ac:dyDescent="0.15">
      <c r="T410" s="16" t="str">
        <f t="shared" si="21"/>
        <v/>
      </c>
    </row>
    <row r="411" spans="20:22" x14ac:dyDescent="0.15">
      <c r="T411" s="16" t="str">
        <f t="shared" si="21"/>
        <v/>
      </c>
    </row>
    <row r="412" spans="20:22" x14ac:dyDescent="0.15">
      <c r="T412" s="16" t="str">
        <f t="shared" si="21"/>
        <v/>
      </c>
    </row>
    <row r="413" spans="20:22" x14ac:dyDescent="0.15">
      <c r="T413" s="16" t="str">
        <f t="shared" si="21"/>
        <v/>
      </c>
    </row>
    <row r="414" spans="20:22" x14ac:dyDescent="0.15">
      <c r="T414" s="16" t="str">
        <f t="shared" si="21"/>
        <v/>
      </c>
    </row>
    <row r="415" spans="20:22" x14ac:dyDescent="0.15">
      <c r="T415" s="16" t="str">
        <f t="shared" si="21"/>
        <v/>
      </c>
    </row>
    <row r="416" spans="20:22" x14ac:dyDescent="0.15">
      <c r="T416" s="16" t="str">
        <f t="shared" si="21"/>
        <v/>
      </c>
    </row>
    <row r="417" spans="20:20" x14ac:dyDescent="0.15">
      <c r="T417" s="16" t="str">
        <f t="shared" si="21"/>
        <v/>
      </c>
    </row>
    <row r="418" spans="20:20" x14ac:dyDescent="0.15">
      <c r="T418" s="16" t="str">
        <f t="shared" si="21"/>
        <v/>
      </c>
    </row>
    <row r="419" spans="20:20" x14ac:dyDescent="0.15">
      <c r="T419" s="16" t="str">
        <f t="shared" si="21"/>
        <v/>
      </c>
    </row>
    <row r="420" spans="20:20" x14ac:dyDescent="0.15">
      <c r="T420" s="16" t="str">
        <f t="shared" si="21"/>
        <v/>
      </c>
    </row>
    <row r="421" spans="20:20" x14ac:dyDescent="0.15">
      <c r="T421" s="16" t="str">
        <f t="shared" si="21"/>
        <v/>
      </c>
    </row>
    <row r="422" spans="20:20" x14ac:dyDescent="0.15">
      <c r="T422" s="16" t="str">
        <f t="shared" si="21"/>
        <v/>
      </c>
    </row>
    <row r="423" spans="20:20" x14ac:dyDescent="0.15">
      <c r="T423" s="16" t="str">
        <f t="shared" si="21"/>
        <v/>
      </c>
    </row>
    <row r="424" spans="20:20" x14ac:dyDescent="0.15">
      <c r="T424" s="16" t="str">
        <f t="shared" si="21"/>
        <v/>
      </c>
    </row>
    <row r="425" spans="20:20" x14ac:dyDescent="0.15">
      <c r="T425" s="16" t="str">
        <f t="shared" si="21"/>
        <v/>
      </c>
    </row>
    <row r="426" spans="20:20" x14ac:dyDescent="0.15">
      <c r="T426" s="16" t="str">
        <f t="shared" si="21"/>
        <v/>
      </c>
    </row>
  </sheetData>
  <autoFilter ref="A1:BA426" xr:uid="{00000000-0009-0000-0000-000001000000}"/>
  <phoneticPr fontId="3"/>
  <dataValidations count="15">
    <dataValidation type="list" allowBlank="1" showInputMessage="1" showErrorMessage="1" sqref="Y179:AA382" xr:uid="{8C3D6AC7-598C-4EB2-BE28-6B9859921775}">
      <formula1>$AV$2:$AV$16</formula1>
    </dataValidation>
    <dataValidation type="decimal" allowBlank="1" showInputMessage="1" showErrorMessage="1" error="硬度を正しく入力して下さい。" sqref="O2:P66 O79:P382" xr:uid="{F43FBBAF-9473-4B9C-AC72-4E3535F75096}">
      <formula1>0</formula1>
      <formula2>7</formula2>
    </dataValidation>
    <dataValidation type="list" allowBlank="1" showInputMessage="1" showErrorMessage="1" sqref="K199:K382" xr:uid="{E6A4E72C-8392-47DB-9E1A-8F7DA001A27D}">
      <formula1>$AR$2:$AR$19</formula1>
    </dataValidation>
    <dataValidation type="list" allowBlank="1" showInputMessage="1" showErrorMessage="1" sqref="J44:J46" xr:uid="{8DAD6664-911A-4675-B439-3139F0123288}">
      <formula1>$AP$2:$AP$25</formula1>
    </dataValidation>
    <dataValidation type="list" allowBlank="1" showInputMessage="1" showErrorMessage="1" sqref="X2:X382" xr:uid="{162B77CE-6021-4B26-AD67-4DAD8B219099}">
      <formula1>$AT$2:$AT$3</formula1>
    </dataValidation>
    <dataValidation allowBlank="1" showInputMessage="1" showErrorMessage="1" sqref="B2:B178" xr:uid="{91E98CFE-66A6-48FA-87FA-045878D87249}"/>
    <dataValidation type="list" allowBlank="1" showInputMessage="1" showErrorMessage="1" sqref="F1:F1048576" xr:uid="{71F2F5E1-6610-4677-8DE1-436FDE80658C}">
      <formula1>$AH$2:$AH$11</formula1>
    </dataValidation>
    <dataValidation type="list" allowBlank="1" showInputMessage="1" showErrorMessage="1" sqref="J2:J43 J47:J382" xr:uid="{4F0479CD-3DE5-4D62-AE6A-59A2DB511E52}">
      <formula1>$AP$2:$AP$19</formula1>
    </dataValidation>
    <dataValidation type="list" allowBlank="1" showInputMessage="1" showErrorMessage="1" sqref="E1:E1048576" xr:uid="{78B1147C-39CD-4FA7-9B21-377AA336D0EB}">
      <formula1>$AG$2:$AG$11</formula1>
    </dataValidation>
    <dataValidation type="list" allowBlank="1" showInputMessage="1" showErrorMessage="1" sqref="I2:I382" xr:uid="{96A28AC9-654F-443F-8424-43080FCBFC2C}">
      <formula1>$AN$5:$AN$6</formula1>
    </dataValidation>
    <dataValidation type="list" allowBlank="1" showInputMessage="1" showErrorMessage="1" sqref="G2:G382" xr:uid="{C0E7B6F4-799E-47A7-ABA3-98E5CF966F12}">
      <formula1>$AJ$2:$AJ$4</formula1>
    </dataValidation>
    <dataValidation type="list" allowBlank="1" showInputMessage="1" showErrorMessage="1" sqref="Y2:AA178" xr:uid="{DE2F3FAC-9E94-46AE-B84F-D9C9E661F33E}">
      <formula1>$AV$2:$AV$23</formula1>
    </dataValidation>
    <dataValidation type="list" allowBlank="1" showInputMessage="1" showErrorMessage="1" sqref="K2:K198" xr:uid="{8BC5618F-4880-4C54-AC3D-B2686984D3AC}">
      <formula1>$AR$2:$AR$23</formula1>
    </dataValidation>
    <dataValidation type="list" allowBlank="1" showInputMessage="1" showErrorMessage="1" sqref="A2:A382" xr:uid="{70B5AA9A-9D7B-4AA5-BCF6-764380562B32}">
      <formula1>$AE$2:$AE$16</formula1>
    </dataValidation>
    <dataValidation type="list" allowBlank="1" showInputMessage="1" showErrorMessage="1" sqref="H2:H382" xr:uid="{7ED9021B-26F1-49B1-ACFF-A9AAF40D3A30}">
      <formula1>$AL$2:$AL$8</formula1>
    </dataValidation>
  </dataValidations>
  <pageMargins left="0.69930555555555596" right="0.69930555555555596"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3FC76-5ABA-4C77-BCC3-C8899435CCEC}">
  <dimension ref="A1:BA82"/>
  <sheetViews>
    <sheetView zoomScale="70" zoomScaleNormal="70" workbookViewId="0">
      <selection activeCell="AD55" sqref="AD55"/>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175" t="s">
        <v>0</v>
      </c>
      <c r="B1" s="55" t="s">
        <v>1</v>
      </c>
      <c r="C1" s="55" t="s">
        <v>2</v>
      </c>
      <c r="D1" s="56" t="s">
        <v>3</v>
      </c>
      <c r="E1" s="176" t="s">
        <v>4</v>
      </c>
      <c r="F1" s="176" t="s">
        <v>5</v>
      </c>
      <c r="G1" s="176" t="s">
        <v>6</v>
      </c>
      <c r="H1" s="176" t="s">
        <v>7</v>
      </c>
      <c r="I1" s="176" t="s">
        <v>8</v>
      </c>
      <c r="J1" s="176" t="s">
        <v>9</v>
      </c>
      <c r="K1" s="176" t="s">
        <v>10</v>
      </c>
      <c r="L1" s="56" t="s">
        <v>11</v>
      </c>
      <c r="M1" s="56" t="s">
        <v>12</v>
      </c>
      <c r="N1" s="56" t="s">
        <v>13</v>
      </c>
      <c r="O1" s="56" t="s">
        <v>14</v>
      </c>
      <c r="P1" s="56" t="s">
        <v>15</v>
      </c>
      <c r="Q1" s="3" t="s">
        <v>16</v>
      </c>
      <c r="R1" s="56" t="s">
        <v>17</v>
      </c>
      <c r="S1" s="56" t="s">
        <v>18</v>
      </c>
      <c r="T1" s="3" t="s">
        <v>19</v>
      </c>
      <c r="U1" s="58" t="s">
        <v>108</v>
      </c>
      <c r="V1" s="5" t="s">
        <v>20</v>
      </c>
      <c r="W1" s="56" t="s">
        <v>21</v>
      </c>
      <c r="X1" s="176" t="s">
        <v>22</v>
      </c>
      <c r="Y1" s="176" t="s">
        <v>23</v>
      </c>
      <c r="Z1" s="176" t="s">
        <v>24</v>
      </c>
      <c r="AA1" s="177" t="s">
        <v>25</v>
      </c>
      <c r="AB1" s="13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256</v>
      </c>
      <c r="C2" s="53">
        <v>2019</v>
      </c>
      <c r="D2" s="178" t="s">
        <v>333</v>
      </c>
      <c r="E2" s="53" t="s">
        <v>364</v>
      </c>
      <c r="F2" s="53" t="s">
        <v>365</v>
      </c>
      <c r="G2" s="53" t="s">
        <v>42</v>
      </c>
      <c r="H2" s="53" t="s">
        <v>164</v>
      </c>
      <c r="I2" s="53" t="s">
        <v>165</v>
      </c>
      <c r="J2" s="53" t="s">
        <v>38</v>
      </c>
      <c r="K2" s="53" t="s">
        <v>161</v>
      </c>
      <c r="L2" s="53">
        <v>1</v>
      </c>
      <c r="N2" s="53">
        <v>5</v>
      </c>
      <c r="O2" s="53">
        <v>0.65</v>
      </c>
      <c r="P2" s="53">
        <v>0.6</v>
      </c>
      <c r="Q2" s="74">
        <f t="shared" ref="Q2:Q58" si="0">IF(OR(O2="",P2=""),"",AVERAGE(O2,P2))</f>
        <v>0.625</v>
      </c>
      <c r="R2" s="53">
        <v>15.8</v>
      </c>
      <c r="S2" s="53">
        <v>102</v>
      </c>
      <c r="T2" s="16">
        <f t="shared" ref="T2:T58" si="1">IF(H2="","",IF(OR(H2="GREEN",H2="GK"),IF(S2&gt;=$AX$2,VLOOKUP(S2,$AX$2:$AY$10,2,1),""),IF(S2&gt;=$AZ$2,VLOOKUP(S2,$AZ$2:$BA$10,2,1),"")))</f>
        <v>33</v>
      </c>
      <c r="U2" s="53">
        <v>539</v>
      </c>
      <c r="V2" s="16">
        <f t="shared" ref="V2:V58" si="2">IF(OR(N2="",U2="",T2=""),"",U2/N2*T2)</f>
        <v>3557.4</v>
      </c>
      <c r="W2" s="53">
        <v>6</v>
      </c>
      <c r="X2" s="53" t="s">
        <v>46</v>
      </c>
      <c r="Y2" s="53" t="s">
        <v>55</v>
      </c>
      <c r="Z2" s="53" t="s">
        <v>106</v>
      </c>
      <c r="AA2" s="53" t="s">
        <v>60</v>
      </c>
      <c r="AB2" s="53" t="s">
        <v>158</v>
      </c>
      <c r="AE2" s="64" t="s">
        <v>35</v>
      </c>
      <c r="AG2" s="23" t="s">
        <v>366</v>
      </c>
      <c r="AH2" s="179" t="s">
        <v>367</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256</v>
      </c>
      <c r="C3" s="53">
        <v>2019</v>
      </c>
      <c r="D3" s="178" t="s">
        <v>333</v>
      </c>
      <c r="E3" s="53" t="s">
        <v>364</v>
      </c>
      <c r="F3" s="53" t="s">
        <v>365</v>
      </c>
      <c r="G3" s="53" t="s">
        <v>42</v>
      </c>
      <c r="H3" s="53" t="s">
        <v>164</v>
      </c>
      <c r="I3" s="53" t="s">
        <v>165</v>
      </c>
      <c r="J3" s="53" t="s">
        <v>38</v>
      </c>
      <c r="K3" s="53" t="s">
        <v>161</v>
      </c>
      <c r="L3" s="53">
        <v>2</v>
      </c>
      <c r="N3" s="53">
        <v>5</v>
      </c>
      <c r="O3" s="53">
        <v>0.7</v>
      </c>
      <c r="P3" s="53">
        <v>0.7</v>
      </c>
      <c r="Q3" s="74">
        <f t="shared" si="0"/>
        <v>0.7</v>
      </c>
      <c r="R3" s="53">
        <v>16.2</v>
      </c>
      <c r="S3" s="53">
        <v>98</v>
      </c>
      <c r="T3" s="16">
        <f t="shared" si="1"/>
        <v>36</v>
      </c>
      <c r="U3" s="53">
        <v>539</v>
      </c>
      <c r="V3" s="16">
        <f t="shared" si="2"/>
        <v>3880.7999999999997</v>
      </c>
      <c r="W3" s="53">
        <v>6</v>
      </c>
      <c r="X3" s="53" t="s">
        <v>46</v>
      </c>
      <c r="Y3" s="53" t="s">
        <v>55</v>
      </c>
      <c r="Z3" s="53" t="s">
        <v>106</v>
      </c>
      <c r="AA3" s="53" t="s">
        <v>60</v>
      </c>
      <c r="AB3" s="53" t="s">
        <v>158</v>
      </c>
      <c r="AE3" s="22" t="s">
        <v>41</v>
      </c>
      <c r="AG3" s="23" t="s">
        <v>368</v>
      </c>
      <c r="AH3" s="179" t="s">
        <v>365</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256</v>
      </c>
      <c r="C4" s="53">
        <v>2019</v>
      </c>
      <c r="D4" s="178" t="s">
        <v>333</v>
      </c>
      <c r="E4" s="53" t="s">
        <v>364</v>
      </c>
      <c r="F4" s="53" t="s">
        <v>365</v>
      </c>
      <c r="G4" s="53" t="s">
        <v>42</v>
      </c>
      <c r="H4" s="53" t="s">
        <v>164</v>
      </c>
      <c r="I4" s="53" t="s">
        <v>165</v>
      </c>
      <c r="J4" s="53" t="s">
        <v>38</v>
      </c>
      <c r="K4" s="53" t="s">
        <v>161</v>
      </c>
      <c r="L4" s="53">
        <v>3</v>
      </c>
      <c r="N4" s="53">
        <v>5</v>
      </c>
      <c r="O4" s="53">
        <v>0.65</v>
      </c>
      <c r="P4" s="53">
        <v>0.65</v>
      </c>
      <c r="Q4" s="74">
        <f t="shared" si="0"/>
        <v>0.65</v>
      </c>
      <c r="R4" s="53">
        <v>15.1</v>
      </c>
      <c r="S4" s="53">
        <v>95</v>
      </c>
      <c r="T4" s="16">
        <f t="shared" si="1"/>
        <v>36</v>
      </c>
      <c r="U4" s="53">
        <v>539</v>
      </c>
      <c r="V4" s="16">
        <f t="shared" si="2"/>
        <v>3880.7999999999997</v>
      </c>
      <c r="W4" s="53">
        <v>6</v>
      </c>
      <c r="X4" s="53" t="s">
        <v>46</v>
      </c>
      <c r="Y4" s="53" t="s">
        <v>55</v>
      </c>
      <c r="Z4" s="53" t="s">
        <v>106</v>
      </c>
      <c r="AA4" s="53" t="s">
        <v>60</v>
      </c>
      <c r="AB4" s="53" t="s">
        <v>158</v>
      </c>
      <c r="AE4" s="22" t="s">
        <v>34</v>
      </c>
      <c r="AG4" s="23" t="s">
        <v>369</v>
      </c>
      <c r="AH4" s="179" t="s">
        <v>370</v>
      </c>
      <c r="AJ4" s="27" t="s">
        <v>48</v>
      </c>
      <c r="AL4" s="27" t="s">
        <v>371</v>
      </c>
      <c r="AN4" s="28" t="s">
        <v>49</v>
      </c>
      <c r="AP4" s="23" t="s">
        <v>93</v>
      </c>
      <c r="AR4" s="23" t="s">
        <v>121</v>
      </c>
      <c r="AT4" s="28"/>
      <c r="AV4" s="23" t="s">
        <v>50</v>
      </c>
      <c r="AX4" s="24">
        <v>75</v>
      </c>
      <c r="AY4" s="25">
        <v>42</v>
      </c>
      <c r="AZ4" s="25">
        <v>76</v>
      </c>
      <c r="BA4" s="26">
        <v>39</v>
      </c>
    </row>
    <row r="5" spans="1:53" x14ac:dyDescent="0.15">
      <c r="A5" s="53" t="s">
        <v>56</v>
      </c>
      <c r="B5" s="53" t="s">
        <v>256</v>
      </c>
      <c r="C5" s="53">
        <v>2019</v>
      </c>
      <c r="D5" s="178" t="s">
        <v>333</v>
      </c>
      <c r="E5" s="53" t="s">
        <v>364</v>
      </c>
      <c r="F5" s="53" t="s">
        <v>365</v>
      </c>
      <c r="G5" s="53" t="s">
        <v>42</v>
      </c>
      <c r="H5" s="53" t="s">
        <v>160</v>
      </c>
      <c r="I5" s="53" t="s">
        <v>165</v>
      </c>
      <c r="J5" s="53" t="s">
        <v>38</v>
      </c>
      <c r="K5" s="53" t="s">
        <v>161</v>
      </c>
      <c r="L5" s="53">
        <v>1</v>
      </c>
      <c r="N5" s="53">
        <v>1</v>
      </c>
      <c r="O5" s="53">
        <v>0.65</v>
      </c>
      <c r="P5" s="53">
        <v>0.65</v>
      </c>
      <c r="Q5" s="74">
        <f t="shared" si="0"/>
        <v>0.65</v>
      </c>
      <c r="R5" s="53">
        <v>17.2</v>
      </c>
      <c r="S5" s="53">
        <v>143</v>
      </c>
      <c r="T5" s="16">
        <f t="shared" si="1"/>
        <v>22</v>
      </c>
      <c r="U5" s="53">
        <v>182</v>
      </c>
      <c r="V5" s="16">
        <f t="shared" si="2"/>
        <v>4004</v>
      </c>
      <c r="W5" s="53">
        <v>6</v>
      </c>
      <c r="X5" s="53" t="s">
        <v>46</v>
      </c>
      <c r="Y5" s="53" t="s">
        <v>55</v>
      </c>
      <c r="Z5" s="53" t="s">
        <v>106</v>
      </c>
      <c r="AA5" s="53" t="s">
        <v>60</v>
      </c>
      <c r="AB5" s="53" t="s">
        <v>158</v>
      </c>
      <c r="AE5" s="22" t="s">
        <v>51</v>
      </c>
      <c r="AG5" s="23" t="s">
        <v>372</v>
      </c>
      <c r="AH5" s="179" t="s">
        <v>373</v>
      </c>
      <c r="AJ5" s="28"/>
      <c r="AL5" s="72" t="s">
        <v>66</v>
      </c>
      <c r="AN5" s="72" t="s">
        <v>52</v>
      </c>
      <c r="AP5" s="23" t="s">
        <v>305</v>
      </c>
      <c r="AR5" s="23" t="s">
        <v>54</v>
      </c>
      <c r="AV5" s="23" t="s">
        <v>55</v>
      </c>
      <c r="AX5" s="24">
        <v>84</v>
      </c>
      <c r="AY5" s="25">
        <v>39</v>
      </c>
      <c r="AZ5" s="25">
        <v>84</v>
      </c>
      <c r="BA5" s="26">
        <v>36</v>
      </c>
    </row>
    <row r="6" spans="1:53" x14ac:dyDescent="0.15">
      <c r="A6" s="53" t="s">
        <v>56</v>
      </c>
      <c r="B6" s="53" t="s">
        <v>256</v>
      </c>
      <c r="C6" s="53">
        <v>2019</v>
      </c>
      <c r="D6" s="178" t="s">
        <v>333</v>
      </c>
      <c r="E6" s="53" t="s">
        <v>364</v>
      </c>
      <c r="F6" s="53" t="s">
        <v>365</v>
      </c>
      <c r="G6" s="53" t="s">
        <v>42</v>
      </c>
      <c r="H6" s="53" t="s">
        <v>160</v>
      </c>
      <c r="I6" s="53" t="s">
        <v>165</v>
      </c>
      <c r="J6" s="53" t="s">
        <v>38</v>
      </c>
      <c r="K6" s="53" t="s">
        <v>161</v>
      </c>
      <c r="L6" s="53">
        <v>2</v>
      </c>
      <c r="N6" s="53">
        <v>1</v>
      </c>
      <c r="O6" s="53">
        <v>0.6</v>
      </c>
      <c r="P6" s="53">
        <v>0.55000000000000004</v>
      </c>
      <c r="Q6" s="74">
        <f t="shared" si="0"/>
        <v>0.57499999999999996</v>
      </c>
      <c r="R6" s="53">
        <v>17.5</v>
      </c>
      <c r="S6" s="53">
        <v>143</v>
      </c>
      <c r="T6" s="16">
        <f t="shared" si="1"/>
        <v>22</v>
      </c>
      <c r="U6" s="53">
        <v>182</v>
      </c>
      <c r="V6" s="16">
        <f t="shared" si="2"/>
        <v>4004</v>
      </c>
      <c r="W6" s="53">
        <v>6</v>
      </c>
      <c r="X6" s="53" t="s">
        <v>46</v>
      </c>
      <c r="Y6" s="53" t="s">
        <v>55</v>
      </c>
      <c r="Z6" s="53" t="s">
        <v>106</v>
      </c>
      <c r="AA6" s="53" t="s">
        <v>60</v>
      </c>
      <c r="AB6" s="53" t="s">
        <v>158</v>
      </c>
      <c r="AE6" s="22" t="s">
        <v>56</v>
      </c>
      <c r="AG6" s="23" t="s">
        <v>374</v>
      </c>
      <c r="AH6" s="179" t="s">
        <v>373</v>
      </c>
      <c r="AL6" s="72" t="s">
        <v>99</v>
      </c>
      <c r="AN6" s="72" t="s">
        <v>57</v>
      </c>
      <c r="AP6" s="23" t="s">
        <v>53</v>
      </c>
      <c r="AR6" s="23" t="s">
        <v>59</v>
      </c>
      <c r="AV6" s="23" t="s">
        <v>60</v>
      </c>
      <c r="AX6" s="24">
        <v>97</v>
      </c>
      <c r="AY6" s="25">
        <v>36</v>
      </c>
      <c r="AZ6" s="25">
        <v>99</v>
      </c>
      <c r="BA6" s="26">
        <v>33</v>
      </c>
    </row>
    <row r="7" spans="1:53" x14ac:dyDescent="0.15">
      <c r="A7" s="53" t="s">
        <v>56</v>
      </c>
      <c r="B7" s="53" t="s">
        <v>256</v>
      </c>
      <c r="C7" s="53">
        <v>2019</v>
      </c>
      <c r="D7" s="178" t="s">
        <v>333</v>
      </c>
      <c r="E7" s="53" t="s">
        <v>364</v>
      </c>
      <c r="F7" s="53" t="s">
        <v>365</v>
      </c>
      <c r="G7" s="53" t="s">
        <v>42</v>
      </c>
      <c r="H7" s="53" t="s">
        <v>160</v>
      </c>
      <c r="I7" s="53" t="s">
        <v>165</v>
      </c>
      <c r="J7" s="53" t="s">
        <v>38</v>
      </c>
      <c r="K7" s="53" t="s">
        <v>161</v>
      </c>
      <c r="L7" s="53">
        <v>3</v>
      </c>
      <c r="N7" s="53">
        <v>1</v>
      </c>
      <c r="O7" s="53">
        <v>0.65</v>
      </c>
      <c r="P7" s="53">
        <v>0.6</v>
      </c>
      <c r="Q7" s="74">
        <f t="shared" si="0"/>
        <v>0.625</v>
      </c>
      <c r="R7" s="53">
        <v>17.399999999999999</v>
      </c>
      <c r="S7" s="53">
        <v>146</v>
      </c>
      <c r="T7" s="16">
        <f t="shared" si="1"/>
        <v>22</v>
      </c>
      <c r="U7" s="53">
        <v>182</v>
      </c>
      <c r="V7" s="16">
        <f t="shared" si="2"/>
        <v>4004</v>
      </c>
      <c r="W7" s="53">
        <v>6</v>
      </c>
      <c r="X7" s="53" t="s">
        <v>46</v>
      </c>
      <c r="Y7" s="53" t="s">
        <v>55</v>
      </c>
      <c r="Z7" s="53" t="s">
        <v>106</v>
      </c>
      <c r="AA7" s="53" t="s">
        <v>60</v>
      </c>
      <c r="AB7" s="53" t="s">
        <v>158</v>
      </c>
      <c r="AE7" s="22" t="s">
        <v>61</v>
      </c>
      <c r="AG7" s="23" t="s">
        <v>375</v>
      </c>
      <c r="AH7" s="179" t="s">
        <v>376</v>
      </c>
      <c r="AL7" s="135" t="s">
        <v>109</v>
      </c>
      <c r="AP7" s="23" t="s">
        <v>58</v>
      </c>
      <c r="AR7" s="23" t="s">
        <v>122</v>
      </c>
      <c r="AV7" s="23" t="s">
        <v>64</v>
      </c>
      <c r="AX7" s="24">
        <v>109</v>
      </c>
      <c r="AY7" s="25">
        <v>33</v>
      </c>
      <c r="AZ7" s="25">
        <v>113</v>
      </c>
      <c r="BA7" s="26">
        <v>30</v>
      </c>
    </row>
    <row r="8" spans="1:53" x14ac:dyDescent="0.15">
      <c r="A8" s="53" t="s">
        <v>56</v>
      </c>
      <c r="B8" s="53" t="s">
        <v>256</v>
      </c>
      <c r="C8" s="53">
        <v>2019</v>
      </c>
      <c r="D8" s="178" t="s">
        <v>333</v>
      </c>
      <c r="E8" s="53" t="s">
        <v>377</v>
      </c>
      <c r="F8" s="53" t="s">
        <v>365</v>
      </c>
      <c r="G8" s="53" t="s">
        <v>42</v>
      </c>
      <c r="H8" s="53" t="s">
        <v>164</v>
      </c>
      <c r="I8" s="53" t="s">
        <v>159</v>
      </c>
      <c r="J8" s="53" t="s">
        <v>38</v>
      </c>
      <c r="K8" s="53" t="s">
        <v>161</v>
      </c>
      <c r="L8" s="53">
        <v>1</v>
      </c>
      <c r="N8" s="53">
        <v>1</v>
      </c>
      <c r="O8" s="53">
        <v>0.6</v>
      </c>
      <c r="P8" s="53">
        <v>0.65</v>
      </c>
      <c r="Q8" s="74">
        <f t="shared" si="0"/>
        <v>0.625</v>
      </c>
      <c r="R8" s="53">
        <v>14.1</v>
      </c>
      <c r="S8" s="53">
        <v>138</v>
      </c>
      <c r="T8" s="16">
        <f t="shared" si="1"/>
        <v>22</v>
      </c>
      <c r="U8" s="53">
        <v>127</v>
      </c>
      <c r="V8" s="16">
        <f t="shared" si="2"/>
        <v>2794</v>
      </c>
      <c r="W8" s="53">
        <v>7</v>
      </c>
      <c r="X8" s="53" t="s">
        <v>46</v>
      </c>
      <c r="Y8" s="53" t="s">
        <v>55</v>
      </c>
      <c r="Z8" s="53" t="s">
        <v>86</v>
      </c>
      <c r="AA8" s="53" t="s">
        <v>90</v>
      </c>
      <c r="AB8" s="53" t="s">
        <v>158</v>
      </c>
      <c r="AE8" s="22" t="s">
        <v>59</v>
      </c>
      <c r="AG8" s="23" t="s">
        <v>378</v>
      </c>
      <c r="AH8" s="179" t="s">
        <v>376</v>
      </c>
      <c r="AL8" s="135" t="s">
        <v>134</v>
      </c>
      <c r="AP8" s="23" t="s">
        <v>62</v>
      </c>
      <c r="AR8" s="23" t="s">
        <v>81</v>
      </c>
      <c r="AV8" s="23" t="s">
        <v>97</v>
      </c>
      <c r="AX8" s="24">
        <v>119</v>
      </c>
      <c r="AY8" s="25">
        <v>30</v>
      </c>
      <c r="AZ8" s="25">
        <v>121</v>
      </c>
      <c r="BA8" s="26">
        <v>27</v>
      </c>
    </row>
    <row r="9" spans="1:53" x14ac:dyDescent="0.15">
      <c r="A9" s="53" t="s">
        <v>56</v>
      </c>
      <c r="B9" s="53" t="s">
        <v>256</v>
      </c>
      <c r="C9" s="53">
        <v>2019</v>
      </c>
      <c r="D9" s="178" t="s">
        <v>333</v>
      </c>
      <c r="E9" s="53" t="s">
        <v>377</v>
      </c>
      <c r="F9" s="53" t="s">
        <v>365</v>
      </c>
      <c r="G9" s="53" t="s">
        <v>42</v>
      </c>
      <c r="H9" s="53" t="s">
        <v>164</v>
      </c>
      <c r="I9" s="53" t="s">
        <v>159</v>
      </c>
      <c r="J9" s="53" t="s">
        <v>38</v>
      </c>
      <c r="K9" s="53" t="s">
        <v>161</v>
      </c>
      <c r="L9" s="53">
        <v>2</v>
      </c>
      <c r="N9" s="53">
        <v>1</v>
      </c>
      <c r="O9" s="53">
        <v>0.5</v>
      </c>
      <c r="P9" s="53">
        <v>0.5</v>
      </c>
      <c r="Q9" s="74">
        <f t="shared" si="0"/>
        <v>0.5</v>
      </c>
      <c r="R9" s="53">
        <v>12.8</v>
      </c>
      <c r="S9" s="53">
        <v>141</v>
      </c>
      <c r="T9" s="16">
        <f t="shared" si="1"/>
        <v>22</v>
      </c>
      <c r="U9" s="53">
        <v>127</v>
      </c>
      <c r="V9" s="16">
        <f t="shared" si="2"/>
        <v>2794</v>
      </c>
      <c r="W9" s="53">
        <v>7</v>
      </c>
      <c r="X9" s="53" t="s">
        <v>46</v>
      </c>
      <c r="Y9" s="53" t="s">
        <v>55</v>
      </c>
      <c r="Z9" s="53" t="s">
        <v>86</v>
      </c>
      <c r="AA9" s="53" t="s">
        <v>90</v>
      </c>
      <c r="AB9" s="53" t="s">
        <v>158</v>
      </c>
      <c r="AE9" s="22" t="s">
        <v>98</v>
      </c>
      <c r="AG9" s="23" t="s">
        <v>364</v>
      </c>
      <c r="AH9" s="23" t="s">
        <v>365</v>
      </c>
      <c r="AL9" s="72"/>
      <c r="AP9" s="23" t="s">
        <v>95</v>
      </c>
      <c r="AR9" s="23" t="s">
        <v>89</v>
      </c>
      <c r="AV9" s="23" t="s">
        <v>102</v>
      </c>
      <c r="AX9" s="24">
        <v>128</v>
      </c>
      <c r="AY9" s="25">
        <v>27</v>
      </c>
      <c r="AZ9" s="25">
        <v>129</v>
      </c>
      <c r="BA9" s="26">
        <v>25</v>
      </c>
    </row>
    <row r="10" spans="1:53" x14ac:dyDescent="0.15">
      <c r="A10" s="53" t="s">
        <v>56</v>
      </c>
      <c r="B10" s="53" t="s">
        <v>256</v>
      </c>
      <c r="C10" s="53">
        <v>2019</v>
      </c>
      <c r="D10" s="178" t="s">
        <v>333</v>
      </c>
      <c r="E10" s="53" t="s">
        <v>377</v>
      </c>
      <c r="F10" s="53" t="s">
        <v>365</v>
      </c>
      <c r="G10" s="53" t="s">
        <v>42</v>
      </c>
      <c r="H10" s="53" t="s">
        <v>164</v>
      </c>
      <c r="I10" s="53" t="s">
        <v>159</v>
      </c>
      <c r="J10" s="53" t="s">
        <v>38</v>
      </c>
      <c r="K10" s="53" t="s">
        <v>161</v>
      </c>
      <c r="L10" s="53">
        <v>3</v>
      </c>
      <c r="N10" s="53">
        <v>1</v>
      </c>
      <c r="O10" s="53">
        <v>0.7</v>
      </c>
      <c r="P10" s="53">
        <v>0.55000000000000004</v>
      </c>
      <c r="Q10" s="74">
        <f t="shared" si="0"/>
        <v>0.625</v>
      </c>
      <c r="R10" s="53">
        <v>13.8</v>
      </c>
      <c r="S10" s="53">
        <v>136</v>
      </c>
      <c r="T10" s="16">
        <f t="shared" si="1"/>
        <v>25</v>
      </c>
      <c r="U10" s="53">
        <v>127</v>
      </c>
      <c r="V10" s="16">
        <f t="shared" si="2"/>
        <v>3175</v>
      </c>
      <c r="W10" s="53">
        <v>7</v>
      </c>
      <c r="X10" s="53" t="s">
        <v>46</v>
      </c>
      <c r="Y10" s="53" t="s">
        <v>55</v>
      </c>
      <c r="Z10" s="53" t="s">
        <v>86</v>
      </c>
      <c r="AA10" s="53" t="s">
        <v>90</v>
      </c>
      <c r="AB10" s="53" t="s">
        <v>158</v>
      </c>
      <c r="AE10" s="22" t="s">
        <v>103</v>
      </c>
      <c r="AG10" s="23" t="s">
        <v>375</v>
      </c>
      <c r="AH10" s="179" t="s">
        <v>373</v>
      </c>
      <c r="AL10" s="135"/>
      <c r="AP10" s="23" t="s">
        <v>100</v>
      </c>
      <c r="AR10" s="23" t="s">
        <v>123</v>
      </c>
      <c r="AV10" s="23" t="s">
        <v>106</v>
      </c>
      <c r="AX10" s="24">
        <v>138</v>
      </c>
      <c r="AY10" s="25">
        <v>25</v>
      </c>
      <c r="AZ10" s="25">
        <v>138</v>
      </c>
      <c r="BA10" s="26">
        <v>22</v>
      </c>
    </row>
    <row r="11" spans="1:53" x14ac:dyDescent="0.15">
      <c r="A11" s="53" t="s">
        <v>56</v>
      </c>
      <c r="B11" s="53" t="s">
        <v>256</v>
      </c>
      <c r="C11" s="53">
        <v>2019</v>
      </c>
      <c r="D11" s="178" t="s">
        <v>333</v>
      </c>
      <c r="E11" s="53" t="s">
        <v>377</v>
      </c>
      <c r="F11" s="53" t="s">
        <v>365</v>
      </c>
      <c r="G11" s="53" t="s">
        <v>42</v>
      </c>
      <c r="H11" s="53" t="s">
        <v>160</v>
      </c>
      <c r="I11" s="53" t="s">
        <v>159</v>
      </c>
      <c r="J11" s="53" t="s">
        <v>38</v>
      </c>
      <c r="K11" s="53" t="s">
        <v>161</v>
      </c>
      <c r="L11" s="53">
        <v>1</v>
      </c>
      <c r="N11" s="53">
        <v>1</v>
      </c>
      <c r="O11" s="53">
        <v>0.5</v>
      </c>
      <c r="P11" s="53">
        <v>0.5</v>
      </c>
      <c r="Q11" s="74">
        <f t="shared" si="0"/>
        <v>0.5</v>
      </c>
      <c r="R11" s="53">
        <v>17.100000000000001</v>
      </c>
      <c r="S11" s="53">
        <v>139</v>
      </c>
      <c r="T11" s="16">
        <f t="shared" si="1"/>
        <v>22</v>
      </c>
      <c r="U11" s="53">
        <v>127</v>
      </c>
      <c r="V11" s="16">
        <f t="shared" si="2"/>
        <v>2794</v>
      </c>
      <c r="W11" s="53">
        <v>12</v>
      </c>
      <c r="X11" s="53" t="s">
        <v>46</v>
      </c>
      <c r="Y11" s="53" t="s">
        <v>55</v>
      </c>
      <c r="Z11" s="53" t="s">
        <v>86</v>
      </c>
      <c r="AA11" s="53" t="s">
        <v>90</v>
      </c>
      <c r="AB11" s="53" t="s">
        <v>158</v>
      </c>
      <c r="AE11" s="22" t="s">
        <v>65</v>
      </c>
      <c r="AG11" s="23" t="s">
        <v>374</v>
      </c>
      <c r="AH11" s="179" t="s">
        <v>373</v>
      </c>
      <c r="AJ11" s="135"/>
      <c r="AP11" s="23" t="s">
        <v>104</v>
      </c>
      <c r="AR11" s="23" t="s">
        <v>87</v>
      </c>
      <c r="AV11" s="23" t="s">
        <v>69</v>
      </c>
    </row>
    <row r="12" spans="1:53" x14ac:dyDescent="0.15">
      <c r="A12" s="53" t="s">
        <v>56</v>
      </c>
      <c r="B12" s="53" t="s">
        <v>256</v>
      </c>
      <c r="C12" s="53">
        <v>2019</v>
      </c>
      <c r="D12" s="178" t="s">
        <v>333</v>
      </c>
      <c r="E12" s="53" t="s">
        <v>377</v>
      </c>
      <c r="F12" s="53" t="s">
        <v>365</v>
      </c>
      <c r="G12" s="53" t="s">
        <v>42</v>
      </c>
      <c r="H12" s="53" t="s">
        <v>160</v>
      </c>
      <c r="I12" s="53" t="s">
        <v>159</v>
      </c>
      <c r="J12" s="53" t="s">
        <v>38</v>
      </c>
      <c r="K12" s="53" t="s">
        <v>161</v>
      </c>
      <c r="L12" s="53">
        <v>2</v>
      </c>
      <c r="N12" s="53">
        <v>1</v>
      </c>
      <c r="O12" s="53">
        <v>0.5</v>
      </c>
      <c r="P12" s="53">
        <v>0.5</v>
      </c>
      <c r="Q12" s="74">
        <f t="shared" si="0"/>
        <v>0.5</v>
      </c>
      <c r="R12" s="53">
        <v>18</v>
      </c>
      <c r="S12" s="53">
        <v>145</v>
      </c>
      <c r="T12" s="16">
        <f t="shared" si="1"/>
        <v>22</v>
      </c>
      <c r="U12" s="53">
        <v>127</v>
      </c>
      <c r="V12" s="16">
        <f t="shared" si="2"/>
        <v>2794</v>
      </c>
      <c r="W12" s="53">
        <v>12</v>
      </c>
      <c r="X12" s="53" t="s">
        <v>46</v>
      </c>
      <c r="Y12" s="53" t="s">
        <v>55</v>
      </c>
      <c r="Z12" s="53" t="s">
        <v>86</v>
      </c>
      <c r="AA12" s="53" t="s">
        <v>90</v>
      </c>
      <c r="AB12" s="53" t="s">
        <v>158</v>
      </c>
      <c r="AE12" s="22" t="s">
        <v>70</v>
      </c>
      <c r="AG12" s="23" t="s">
        <v>368</v>
      </c>
      <c r="AH12" s="179" t="s">
        <v>373</v>
      </c>
      <c r="AJ12" s="135"/>
      <c r="AP12" s="23" t="s">
        <v>67</v>
      </c>
      <c r="AR12" s="23" t="s">
        <v>124</v>
      </c>
      <c r="AV12" s="23" t="s">
        <v>72</v>
      </c>
    </row>
    <row r="13" spans="1:53" x14ac:dyDescent="0.15">
      <c r="A13" s="53" t="s">
        <v>56</v>
      </c>
      <c r="B13" s="53" t="s">
        <v>256</v>
      </c>
      <c r="C13" s="53">
        <v>2019</v>
      </c>
      <c r="D13" s="178" t="s">
        <v>333</v>
      </c>
      <c r="E13" s="53" t="s">
        <v>377</v>
      </c>
      <c r="F13" s="53" t="s">
        <v>365</v>
      </c>
      <c r="G13" s="53" t="s">
        <v>42</v>
      </c>
      <c r="H13" s="53" t="s">
        <v>160</v>
      </c>
      <c r="I13" s="53" t="s">
        <v>159</v>
      </c>
      <c r="J13" s="53" t="s">
        <v>38</v>
      </c>
      <c r="K13" s="53" t="s">
        <v>161</v>
      </c>
      <c r="L13" s="53">
        <v>3</v>
      </c>
      <c r="N13" s="53">
        <v>1</v>
      </c>
      <c r="O13" s="53">
        <v>0.5</v>
      </c>
      <c r="P13" s="53">
        <v>0.5</v>
      </c>
      <c r="Q13" s="74">
        <f t="shared" si="0"/>
        <v>0.5</v>
      </c>
      <c r="R13" s="53">
        <v>19.100000000000001</v>
      </c>
      <c r="S13" s="53">
        <v>140</v>
      </c>
      <c r="T13" s="16">
        <f t="shared" si="1"/>
        <v>22</v>
      </c>
      <c r="U13" s="53">
        <v>127</v>
      </c>
      <c r="V13" s="16">
        <f t="shared" si="2"/>
        <v>2794</v>
      </c>
      <c r="W13" s="53">
        <v>12</v>
      </c>
      <c r="X13" s="53" t="s">
        <v>46</v>
      </c>
      <c r="Y13" s="53" t="s">
        <v>55</v>
      </c>
      <c r="Z13" s="53" t="s">
        <v>86</v>
      </c>
      <c r="AA13" s="53" t="s">
        <v>90</v>
      </c>
      <c r="AB13" s="53" t="s">
        <v>158</v>
      </c>
      <c r="AE13" s="22" t="s">
        <v>73</v>
      </c>
      <c r="AP13" s="23" t="s">
        <v>71</v>
      </c>
      <c r="AR13" s="23" t="s">
        <v>103</v>
      </c>
      <c r="AV13" s="23" t="s">
        <v>75</v>
      </c>
    </row>
    <row r="14" spans="1:53" x14ac:dyDescent="0.15">
      <c r="A14" s="53" t="s">
        <v>56</v>
      </c>
      <c r="B14" s="53" t="s">
        <v>256</v>
      </c>
      <c r="C14" s="53">
        <v>2019</v>
      </c>
      <c r="D14" s="178" t="s">
        <v>333</v>
      </c>
      <c r="E14" s="53" t="s">
        <v>162</v>
      </c>
      <c r="F14" s="53" t="s">
        <v>379</v>
      </c>
      <c r="G14" s="53" t="s">
        <v>42</v>
      </c>
      <c r="H14" s="53" t="s">
        <v>164</v>
      </c>
      <c r="I14" s="53" t="s">
        <v>159</v>
      </c>
      <c r="J14" s="53" t="s">
        <v>38</v>
      </c>
      <c r="K14" s="53" t="s">
        <v>161</v>
      </c>
      <c r="L14" s="53">
        <v>1</v>
      </c>
      <c r="N14" s="53">
        <v>1</v>
      </c>
      <c r="O14" s="53">
        <v>1.05</v>
      </c>
      <c r="P14" s="53">
        <v>0.7</v>
      </c>
      <c r="Q14" s="74">
        <f t="shared" si="0"/>
        <v>0.875</v>
      </c>
      <c r="R14" s="53">
        <v>12.9</v>
      </c>
      <c r="S14" s="53">
        <v>118</v>
      </c>
      <c r="T14" s="16">
        <f t="shared" si="1"/>
        <v>30</v>
      </c>
      <c r="U14" s="53">
        <v>106</v>
      </c>
      <c r="V14" s="16">
        <f t="shared" si="2"/>
        <v>3180</v>
      </c>
      <c r="W14" s="53">
        <v>6</v>
      </c>
      <c r="X14" s="53" t="s">
        <v>46</v>
      </c>
      <c r="Y14" s="53" t="s">
        <v>55</v>
      </c>
      <c r="Z14" s="53" t="s">
        <v>78</v>
      </c>
      <c r="AA14" s="53" t="s">
        <v>86</v>
      </c>
      <c r="AB14" s="53" t="s">
        <v>158</v>
      </c>
      <c r="AE14" s="22" t="s">
        <v>76</v>
      </c>
      <c r="AP14" s="23" t="s">
        <v>74</v>
      </c>
      <c r="AR14" s="23" t="s">
        <v>125</v>
      </c>
      <c r="AV14" s="23" t="s">
        <v>78</v>
      </c>
    </row>
    <row r="15" spans="1:53" x14ac:dyDescent="0.15">
      <c r="A15" s="53" t="s">
        <v>56</v>
      </c>
      <c r="B15" s="53" t="s">
        <v>256</v>
      </c>
      <c r="C15" s="53">
        <v>2019</v>
      </c>
      <c r="D15" s="178" t="s">
        <v>333</v>
      </c>
      <c r="E15" s="53" t="s">
        <v>162</v>
      </c>
      <c r="F15" s="53" t="s">
        <v>379</v>
      </c>
      <c r="G15" s="53" t="s">
        <v>42</v>
      </c>
      <c r="H15" s="53" t="s">
        <v>164</v>
      </c>
      <c r="I15" s="53" t="s">
        <v>159</v>
      </c>
      <c r="J15" s="53" t="s">
        <v>38</v>
      </c>
      <c r="K15" s="53" t="s">
        <v>161</v>
      </c>
      <c r="L15" s="53">
        <v>2</v>
      </c>
      <c r="N15" s="53">
        <v>1</v>
      </c>
      <c r="O15" s="53">
        <v>0.65</v>
      </c>
      <c r="P15" s="53">
        <v>1.05</v>
      </c>
      <c r="Q15" s="74">
        <f t="shared" si="0"/>
        <v>0.85000000000000009</v>
      </c>
      <c r="R15" s="53">
        <v>12.2</v>
      </c>
      <c r="S15" s="53">
        <v>123</v>
      </c>
      <c r="T15" s="16">
        <f t="shared" si="1"/>
        <v>27</v>
      </c>
      <c r="U15" s="53">
        <v>106</v>
      </c>
      <c r="V15" s="16">
        <f t="shared" si="2"/>
        <v>2862</v>
      </c>
      <c r="W15" s="53">
        <v>6</v>
      </c>
      <c r="X15" s="53" t="s">
        <v>46</v>
      </c>
      <c r="Y15" s="53" t="s">
        <v>55</v>
      </c>
      <c r="Z15" s="53" t="s">
        <v>78</v>
      </c>
      <c r="AA15" s="53" t="s">
        <v>86</v>
      </c>
      <c r="AB15" s="53" t="s">
        <v>158</v>
      </c>
      <c r="AE15" s="22" t="s">
        <v>79</v>
      </c>
      <c r="AP15" s="23" t="s">
        <v>77</v>
      </c>
      <c r="AR15" s="23" t="s">
        <v>94</v>
      </c>
      <c r="AV15" s="23" t="s">
        <v>107</v>
      </c>
    </row>
    <row r="16" spans="1:53" x14ac:dyDescent="0.15">
      <c r="A16" s="53" t="s">
        <v>56</v>
      </c>
      <c r="B16" s="53" t="s">
        <v>256</v>
      </c>
      <c r="C16" s="53">
        <v>2019</v>
      </c>
      <c r="D16" s="178" t="s">
        <v>333</v>
      </c>
      <c r="E16" s="53" t="s">
        <v>162</v>
      </c>
      <c r="F16" s="53" t="s">
        <v>379</v>
      </c>
      <c r="G16" s="53" t="s">
        <v>42</v>
      </c>
      <c r="H16" s="53" t="s">
        <v>164</v>
      </c>
      <c r="I16" s="53" t="s">
        <v>159</v>
      </c>
      <c r="J16" s="53" t="s">
        <v>38</v>
      </c>
      <c r="K16" s="53" t="s">
        <v>161</v>
      </c>
      <c r="L16" s="53">
        <v>3</v>
      </c>
      <c r="N16" s="53">
        <v>1</v>
      </c>
      <c r="O16" s="53">
        <v>0.95</v>
      </c>
      <c r="P16" s="53">
        <v>0.65</v>
      </c>
      <c r="Q16" s="74">
        <f t="shared" si="0"/>
        <v>0.8</v>
      </c>
      <c r="R16" s="53">
        <v>15.9</v>
      </c>
      <c r="S16" s="53">
        <v>118</v>
      </c>
      <c r="T16" s="16">
        <f t="shared" si="1"/>
        <v>30</v>
      </c>
      <c r="U16" s="53">
        <v>106</v>
      </c>
      <c r="V16" s="16">
        <f t="shared" si="2"/>
        <v>3180</v>
      </c>
      <c r="W16" s="53">
        <v>6</v>
      </c>
      <c r="X16" s="53" t="s">
        <v>46</v>
      </c>
      <c r="Y16" s="53" t="s">
        <v>55</v>
      </c>
      <c r="Z16" s="53" t="s">
        <v>78</v>
      </c>
      <c r="AA16" s="53" t="s">
        <v>86</v>
      </c>
      <c r="AB16" s="53" t="s">
        <v>158</v>
      </c>
      <c r="AE16" s="22" t="s">
        <v>82</v>
      </c>
      <c r="AP16" s="23" t="s">
        <v>80</v>
      </c>
      <c r="AR16" s="23" t="s">
        <v>63</v>
      </c>
      <c r="AV16" s="23" t="s">
        <v>84</v>
      </c>
    </row>
    <row r="17" spans="1:48" x14ac:dyDescent="0.15">
      <c r="A17" s="53" t="s">
        <v>56</v>
      </c>
      <c r="B17" s="53" t="s">
        <v>256</v>
      </c>
      <c r="C17" s="53">
        <v>2019</v>
      </c>
      <c r="D17" s="178" t="s">
        <v>333</v>
      </c>
      <c r="E17" s="53" t="s">
        <v>162</v>
      </c>
      <c r="F17" s="53" t="s">
        <v>379</v>
      </c>
      <c r="G17" s="53" t="s">
        <v>42</v>
      </c>
      <c r="H17" s="53" t="s">
        <v>160</v>
      </c>
      <c r="I17" s="53" t="s">
        <v>159</v>
      </c>
      <c r="J17" s="53" t="s">
        <v>38</v>
      </c>
      <c r="K17" s="53" t="s">
        <v>161</v>
      </c>
      <c r="L17" s="53">
        <v>1</v>
      </c>
      <c r="N17" s="53">
        <v>1</v>
      </c>
      <c r="O17" s="53">
        <v>0.7</v>
      </c>
      <c r="P17" s="53">
        <v>0.9</v>
      </c>
      <c r="Q17" s="74">
        <f t="shared" si="0"/>
        <v>0.8</v>
      </c>
      <c r="R17" s="53">
        <v>14.9</v>
      </c>
      <c r="S17" s="53">
        <v>123</v>
      </c>
      <c r="T17" s="16">
        <f t="shared" si="1"/>
        <v>27</v>
      </c>
      <c r="U17" s="53">
        <v>138</v>
      </c>
      <c r="V17" s="16">
        <f t="shared" si="2"/>
        <v>3726</v>
      </c>
      <c r="W17" s="53">
        <v>6</v>
      </c>
      <c r="X17" s="53" t="s">
        <v>46</v>
      </c>
      <c r="Y17" s="53" t="s">
        <v>55</v>
      </c>
      <c r="Z17" s="53" t="s">
        <v>78</v>
      </c>
      <c r="AA17" s="53" t="s">
        <v>86</v>
      </c>
      <c r="AB17" s="53" t="s">
        <v>158</v>
      </c>
      <c r="AE17" s="22" t="s">
        <v>85</v>
      </c>
      <c r="AP17" s="27" t="s">
        <v>110</v>
      </c>
      <c r="AR17" s="23" t="s">
        <v>96</v>
      </c>
      <c r="AV17" s="23" t="s">
        <v>86</v>
      </c>
    </row>
    <row r="18" spans="1:48" x14ac:dyDescent="0.15">
      <c r="A18" s="53" t="s">
        <v>56</v>
      </c>
      <c r="B18" s="53" t="s">
        <v>256</v>
      </c>
      <c r="C18" s="53">
        <v>2019</v>
      </c>
      <c r="D18" s="178" t="s">
        <v>333</v>
      </c>
      <c r="E18" s="53" t="s">
        <v>162</v>
      </c>
      <c r="F18" s="53" t="s">
        <v>379</v>
      </c>
      <c r="G18" s="53" t="s">
        <v>42</v>
      </c>
      <c r="H18" s="53" t="s">
        <v>160</v>
      </c>
      <c r="I18" s="53" t="s">
        <v>159</v>
      </c>
      <c r="J18" s="53" t="s">
        <v>38</v>
      </c>
      <c r="K18" s="53" t="s">
        <v>161</v>
      </c>
      <c r="L18" s="53">
        <v>2</v>
      </c>
      <c r="N18" s="53">
        <v>1</v>
      </c>
      <c r="O18" s="53">
        <v>0.8</v>
      </c>
      <c r="P18" s="53">
        <v>0.7</v>
      </c>
      <c r="Q18" s="74">
        <f t="shared" si="0"/>
        <v>0.75</v>
      </c>
      <c r="R18" s="53">
        <v>15.1</v>
      </c>
      <c r="S18" s="53">
        <v>122</v>
      </c>
      <c r="T18" s="16">
        <f t="shared" si="1"/>
        <v>27</v>
      </c>
      <c r="U18" s="53">
        <v>138</v>
      </c>
      <c r="V18" s="16">
        <f t="shared" si="2"/>
        <v>3726</v>
      </c>
      <c r="W18" s="53">
        <v>6</v>
      </c>
      <c r="X18" s="53" t="s">
        <v>46</v>
      </c>
      <c r="Y18" s="53" t="s">
        <v>55</v>
      </c>
      <c r="Z18" s="53" t="s">
        <v>78</v>
      </c>
      <c r="AA18" s="53" t="s">
        <v>86</v>
      </c>
      <c r="AB18" s="53" t="s">
        <v>158</v>
      </c>
      <c r="AE18" s="22" t="s">
        <v>87</v>
      </c>
      <c r="AP18" s="27" t="s">
        <v>111</v>
      </c>
      <c r="AR18" s="23" t="s">
        <v>101</v>
      </c>
      <c r="AV18" s="23" t="s">
        <v>88</v>
      </c>
    </row>
    <row r="19" spans="1:48" x14ac:dyDescent="0.15">
      <c r="A19" s="53" t="s">
        <v>56</v>
      </c>
      <c r="B19" s="53" t="s">
        <v>256</v>
      </c>
      <c r="C19" s="53">
        <v>2019</v>
      </c>
      <c r="D19" s="178" t="s">
        <v>333</v>
      </c>
      <c r="E19" s="53" t="s">
        <v>162</v>
      </c>
      <c r="F19" s="53" t="s">
        <v>379</v>
      </c>
      <c r="G19" s="53" t="s">
        <v>42</v>
      </c>
      <c r="H19" s="53" t="s">
        <v>160</v>
      </c>
      <c r="I19" s="53" t="s">
        <v>159</v>
      </c>
      <c r="J19" s="53" t="s">
        <v>38</v>
      </c>
      <c r="K19" s="53" t="s">
        <v>161</v>
      </c>
      <c r="L19" s="53">
        <v>3</v>
      </c>
      <c r="N19" s="53">
        <v>1</v>
      </c>
      <c r="O19" s="53">
        <v>0.5</v>
      </c>
      <c r="P19" s="53">
        <v>0.8</v>
      </c>
      <c r="Q19" s="74">
        <f t="shared" si="0"/>
        <v>0.65</v>
      </c>
      <c r="R19" s="53">
        <v>16.100000000000001</v>
      </c>
      <c r="S19" s="53">
        <v>121</v>
      </c>
      <c r="T19" s="16">
        <f t="shared" si="1"/>
        <v>27</v>
      </c>
      <c r="U19" s="53">
        <v>138</v>
      </c>
      <c r="V19" s="16">
        <f t="shared" si="2"/>
        <v>3726</v>
      </c>
      <c r="W19" s="53">
        <v>6</v>
      </c>
      <c r="X19" s="53" t="s">
        <v>46</v>
      </c>
      <c r="Y19" s="53" t="s">
        <v>55</v>
      </c>
      <c r="Z19" s="53" t="s">
        <v>78</v>
      </c>
      <c r="AA19" s="53" t="s">
        <v>86</v>
      </c>
      <c r="AB19" s="53" t="s">
        <v>158</v>
      </c>
      <c r="AE19" s="35" t="s">
        <v>89</v>
      </c>
      <c r="AP19" s="27" t="s">
        <v>112</v>
      </c>
      <c r="AR19" s="23" t="s">
        <v>126</v>
      </c>
      <c r="AV19" s="23" t="s">
        <v>90</v>
      </c>
    </row>
    <row r="20" spans="1:48" x14ac:dyDescent="0.15">
      <c r="A20" s="53" t="s">
        <v>56</v>
      </c>
      <c r="B20" s="53" t="s">
        <v>256</v>
      </c>
      <c r="C20" s="53">
        <v>2019</v>
      </c>
      <c r="D20" s="178" t="s">
        <v>333</v>
      </c>
      <c r="E20" s="53" t="s">
        <v>380</v>
      </c>
      <c r="F20" s="53" t="s">
        <v>381</v>
      </c>
      <c r="G20" s="53" t="s">
        <v>42</v>
      </c>
      <c r="H20" s="53" t="s">
        <v>164</v>
      </c>
      <c r="I20" s="53" t="s">
        <v>159</v>
      </c>
      <c r="J20" s="53" t="s">
        <v>38</v>
      </c>
      <c r="K20" s="53" t="s">
        <v>161</v>
      </c>
      <c r="L20" s="53">
        <v>1</v>
      </c>
      <c r="N20" s="53">
        <v>1</v>
      </c>
      <c r="O20" s="53">
        <v>0.55000000000000004</v>
      </c>
      <c r="P20" s="53">
        <v>0.5</v>
      </c>
      <c r="Q20" s="74">
        <f t="shared" si="0"/>
        <v>0.52500000000000002</v>
      </c>
      <c r="R20" s="53">
        <v>12.8</v>
      </c>
      <c r="S20" s="53">
        <v>122</v>
      </c>
      <c r="T20" s="16">
        <f t="shared" si="1"/>
        <v>27</v>
      </c>
      <c r="U20" s="53">
        <v>138</v>
      </c>
      <c r="V20" s="16">
        <f t="shared" si="2"/>
        <v>3726</v>
      </c>
      <c r="W20" s="53">
        <v>6</v>
      </c>
      <c r="X20" s="53" t="s">
        <v>46</v>
      </c>
      <c r="Y20" s="53" t="s">
        <v>55</v>
      </c>
      <c r="Z20" s="53" t="s">
        <v>78</v>
      </c>
      <c r="AA20" s="53" t="s">
        <v>97</v>
      </c>
      <c r="AB20" s="53" t="s">
        <v>158</v>
      </c>
      <c r="AP20" s="27" t="s">
        <v>113</v>
      </c>
      <c r="AR20" s="23" t="s">
        <v>105</v>
      </c>
      <c r="AV20" s="27" t="s">
        <v>135</v>
      </c>
    </row>
    <row r="21" spans="1:48" x14ac:dyDescent="0.15">
      <c r="A21" s="53" t="s">
        <v>56</v>
      </c>
      <c r="B21" s="53" t="s">
        <v>256</v>
      </c>
      <c r="C21" s="53">
        <v>2019</v>
      </c>
      <c r="D21" s="178" t="s">
        <v>333</v>
      </c>
      <c r="E21" s="53" t="s">
        <v>380</v>
      </c>
      <c r="F21" s="53" t="s">
        <v>381</v>
      </c>
      <c r="G21" s="53" t="s">
        <v>42</v>
      </c>
      <c r="H21" s="53" t="s">
        <v>164</v>
      </c>
      <c r="I21" s="53" t="s">
        <v>159</v>
      </c>
      <c r="J21" s="53" t="s">
        <v>38</v>
      </c>
      <c r="K21" s="53" t="s">
        <v>161</v>
      </c>
      <c r="L21" s="53">
        <v>2</v>
      </c>
      <c r="N21" s="53">
        <v>1</v>
      </c>
      <c r="O21" s="53">
        <v>0.5</v>
      </c>
      <c r="P21" s="53">
        <v>0.5</v>
      </c>
      <c r="Q21" s="74">
        <f t="shared" si="0"/>
        <v>0.5</v>
      </c>
      <c r="R21" s="53">
        <v>12.1</v>
      </c>
      <c r="S21" s="53">
        <v>116</v>
      </c>
      <c r="T21" s="16">
        <f t="shared" si="1"/>
        <v>30</v>
      </c>
      <c r="U21" s="53">
        <v>138</v>
      </c>
      <c r="V21" s="16">
        <f t="shared" si="2"/>
        <v>4140</v>
      </c>
      <c r="W21" s="53">
        <v>6</v>
      </c>
      <c r="X21" s="53" t="s">
        <v>46</v>
      </c>
      <c r="Y21" s="53" t="s">
        <v>55</v>
      </c>
      <c r="Z21" s="53" t="s">
        <v>78</v>
      </c>
      <c r="AA21" s="53" t="s">
        <v>97</v>
      </c>
      <c r="AB21" s="53" t="s">
        <v>158</v>
      </c>
      <c r="AP21" s="27" t="s">
        <v>114</v>
      </c>
      <c r="AR21" s="23" t="s">
        <v>68</v>
      </c>
      <c r="AV21" s="28" t="s">
        <v>283</v>
      </c>
    </row>
    <row r="22" spans="1:48" x14ac:dyDescent="0.15">
      <c r="A22" s="53" t="s">
        <v>56</v>
      </c>
      <c r="B22" s="53" t="s">
        <v>256</v>
      </c>
      <c r="C22" s="53">
        <v>2019</v>
      </c>
      <c r="D22" s="178" t="s">
        <v>333</v>
      </c>
      <c r="E22" s="53" t="s">
        <v>380</v>
      </c>
      <c r="F22" s="53" t="s">
        <v>381</v>
      </c>
      <c r="G22" s="53" t="s">
        <v>42</v>
      </c>
      <c r="H22" s="53" t="s">
        <v>164</v>
      </c>
      <c r="I22" s="53" t="s">
        <v>159</v>
      </c>
      <c r="J22" s="53" t="s">
        <v>38</v>
      </c>
      <c r="K22" s="53" t="s">
        <v>161</v>
      </c>
      <c r="L22" s="53">
        <v>3</v>
      </c>
      <c r="N22" s="53">
        <v>1</v>
      </c>
      <c r="O22" s="53">
        <v>0.75</v>
      </c>
      <c r="P22" s="53">
        <v>0.5</v>
      </c>
      <c r="Q22" s="74">
        <f t="shared" si="0"/>
        <v>0.625</v>
      </c>
      <c r="R22" s="53">
        <v>11.8</v>
      </c>
      <c r="S22" s="53">
        <v>114</v>
      </c>
      <c r="T22" s="16">
        <f t="shared" si="1"/>
        <v>30</v>
      </c>
      <c r="U22" s="53">
        <v>138</v>
      </c>
      <c r="V22" s="16">
        <f t="shared" si="2"/>
        <v>4140</v>
      </c>
      <c r="W22" s="53">
        <v>6</v>
      </c>
      <c r="X22" s="53" t="s">
        <v>46</v>
      </c>
      <c r="Y22" s="53" t="s">
        <v>55</v>
      </c>
      <c r="Z22" s="53" t="s">
        <v>78</v>
      </c>
      <c r="AA22" s="53" t="s">
        <v>97</v>
      </c>
      <c r="AB22" s="53" t="s">
        <v>158</v>
      </c>
      <c r="AP22" s="27" t="s">
        <v>115</v>
      </c>
      <c r="AR22" s="23" t="s">
        <v>83</v>
      </c>
    </row>
    <row r="23" spans="1:48" x14ac:dyDescent="0.15">
      <c r="A23" s="53" t="s">
        <v>56</v>
      </c>
      <c r="B23" s="53" t="s">
        <v>256</v>
      </c>
      <c r="C23" s="53">
        <v>2019</v>
      </c>
      <c r="D23" s="178" t="s">
        <v>333</v>
      </c>
      <c r="E23" s="53" t="s">
        <v>380</v>
      </c>
      <c r="F23" s="53" t="s">
        <v>381</v>
      </c>
      <c r="G23" s="53" t="s">
        <v>42</v>
      </c>
      <c r="H23" s="53" t="s">
        <v>160</v>
      </c>
      <c r="I23" s="53" t="s">
        <v>159</v>
      </c>
      <c r="J23" s="53" t="s">
        <v>38</v>
      </c>
      <c r="K23" s="53" t="s">
        <v>161</v>
      </c>
      <c r="L23" s="53">
        <v>1</v>
      </c>
      <c r="N23" s="53">
        <v>1</v>
      </c>
      <c r="O23" s="53">
        <v>0.7</v>
      </c>
      <c r="P23" s="53">
        <v>0.6</v>
      </c>
      <c r="Q23" s="74">
        <f t="shared" si="0"/>
        <v>0.64999999999999991</v>
      </c>
      <c r="R23" s="53">
        <v>16.2</v>
      </c>
      <c r="S23" s="53">
        <v>129</v>
      </c>
      <c r="T23" s="16">
        <f t="shared" si="1"/>
        <v>25</v>
      </c>
      <c r="U23" s="53">
        <v>138</v>
      </c>
      <c r="V23" s="16">
        <f t="shared" si="2"/>
        <v>3450</v>
      </c>
      <c r="W23" s="53">
        <v>6</v>
      </c>
      <c r="X23" s="53" t="s">
        <v>46</v>
      </c>
      <c r="Y23" s="53" t="s">
        <v>55</v>
      </c>
      <c r="Z23" s="53" t="s">
        <v>78</v>
      </c>
      <c r="AA23" s="53" t="s">
        <v>97</v>
      </c>
      <c r="AB23" s="53" t="s">
        <v>158</v>
      </c>
      <c r="AP23" s="27" t="s">
        <v>137</v>
      </c>
      <c r="AR23" s="23" t="s">
        <v>61</v>
      </c>
    </row>
    <row r="24" spans="1:48" x14ac:dyDescent="0.15">
      <c r="A24" s="53" t="s">
        <v>56</v>
      </c>
      <c r="B24" s="53" t="s">
        <v>256</v>
      </c>
      <c r="C24" s="53">
        <v>2019</v>
      </c>
      <c r="D24" s="178" t="s">
        <v>333</v>
      </c>
      <c r="E24" s="53" t="s">
        <v>380</v>
      </c>
      <c r="F24" s="53" t="s">
        <v>381</v>
      </c>
      <c r="G24" s="53" t="s">
        <v>42</v>
      </c>
      <c r="H24" s="53" t="s">
        <v>160</v>
      </c>
      <c r="I24" s="53" t="s">
        <v>159</v>
      </c>
      <c r="J24" s="53" t="s">
        <v>38</v>
      </c>
      <c r="K24" s="53" t="s">
        <v>161</v>
      </c>
      <c r="L24" s="53">
        <v>2</v>
      </c>
      <c r="N24" s="53">
        <v>1</v>
      </c>
      <c r="O24" s="53">
        <v>0.7</v>
      </c>
      <c r="P24" s="53">
        <v>0.75</v>
      </c>
      <c r="Q24" s="74">
        <f t="shared" si="0"/>
        <v>0.72499999999999998</v>
      </c>
      <c r="R24" s="53">
        <v>16.5</v>
      </c>
      <c r="S24" s="53">
        <v>126</v>
      </c>
      <c r="T24" s="16">
        <f t="shared" si="1"/>
        <v>27</v>
      </c>
      <c r="U24" s="53">
        <v>138</v>
      </c>
      <c r="V24" s="16">
        <f t="shared" si="2"/>
        <v>3726</v>
      </c>
      <c r="W24" s="53">
        <v>6</v>
      </c>
      <c r="X24" s="53" t="s">
        <v>46</v>
      </c>
      <c r="Y24" s="53" t="s">
        <v>55</v>
      </c>
      <c r="Z24" s="53" t="s">
        <v>78</v>
      </c>
      <c r="AA24" s="53" t="s">
        <v>97</v>
      </c>
      <c r="AB24" s="53" t="s">
        <v>158</v>
      </c>
      <c r="AP24" s="27" t="s">
        <v>138</v>
      </c>
      <c r="AR24" s="23" t="s">
        <v>91</v>
      </c>
    </row>
    <row r="25" spans="1:48" x14ac:dyDescent="0.15">
      <c r="A25" s="53" t="s">
        <v>56</v>
      </c>
      <c r="B25" s="53" t="s">
        <v>256</v>
      </c>
      <c r="C25" s="53">
        <v>2019</v>
      </c>
      <c r="D25" s="178" t="s">
        <v>333</v>
      </c>
      <c r="E25" s="53" t="s">
        <v>380</v>
      </c>
      <c r="F25" s="53" t="s">
        <v>381</v>
      </c>
      <c r="G25" s="53" t="s">
        <v>42</v>
      </c>
      <c r="H25" s="53" t="s">
        <v>160</v>
      </c>
      <c r="I25" s="53" t="s">
        <v>159</v>
      </c>
      <c r="J25" s="53" t="s">
        <v>38</v>
      </c>
      <c r="K25" s="53" t="s">
        <v>161</v>
      </c>
      <c r="L25" s="53">
        <v>3</v>
      </c>
      <c r="N25" s="53">
        <v>1</v>
      </c>
      <c r="O25" s="53">
        <v>0.8</v>
      </c>
      <c r="P25" s="53">
        <v>0.7</v>
      </c>
      <c r="Q25" s="74">
        <f t="shared" si="0"/>
        <v>0.75</v>
      </c>
      <c r="R25" s="53">
        <v>16.7</v>
      </c>
      <c r="S25" s="53">
        <v>129</v>
      </c>
      <c r="T25" s="16">
        <f t="shared" si="1"/>
        <v>25</v>
      </c>
      <c r="U25" s="53">
        <v>138</v>
      </c>
      <c r="V25" s="16">
        <f t="shared" si="2"/>
        <v>3450</v>
      </c>
      <c r="W25" s="53">
        <v>6</v>
      </c>
      <c r="X25" s="53" t="s">
        <v>46</v>
      </c>
      <c r="Y25" s="53" t="s">
        <v>55</v>
      </c>
      <c r="Z25" s="53" t="s">
        <v>78</v>
      </c>
      <c r="AA25" s="53" t="s">
        <v>97</v>
      </c>
      <c r="AB25" s="53" t="s">
        <v>158</v>
      </c>
      <c r="AP25" s="27" t="s">
        <v>116</v>
      </c>
      <c r="AR25" s="27" t="s">
        <v>92</v>
      </c>
    </row>
    <row r="26" spans="1:48" x14ac:dyDescent="0.15">
      <c r="A26" s="53" t="s">
        <v>56</v>
      </c>
      <c r="B26" s="53" t="s">
        <v>256</v>
      </c>
      <c r="C26" s="53">
        <v>2019</v>
      </c>
      <c r="D26" s="178" t="s">
        <v>333</v>
      </c>
      <c r="E26" s="53" t="s">
        <v>382</v>
      </c>
      <c r="F26" s="53" t="s">
        <v>379</v>
      </c>
      <c r="G26" s="53" t="s">
        <v>42</v>
      </c>
      <c r="H26" s="53" t="s">
        <v>164</v>
      </c>
      <c r="I26" s="53" t="s">
        <v>159</v>
      </c>
      <c r="J26" s="53" t="s">
        <v>38</v>
      </c>
      <c r="K26" s="53" t="s">
        <v>161</v>
      </c>
      <c r="L26" s="53">
        <v>1</v>
      </c>
      <c r="N26" s="53">
        <v>5</v>
      </c>
      <c r="O26" s="53">
        <v>0.55000000000000004</v>
      </c>
      <c r="P26" s="53">
        <v>0.8</v>
      </c>
      <c r="Q26" s="16">
        <f t="shared" si="0"/>
        <v>0.67500000000000004</v>
      </c>
      <c r="R26" s="53">
        <v>16.100000000000001</v>
      </c>
      <c r="S26" s="53">
        <v>102</v>
      </c>
      <c r="T26" s="16">
        <f t="shared" si="1"/>
        <v>33</v>
      </c>
      <c r="U26" s="53">
        <v>418</v>
      </c>
      <c r="V26" s="16">
        <f t="shared" si="2"/>
        <v>2758.7999999999997</v>
      </c>
      <c r="W26" s="53">
        <v>4</v>
      </c>
      <c r="X26" s="53" t="s">
        <v>39</v>
      </c>
      <c r="Y26" s="53" t="s">
        <v>55</v>
      </c>
      <c r="Z26" s="53" t="s">
        <v>78</v>
      </c>
      <c r="AA26" s="53" t="s">
        <v>47</v>
      </c>
      <c r="AB26" s="53" t="s">
        <v>158</v>
      </c>
      <c r="AP26" s="27" t="s">
        <v>117</v>
      </c>
      <c r="AR26" s="53" t="s">
        <v>153</v>
      </c>
    </row>
    <row r="27" spans="1:48" x14ac:dyDescent="0.15">
      <c r="A27" s="53" t="s">
        <v>56</v>
      </c>
      <c r="B27" s="53" t="s">
        <v>256</v>
      </c>
      <c r="C27" s="53">
        <v>2019</v>
      </c>
      <c r="D27" s="178" t="s">
        <v>333</v>
      </c>
      <c r="E27" s="53" t="s">
        <v>382</v>
      </c>
      <c r="F27" s="53" t="s">
        <v>379</v>
      </c>
      <c r="G27" s="53" t="s">
        <v>42</v>
      </c>
      <c r="H27" s="53" t="s">
        <v>164</v>
      </c>
      <c r="I27" s="53" t="s">
        <v>159</v>
      </c>
      <c r="J27" s="53" t="s">
        <v>38</v>
      </c>
      <c r="K27" s="53" t="s">
        <v>161</v>
      </c>
      <c r="L27" s="53">
        <v>2</v>
      </c>
      <c r="N27" s="53">
        <v>5</v>
      </c>
      <c r="O27" s="53">
        <v>0.55000000000000004</v>
      </c>
      <c r="P27" s="53">
        <v>0.6</v>
      </c>
      <c r="Q27" s="16">
        <f t="shared" si="0"/>
        <v>0.57499999999999996</v>
      </c>
      <c r="R27" s="53">
        <v>13.5</v>
      </c>
      <c r="S27" s="53">
        <v>107</v>
      </c>
      <c r="T27" s="16">
        <f t="shared" si="1"/>
        <v>33</v>
      </c>
      <c r="U27" s="53">
        <v>418</v>
      </c>
      <c r="V27" s="16">
        <f t="shared" si="2"/>
        <v>2758.7999999999997</v>
      </c>
      <c r="W27" s="53">
        <v>4</v>
      </c>
      <c r="X27" s="53" t="s">
        <v>39</v>
      </c>
      <c r="Y27" s="53" t="s">
        <v>55</v>
      </c>
      <c r="Z27" s="53" t="s">
        <v>78</v>
      </c>
      <c r="AA27" s="53" t="s">
        <v>47</v>
      </c>
      <c r="AB27" s="53" t="s">
        <v>158</v>
      </c>
      <c r="AP27" s="27" t="s">
        <v>118</v>
      </c>
    </row>
    <row r="28" spans="1:48" x14ac:dyDescent="0.15">
      <c r="A28" s="53" t="s">
        <v>56</v>
      </c>
      <c r="B28" s="53" t="s">
        <v>256</v>
      </c>
      <c r="C28" s="53">
        <v>2019</v>
      </c>
      <c r="D28" s="178" t="s">
        <v>333</v>
      </c>
      <c r="E28" s="53" t="s">
        <v>382</v>
      </c>
      <c r="F28" s="53" t="s">
        <v>379</v>
      </c>
      <c r="G28" s="53" t="s">
        <v>42</v>
      </c>
      <c r="H28" s="53" t="s">
        <v>164</v>
      </c>
      <c r="I28" s="53" t="s">
        <v>159</v>
      </c>
      <c r="J28" s="53" t="s">
        <v>38</v>
      </c>
      <c r="K28" s="53" t="s">
        <v>161</v>
      </c>
      <c r="L28" s="53">
        <v>3</v>
      </c>
      <c r="N28" s="53">
        <v>5</v>
      </c>
      <c r="O28" s="53">
        <v>0.7</v>
      </c>
      <c r="P28" s="53">
        <v>0.7</v>
      </c>
      <c r="Q28" s="16">
        <f t="shared" si="0"/>
        <v>0.7</v>
      </c>
      <c r="R28" s="53">
        <v>11.7</v>
      </c>
      <c r="S28" s="53">
        <v>99</v>
      </c>
      <c r="T28" s="16">
        <f t="shared" si="1"/>
        <v>33</v>
      </c>
      <c r="U28" s="53">
        <v>418</v>
      </c>
      <c r="V28" s="16">
        <f t="shared" si="2"/>
        <v>2758.7999999999997</v>
      </c>
      <c r="W28" s="53">
        <v>4</v>
      </c>
      <c r="X28" s="53" t="s">
        <v>39</v>
      </c>
      <c r="Y28" s="53" t="s">
        <v>55</v>
      </c>
      <c r="Z28" s="53" t="s">
        <v>78</v>
      </c>
      <c r="AA28" s="53" t="s">
        <v>47</v>
      </c>
      <c r="AB28" s="53" t="s">
        <v>158</v>
      </c>
    </row>
    <row r="29" spans="1:48" x14ac:dyDescent="0.15">
      <c r="A29" s="53" t="s">
        <v>56</v>
      </c>
      <c r="B29" s="53" t="s">
        <v>256</v>
      </c>
      <c r="C29" s="53">
        <v>2019</v>
      </c>
      <c r="D29" s="178" t="s">
        <v>333</v>
      </c>
      <c r="E29" s="53" t="s">
        <v>382</v>
      </c>
      <c r="F29" s="53" t="s">
        <v>379</v>
      </c>
      <c r="G29" s="53" t="s">
        <v>42</v>
      </c>
      <c r="H29" s="53" t="s">
        <v>160</v>
      </c>
      <c r="I29" s="53" t="s">
        <v>159</v>
      </c>
      <c r="J29" s="53" t="s">
        <v>38</v>
      </c>
      <c r="K29" s="53" t="s">
        <v>161</v>
      </c>
      <c r="L29" s="53">
        <v>1</v>
      </c>
      <c r="N29" s="53">
        <v>4</v>
      </c>
      <c r="O29" s="53">
        <v>0.75</v>
      </c>
      <c r="P29" s="53">
        <v>0.8</v>
      </c>
      <c r="Q29" s="16">
        <f t="shared" si="0"/>
        <v>0.77500000000000002</v>
      </c>
      <c r="R29" s="53">
        <v>14.5</v>
      </c>
      <c r="S29" s="53">
        <v>109</v>
      </c>
      <c r="T29" s="16">
        <f t="shared" si="1"/>
        <v>33</v>
      </c>
      <c r="U29" s="53">
        <v>418</v>
      </c>
      <c r="V29" s="16">
        <f t="shared" si="2"/>
        <v>3448.5</v>
      </c>
      <c r="W29" s="53">
        <v>4</v>
      </c>
      <c r="X29" s="53" t="s">
        <v>39</v>
      </c>
      <c r="Y29" s="53" t="s">
        <v>55</v>
      </c>
      <c r="Z29" s="53" t="s">
        <v>78</v>
      </c>
      <c r="AA29" s="53" t="s">
        <v>47</v>
      </c>
      <c r="AB29" s="53" t="s">
        <v>158</v>
      </c>
    </row>
    <row r="30" spans="1:48" x14ac:dyDescent="0.15">
      <c r="A30" s="53" t="s">
        <v>56</v>
      </c>
      <c r="B30" s="53" t="s">
        <v>256</v>
      </c>
      <c r="C30" s="53">
        <v>2019</v>
      </c>
      <c r="D30" s="178" t="s">
        <v>333</v>
      </c>
      <c r="E30" s="53" t="s">
        <v>382</v>
      </c>
      <c r="F30" s="53" t="s">
        <v>379</v>
      </c>
      <c r="G30" s="53" t="s">
        <v>42</v>
      </c>
      <c r="H30" s="53" t="s">
        <v>160</v>
      </c>
      <c r="I30" s="53" t="s">
        <v>159</v>
      </c>
      <c r="J30" s="53" t="s">
        <v>38</v>
      </c>
      <c r="K30" s="53" t="s">
        <v>161</v>
      </c>
      <c r="L30" s="53">
        <v>2</v>
      </c>
      <c r="N30" s="53">
        <v>4</v>
      </c>
      <c r="O30" s="53">
        <v>0.7</v>
      </c>
      <c r="P30" s="53">
        <v>0.75</v>
      </c>
      <c r="Q30" s="16">
        <f t="shared" si="0"/>
        <v>0.72499999999999998</v>
      </c>
      <c r="R30" s="53">
        <v>12.8</v>
      </c>
      <c r="S30" s="53">
        <v>98</v>
      </c>
      <c r="T30" s="16">
        <f t="shared" si="1"/>
        <v>36</v>
      </c>
      <c r="U30" s="53">
        <v>418</v>
      </c>
      <c r="V30" s="16">
        <f t="shared" si="2"/>
        <v>3762</v>
      </c>
      <c r="W30" s="53">
        <v>4</v>
      </c>
      <c r="X30" s="53" t="s">
        <v>39</v>
      </c>
      <c r="Y30" s="53" t="s">
        <v>55</v>
      </c>
      <c r="Z30" s="53" t="s">
        <v>78</v>
      </c>
      <c r="AA30" s="53" t="s">
        <v>47</v>
      </c>
      <c r="AB30" s="53" t="s">
        <v>158</v>
      </c>
    </row>
    <row r="31" spans="1:48" x14ac:dyDescent="0.15">
      <c r="A31" s="53" t="s">
        <v>56</v>
      </c>
      <c r="B31" s="53" t="s">
        <v>256</v>
      </c>
      <c r="C31" s="53">
        <v>2019</v>
      </c>
      <c r="D31" s="178" t="s">
        <v>333</v>
      </c>
      <c r="E31" s="53" t="s">
        <v>382</v>
      </c>
      <c r="F31" s="53" t="s">
        <v>379</v>
      </c>
      <c r="G31" s="53" t="s">
        <v>42</v>
      </c>
      <c r="H31" s="53" t="s">
        <v>160</v>
      </c>
      <c r="I31" s="53" t="s">
        <v>159</v>
      </c>
      <c r="J31" s="53" t="s">
        <v>38</v>
      </c>
      <c r="K31" s="53" t="s">
        <v>161</v>
      </c>
      <c r="L31" s="53">
        <v>3</v>
      </c>
      <c r="N31" s="53">
        <v>4</v>
      </c>
      <c r="O31" s="53">
        <v>0.8</v>
      </c>
      <c r="P31" s="53">
        <v>0.7</v>
      </c>
      <c r="Q31" s="16">
        <f t="shared" si="0"/>
        <v>0.75</v>
      </c>
      <c r="R31" s="53">
        <v>12</v>
      </c>
      <c r="S31" s="53">
        <v>95</v>
      </c>
      <c r="T31" s="16">
        <f t="shared" si="1"/>
        <v>36</v>
      </c>
      <c r="U31" s="53">
        <v>418</v>
      </c>
      <c r="V31" s="16">
        <f t="shared" si="2"/>
        <v>3762</v>
      </c>
      <c r="W31" s="53">
        <v>4</v>
      </c>
      <c r="X31" s="53" t="s">
        <v>39</v>
      </c>
      <c r="Y31" s="53" t="s">
        <v>55</v>
      </c>
      <c r="Z31" s="53" t="s">
        <v>78</v>
      </c>
      <c r="AA31" s="53" t="s">
        <v>47</v>
      </c>
      <c r="AB31" s="53" t="s">
        <v>158</v>
      </c>
    </row>
    <row r="32" spans="1:48" x14ac:dyDescent="0.15">
      <c r="A32" s="53" t="s">
        <v>56</v>
      </c>
      <c r="B32" s="53" t="s">
        <v>256</v>
      </c>
      <c r="C32" s="53">
        <v>2019</v>
      </c>
      <c r="D32" s="178" t="s">
        <v>333</v>
      </c>
      <c r="E32" s="53" t="s">
        <v>162</v>
      </c>
      <c r="F32" s="53" t="s">
        <v>376</v>
      </c>
      <c r="G32" s="53" t="s">
        <v>42</v>
      </c>
      <c r="H32" s="53" t="s">
        <v>164</v>
      </c>
      <c r="I32" s="53" t="s">
        <v>159</v>
      </c>
      <c r="J32" s="53" t="s">
        <v>38</v>
      </c>
      <c r="K32" s="53" t="s">
        <v>161</v>
      </c>
      <c r="L32" s="53">
        <v>1</v>
      </c>
      <c r="N32" s="53">
        <v>1</v>
      </c>
      <c r="O32" s="53">
        <v>0.8</v>
      </c>
      <c r="P32" s="53">
        <v>0.8</v>
      </c>
      <c r="Q32" s="16">
        <f t="shared" si="0"/>
        <v>0.8</v>
      </c>
      <c r="R32" s="53">
        <v>14.2</v>
      </c>
      <c r="S32" s="53">
        <v>120</v>
      </c>
      <c r="T32" s="16">
        <f t="shared" si="1"/>
        <v>30</v>
      </c>
      <c r="U32" s="53">
        <v>106</v>
      </c>
      <c r="V32" s="16">
        <f t="shared" si="2"/>
        <v>3180</v>
      </c>
      <c r="W32" s="53">
        <v>2</v>
      </c>
      <c r="X32" s="53" t="s">
        <v>46</v>
      </c>
      <c r="Y32" s="53" t="s">
        <v>55</v>
      </c>
      <c r="Z32" s="53" t="s">
        <v>64</v>
      </c>
      <c r="AA32" s="53" t="s">
        <v>69</v>
      </c>
      <c r="AB32" s="53" t="s">
        <v>158</v>
      </c>
    </row>
    <row r="33" spans="1:28" x14ac:dyDescent="0.15">
      <c r="A33" s="53" t="s">
        <v>56</v>
      </c>
      <c r="B33" s="53" t="s">
        <v>256</v>
      </c>
      <c r="C33" s="53">
        <v>2019</v>
      </c>
      <c r="D33" s="178" t="s">
        <v>333</v>
      </c>
      <c r="E33" s="53" t="s">
        <v>162</v>
      </c>
      <c r="F33" s="53" t="s">
        <v>376</v>
      </c>
      <c r="G33" s="53" t="s">
        <v>42</v>
      </c>
      <c r="H33" s="53" t="s">
        <v>164</v>
      </c>
      <c r="I33" s="53" t="s">
        <v>159</v>
      </c>
      <c r="J33" s="53" t="s">
        <v>38</v>
      </c>
      <c r="K33" s="53" t="s">
        <v>161</v>
      </c>
      <c r="L33" s="53">
        <v>2</v>
      </c>
      <c r="N33" s="53">
        <v>1</v>
      </c>
      <c r="O33" s="53">
        <v>0.6</v>
      </c>
      <c r="P33" s="53">
        <v>0.5</v>
      </c>
      <c r="Q33" s="16">
        <f t="shared" si="0"/>
        <v>0.55000000000000004</v>
      </c>
      <c r="R33" s="53">
        <v>15.6</v>
      </c>
      <c r="S33" s="53">
        <v>119</v>
      </c>
      <c r="T33" s="16">
        <f t="shared" si="1"/>
        <v>30</v>
      </c>
      <c r="U33" s="53">
        <v>106</v>
      </c>
      <c r="V33" s="16">
        <f t="shared" si="2"/>
        <v>3180</v>
      </c>
      <c r="W33" s="53">
        <v>2</v>
      </c>
      <c r="X33" s="53" t="s">
        <v>46</v>
      </c>
      <c r="Y33" s="53" t="s">
        <v>55</v>
      </c>
      <c r="Z33" s="53" t="s">
        <v>64</v>
      </c>
      <c r="AA33" s="53" t="s">
        <v>69</v>
      </c>
      <c r="AB33" s="53" t="s">
        <v>158</v>
      </c>
    </row>
    <row r="34" spans="1:28" x14ac:dyDescent="0.15">
      <c r="A34" s="53" t="s">
        <v>56</v>
      </c>
      <c r="B34" s="53" t="s">
        <v>256</v>
      </c>
      <c r="C34" s="53">
        <v>2019</v>
      </c>
      <c r="D34" s="178" t="s">
        <v>333</v>
      </c>
      <c r="E34" s="53" t="s">
        <v>162</v>
      </c>
      <c r="F34" s="53" t="s">
        <v>376</v>
      </c>
      <c r="G34" s="53" t="s">
        <v>42</v>
      </c>
      <c r="H34" s="53" t="s">
        <v>164</v>
      </c>
      <c r="I34" s="53" t="s">
        <v>159</v>
      </c>
      <c r="J34" s="53" t="s">
        <v>38</v>
      </c>
      <c r="K34" s="53" t="s">
        <v>161</v>
      </c>
      <c r="L34" s="53">
        <v>3</v>
      </c>
      <c r="N34" s="53">
        <v>1</v>
      </c>
      <c r="O34" s="53">
        <v>0.9</v>
      </c>
      <c r="P34" s="53">
        <v>0.9</v>
      </c>
      <c r="Q34" s="16">
        <f t="shared" si="0"/>
        <v>0.9</v>
      </c>
      <c r="R34" s="53">
        <v>13.4</v>
      </c>
      <c r="S34" s="53">
        <v>121</v>
      </c>
      <c r="T34" s="16">
        <f t="shared" si="1"/>
        <v>27</v>
      </c>
      <c r="U34" s="53">
        <v>106</v>
      </c>
      <c r="V34" s="16">
        <f t="shared" si="2"/>
        <v>2862</v>
      </c>
      <c r="W34" s="53">
        <v>2</v>
      </c>
      <c r="X34" s="53" t="s">
        <v>46</v>
      </c>
      <c r="Y34" s="53" t="s">
        <v>55</v>
      </c>
      <c r="Z34" s="53" t="s">
        <v>64</v>
      </c>
      <c r="AA34" s="53" t="s">
        <v>69</v>
      </c>
      <c r="AB34" s="53" t="s">
        <v>158</v>
      </c>
    </row>
    <row r="35" spans="1:28" x14ac:dyDescent="0.15">
      <c r="A35" s="53" t="s">
        <v>56</v>
      </c>
      <c r="B35" s="53" t="s">
        <v>256</v>
      </c>
      <c r="C35" s="53">
        <v>2019</v>
      </c>
      <c r="D35" s="178" t="s">
        <v>333</v>
      </c>
      <c r="E35" s="53" t="s">
        <v>162</v>
      </c>
      <c r="F35" s="53" t="s">
        <v>376</v>
      </c>
      <c r="G35" s="53" t="s">
        <v>42</v>
      </c>
      <c r="H35" s="53" t="s">
        <v>160</v>
      </c>
      <c r="I35" s="53" t="s">
        <v>159</v>
      </c>
      <c r="J35" s="53" t="s">
        <v>38</v>
      </c>
      <c r="K35" s="53" t="s">
        <v>161</v>
      </c>
      <c r="L35" s="53">
        <v>1</v>
      </c>
      <c r="N35" s="53">
        <v>1</v>
      </c>
      <c r="O35" s="53">
        <v>0.9</v>
      </c>
      <c r="P35" s="53">
        <v>0.95</v>
      </c>
      <c r="Q35" s="16">
        <f t="shared" si="0"/>
        <v>0.92500000000000004</v>
      </c>
      <c r="R35" s="53">
        <v>17</v>
      </c>
      <c r="S35" s="53">
        <v>117</v>
      </c>
      <c r="T35" s="16">
        <f t="shared" si="1"/>
        <v>30</v>
      </c>
      <c r="U35" s="53">
        <v>138</v>
      </c>
      <c r="V35" s="16">
        <f t="shared" si="2"/>
        <v>4140</v>
      </c>
      <c r="W35" s="53">
        <v>2</v>
      </c>
      <c r="X35" s="53" t="s">
        <v>46</v>
      </c>
      <c r="Y35" s="53" t="s">
        <v>55</v>
      </c>
      <c r="Z35" s="53" t="s">
        <v>64</v>
      </c>
      <c r="AA35" s="53" t="s">
        <v>69</v>
      </c>
      <c r="AB35" s="53" t="s">
        <v>158</v>
      </c>
    </row>
    <row r="36" spans="1:28" x14ac:dyDescent="0.15">
      <c r="A36" s="53" t="s">
        <v>56</v>
      </c>
      <c r="B36" s="53" t="s">
        <v>256</v>
      </c>
      <c r="C36" s="53">
        <v>2019</v>
      </c>
      <c r="D36" s="178" t="s">
        <v>333</v>
      </c>
      <c r="E36" s="53" t="s">
        <v>162</v>
      </c>
      <c r="F36" s="53" t="s">
        <v>376</v>
      </c>
      <c r="G36" s="53" t="s">
        <v>42</v>
      </c>
      <c r="H36" s="53" t="s">
        <v>160</v>
      </c>
      <c r="I36" s="53" t="s">
        <v>159</v>
      </c>
      <c r="J36" s="53" t="s">
        <v>38</v>
      </c>
      <c r="K36" s="53" t="s">
        <v>161</v>
      </c>
      <c r="L36" s="53">
        <v>2</v>
      </c>
      <c r="N36" s="53">
        <v>1</v>
      </c>
      <c r="O36" s="53">
        <v>0.8</v>
      </c>
      <c r="P36" s="53">
        <v>0.85</v>
      </c>
      <c r="Q36" s="16">
        <f t="shared" si="0"/>
        <v>0.82499999999999996</v>
      </c>
      <c r="R36" s="53">
        <v>16.7</v>
      </c>
      <c r="S36" s="53">
        <v>122</v>
      </c>
      <c r="T36" s="16">
        <f t="shared" si="1"/>
        <v>27</v>
      </c>
      <c r="U36" s="53">
        <v>138</v>
      </c>
      <c r="V36" s="16">
        <f t="shared" si="2"/>
        <v>3726</v>
      </c>
      <c r="W36" s="53">
        <v>2</v>
      </c>
      <c r="X36" s="53" t="s">
        <v>46</v>
      </c>
      <c r="Y36" s="53" t="s">
        <v>55</v>
      </c>
      <c r="Z36" s="53" t="s">
        <v>64</v>
      </c>
      <c r="AA36" s="53" t="s">
        <v>69</v>
      </c>
      <c r="AB36" s="53" t="s">
        <v>158</v>
      </c>
    </row>
    <row r="37" spans="1:28" x14ac:dyDescent="0.15">
      <c r="A37" s="53" t="s">
        <v>56</v>
      </c>
      <c r="B37" s="53" t="s">
        <v>256</v>
      </c>
      <c r="C37" s="53">
        <v>2019</v>
      </c>
      <c r="D37" s="178" t="s">
        <v>333</v>
      </c>
      <c r="E37" s="53" t="s">
        <v>162</v>
      </c>
      <c r="F37" s="53" t="s">
        <v>376</v>
      </c>
      <c r="G37" s="53" t="s">
        <v>42</v>
      </c>
      <c r="H37" s="53" t="s">
        <v>160</v>
      </c>
      <c r="I37" s="53" t="s">
        <v>159</v>
      </c>
      <c r="J37" s="53" t="s">
        <v>38</v>
      </c>
      <c r="K37" s="53" t="s">
        <v>161</v>
      </c>
      <c r="L37" s="53">
        <v>3</v>
      </c>
      <c r="N37" s="53">
        <v>1</v>
      </c>
      <c r="O37" s="53">
        <v>0.8</v>
      </c>
      <c r="P37" s="53">
        <v>0.8</v>
      </c>
      <c r="Q37" s="16">
        <f t="shared" si="0"/>
        <v>0.8</v>
      </c>
      <c r="R37" s="53">
        <v>16.8</v>
      </c>
      <c r="S37" s="53">
        <v>114</v>
      </c>
      <c r="T37" s="16">
        <f t="shared" si="1"/>
        <v>30</v>
      </c>
      <c r="U37" s="53">
        <v>138</v>
      </c>
      <c r="V37" s="16">
        <f t="shared" si="2"/>
        <v>4140</v>
      </c>
      <c r="W37" s="53">
        <v>2</v>
      </c>
      <c r="X37" s="53" t="s">
        <v>46</v>
      </c>
      <c r="Y37" s="53" t="s">
        <v>55</v>
      </c>
      <c r="Z37" s="53" t="s">
        <v>64</v>
      </c>
      <c r="AA37" s="53" t="s">
        <v>69</v>
      </c>
      <c r="AB37" s="53" t="s">
        <v>158</v>
      </c>
    </row>
    <row r="38" spans="1:28" x14ac:dyDescent="0.15">
      <c r="A38" s="53" t="s">
        <v>56</v>
      </c>
      <c r="B38" s="53" t="s">
        <v>256</v>
      </c>
      <c r="C38" s="53">
        <v>2019</v>
      </c>
      <c r="D38" s="178" t="s">
        <v>333</v>
      </c>
      <c r="E38" s="53" t="s">
        <v>383</v>
      </c>
      <c r="F38" s="53" t="s">
        <v>376</v>
      </c>
      <c r="G38" s="53" t="s">
        <v>42</v>
      </c>
      <c r="H38" s="53" t="s">
        <v>164</v>
      </c>
      <c r="I38" s="53" t="s">
        <v>159</v>
      </c>
      <c r="J38" s="53" t="s">
        <v>38</v>
      </c>
      <c r="K38" s="53" t="s">
        <v>161</v>
      </c>
      <c r="L38" s="53">
        <v>1</v>
      </c>
      <c r="N38" s="53">
        <v>1</v>
      </c>
      <c r="O38" s="53">
        <v>0.9</v>
      </c>
      <c r="P38" s="53">
        <v>1.1000000000000001</v>
      </c>
      <c r="Q38" s="16">
        <f t="shared" si="0"/>
        <v>1</v>
      </c>
      <c r="R38" s="53">
        <v>16.600000000000001</v>
      </c>
      <c r="S38" s="53">
        <v>131</v>
      </c>
      <c r="T38" s="16">
        <f t="shared" si="1"/>
        <v>25</v>
      </c>
      <c r="U38" s="53">
        <v>138</v>
      </c>
      <c r="V38" s="16">
        <f t="shared" si="2"/>
        <v>3450</v>
      </c>
      <c r="W38" s="53">
        <v>1</v>
      </c>
      <c r="X38" s="53" t="s">
        <v>39</v>
      </c>
      <c r="Y38" s="53" t="s">
        <v>64</v>
      </c>
      <c r="Z38" s="53" t="s">
        <v>47</v>
      </c>
      <c r="AA38" s="53" t="s">
        <v>69</v>
      </c>
      <c r="AB38" s="53" t="s">
        <v>158</v>
      </c>
    </row>
    <row r="39" spans="1:28" x14ac:dyDescent="0.15">
      <c r="A39" s="53" t="s">
        <v>56</v>
      </c>
      <c r="B39" s="53" t="s">
        <v>256</v>
      </c>
      <c r="C39" s="53">
        <v>2019</v>
      </c>
      <c r="D39" s="178" t="s">
        <v>333</v>
      </c>
      <c r="E39" s="53" t="s">
        <v>383</v>
      </c>
      <c r="F39" s="53" t="s">
        <v>376</v>
      </c>
      <c r="G39" s="53" t="s">
        <v>42</v>
      </c>
      <c r="H39" s="53" t="s">
        <v>164</v>
      </c>
      <c r="I39" s="53" t="s">
        <v>159</v>
      </c>
      <c r="J39" s="53" t="s">
        <v>38</v>
      </c>
      <c r="K39" s="53" t="s">
        <v>161</v>
      </c>
      <c r="L39" s="53">
        <v>2</v>
      </c>
      <c r="N39" s="53">
        <v>1</v>
      </c>
      <c r="O39" s="53">
        <v>0.75</v>
      </c>
      <c r="P39" s="53">
        <v>0.75</v>
      </c>
      <c r="Q39" s="16">
        <f t="shared" si="0"/>
        <v>0.75</v>
      </c>
      <c r="R39" s="53">
        <v>15.3</v>
      </c>
      <c r="S39" s="53">
        <v>129</v>
      </c>
      <c r="T39" s="16">
        <f t="shared" si="1"/>
        <v>25</v>
      </c>
      <c r="U39" s="53">
        <v>138</v>
      </c>
      <c r="V39" s="16">
        <f t="shared" si="2"/>
        <v>3450</v>
      </c>
      <c r="W39" s="53">
        <v>1</v>
      </c>
      <c r="X39" s="53" t="s">
        <v>39</v>
      </c>
      <c r="Y39" s="53" t="s">
        <v>64</v>
      </c>
      <c r="Z39" s="53" t="s">
        <v>47</v>
      </c>
      <c r="AA39" s="53" t="s">
        <v>69</v>
      </c>
      <c r="AB39" s="53" t="s">
        <v>158</v>
      </c>
    </row>
    <row r="40" spans="1:28" x14ac:dyDescent="0.15">
      <c r="A40" s="53" t="s">
        <v>56</v>
      </c>
      <c r="B40" s="53" t="s">
        <v>256</v>
      </c>
      <c r="C40" s="53">
        <v>2019</v>
      </c>
      <c r="D40" s="178" t="s">
        <v>333</v>
      </c>
      <c r="E40" s="53" t="s">
        <v>383</v>
      </c>
      <c r="F40" s="53" t="s">
        <v>376</v>
      </c>
      <c r="G40" s="53" t="s">
        <v>42</v>
      </c>
      <c r="H40" s="53" t="s">
        <v>164</v>
      </c>
      <c r="I40" s="53" t="s">
        <v>159</v>
      </c>
      <c r="J40" s="53" t="s">
        <v>38</v>
      </c>
      <c r="K40" s="53" t="s">
        <v>161</v>
      </c>
      <c r="L40" s="53">
        <v>3</v>
      </c>
      <c r="N40" s="53">
        <v>1</v>
      </c>
      <c r="O40" s="53">
        <v>1.1499999999999999</v>
      </c>
      <c r="P40" s="53">
        <v>1.2</v>
      </c>
      <c r="Q40" s="16">
        <f t="shared" si="0"/>
        <v>1.1749999999999998</v>
      </c>
      <c r="R40" s="53">
        <v>14.1</v>
      </c>
      <c r="S40" s="53">
        <v>126</v>
      </c>
      <c r="T40" s="16">
        <f t="shared" si="1"/>
        <v>27</v>
      </c>
      <c r="U40" s="53">
        <v>138</v>
      </c>
      <c r="V40" s="16">
        <f t="shared" si="2"/>
        <v>3726</v>
      </c>
      <c r="W40" s="53">
        <v>1</v>
      </c>
      <c r="X40" s="53" t="s">
        <v>39</v>
      </c>
      <c r="Y40" s="53" t="s">
        <v>64</v>
      </c>
      <c r="Z40" s="53" t="s">
        <v>47</v>
      </c>
      <c r="AA40" s="53" t="s">
        <v>69</v>
      </c>
      <c r="AB40" s="53" t="s">
        <v>158</v>
      </c>
    </row>
    <row r="41" spans="1:28" x14ac:dyDescent="0.15">
      <c r="A41" s="53" t="s">
        <v>56</v>
      </c>
      <c r="B41" s="53" t="s">
        <v>256</v>
      </c>
      <c r="C41" s="53">
        <v>2019</v>
      </c>
      <c r="D41" s="178" t="s">
        <v>333</v>
      </c>
      <c r="E41" s="53" t="s">
        <v>383</v>
      </c>
      <c r="F41" s="53" t="s">
        <v>376</v>
      </c>
      <c r="G41" s="53" t="s">
        <v>42</v>
      </c>
      <c r="H41" s="53" t="s">
        <v>160</v>
      </c>
      <c r="I41" s="53" t="s">
        <v>159</v>
      </c>
      <c r="J41" s="53" t="s">
        <v>38</v>
      </c>
      <c r="K41" s="53" t="s">
        <v>161</v>
      </c>
      <c r="L41" s="53">
        <v>1</v>
      </c>
      <c r="N41" s="53">
        <v>1</v>
      </c>
      <c r="O41" s="53">
        <v>0.6</v>
      </c>
      <c r="P41" s="53">
        <v>0.65</v>
      </c>
      <c r="Q41" s="16">
        <f t="shared" si="0"/>
        <v>0.625</v>
      </c>
      <c r="R41" s="53">
        <v>17</v>
      </c>
      <c r="S41" s="53">
        <v>129</v>
      </c>
      <c r="T41" s="16">
        <f t="shared" si="1"/>
        <v>25</v>
      </c>
      <c r="U41" s="53">
        <v>150</v>
      </c>
      <c r="V41" s="16">
        <f t="shared" si="2"/>
        <v>3750</v>
      </c>
      <c r="W41" s="53">
        <v>1</v>
      </c>
      <c r="X41" s="53" t="s">
        <v>39</v>
      </c>
      <c r="Y41" s="53" t="s">
        <v>64</v>
      </c>
      <c r="Z41" s="53" t="s">
        <v>47</v>
      </c>
      <c r="AA41" s="53" t="s">
        <v>69</v>
      </c>
      <c r="AB41" s="53" t="s">
        <v>158</v>
      </c>
    </row>
    <row r="42" spans="1:28" x14ac:dyDescent="0.15">
      <c r="A42" s="53" t="s">
        <v>56</v>
      </c>
      <c r="B42" s="53" t="s">
        <v>256</v>
      </c>
      <c r="C42" s="53">
        <v>2019</v>
      </c>
      <c r="D42" s="178" t="s">
        <v>333</v>
      </c>
      <c r="E42" s="53" t="s">
        <v>383</v>
      </c>
      <c r="F42" s="53" t="s">
        <v>376</v>
      </c>
      <c r="G42" s="53" t="s">
        <v>42</v>
      </c>
      <c r="H42" s="53" t="s">
        <v>160</v>
      </c>
      <c r="I42" s="53" t="s">
        <v>159</v>
      </c>
      <c r="J42" s="53" t="s">
        <v>38</v>
      </c>
      <c r="K42" s="53" t="s">
        <v>161</v>
      </c>
      <c r="L42" s="53">
        <v>2</v>
      </c>
      <c r="N42" s="53">
        <v>1</v>
      </c>
      <c r="O42" s="53">
        <v>0.65</v>
      </c>
      <c r="P42" s="53">
        <v>0.6</v>
      </c>
      <c r="Q42" s="16">
        <f t="shared" si="0"/>
        <v>0.625</v>
      </c>
      <c r="R42" s="53">
        <v>17.399999999999999</v>
      </c>
      <c r="S42" s="53">
        <v>136</v>
      </c>
      <c r="T42" s="16">
        <f t="shared" si="1"/>
        <v>25</v>
      </c>
      <c r="U42" s="53">
        <v>150</v>
      </c>
      <c r="V42" s="16">
        <f t="shared" si="2"/>
        <v>3750</v>
      </c>
      <c r="W42" s="53">
        <v>1</v>
      </c>
      <c r="X42" s="53" t="s">
        <v>39</v>
      </c>
      <c r="Y42" s="53" t="s">
        <v>64</v>
      </c>
      <c r="Z42" s="53" t="s">
        <v>47</v>
      </c>
      <c r="AA42" s="53" t="s">
        <v>69</v>
      </c>
      <c r="AB42" s="53" t="s">
        <v>158</v>
      </c>
    </row>
    <row r="43" spans="1:28" x14ac:dyDescent="0.15">
      <c r="A43" s="53" t="s">
        <v>56</v>
      </c>
      <c r="B43" s="53" t="s">
        <v>256</v>
      </c>
      <c r="C43" s="53">
        <v>2019</v>
      </c>
      <c r="D43" s="178" t="s">
        <v>333</v>
      </c>
      <c r="E43" s="53" t="s">
        <v>383</v>
      </c>
      <c r="F43" s="53" t="s">
        <v>376</v>
      </c>
      <c r="G43" s="53" t="s">
        <v>42</v>
      </c>
      <c r="H43" s="53" t="s">
        <v>160</v>
      </c>
      <c r="I43" s="53" t="s">
        <v>159</v>
      </c>
      <c r="J43" s="53" t="s">
        <v>38</v>
      </c>
      <c r="K43" s="53" t="s">
        <v>161</v>
      </c>
      <c r="L43" s="53">
        <v>3</v>
      </c>
      <c r="N43" s="53">
        <v>1</v>
      </c>
      <c r="O43" s="53">
        <v>0.7</v>
      </c>
      <c r="P43" s="53">
        <v>0.7</v>
      </c>
      <c r="Q43" s="16">
        <f t="shared" si="0"/>
        <v>0.7</v>
      </c>
      <c r="R43" s="53">
        <v>16.5</v>
      </c>
      <c r="S43" s="53">
        <v>132</v>
      </c>
      <c r="T43" s="16">
        <f t="shared" si="1"/>
        <v>25</v>
      </c>
      <c r="U43" s="53">
        <v>150</v>
      </c>
      <c r="V43" s="16">
        <f t="shared" si="2"/>
        <v>3750</v>
      </c>
      <c r="W43" s="53">
        <v>1</v>
      </c>
      <c r="X43" s="53" t="s">
        <v>39</v>
      </c>
      <c r="Y43" s="53" t="s">
        <v>64</v>
      </c>
      <c r="Z43" s="53" t="s">
        <v>47</v>
      </c>
      <c r="AA43" s="53" t="s">
        <v>69</v>
      </c>
      <c r="AB43" s="53" t="s">
        <v>158</v>
      </c>
    </row>
    <row r="44" spans="1:28" x14ac:dyDescent="0.15">
      <c r="A44" s="53" t="s">
        <v>56</v>
      </c>
      <c r="B44" s="53" t="s">
        <v>256</v>
      </c>
      <c r="C44" s="53">
        <v>2019</v>
      </c>
      <c r="D44" s="178" t="s">
        <v>333</v>
      </c>
      <c r="E44" s="53" t="s">
        <v>384</v>
      </c>
      <c r="F44" s="53" t="s">
        <v>367</v>
      </c>
      <c r="G44" s="53" t="s">
        <v>42</v>
      </c>
      <c r="H44" s="53" t="s">
        <v>160</v>
      </c>
      <c r="I44" s="53" t="s">
        <v>159</v>
      </c>
      <c r="J44" s="53" t="s">
        <v>38</v>
      </c>
      <c r="K44" s="53" t="s">
        <v>161</v>
      </c>
      <c r="L44" s="53">
        <v>1</v>
      </c>
      <c r="N44" s="53">
        <v>1</v>
      </c>
      <c r="O44" s="53">
        <v>0.9</v>
      </c>
      <c r="P44" s="53">
        <v>0.75</v>
      </c>
      <c r="Q44" s="16">
        <f t="shared" si="0"/>
        <v>0.82499999999999996</v>
      </c>
      <c r="R44" s="53">
        <v>17.5</v>
      </c>
      <c r="S44" s="53">
        <v>120</v>
      </c>
      <c r="T44" s="16">
        <f t="shared" si="1"/>
        <v>30</v>
      </c>
      <c r="U44" s="53">
        <v>83</v>
      </c>
      <c r="V44" s="16">
        <f t="shared" si="2"/>
        <v>2490</v>
      </c>
      <c r="W44" s="53">
        <v>2</v>
      </c>
      <c r="X44" s="53" t="s">
        <v>39</v>
      </c>
      <c r="Y44" s="53" t="s">
        <v>47</v>
      </c>
      <c r="Z44" s="53" t="s">
        <v>69</v>
      </c>
      <c r="AA44" s="53" t="s">
        <v>55</v>
      </c>
      <c r="AB44" s="53" t="s">
        <v>158</v>
      </c>
    </row>
    <row r="45" spans="1:28" x14ac:dyDescent="0.15">
      <c r="A45" s="53" t="s">
        <v>56</v>
      </c>
      <c r="B45" s="53" t="s">
        <v>256</v>
      </c>
      <c r="C45" s="53">
        <v>2019</v>
      </c>
      <c r="D45" s="178" t="s">
        <v>333</v>
      </c>
      <c r="E45" s="53" t="s">
        <v>384</v>
      </c>
      <c r="F45" s="53" t="s">
        <v>367</v>
      </c>
      <c r="G45" s="53" t="s">
        <v>42</v>
      </c>
      <c r="H45" s="53" t="s">
        <v>160</v>
      </c>
      <c r="I45" s="53" t="s">
        <v>159</v>
      </c>
      <c r="J45" s="53" t="s">
        <v>38</v>
      </c>
      <c r="K45" s="53" t="s">
        <v>161</v>
      </c>
      <c r="L45" s="53">
        <v>2</v>
      </c>
      <c r="N45" s="53">
        <v>1</v>
      </c>
      <c r="O45" s="53">
        <v>0.6</v>
      </c>
      <c r="P45" s="53">
        <v>0.7</v>
      </c>
      <c r="Q45" s="16">
        <f t="shared" si="0"/>
        <v>0.64999999999999991</v>
      </c>
      <c r="R45" s="53">
        <v>17.100000000000001</v>
      </c>
      <c r="S45" s="53">
        <v>117</v>
      </c>
      <c r="T45" s="16">
        <f t="shared" si="1"/>
        <v>30</v>
      </c>
      <c r="U45" s="53">
        <v>83</v>
      </c>
      <c r="V45" s="16">
        <f t="shared" si="2"/>
        <v>2490</v>
      </c>
      <c r="W45" s="53">
        <v>2</v>
      </c>
      <c r="X45" s="53" t="s">
        <v>39</v>
      </c>
      <c r="Y45" s="53" t="s">
        <v>47</v>
      </c>
      <c r="Z45" s="53" t="s">
        <v>69</v>
      </c>
      <c r="AA45" s="53" t="s">
        <v>55</v>
      </c>
      <c r="AB45" s="53" t="s">
        <v>158</v>
      </c>
    </row>
    <row r="46" spans="1:28" x14ac:dyDescent="0.15">
      <c r="A46" s="53" t="s">
        <v>56</v>
      </c>
      <c r="B46" s="53" t="s">
        <v>256</v>
      </c>
      <c r="C46" s="53">
        <v>2019</v>
      </c>
      <c r="D46" s="178" t="s">
        <v>333</v>
      </c>
      <c r="E46" s="53" t="s">
        <v>384</v>
      </c>
      <c r="F46" s="53" t="s">
        <v>367</v>
      </c>
      <c r="G46" s="53" t="s">
        <v>42</v>
      </c>
      <c r="H46" s="53" t="s">
        <v>160</v>
      </c>
      <c r="I46" s="53" t="s">
        <v>159</v>
      </c>
      <c r="J46" s="53" t="s">
        <v>38</v>
      </c>
      <c r="K46" s="53" t="s">
        <v>161</v>
      </c>
      <c r="L46" s="53">
        <v>3</v>
      </c>
      <c r="N46" s="53">
        <v>1</v>
      </c>
      <c r="O46" s="53">
        <v>0.8</v>
      </c>
      <c r="P46" s="53">
        <v>0.9</v>
      </c>
      <c r="Q46" s="16">
        <f t="shared" si="0"/>
        <v>0.85000000000000009</v>
      </c>
      <c r="R46" s="53">
        <v>16.600000000000001</v>
      </c>
      <c r="S46" s="53">
        <v>120</v>
      </c>
      <c r="T46" s="16">
        <f t="shared" si="1"/>
        <v>30</v>
      </c>
      <c r="U46" s="53">
        <v>83</v>
      </c>
      <c r="V46" s="16">
        <f t="shared" si="2"/>
        <v>2490</v>
      </c>
      <c r="W46" s="53">
        <v>2</v>
      </c>
      <c r="X46" s="53" t="s">
        <v>39</v>
      </c>
      <c r="Y46" s="53" t="s">
        <v>47</v>
      </c>
      <c r="Z46" s="53" t="s">
        <v>69</v>
      </c>
      <c r="AA46" s="53" t="s">
        <v>55</v>
      </c>
      <c r="AB46" s="53" t="s">
        <v>158</v>
      </c>
    </row>
    <row r="47" spans="1:28" x14ac:dyDescent="0.15">
      <c r="A47" s="53" t="s">
        <v>56</v>
      </c>
      <c r="B47" s="53" t="s">
        <v>256</v>
      </c>
      <c r="C47" s="53">
        <v>2019</v>
      </c>
      <c r="D47" s="178" t="s">
        <v>333</v>
      </c>
      <c r="E47" s="53" t="s">
        <v>377</v>
      </c>
      <c r="F47" s="53" t="s">
        <v>379</v>
      </c>
      <c r="G47" s="53" t="s">
        <v>42</v>
      </c>
      <c r="H47" s="53" t="s">
        <v>164</v>
      </c>
      <c r="I47" s="53" t="s">
        <v>159</v>
      </c>
      <c r="J47" s="53" t="s">
        <v>38</v>
      </c>
      <c r="K47" s="53" t="s">
        <v>161</v>
      </c>
      <c r="L47" s="53">
        <v>1</v>
      </c>
      <c r="N47" s="53">
        <v>1</v>
      </c>
      <c r="O47" s="53">
        <v>0.75</v>
      </c>
      <c r="P47" s="53">
        <v>0.75</v>
      </c>
      <c r="Q47" s="16">
        <f t="shared" si="0"/>
        <v>0.75</v>
      </c>
      <c r="R47" s="53">
        <v>12.9</v>
      </c>
      <c r="S47" s="53">
        <v>144</v>
      </c>
      <c r="T47" s="16">
        <f t="shared" si="1"/>
        <v>22</v>
      </c>
      <c r="U47" s="53">
        <v>127</v>
      </c>
      <c r="V47" s="16">
        <f t="shared" si="2"/>
        <v>2794</v>
      </c>
      <c r="W47" s="53">
        <v>6</v>
      </c>
      <c r="X47" s="53" t="s">
        <v>46</v>
      </c>
      <c r="Y47" s="53" t="s">
        <v>55</v>
      </c>
      <c r="Z47" s="53" t="s">
        <v>86</v>
      </c>
      <c r="AA47" s="53" t="s">
        <v>97</v>
      </c>
      <c r="AB47" s="53" t="s">
        <v>158</v>
      </c>
    </row>
    <row r="48" spans="1:28" x14ac:dyDescent="0.15">
      <c r="A48" s="53" t="s">
        <v>56</v>
      </c>
      <c r="B48" s="53" t="s">
        <v>256</v>
      </c>
      <c r="C48" s="53">
        <v>2019</v>
      </c>
      <c r="D48" s="178" t="s">
        <v>333</v>
      </c>
      <c r="E48" s="53" t="s">
        <v>377</v>
      </c>
      <c r="F48" s="53" t="s">
        <v>379</v>
      </c>
      <c r="G48" s="53" t="s">
        <v>42</v>
      </c>
      <c r="H48" s="53" t="s">
        <v>164</v>
      </c>
      <c r="I48" s="53" t="s">
        <v>159</v>
      </c>
      <c r="J48" s="53" t="s">
        <v>38</v>
      </c>
      <c r="K48" s="53" t="s">
        <v>161</v>
      </c>
      <c r="L48" s="53">
        <v>2</v>
      </c>
      <c r="N48" s="53">
        <v>1</v>
      </c>
      <c r="O48" s="53">
        <v>0.75</v>
      </c>
      <c r="P48" s="53">
        <v>0.7</v>
      </c>
      <c r="Q48" s="16">
        <f t="shared" si="0"/>
        <v>0.72499999999999998</v>
      </c>
      <c r="R48" s="53">
        <v>13.9</v>
      </c>
      <c r="S48" s="53">
        <v>137</v>
      </c>
      <c r="T48" s="16">
        <f t="shared" si="1"/>
        <v>25</v>
      </c>
      <c r="U48" s="53">
        <v>127</v>
      </c>
      <c r="V48" s="16">
        <f t="shared" si="2"/>
        <v>3175</v>
      </c>
      <c r="W48" s="53">
        <v>6</v>
      </c>
      <c r="X48" s="53" t="s">
        <v>46</v>
      </c>
      <c r="Y48" s="53" t="s">
        <v>55</v>
      </c>
      <c r="Z48" s="53" t="s">
        <v>86</v>
      </c>
      <c r="AA48" s="53" t="s">
        <v>97</v>
      </c>
      <c r="AB48" s="53" t="s">
        <v>158</v>
      </c>
    </row>
    <row r="49" spans="1:28" x14ac:dyDescent="0.15">
      <c r="A49" s="53" t="s">
        <v>56</v>
      </c>
      <c r="B49" s="53" t="s">
        <v>256</v>
      </c>
      <c r="C49" s="53">
        <v>2019</v>
      </c>
      <c r="D49" s="178" t="s">
        <v>333</v>
      </c>
      <c r="E49" s="53" t="s">
        <v>377</v>
      </c>
      <c r="F49" s="53" t="s">
        <v>379</v>
      </c>
      <c r="G49" s="53" t="s">
        <v>42</v>
      </c>
      <c r="H49" s="53" t="s">
        <v>164</v>
      </c>
      <c r="I49" s="53" t="s">
        <v>159</v>
      </c>
      <c r="J49" s="53" t="s">
        <v>38</v>
      </c>
      <c r="K49" s="53" t="s">
        <v>161</v>
      </c>
      <c r="L49" s="53">
        <v>3</v>
      </c>
      <c r="N49" s="53">
        <v>1</v>
      </c>
      <c r="O49" s="53">
        <v>0.75</v>
      </c>
      <c r="P49" s="53">
        <v>0.75</v>
      </c>
      <c r="Q49" s="16">
        <f t="shared" si="0"/>
        <v>0.75</v>
      </c>
      <c r="R49" s="53">
        <v>13.9</v>
      </c>
      <c r="S49" s="53">
        <v>145</v>
      </c>
      <c r="T49" s="16">
        <f t="shared" si="1"/>
        <v>22</v>
      </c>
      <c r="U49" s="53">
        <v>127</v>
      </c>
      <c r="V49" s="16">
        <f t="shared" si="2"/>
        <v>2794</v>
      </c>
      <c r="W49" s="53">
        <v>6</v>
      </c>
      <c r="X49" s="53" t="s">
        <v>46</v>
      </c>
      <c r="Y49" s="53" t="s">
        <v>55</v>
      </c>
      <c r="Z49" s="53" t="s">
        <v>86</v>
      </c>
      <c r="AA49" s="53" t="s">
        <v>97</v>
      </c>
      <c r="AB49" s="53" t="s">
        <v>158</v>
      </c>
    </row>
    <row r="50" spans="1:28" x14ac:dyDescent="0.15">
      <c r="A50" s="53" t="s">
        <v>56</v>
      </c>
      <c r="B50" s="53" t="s">
        <v>256</v>
      </c>
      <c r="C50" s="53">
        <v>2019</v>
      </c>
      <c r="D50" s="178" t="s">
        <v>333</v>
      </c>
      <c r="E50" s="53" t="s">
        <v>377</v>
      </c>
      <c r="F50" s="53" t="s">
        <v>379</v>
      </c>
      <c r="G50" s="53" t="s">
        <v>42</v>
      </c>
      <c r="H50" s="53" t="s">
        <v>160</v>
      </c>
      <c r="I50" s="53" t="s">
        <v>159</v>
      </c>
      <c r="J50" s="53" t="s">
        <v>38</v>
      </c>
      <c r="K50" s="53" t="s">
        <v>161</v>
      </c>
      <c r="L50" s="53">
        <v>1</v>
      </c>
      <c r="N50" s="53">
        <v>1</v>
      </c>
      <c r="O50" s="53">
        <v>0.6</v>
      </c>
      <c r="P50" s="53">
        <v>0.7</v>
      </c>
      <c r="Q50" s="16">
        <f t="shared" si="0"/>
        <v>0.64999999999999991</v>
      </c>
      <c r="R50" s="53">
        <v>15.7</v>
      </c>
      <c r="S50" s="53">
        <v>138</v>
      </c>
      <c r="T50" s="16">
        <f t="shared" si="1"/>
        <v>22</v>
      </c>
      <c r="U50" s="53">
        <v>127</v>
      </c>
      <c r="V50" s="16">
        <f t="shared" si="2"/>
        <v>2794</v>
      </c>
      <c r="W50" s="53">
        <v>10</v>
      </c>
      <c r="X50" s="53" t="s">
        <v>46</v>
      </c>
      <c r="Y50" s="53" t="s">
        <v>55</v>
      </c>
      <c r="Z50" s="53" t="s">
        <v>86</v>
      </c>
      <c r="AA50" s="53" t="s">
        <v>97</v>
      </c>
      <c r="AB50" s="53" t="s">
        <v>158</v>
      </c>
    </row>
    <row r="51" spans="1:28" x14ac:dyDescent="0.15">
      <c r="A51" s="53" t="s">
        <v>56</v>
      </c>
      <c r="B51" s="53" t="s">
        <v>256</v>
      </c>
      <c r="C51" s="53">
        <v>2019</v>
      </c>
      <c r="D51" s="178" t="s">
        <v>333</v>
      </c>
      <c r="E51" s="53" t="s">
        <v>377</v>
      </c>
      <c r="F51" s="53" t="s">
        <v>379</v>
      </c>
      <c r="G51" s="53" t="s">
        <v>42</v>
      </c>
      <c r="H51" s="53" t="s">
        <v>160</v>
      </c>
      <c r="I51" s="53" t="s">
        <v>159</v>
      </c>
      <c r="J51" s="53" t="s">
        <v>38</v>
      </c>
      <c r="K51" s="53" t="s">
        <v>161</v>
      </c>
      <c r="L51" s="53">
        <v>2</v>
      </c>
      <c r="N51" s="53">
        <v>1</v>
      </c>
      <c r="O51" s="53">
        <v>0.7</v>
      </c>
      <c r="P51" s="53">
        <v>0.65</v>
      </c>
      <c r="Q51" s="16">
        <f t="shared" si="0"/>
        <v>0.67500000000000004</v>
      </c>
      <c r="R51" s="53">
        <v>15.1</v>
      </c>
      <c r="S51" s="53">
        <v>144</v>
      </c>
      <c r="T51" s="16">
        <f t="shared" si="1"/>
        <v>22</v>
      </c>
      <c r="U51" s="53">
        <v>127</v>
      </c>
      <c r="V51" s="16">
        <f t="shared" si="2"/>
        <v>2794</v>
      </c>
      <c r="W51" s="53">
        <v>10</v>
      </c>
      <c r="X51" s="53" t="s">
        <v>46</v>
      </c>
      <c r="Y51" s="53" t="s">
        <v>55</v>
      </c>
      <c r="Z51" s="53" t="s">
        <v>86</v>
      </c>
      <c r="AA51" s="53" t="s">
        <v>97</v>
      </c>
      <c r="AB51" s="53" t="s">
        <v>158</v>
      </c>
    </row>
    <row r="52" spans="1:28" x14ac:dyDescent="0.15">
      <c r="A52" s="53" t="s">
        <v>56</v>
      </c>
      <c r="B52" s="53" t="s">
        <v>256</v>
      </c>
      <c r="C52" s="53">
        <v>2019</v>
      </c>
      <c r="D52" s="178" t="s">
        <v>333</v>
      </c>
      <c r="E52" s="53" t="s">
        <v>377</v>
      </c>
      <c r="F52" s="53" t="s">
        <v>379</v>
      </c>
      <c r="G52" s="53" t="s">
        <v>42</v>
      </c>
      <c r="H52" s="53" t="s">
        <v>160</v>
      </c>
      <c r="I52" s="53" t="s">
        <v>159</v>
      </c>
      <c r="J52" s="53" t="s">
        <v>38</v>
      </c>
      <c r="K52" s="53" t="s">
        <v>161</v>
      </c>
      <c r="L52" s="53">
        <v>3</v>
      </c>
      <c r="N52" s="53">
        <v>1</v>
      </c>
      <c r="O52" s="53">
        <v>0.65</v>
      </c>
      <c r="P52" s="53">
        <v>0.6</v>
      </c>
      <c r="Q52" s="16">
        <f t="shared" si="0"/>
        <v>0.625</v>
      </c>
      <c r="R52" s="53">
        <v>15.8</v>
      </c>
      <c r="S52" s="53">
        <v>142</v>
      </c>
      <c r="T52" s="16">
        <f t="shared" si="1"/>
        <v>22</v>
      </c>
      <c r="U52" s="53">
        <v>127</v>
      </c>
      <c r="V52" s="16">
        <f t="shared" si="2"/>
        <v>2794</v>
      </c>
      <c r="W52" s="53">
        <v>10</v>
      </c>
      <c r="X52" s="53" t="s">
        <v>46</v>
      </c>
      <c r="Y52" s="53" t="s">
        <v>55</v>
      </c>
      <c r="Z52" s="53" t="s">
        <v>86</v>
      </c>
      <c r="AA52" s="53" t="s">
        <v>97</v>
      </c>
      <c r="AB52" s="53" t="s">
        <v>158</v>
      </c>
    </row>
    <row r="53" spans="1:28" x14ac:dyDescent="0.15">
      <c r="A53" s="53" t="s">
        <v>56</v>
      </c>
      <c r="B53" s="53" t="s">
        <v>256</v>
      </c>
      <c r="C53" s="53">
        <v>2019</v>
      </c>
      <c r="D53" s="178" t="s">
        <v>333</v>
      </c>
      <c r="E53" s="53" t="s">
        <v>385</v>
      </c>
      <c r="F53" s="53" t="s">
        <v>379</v>
      </c>
      <c r="G53" s="53" t="s">
        <v>42</v>
      </c>
      <c r="H53" s="53" t="s">
        <v>164</v>
      </c>
      <c r="I53" s="53" t="s">
        <v>159</v>
      </c>
      <c r="J53" s="53" t="s">
        <v>38</v>
      </c>
      <c r="K53" s="53" t="s">
        <v>161</v>
      </c>
      <c r="L53" s="53">
        <v>1</v>
      </c>
      <c r="N53" s="53">
        <v>1</v>
      </c>
      <c r="O53" s="53">
        <v>0.7</v>
      </c>
      <c r="P53" s="53">
        <v>0.7</v>
      </c>
      <c r="Q53" s="16">
        <f t="shared" si="0"/>
        <v>0.7</v>
      </c>
      <c r="R53" s="53">
        <v>13.9</v>
      </c>
      <c r="S53" s="53">
        <v>136</v>
      </c>
      <c r="T53" s="16">
        <f t="shared" si="1"/>
        <v>25</v>
      </c>
      <c r="U53" s="53">
        <v>138</v>
      </c>
      <c r="V53" s="16">
        <f t="shared" si="2"/>
        <v>3450</v>
      </c>
      <c r="W53" s="53">
        <v>8</v>
      </c>
      <c r="X53" s="53" t="s">
        <v>46</v>
      </c>
      <c r="Y53" s="53" t="s">
        <v>86</v>
      </c>
      <c r="Z53" s="53" t="s">
        <v>55</v>
      </c>
      <c r="AA53" s="53" t="s">
        <v>97</v>
      </c>
      <c r="AB53" s="53" t="s">
        <v>158</v>
      </c>
    </row>
    <row r="54" spans="1:28" x14ac:dyDescent="0.15">
      <c r="A54" s="53" t="s">
        <v>56</v>
      </c>
      <c r="B54" s="53" t="s">
        <v>256</v>
      </c>
      <c r="C54" s="53">
        <v>2019</v>
      </c>
      <c r="D54" s="178" t="s">
        <v>333</v>
      </c>
      <c r="E54" s="53" t="s">
        <v>385</v>
      </c>
      <c r="F54" s="53" t="s">
        <v>379</v>
      </c>
      <c r="G54" s="53" t="s">
        <v>42</v>
      </c>
      <c r="H54" s="53" t="s">
        <v>164</v>
      </c>
      <c r="I54" s="53" t="s">
        <v>159</v>
      </c>
      <c r="J54" s="53" t="s">
        <v>38</v>
      </c>
      <c r="K54" s="53" t="s">
        <v>161</v>
      </c>
      <c r="L54" s="53">
        <v>2</v>
      </c>
      <c r="N54" s="53">
        <v>1</v>
      </c>
      <c r="O54" s="53">
        <v>0.7</v>
      </c>
      <c r="P54" s="53">
        <v>0.65</v>
      </c>
      <c r="Q54" s="16">
        <f t="shared" si="0"/>
        <v>0.67500000000000004</v>
      </c>
      <c r="R54" s="53">
        <v>15</v>
      </c>
      <c r="S54" s="53">
        <v>145</v>
      </c>
      <c r="T54" s="16">
        <f t="shared" si="1"/>
        <v>22</v>
      </c>
      <c r="U54" s="53">
        <v>138</v>
      </c>
      <c r="V54" s="16">
        <f t="shared" si="2"/>
        <v>3036</v>
      </c>
      <c r="W54" s="53">
        <v>8</v>
      </c>
      <c r="X54" s="53" t="s">
        <v>46</v>
      </c>
      <c r="Y54" s="53" t="s">
        <v>86</v>
      </c>
      <c r="Z54" s="53" t="s">
        <v>55</v>
      </c>
      <c r="AA54" s="53" t="s">
        <v>97</v>
      </c>
      <c r="AB54" s="53" t="s">
        <v>158</v>
      </c>
    </row>
    <row r="55" spans="1:28" x14ac:dyDescent="0.15">
      <c r="A55" s="53" t="s">
        <v>56</v>
      </c>
      <c r="B55" s="53" t="s">
        <v>256</v>
      </c>
      <c r="C55" s="53">
        <v>2019</v>
      </c>
      <c r="D55" s="178" t="s">
        <v>333</v>
      </c>
      <c r="E55" s="53" t="s">
        <v>385</v>
      </c>
      <c r="F55" s="53" t="s">
        <v>379</v>
      </c>
      <c r="G55" s="53" t="s">
        <v>42</v>
      </c>
      <c r="H55" s="53" t="s">
        <v>164</v>
      </c>
      <c r="I55" s="53" t="s">
        <v>159</v>
      </c>
      <c r="J55" s="53" t="s">
        <v>38</v>
      </c>
      <c r="K55" s="53" t="s">
        <v>161</v>
      </c>
      <c r="L55" s="53">
        <v>3</v>
      </c>
      <c r="N55" s="53">
        <v>1</v>
      </c>
      <c r="O55" s="53">
        <v>0.8</v>
      </c>
      <c r="P55" s="53">
        <v>0.8</v>
      </c>
      <c r="Q55" s="16">
        <f t="shared" si="0"/>
        <v>0.8</v>
      </c>
      <c r="R55" s="53">
        <v>11</v>
      </c>
      <c r="S55" s="53">
        <v>135</v>
      </c>
      <c r="T55" s="16">
        <f t="shared" si="1"/>
        <v>25</v>
      </c>
      <c r="U55" s="53">
        <v>138</v>
      </c>
      <c r="V55" s="16">
        <f t="shared" si="2"/>
        <v>3450</v>
      </c>
      <c r="W55" s="53">
        <v>8</v>
      </c>
      <c r="X55" s="53" t="s">
        <v>46</v>
      </c>
      <c r="Y55" s="53" t="s">
        <v>86</v>
      </c>
      <c r="Z55" s="53" t="s">
        <v>55</v>
      </c>
      <c r="AA55" s="53" t="s">
        <v>97</v>
      </c>
      <c r="AB55" s="53" t="s">
        <v>158</v>
      </c>
    </row>
    <row r="56" spans="1:28" x14ac:dyDescent="0.15">
      <c r="A56" s="53" t="s">
        <v>56</v>
      </c>
      <c r="B56" s="53" t="s">
        <v>256</v>
      </c>
      <c r="C56" s="53">
        <v>2019</v>
      </c>
      <c r="D56" s="178" t="s">
        <v>333</v>
      </c>
      <c r="E56" s="53" t="s">
        <v>385</v>
      </c>
      <c r="F56" s="53" t="s">
        <v>379</v>
      </c>
      <c r="G56" s="53" t="s">
        <v>42</v>
      </c>
      <c r="H56" s="53" t="s">
        <v>160</v>
      </c>
      <c r="I56" s="53" t="s">
        <v>159</v>
      </c>
      <c r="J56" s="53" t="s">
        <v>38</v>
      </c>
      <c r="K56" s="53" t="s">
        <v>161</v>
      </c>
      <c r="L56" s="53">
        <v>1</v>
      </c>
      <c r="N56" s="53">
        <v>10</v>
      </c>
      <c r="O56" s="53">
        <v>0.75</v>
      </c>
      <c r="P56" s="53">
        <v>0.75</v>
      </c>
      <c r="Q56" s="16">
        <f t="shared" si="0"/>
        <v>0.75</v>
      </c>
      <c r="R56" s="53">
        <v>16</v>
      </c>
      <c r="S56" s="53">
        <v>101</v>
      </c>
      <c r="T56" s="16">
        <f t="shared" si="1"/>
        <v>33</v>
      </c>
      <c r="U56" s="53">
        <v>842</v>
      </c>
      <c r="V56" s="16">
        <f t="shared" si="2"/>
        <v>2778.6</v>
      </c>
      <c r="W56" s="53">
        <v>12</v>
      </c>
      <c r="X56" s="53" t="s">
        <v>46</v>
      </c>
      <c r="Y56" s="53" t="s">
        <v>86</v>
      </c>
      <c r="Z56" s="53" t="s">
        <v>55</v>
      </c>
      <c r="AA56" s="53" t="s">
        <v>97</v>
      </c>
      <c r="AB56" s="53" t="s">
        <v>158</v>
      </c>
    </row>
    <row r="57" spans="1:28" x14ac:dyDescent="0.15">
      <c r="A57" s="53" t="s">
        <v>56</v>
      </c>
      <c r="B57" s="53" t="s">
        <v>256</v>
      </c>
      <c r="C57" s="53">
        <v>2019</v>
      </c>
      <c r="D57" s="178" t="s">
        <v>333</v>
      </c>
      <c r="E57" s="53" t="s">
        <v>385</v>
      </c>
      <c r="F57" s="53" t="s">
        <v>379</v>
      </c>
      <c r="G57" s="53" t="s">
        <v>42</v>
      </c>
      <c r="H57" s="53" t="s">
        <v>160</v>
      </c>
      <c r="I57" s="53" t="s">
        <v>159</v>
      </c>
      <c r="J57" s="53" t="s">
        <v>38</v>
      </c>
      <c r="K57" s="53" t="s">
        <v>161</v>
      </c>
      <c r="L57" s="53">
        <v>2</v>
      </c>
      <c r="N57" s="53">
        <v>10</v>
      </c>
      <c r="O57" s="53">
        <v>0.95</v>
      </c>
      <c r="P57" s="53">
        <v>0.85</v>
      </c>
      <c r="Q57" s="16">
        <f t="shared" si="0"/>
        <v>0.89999999999999991</v>
      </c>
      <c r="R57" s="53">
        <v>16.3</v>
      </c>
      <c r="S57" s="53">
        <v>94</v>
      </c>
      <c r="T57" s="16">
        <f t="shared" si="1"/>
        <v>36</v>
      </c>
      <c r="U57" s="53">
        <v>842</v>
      </c>
      <c r="V57" s="16">
        <f t="shared" si="2"/>
        <v>3031.2000000000003</v>
      </c>
      <c r="W57" s="53">
        <v>12</v>
      </c>
      <c r="X57" s="53" t="s">
        <v>46</v>
      </c>
      <c r="Y57" s="53" t="s">
        <v>86</v>
      </c>
      <c r="Z57" s="53" t="s">
        <v>55</v>
      </c>
      <c r="AA57" s="53" t="s">
        <v>97</v>
      </c>
      <c r="AB57" s="53" t="s">
        <v>158</v>
      </c>
    </row>
    <row r="58" spans="1:28" x14ac:dyDescent="0.15">
      <c r="A58" s="53" t="s">
        <v>56</v>
      </c>
      <c r="B58" s="53" t="s">
        <v>256</v>
      </c>
      <c r="C58" s="53">
        <v>2019</v>
      </c>
      <c r="D58" s="178" t="s">
        <v>333</v>
      </c>
      <c r="E58" s="53" t="s">
        <v>385</v>
      </c>
      <c r="F58" s="53" t="s">
        <v>379</v>
      </c>
      <c r="G58" s="53" t="s">
        <v>42</v>
      </c>
      <c r="H58" s="53" t="s">
        <v>160</v>
      </c>
      <c r="I58" s="53" t="s">
        <v>159</v>
      </c>
      <c r="J58" s="53" t="s">
        <v>38</v>
      </c>
      <c r="K58" s="53" t="s">
        <v>161</v>
      </c>
      <c r="L58" s="53">
        <v>3</v>
      </c>
      <c r="N58" s="53">
        <v>10</v>
      </c>
      <c r="O58" s="53">
        <v>0.95</v>
      </c>
      <c r="P58" s="53">
        <v>0.75</v>
      </c>
      <c r="Q58" s="16">
        <f t="shared" si="0"/>
        <v>0.85</v>
      </c>
      <c r="R58" s="53">
        <v>16.100000000000001</v>
      </c>
      <c r="S58" s="53">
        <v>95</v>
      </c>
      <c r="T58" s="16">
        <f t="shared" si="1"/>
        <v>36</v>
      </c>
      <c r="U58" s="53">
        <v>842</v>
      </c>
      <c r="V58" s="16">
        <f t="shared" si="2"/>
        <v>3031.2000000000003</v>
      </c>
      <c r="W58" s="53">
        <v>12</v>
      </c>
      <c r="X58" s="53" t="s">
        <v>46</v>
      </c>
      <c r="Y58" s="53" t="s">
        <v>86</v>
      </c>
      <c r="Z58" s="53" t="s">
        <v>55</v>
      </c>
      <c r="AA58" s="53" t="s">
        <v>97</v>
      </c>
      <c r="AB58" s="53" t="s">
        <v>158</v>
      </c>
    </row>
    <row r="59" spans="1:28" x14ac:dyDescent="0.15">
      <c r="D59" s="178"/>
    </row>
    <row r="60" spans="1:28" x14ac:dyDescent="0.15">
      <c r="D60" s="178"/>
    </row>
    <row r="61" spans="1:28" x14ac:dyDescent="0.15">
      <c r="D61" s="178"/>
    </row>
    <row r="62" spans="1:28" x14ac:dyDescent="0.15">
      <c r="D62" s="178"/>
    </row>
    <row r="63" spans="1:28" x14ac:dyDescent="0.15">
      <c r="D63" s="178"/>
    </row>
    <row r="64" spans="1:28" x14ac:dyDescent="0.15">
      <c r="D64" s="178"/>
    </row>
    <row r="65" spans="4:4" x14ac:dyDescent="0.15">
      <c r="D65" s="178"/>
    </row>
    <row r="66" spans="4:4" x14ac:dyDescent="0.15">
      <c r="D66" s="178"/>
    </row>
    <row r="67" spans="4:4" x14ac:dyDescent="0.15">
      <c r="D67" s="178"/>
    </row>
    <row r="68" spans="4:4" x14ac:dyDescent="0.15">
      <c r="D68" s="178"/>
    </row>
    <row r="69" spans="4:4" x14ac:dyDescent="0.15">
      <c r="D69" s="178"/>
    </row>
    <row r="70" spans="4:4" x14ac:dyDescent="0.15">
      <c r="D70" s="178"/>
    </row>
    <row r="71" spans="4:4" x14ac:dyDescent="0.15">
      <c r="D71" s="178"/>
    </row>
    <row r="72" spans="4:4" x14ac:dyDescent="0.15">
      <c r="D72" s="178"/>
    </row>
    <row r="73" spans="4:4" x14ac:dyDescent="0.15">
      <c r="D73" s="178"/>
    </row>
    <row r="74" spans="4:4" x14ac:dyDescent="0.15">
      <c r="D74" s="178"/>
    </row>
    <row r="75" spans="4:4" x14ac:dyDescent="0.15">
      <c r="D75" s="178"/>
    </row>
    <row r="76" spans="4:4" x14ac:dyDescent="0.15">
      <c r="D76" s="178"/>
    </row>
    <row r="77" spans="4:4" x14ac:dyDescent="0.15">
      <c r="D77" s="178"/>
    </row>
    <row r="78" spans="4:4" x14ac:dyDescent="0.15">
      <c r="D78" s="178"/>
    </row>
    <row r="79" spans="4:4" x14ac:dyDescent="0.15">
      <c r="D79" s="178"/>
    </row>
    <row r="80" spans="4:4" x14ac:dyDescent="0.15">
      <c r="D80" s="178"/>
    </row>
    <row r="81" spans="4:4" x14ac:dyDescent="0.15">
      <c r="D81" s="178"/>
    </row>
    <row r="82" spans="4:4" x14ac:dyDescent="0.15">
      <c r="D82" s="178"/>
    </row>
  </sheetData>
  <autoFilter ref="A1:BA52" xr:uid="{00000000-0009-0000-0000-000002000000}"/>
  <phoneticPr fontId="3"/>
  <dataValidations count="18">
    <dataValidation type="list" allowBlank="1" showInputMessage="1" showErrorMessage="1" sqref="K2:K450" xr:uid="{BFC721EC-12FC-4EF5-8BA0-D89656B6543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21A66615-36F9-49A2-9D35-4AEEAB7537FF}">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7073BB21-7182-492E-A8CB-930526677B0A}">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C15562F8-BF72-4D87-91B4-40FEF6683AB4}">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2362D881-706C-4D9D-90B6-CDB63B27FCC0}">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2AD0A169-ED89-4CEA-AE6A-4CBEB66C660F}"/>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1B585233-16F3-4173-81D8-85B99B37C467}">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B3C68EB6-6611-45E8-9027-0A124FFD781C}">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B53C49D0-CDE3-4AF0-95C8-3ABE2DF13528}">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0F1D3555-3BBF-42F1-821C-0C2E13B50DFD}">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0A314444-7081-4554-B286-17842E839BB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7D468F31-EDDB-4F24-BC90-0CA4B146CD5C}">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10A15483-E982-415A-8481-22FCB32DFBBF}">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8468355A-E664-4012-BFA5-33073709D0BB}">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B60C37E9-1387-45CF-BDBD-5D351C7B185B}">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xr:uid="{0417679A-BED4-48D1-94D6-F9B70AE1AC8A}">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049ABFD7-89FA-496D-983A-673F3F33AE24}">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97C1FC3B-93B3-480B-AE9D-7436156AB7C4}">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42B33-CA6A-4C22-A838-3416BC6A5432}">
  <dimension ref="A1:BA91"/>
  <sheetViews>
    <sheetView zoomScale="70" zoomScaleNormal="70" workbookViewId="0">
      <selection activeCell="AF31" sqref="AF31"/>
    </sheetView>
  </sheetViews>
  <sheetFormatPr defaultColWidth="9" defaultRowHeight="13.5" x14ac:dyDescent="0.15"/>
  <cols>
    <col min="1" max="3" width="9" style="86"/>
    <col min="4" max="4" width="10.5" style="86" customWidth="1"/>
    <col min="5" max="16" width="9" style="86"/>
    <col min="17" max="17" width="9" style="96"/>
    <col min="18" max="18" width="9" style="86"/>
    <col min="19" max="19" width="9.5" style="86" customWidth="1"/>
    <col min="20" max="20" width="9" style="96"/>
    <col min="21" max="21" width="9" style="86"/>
    <col min="22" max="22" width="9" style="96"/>
    <col min="23" max="23" width="10.5" style="86" customWidth="1"/>
    <col min="24" max="32" width="9" style="86"/>
    <col min="33" max="33" width="19.625" style="86" customWidth="1"/>
    <col min="34" max="34" width="9.375" style="86" customWidth="1"/>
    <col min="35" max="259" width="9" style="86"/>
    <col min="260" max="260" width="10.5" style="86" customWidth="1"/>
    <col min="261" max="274" width="9" style="86"/>
    <col min="275" max="275" width="9.5" style="86" customWidth="1"/>
    <col min="276" max="278" width="9" style="86"/>
    <col min="279" max="279" width="10.5" style="86" customWidth="1"/>
    <col min="280" max="515" width="9" style="86"/>
    <col min="516" max="516" width="10.5" style="86" customWidth="1"/>
    <col min="517" max="530" width="9" style="86"/>
    <col min="531" max="531" width="9.5" style="86" customWidth="1"/>
    <col min="532" max="534" width="9" style="86"/>
    <col min="535" max="535" width="10.5" style="86" customWidth="1"/>
    <col min="536" max="771" width="9" style="86"/>
    <col min="772" max="772" width="10.5" style="86" customWidth="1"/>
    <col min="773" max="786" width="9" style="86"/>
    <col min="787" max="787" width="9.5" style="86" customWidth="1"/>
    <col min="788" max="790" width="9" style="86"/>
    <col min="791" max="791" width="10.5" style="86" customWidth="1"/>
    <col min="792" max="1027" width="9" style="86"/>
    <col min="1028" max="1028" width="10.5" style="86" customWidth="1"/>
    <col min="1029" max="1042" width="9" style="86"/>
    <col min="1043" max="1043" width="9.5" style="86" customWidth="1"/>
    <col min="1044" max="1046" width="9" style="86"/>
    <col min="1047" max="1047" width="10.5" style="86" customWidth="1"/>
    <col min="1048" max="1283" width="9" style="86"/>
    <col min="1284" max="1284" width="10.5" style="86" customWidth="1"/>
    <col min="1285" max="1298" width="9" style="86"/>
    <col min="1299" max="1299" width="9.5" style="86" customWidth="1"/>
    <col min="1300" max="1302" width="9" style="86"/>
    <col min="1303" max="1303" width="10.5" style="86" customWidth="1"/>
    <col min="1304" max="1539" width="9" style="86"/>
    <col min="1540" max="1540" width="10.5" style="86" customWidth="1"/>
    <col min="1541" max="1554" width="9" style="86"/>
    <col min="1555" max="1555" width="9.5" style="86" customWidth="1"/>
    <col min="1556" max="1558" width="9" style="86"/>
    <col min="1559" max="1559" width="10.5" style="86" customWidth="1"/>
    <col min="1560" max="1795" width="9" style="86"/>
    <col min="1796" max="1796" width="10.5" style="86" customWidth="1"/>
    <col min="1797" max="1810" width="9" style="86"/>
    <col min="1811" max="1811" width="9.5" style="86" customWidth="1"/>
    <col min="1812" max="1814" width="9" style="86"/>
    <col min="1815" max="1815" width="10.5" style="86" customWidth="1"/>
    <col min="1816" max="2051" width="9" style="86"/>
    <col min="2052" max="2052" width="10.5" style="86" customWidth="1"/>
    <col min="2053" max="2066" width="9" style="86"/>
    <col min="2067" max="2067" width="9.5" style="86" customWidth="1"/>
    <col min="2068" max="2070" width="9" style="86"/>
    <col min="2071" max="2071" width="10.5" style="86" customWidth="1"/>
    <col min="2072" max="2307" width="9" style="86"/>
    <col min="2308" max="2308" width="10.5" style="86" customWidth="1"/>
    <col min="2309" max="2322" width="9" style="86"/>
    <col min="2323" max="2323" width="9.5" style="86" customWidth="1"/>
    <col min="2324" max="2326" width="9" style="86"/>
    <col min="2327" max="2327" width="10.5" style="86" customWidth="1"/>
    <col min="2328" max="2563" width="9" style="86"/>
    <col min="2564" max="2564" width="10.5" style="86" customWidth="1"/>
    <col min="2565" max="2578" width="9" style="86"/>
    <col min="2579" max="2579" width="9.5" style="86" customWidth="1"/>
    <col min="2580" max="2582" width="9" style="86"/>
    <col min="2583" max="2583" width="10.5" style="86" customWidth="1"/>
    <col min="2584" max="2819" width="9" style="86"/>
    <col min="2820" max="2820" width="10.5" style="86" customWidth="1"/>
    <col min="2821" max="2834" width="9" style="86"/>
    <col min="2835" max="2835" width="9.5" style="86" customWidth="1"/>
    <col min="2836" max="2838" width="9" style="86"/>
    <col min="2839" max="2839" width="10.5" style="86" customWidth="1"/>
    <col min="2840" max="3075" width="9" style="86"/>
    <col min="3076" max="3076" width="10.5" style="86" customWidth="1"/>
    <col min="3077" max="3090" width="9" style="86"/>
    <col min="3091" max="3091" width="9.5" style="86" customWidth="1"/>
    <col min="3092" max="3094" width="9" style="86"/>
    <col min="3095" max="3095" width="10.5" style="86" customWidth="1"/>
    <col min="3096" max="3331" width="9" style="86"/>
    <col min="3332" max="3332" width="10.5" style="86" customWidth="1"/>
    <col min="3333" max="3346" width="9" style="86"/>
    <col min="3347" max="3347" width="9.5" style="86" customWidth="1"/>
    <col min="3348" max="3350" width="9" style="86"/>
    <col min="3351" max="3351" width="10.5" style="86" customWidth="1"/>
    <col min="3352" max="3587" width="9" style="86"/>
    <col min="3588" max="3588" width="10.5" style="86" customWidth="1"/>
    <col min="3589" max="3602" width="9" style="86"/>
    <col min="3603" max="3603" width="9.5" style="86" customWidth="1"/>
    <col min="3604" max="3606" width="9" style="86"/>
    <col min="3607" max="3607" width="10.5" style="86" customWidth="1"/>
    <col min="3608" max="3843" width="9" style="86"/>
    <col min="3844" max="3844" width="10.5" style="86" customWidth="1"/>
    <col min="3845" max="3858" width="9" style="86"/>
    <col min="3859" max="3859" width="9.5" style="86" customWidth="1"/>
    <col min="3860" max="3862" width="9" style="86"/>
    <col min="3863" max="3863" width="10.5" style="86" customWidth="1"/>
    <col min="3864" max="4099" width="9" style="86"/>
    <col min="4100" max="4100" width="10.5" style="86" customWidth="1"/>
    <col min="4101" max="4114" width="9" style="86"/>
    <col min="4115" max="4115" width="9.5" style="86" customWidth="1"/>
    <col min="4116" max="4118" width="9" style="86"/>
    <col min="4119" max="4119" width="10.5" style="86" customWidth="1"/>
    <col min="4120" max="4355" width="9" style="86"/>
    <col min="4356" max="4356" width="10.5" style="86" customWidth="1"/>
    <col min="4357" max="4370" width="9" style="86"/>
    <col min="4371" max="4371" width="9.5" style="86" customWidth="1"/>
    <col min="4372" max="4374" width="9" style="86"/>
    <col min="4375" max="4375" width="10.5" style="86" customWidth="1"/>
    <col min="4376" max="4611" width="9" style="86"/>
    <col min="4612" max="4612" width="10.5" style="86" customWidth="1"/>
    <col min="4613" max="4626" width="9" style="86"/>
    <col min="4627" max="4627" width="9.5" style="86" customWidth="1"/>
    <col min="4628" max="4630" width="9" style="86"/>
    <col min="4631" max="4631" width="10.5" style="86" customWidth="1"/>
    <col min="4632" max="4867" width="9" style="86"/>
    <col min="4868" max="4868" width="10.5" style="86" customWidth="1"/>
    <col min="4869" max="4882" width="9" style="86"/>
    <col min="4883" max="4883" width="9.5" style="86" customWidth="1"/>
    <col min="4884" max="4886" width="9" style="86"/>
    <col min="4887" max="4887" width="10.5" style="86" customWidth="1"/>
    <col min="4888" max="5123" width="9" style="86"/>
    <col min="5124" max="5124" width="10.5" style="86" customWidth="1"/>
    <col min="5125" max="5138" width="9" style="86"/>
    <col min="5139" max="5139" width="9.5" style="86" customWidth="1"/>
    <col min="5140" max="5142" width="9" style="86"/>
    <col min="5143" max="5143" width="10.5" style="86" customWidth="1"/>
    <col min="5144" max="5379" width="9" style="86"/>
    <col min="5380" max="5380" width="10.5" style="86" customWidth="1"/>
    <col min="5381" max="5394" width="9" style="86"/>
    <col min="5395" max="5395" width="9.5" style="86" customWidth="1"/>
    <col min="5396" max="5398" width="9" style="86"/>
    <col min="5399" max="5399" width="10.5" style="86" customWidth="1"/>
    <col min="5400" max="5635" width="9" style="86"/>
    <col min="5636" max="5636" width="10.5" style="86" customWidth="1"/>
    <col min="5637" max="5650" width="9" style="86"/>
    <col min="5651" max="5651" width="9.5" style="86" customWidth="1"/>
    <col min="5652" max="5654" width="9" style="86"/>
    <col min="5655" max="5655" width="10.5" style="86" customWidth="1"/>
    <col min="5656" max="5891" width="9" style="86"/>
    <col min="5892" max="5892" width="10.5" style="86" customWidth="1"/>
    <col min="5893" max="5906" width="9" style="86"/>
    <col min="5907" max="5907" width="9.5" style="86" customWidth="1"/>
    <col min="5908" max="5910" width="9" style="86"/>
    <col min="5911" max="5911" width="10.5" style="86" customWidth="1"/>
    <col min="5912" max="6147" width="9" style="86"/>
    <col min="6148" max="6148" width="10.5" style="86" customWidth="1"/>
    <col min="6149" max="6162" width="9" style="86"/>
    <col min="6163" max="6163" width="9.5" style="86" customWidth="1"/>
    <col min="6164" max="6166" width="9" style="86"/>
    <col min="6167" max="6167" width="10.5" style="86" customWidth="1"/>
    <col min="6168" max="6403" width="9" style="86"/>
    <col min="6404" max="6404" width="10.5" style="86" customWidth="1"/>
    <col min="6405" max="6418" width="9" style="86"/>
    <col min="6419" max="6419" width="9.5" style="86" customWidth="1"/>
    <col min="6420" max="6422" width="9" style="86"/>
    <col min="6423" max="6423" width="10.5" style="86" customWidth="1"/>
    <col min="6424" max="6659" width="9" style="86"/>
    <col min="6660" max="6660" width="10.5" style="86" customWidth="1"/>
    <col min="6661" max="6674" width="9" style="86"/>
    <col min="6675" max="6675" width="9.5" style="86" customWidth="1"/>
    <col min="6676" max="6678" width="9" style="86"/>
    <col min="6679" max="6679" width="10.5" style="86" customWidth="1"/>
    <col min="6680" max="6915" width="9" style="86"/>
    <col min="6916" max="6916" width="10.5" style="86" customWidth="1"/>
    <col min="6917" max="6930" width="9" style="86"/>
    <col min="6931" max="6931" width="9.5" style="86" customWidth="1"/>
    <col min="6932" max="6934" width="9" style="86"/>
    <col min="6935" max="6935" width="10.5" style="86" customWidth="1"/>
    <col min="6936" max="7171" width="9" style="86"/>
    <col min="7172" max="7172" width="10.5" style="86" customWidth="1"/>
    <col min="7173" max="7186" width="9" style="86"/>
    <col min="7187" max="7187" width="9.5" style="86" customWidth="1"/>
    <col min="7188" max="7190" width="9" style="86"/>
    <col min="7191" max="7191" width="10.5" style="86" customWidth="1"/>
    <col min="7192" max="7427" width="9" style="86"/>
    <col min="7428" max="7428" width="10.5" style="86" customWidth="1"/>
    <col min="7429" max="7442" width="9" style="86"/>
    <col min="7443" max="7443" width="9.5" style="86" customWidth="1"/>
    <col min="7444" max="7446" width="9" style="86"/>
    <col min="7447" max="7447" width="10.5" style="86" customWidth="1"/>
    <col min="7448" max="7683" width="9" style="86"/>
    <col min="7684" max="7684" width="10.5" style="86" customWidth="1"/>
    <col min="7685" max="7698" width="9" style="86"/>
    <col min="7699" max="7699" width="9.5" style="86" customWidth="1"/>
    <col min="7700" max="7702" width="9" style="86"/>
    <col min="7703" max="7703" width="10.5" style="86" customWidth="1"/>
    <col min="7704" max="7939" width="9" style="86"/>
    <col min="7940" max="7940" width="10.5" style="86" customWidth="1"/>
    <col min="7941" max="7954" width="9" style="86"/>
    <col min="7955" max="7955" width="9.5" style="86" customWidth="1"/>
    <col min="7956" max="7958" width="9" style="86"/>
    <col min="7959" max="7959" width="10.5" style="86" customWidth="1"/>
    <col min="7960" max="8195" width="9" style="86"/>
    <col min="8196" max="8196" width="10.5" style="86" customWidth="1"/>
    <col min="8197" max="8210" width="9" style="86"/>
    <col min="8211" max="8211" width="9.5" style="86" customWidth="1"/>
    <col min="8212" max="8214" width="9" style="86"/>
    <col min="8215" max="8215" width="10.5" style="86" customWidth="1"/>
    <col min="8216" max="8451" width="9" style="86"/>
    <col min="8452" max="8452" width="10.5" style="86" customWidth="1"/>
    <col min="8453" max="8466" width="9" style="86"/>
    <col min="8467" max="8467" width="9.5" style="86" customWidth="1"/>
    <col min="8468" max="8470" width="9" style="86"/>
    <col min="8471" max="8471" width="10.5" style="86" customWidth="1"/>
    <col min="8472" max="8707" width="9" style="86"/>
    <col min="8708" max="8708" width="10.5" style="86" customWidth="1"/>
    <col min="8709" max="8722" width="9" style="86"/>
    <col min="8723" max="8723" width="9.5" style="86" customWidth="1"/>
    <col min="8724" max="8726" width="9" style="86"/>
    <col min="8727" max="8727" width="10.5" style="86" customWidth="1"/>
    <col min="8728" max="8963" width="9" style="86"/>
    <col min="8964" max="8964" width="10.5" style="86" customWidth="1"/>
    <col min="8965" max="8978" width="9" style="86"/>
    <col min="8979" max="8979" width="9.5" style="86" customWidth="1"/>
    <col min="8980" max="8982" width="9" style="86"/>
    <col min="8983" max="8983" width="10.5" style="86" customWidth="1"/>
    <col min="8984" max="9219" width="9" style="86"/>
    <col min="9220" max="9220" width="10.5" style="86" customWidth="1"/>
    <col min="9221" max="9234" width="9" style="86"/>
    <col min="9235" max="9235" width="9.5" style="86" customWidth="1"/>
    <col min="9236" max="9238" width="9" style="86"/>
    <col min="9239" max="9239" width="10.5" style="86" customWidth="1"/>
    <col min="9240" max="9475" width="9" style="86"/>
    <col min="9476" max="9476" width="10.5" style="86" customWidth="1"/>
    <col min="9477" max="9490" width="9" style="86"/>
    <col min="9491" max="9491" width="9.5" style="86" customWidth="1"/>
    <col min="9492" max="9494" width="9" style="86"/>
    <col min="9495" max="9495" width="10.5" style="86" customWidth="1"/>
    <col min="9496" max="9731" width="9" style="86"/>
    <col min="9732" max="9732" width="10.5" style="86" customWidth="1"/>
    <col min="9733" max="9746" width="9" style="86"/>
    <col min="9747" max="9747" width="9.5" style="86" customWidth="1"/>
    <col min="9748" max="9750" width="9" style="86"/>
    <col min="9751" max="9751" width="10.5" style="86" customWidth="1"/>
    <col min="9752" max="9987" width="9" style="86"/>
    <col min="9988" max="9988" width="10.5" style="86" customWidth="1"/>
    <col min="9989" max="10002" width="9" style="86"/>
    <col min="10003" max="10003" width="9.5" style="86" customWidth="1"/>
    <col min="10004" max="10006" width="9" style="86"/>
    <col min="10007" max="10007" width="10.5" style="86" customWidth="1"/>
    <col min="10008" max="10243" width="9" style="86"/>
    <col min="10244" max="10244" width="10.5" style="86" customWidth="1"/>
    <col min="10245" max="10258" width="9" style="86"/>
    <col min="10259" max="10259" width="9.5" style="86" customWidth="1"/>
    <col min="10260" max="10262" width="9" style="86"/>
    <col min="10263" max="10263" width="10.5" style="86" customWidth="1"/>
    <col min="10264" max="10499" width="9" style="86"/>
    <col min="10500" max="10500" width="10.5" style="86" customWidth="1"/>
    <col min="10501" max="10514" width="9" style="86"/>
    <col min="10515" max="10515" width="9.5" style="86" customWidth="1"/>
    <col min="10516" max="10518" width="9" style="86"/>
    <col min="10519" max="10519" width="10.5" style="86" customWidth="1"/>
    <col min="10520" max="10755" width="9" style="86"/>
    <col min="10756" max="10756" width="10.5" style="86" customWidth="1"/>
    <col min="10757" max="10770" width="9" style="86"/>
    <col min="10771" max="10771" width="9.5" style="86" customWidth="1"/>
    <col min="10772" max="10774" width="9" style="86"/>
    <col min="10775" max="10775" width="10.5" style="86" customWidth="1"/>
    <col min="10776" max="11011" width="9" style="86"/>
    <col min="11012" max="11012" width="10.5" style="86" customWidth="1"/>
    <col min="11013" max="11026" width="9" style="86"/>
    <col min="11027" max="11027" width="9.5" style="86" customWidth="1"/>
    <col min="11028" max="11030" width="9" style="86"/>
    <col min="11031" max="11031" width="10.5" style="86" customWidth="1"/>
    <col min="11032" max="11267" width="9" style="86"/>
    <col min="11268" max="11268" width="10.5" style="86" customWidth="1"/>
    <col min="11269" max="11282" width="9" style="86"/>
    <col min="11283" max="11283" width="9.5" style="86" customWidth="1"/>
    <col min="11284" max="11286" width="9" style="86"/>
    <col min="11287" max="11287" width="10.5" style="86" customWidth="1"/>
    <col min="11288" max="11523" width="9" style="86"/>
    <col min="11524" max="11524" width="10.5" style="86" customWidth="1"/>
    <col min="11525" max="11538" width="9" style="86"/>
    <col min="11539" max="11539" width="9.5" style="86" customWidth="1"/>
    <col min="11540" max="11542" width="9" style="86"/>
    <col min="11543" max="11543" width="10.5" style="86" customWidth="1"/>
    <col min="11544" max="11779" width="9" style="86"/>
    <col min="11780" max="11780" width="10.5" style="86" customWidth="1"/>
    <col min="11781" max="11794" width="9" style="86"/>
    <col min="11795" max="11795" width="9.5" style="86" customWidth="1"/>
    <col min="11796" max="11798" width="9" style="86"/>
    <col min="11799" max="11799" width="10.5" style="86" customWidth="1"/>
    <col min="11800" max="12035" width="9" style="86"/>
    <col min="12036" max="12036" width="10.5" style="86" customWidth="1"/>
    <col min="12037" max="12050" width="9" style="86"/>
    <col min="12051" max="12051" width="9.5" style="86" customWidth="1"/>
    <col min="12052" max="12054" width="9" style="86"/>
    <col min="12055" max="12055" width="10.5" style="86" customWidth="1"/>
    <col min="12056" max="12291" width="9" style="86"/>
    <col min="12292" max="12292" width="10.5" style="86" customWidth="1"/>
    <col min="12293" max="12306" width="9" style="86"/>
    <col min="12307" max="12307" width="9.5" style="86" customWidth="1"/>
    <col min="12308" max="12310" width="9" style="86"/>
    <col min="12311" max="12311" width="10.5" style="86" customWidth="1"/>
    <col min="12312" max="12547" width="9" style="86"/>
    <col min="12548" max="12548" width="10.5" style="86" customWidth="1"/>
    <col min="12549" max="12562" width="9" style="86"/>
    <col min="12563" max="12563" width="9.5" style="86" customWidth="1"/>
    <col min="12564" max="12566" width="9" style="86"/>
    <col min="12567" max="12567" width="10.5" style="86" customWidth="1"/>
    <col min="12568" max="12803" width="9" style="86"/>
    <col min="12804" max="12804" width="10.5" style="86" customWidth="1"/>
    <col min="12805" max="12818" width="9" style="86"/>
    <col min="12819" max="12819" width="9.5" style="86" customWidth="1"/>
    <col min="12820" max="12822" width="9" style="86"/>
    <col min="12823" max="12823" width="10.5" style="86" customWidth="1"/>
    <col min="12824" max="13059" width="9" style="86"/>
    <col min="13060" max="13060" width="10.5" style="86" customWidth="1"/>
    <col min="13061" max="13074" width="9" style="86"/>
    <col min="13075" max="13075" width="9.5" style="86" customWidth="1"/>
    <col min="13076" max="13078" width="9" style="86"/>
    <col min="13079" max="13079" width="10.5" style="86" customWidth="1"/>
    <col min="13080" max="13315" width="9" style="86"/>
    <col min="13316" max="13316" width="10.5" style="86" customWidth="1"/>
    <col min="13317" max="13330" width="9" style="86"/>
    <col min="13331" max="13331" width="9.5" style="86" customWidth="1"/>
    <col min="13332" max="13334" width="9" style="86"/>
    <col min="13335" max="13335" width="10.5" style="86" customWidth="1"/>
    <col min="13336" max="13571" width="9" style="86"/>
    <col min="13572" max="13572" width="10.5" style="86" customWidth="1"/>
    <col min="13573" max="13586" width="9" style="86"/>
    <col min="13587" max="13587" width="9.5" style="86" customWidth="1"/>
    <col min="13588" max="13590" width="9" style="86"/>
    <col min="13591" max="13591" width="10.5" style="86" customWidth="1"/>
    <col min="13592" max="13827" width="9" style="86"/>
    <col min="13828" max="13828" width="10.5" style="86" customWidth="1"/>
    <col min="13829" max="13842" width="9" style="86"/>
    <col min="13843" max="13843" width="9.5" style="86" customWidth="1"/>
    <col min="13844" max="13846" width="9" style="86"/>
    <col min="13847" max="13847" width="10.5" style="86" customWidth="1"/>
    <col min="13848" max="14083" width="9" style="86"/>
    <col min="14084" max="14084" width="10.5" style="86" customWidth="1"/>
    <col min="14085" max="14098" width="9" style="86"/>
    <col min="14099" max="14099" width="9.5" style="86" customWidth="1"/>
    <col min="14100" max="14102" width="9" style="86"/>
    <col min="14103" max="14103" width="10.5" style="86" customWidth="1"/>
    <col min="14104" max="14339" width="9" style="86"/>
    <col min="14340" max="14340" width="10.5" style="86" customWidth="1"/>
    <col min="14341" max="14354" width="9" style="86"/>
    <col min="14355" max="14355" width="9.5" style="86" customWidth="1"/>
    <col min="14356" max="14358" width="9" style="86"/>
    <col min="14359" max="14359" width="10.5" style="86" customWidth="1"/>
    <col min="14360" max="14595" width="9" style="86"/>
    <col min="14596" max="14596" width="10.5" style="86" customWidth="1"/>
    <col min="14597" max="14610" width="9" style="86"/>
    <col min="14611" max="14611" width="9.5" style="86" customWidth="1"/>
    <col min="14612" max="14614" width="9" style="86"/>
    <col min="14615" max="14615" width="10.5" style="86" customWidth="1"/>
    <col min="14616" max="14851" width="9" style="86"/>
    <col min="14852" max="14852" width="10.5" style="86" customWidth="1"/>
    <col min="14853" max="14866" width="9" style="86"/>
    <col min="14867" max="14867" width="9.5" style="86" customWidth="1"/>
    <col min="14868" max="14870" width="9" style="86"/>
    <col min="14871" max="14871" width="10.5" style="86" customWidth="1"/>
    <col min="14872" max="15107" width="9" style="86"/>
    <col min="15108" max="15108" width="10.5" style="86" customWidth="1"/>
    <col min="15109" max="15122" width="9" style="86"/>
    <col min="15123" max="15123" width="9.5" style="86" customWidth="1"/>
    <col min="15124" max="15126" width="9" style="86"/>
    <col min="15127" max="15127" width="10.5" style="86" customWidth="1"/>
    <col min="15128" max="15363" width="9" style="86"/>
    <col min="15364" max="15364" width="10.5" style="86" customWidth="1"/>
    <col min="15365" max="15378" width="9" style="86"/>
    <col min="15379" max="15379" width="9.5" style="86" customWidth="1"/>
    <col min="15380" max="15382" width="9" style="86"/>
    <col min="15383" max="15383" width="10.5" style="86" customWidth="1"/>
    <col min="15384" max="15619" width="9" style="86"/>
    <col min="15620" max="15620" width="10.5" style="86" customWidth="1"/>
    <col min="15621" max="15634" width="9" style="86"/>
    <col min="15635" max="15635" width="9.5" style="86" customWidth="1"/>
    <col min="15636" max="15638" width="9" style="86"/>
    <col min="15639" max="15639" width="10.5" style="86" customWidth="1"/>
    <col min="15640" max="15875" width="9" style="86"/>
    <col min="15876" max="15876" width="10.5" style="86" customWidth="1"/>
    <col min="15877" max="15890" width="9" style="86"/>
    <col min="15891" max="15891" width="9.5" style="86" customWidth="1"/>
    <col min="15892" max="15894" width="9" style="86"/>
    <col min="15895" max="15895" width="10.5" style="86" customWidth="1"/>
    <col min="15896" max="16131" width="9" style="86"/>
    <col min="16132" max="16132" width="10.5" style="86" customWidth="1"/>
    <col min="16133" max="16146" width="9" style="86"/>
    <col min="16147" max="16147" width="9.5" style="86" customWidth="1"/>
    <col min="16148" max="16150" width="9" style="86"/>
    <col min="16151" max="16151" width="10.5" style="86" customWidth="1"/>
    <col min="16152" max="16384" width="9" style="86"/>
  </cols>
  <sheetData>
    <row r="1" spans="1:53" ht="45" x14ac:dyDescent="0.15">
      <c r="A1" s="77" t="s">
        <v>0</v>
      </c>
      <c r="B1" s="78" t="s">
        <v>169</v>
      </c>
      <c r="C1" s="78" t="s">
        <v>170</v>
      </c>
      <c r="D1" s="79" t="s">
        <v>3</v>
      </c>
      <c r="E1" s="80" t="s">
        <v>4</v>
      </c>
      <c r="F1" s="80" t="s">
        <v>5</v>
      </c>
      <c r="G1" s="80" t="s">
        <v>6</v>
      </c>
      <c r="H1" s="80" t="s">
        <v>7</v>
      </c>
      <c r="I1" s="80" t="s">
        <v>8</v>
      </c>
      <c r="J1" s="80" t="s">
        <v>9</v>
      </c>
      <c r="K1" s="80" t="s">
        <v>10</v>
      </c>
      <c r="L1" s="79" t="s">
        <v>171</v>
      </c>
      <c r="M1" s="79" t="s">
        <v>172</v>
      </c>
      <c r="N1" s="79" t="s">
        <v>13</v>
      </c>
      <c r="O1" s="79" t="s">
        <v>173</v>
      </c>
      <c r="P1" s="79" t="s">
        <v>174</v>
      </c>
      <c r="Q1" s="81" t="s">
        <v>175</v>
      </c>
      <c r="R1" s="79" t="s">
        <v>176</v>
      </c>
      <c r="S1" s="79" t="s">
        <v>177</v>
      </c>
      <c r="T1" s="81" t="s">
        <v>19</v>
      </c>
      <c r="U1" s="82" t="s">
        <v>108</v>
      </c>
      <c r="V1" s="83" t="s">
        <v>20</v>
      </c>
      <c r="W1" s="79" t="s">
        <v>178</v>
      </c>
      <c r="X1" s="80" t="s">
        <v>22</v>
      </c>
      <c r="Y1" s="80" t="s">
        <v>23</v>
      </c>
      <c r="Z1" s="80" t="s">
        <v>24</v>
      </c>
      <c r="AA1" s="84" t="s">
        <v>25</v>
      </c>
      <c r="AB1" s="85" t="s">
        <v>179</v>
      </c>
      <c r="AE1" s="87" t="s">
        <v>0</v>
      </c>
      <c r="AF1" s="88"/>
      <c r="AG1" s="87" t="s">
        <v>4</v>
      </c>
      <c r="AH1" s="87" t="s">
        <v>5</v>
      </c>
      <c r="AI1" s="88"/>
      <c r="AJ1" s="87" t="s">
        <v>6</v>
      </c>
      <c r="AK1" s="88"/>
      <c r="AL1" s="89" t="s">
        <v>7</v>
      </c>
      <c r="AM1" s="88"/>
      <c r="AN1" s="89" t="s">
        <v>8</v>
      </c>
      <c r="AO1" s="88"/>
      <c r="AP1" s="89" t="s">
        <v>27</v>
      </c>
      <c r="AQ1" s="88"/>
      <c r="AR1" s="89" t="s">
        <v>10</v>
      </c>
      <c r="AS1" s="88"/>
      <c r="AT1" s="90" t="s">
        <v>180</v>
      </c>
      <c r="AU1" s="88"/>
      <c r="AV1" s="89" t="s">
        <v>29</v>
      </c>
      <c r="AX1" s="91" t="s">
        <v>232</v>
      </c>
      <c r="AY1" s="92" t="s">
        <v>182</v>
      </c>
      <c r="AZ1" s="92" t="s">
        <v>233</v>
      </c>
      <c r="BA1" s="93" t="s">
        <v>184</v>
      </c>
    </row>
    <row r="2" spans="1:53" x14ac:dyDescent="0.15">
      <c r="A2" s="86" t="s">
        <v>51</v>
      </c>
      <c r="B2" s="86" t="s">
        <v>157</v>
      </c>
      <c r="C2" s="86">
        <v>2019</v>
      </c>
      <c r="D2" s="94" t="s">
        <v>234</v>
      </c>
      <c r="E2" s="86" t="s">
        <v>235</v>
      </c>
      <c r="F2" s="86" t="s">
        <v>236</v>
      </c>
      <c r="G2" s="86" t="s">
        <v>42</v>
      </c>
      <c r="H2" s="86" t="s">
        <v>164</v>
      </c>
      <c r="I2" s="86" t="s">
        <v>159</v>
      </c>
      <c r="J2" s="86" t="s">
        <v>38</v>
      </c>
      <c r="K2" s="53" t="s">
        <v>161</v>
      </c>
      <c r="L2" s="86">
        <v>1</v>
      </c>
      <c r="N2" s="86">
        <v>1</v>
      </c>
      <c r="O2" s="86">
        <v>0.95</v>
      </c>
      <c r="P2" s="86">
        <v>1</v>
      </c>
      <c r="Q2" s="95">
        <f t="shared" ref="Q2:Q65" si="0">IF(OR(O2="",P2=""),"",AVERAGE(O2,P2))</f>
        <v>0.97499999999999998</v>
      </c>
      <c r="R2" s="86">
        <v>16.8</v>
      </c>
      <c r="S2" s="86">
        <v>126</v>
      </c>
      <c r="T2" s="96">
        <f t="shared" ref="T2:T65" si="1">IF(H2="","",IF(OR(H2="GREEN",H2="GK"),IF(S2&gt;=$AX$2,VLOOKUP(S2,$AX$2:$AY$12,2,1),""),IF(S2&gt;=$AZ$2,VLOOKUP(S2,$AZ$2:$BA$12,2,1),"")))</f>
        <v>27</v>
      </c>
      <c r="U2" s="86">
        <v>98</v>
      </c>
      <c r="V2" s="97">
        <f t="shared" ref="V2:V65" si="2">IF(OR(N2="",U2="",T2=""),"",U2/N2*T2)</f>
        <v>2646</v>
      </c>
      <c r="W2" s="86">
        <v>20</v>
      </c>
      <c r="X2" s="86" t="s">
        <v>46</v>
      </c>
      <c r="Y2" s="86" t="s">
        <v>55</v>
      </c>
      <c r="Z2" s="86" t="s">
        <v>69</v>
      </c>
      <c r="AA2" s="86" t="s">
        <v>97</v>
      </c>
      <c r="AB2" s="53" t="s">
        <v>158</v>
      </c>
      <c r="AE2" s="98" t="s">
        <v>35</v>
      </c>
      <c r="AG2" s="99" t="s">
        <v>210</v>
      </c>
      <c r="AH2" s="99" t="s">
        <v>237</v>
      </c>
      <c r="AJ2" s="99" t="s">
        <v>36</v>
      </c>
      <c r="AL2" s="99" t="s">
        <v>187</v>
      </c>
      <c r="AN2" s="99" t="s">
        <v>37</v>
      </c>
      <c r="AP2" s="99" t="s">
        <v>38</v>
      </c>
      <c r="AR2" s="99" t="s">
        <v>161</v>
      </c>
      <c r="AT2" s="99" t="s">
        <v>39</v>
      </c>
      <c r="AV2" s="99" t="s">
        <v>40</v>
      </c>
      <c r="AX2" s="100">
        <v>1</v>
      </c>
      <c r="AY2" s="101">
        <v>50</v>
      </c>
      <c r="AZ2" s="101">
        <v>1</v>
      </c>
      <c r="BA2" s="102">
        <v>50</v>
      </c>
    </row>
    <row r="3" spans="1:53" x14ac:dyDescent="0.15">
      <c r="A3" s="86" t="s">
        <v>51</v>
      </c>
      <c r="B3" s="86" t="s">
        <v>157</v>
      </c>
      <c r="C3" s="86">
        <v>2019</v>
      </c>
      <c r="D3" s="94" t="s">
        <v>234</v>
      </c>
      <c r="E3" s="86" t="s">
        <v>235</v>
      </c>
      <c r="F3" s="86" t="s">
        <v>236</v>
      </c>
      <c r="G3" s="86" t="s">
        <v>42</v>
      </c>
      <c r="H3" s="86" t="s">
        <v>164</v>
      </c>
      <c r="I3" s="86" t="s">
        <v>159</v>
      </c>
      <c r="J3" s="86" t="s">
        <v>38</v>
      </c>
      <c r="K3" s="53" t="s">
        <v>161</v>
      </c>
      <c r="L3" s="86">
        <v>2</v>
      </c>
      <c r="N3" s="86">
        <v>1</v>
      </c>
      <c r="O3" s="86">
        <v>0.8</v>
      </c>
      <c r="P3" s="86">
        <v>0.85</v>
      </c>
      <c r="Q3" s="95">
        <f t="shared" si="0"/>
        <v>0.82499999999999996</v>
      </c>
      <c r="R3" s="86">
        <v>16.899999999999999</v>
      </c>
      <c r="S3" s="86">
        <v>128</v>
      </c>
      <c r="T3" s="96">
        <f t="shared" si="1"/>
        <v>27</v>
      </c>
      <c r="U3" s="86">
        <v>98</v>
      </c>
      <c r="V3" s="97">
        <f t="shared" si="2"/>
        <v>2646</v>
      </c>
      <c r="W3" s="86">
        <v>20</v>
      </c>
      <c r="X3" s="86" t="s">
        <v>46</v>
      </c>
      <c r="Y3" s="86" t="s">
        <v>55</v>
      </c>
      <c r="Z3" s="86" t="s">
        <v>69</v>
      </c>
      <c r="AA3" s="86" t="s">
        <v>97</v>
      </c>
      <c r="AB3" s="53" t="s">
        <v>158</v>
      </c>
      <c r="AE3" s="103" t="s">
        <v>41</v>
      </c>
      <c r="AG3" s="99" t="s">
        <v>238</v>
      </c>
      <c r="AH3" s="99" t="s">
        <v>239</v>
      </c>
      <c r="AJ3" s="104" t="s">
        <v>42</v>
      </c>
      <c r="AL3" s="104" t="s">
        <v>189</v>
      </c>
      <c r="AN3" s="104" t="s">
        <v>43</v>
      </c>
      <c r="AP3" s="104" t="s">
        <v>44</v>
      </c>
      <c r="AR3" s="104" t="s">
        <v>45</v>
      </c>
      <c r="AT3" s="104" t="s">
        <v>46</v>
      </c>
      <c r="AV3" s="104" t="s">
        <v>47</v>
      </c>
      <c r="AX3" s="105">
        <v>72</v>
      </c>
      <c r="AY3" s="106">
        <v>46</v>
      </c>
      <c r="AZ3" s="106">
        <v>71</v>
      </c>
      <c r="BA3" s="107">
        <v>42</v>
      </c>
    </row>
    <row r="4" spans="1:53" x14ac:dyDescent="0.15">
      <c r="A4" s="86" t="s">
        <v>51</v>
      </c>
      <c r="B4" s="86" t="s">
        <v>157</v>
      </c>
      <c r="C4" s="86">
        <v>2019</v>
      </c>
      <c r="D4" s="94" t="s">
        <v>234</v>
      </c>
      <c r="E4" s="86" t="s">
        <v>235</v>
      </c>
      <c r="F4" s="86" t="s">
        <v>236</v>
      </c>
      <c r="G4" s="86" t="s">
        <v>42</v>
      </c>
      <c r="H4" s="86" t="s">
        <v>164</v>
      </c>
      <c r="I4" s="86" t="s">
        <v>159</v>
      </c>
      <c r="J4" s="86" t="s">
        <v>38</v>
      </c>
      <c r="K4" s="53" t="s">
        <v>161</v>
      </c>
      <c r="L4" s="86">
        <v>3</v>
      </c>
      <c r="N4" s="86">
        <v>1</v>
      </c>
      <c r="O4" s="86">
        <v>1.1000000000000001</v>
      </c>
      <c r="P4" s="86">
        <v>1.05</v>
      </c>
      <c r="Q4" s="95">
        <f t="shared" si="0"/>
        <v>1.0750000000000002</v>
      </c>
      <c r="R4" s="86">
        <v>16.7</v>
      </c>
      <c r="S4" s="86">
        <v>122</v>
      </c>
      <c r="T4" s="96">
        <f t="shared" si="1"/>
        <v>27</v>
      </c>
      <c r="U4" s="86">
        <v>98</v>
      </c>
      <c r="V4" s="97">
        <f t="shared" si="2"/>
        <v>2646</v>
      </c>
      <c r="W4" s="86">
        <v>20</v>
      </c>
      <c r="X4" s="86" t="s">
        <v>46</v>
      </c>
      <c r="Y4" s="86" t="s">
        <v>55</v>
      </c>
      <c r="Z4" s="86" t="s">
        <v>69</v>
      </c>
      <c r="AA4" s="86" t="s">
        <v>97</v>
      </c>
      <c r="AB4" s="53" t="s">
        <v>158</v>
      </c>
      <c r="AE4" s="103" t="s">
        <v>34</v>
      </c>
      <c r="AG4" s="99" t="s">
        <v>240</v>
      </c>
      <c r="AH4" s="99" t="s">
        <v>241</v>
      </c>
      <c r="AJ4" s="108" t="s">
        <v>48</v>
      </c>
      <c r="AL4" s="108" t="s">
        <v>191</v>
      </c>
      <c r="AN4" s="109" t="s">
        <v>192</v>
      </c>
      <c r="AP4" s="104" t="s">
        <v>193</v>
      </c>
      <c r="AR4" s="104" t="s">
        <v>194</v>
      </c>
      <c r="AT4" s="109"/>
      <c r="AV4" s="104" t="s">
        <v>50</v>
      </c>
      <c r="AX4" s="105">
        <v>75</v>
      </c>
      <c r="AY4" s="106">
        <v>42</v>
      </c>
      <c r="AZ4" s="106">
        <v>76</v>
      </c>
      <c r="BA4" s="107">
        <v>39</v>
      </c>
    </row>
    <row r="5" spans="1:53" x14ac:dyDescent="0.15">
      <c r="A5" s="86" t="s">
        <v>51</v>
      </c>
      <c r="B5" s="86" t="s">
        <v>157</v>
      </c>
      <c r="C5" s="86">
        <v>2019</v>
      </c>
      <c r="D5" s="94" t="s">
        <v>234</v>
      </c>
      <c r="E5" s="86" t="s">
        <v>235</v>
      </c>
      <c r="F5" s="86" t="s">
        <v>236</v>
      </c>
      <c r="G5" s="86" t="s">
        <v>42</v>
      </c>
      <c r="H5" s="86" t="s">
        <v>160</v>
      </c>
      <c r="I5" s="86" t="s">
        <v>159</v>
      </c>
      <c r="J5" s="86" t="s">
        <v>38</v>
      </c>
      <c r="K5" s="53" t="s">
        <v>161</v>
      </c>
      <c r="L5" s="86">
        <v>1</v>
      </c>
      <c r="N5" s="86">
        <v>1</v>
      </c>
      <c r="O5" s="86">
        <v>0.75</v>
      </c>
      <c r="P5" s="86">
        <v>0.6</v>
      </c>
      <c r="Q5" s="95">
        <f t="shared" si="0"/>
        <v>0.67500000000000004</v>
      </c>
      <c r="R5" s="86">
        <v>15.9</v>
      </c>
      <c r="S5" s="86">
        <v>136</v>
      </c>
      <c r="T5" s="96">
        <f t="shared" si="1"/>
        <v>25</v>
      </c>
      <c r="U5" s="86">
        <v>98</v>
      </c>
      <c r="V5" s="97">
        <f t="shared" si="2"/>
        <v>2450</v>
      </c>
      <c r="W5" s="86">
        <v>20</v>
      </c>
      <c r="X5" s="86" t="s">
        <v>46</v>
      </c>
      <c r="Y5" s="86" t="s">
        <v>55</v>
      </c>
      <c r="Z5" s="86" t="s">
        <v>69</v>
      </c>
      <c r="AA5" s="86" t="s">
        <v>97</v>
      </c>
      <c r="AB5" s="53" t="s">
        <v>158</v>
      </c>
      <c r="AE5" s="103" t="s">
        <v>51</v>
      </c>
      <c r="AG5" s="99" t="s">
        <v>242</v>
      </c>
      <c r="AH5" s="99" t="s">
        <v>236</v>
      </c>
      <c r="AJ5" s="109"/>
      <c r="AL5" s="110" t="s">
        <v>164</v>
      </c>
      <c r="AN5" s="110" t="s">
        <v>159</v>
      </c>
      <c r="AP5" s="104" t="s">
        <v>196</v>
      </c>
      <c r="AR5" s="104" t="s">
        <v>54</v>
      </c>
      <c r="AV5" s="104" t="s">
        <v>55</v>
      </c>
      <c r="AX5" s="105">
        <v>84</v>
      </c>
      <c r="AY5" s="106">
        <v>39</v>
      </c>
      <c r="AZ5" s="106">
        <v>84</v>
      </c>
      <c r="BA5" s="107">
        <v>36</v>
      </c>
    </row>
    <row r="6" spans="1:53" x14ac:dyDescent="0.15">
      <c r="A6" s="86" t="s">
        <v>51</v>
      </c>
      <c r="B6" s="86" t="s">
        <v>157</v>
      </c>
      <c r="C6" s="86">
        <v>2019</v>
      </c>
      <c r="D6" s="94" t="s">
        <v>234</v>
      </c>
      <c r="E6" s="86" t="s">
        <v>235</v>
      </c>
      <c r="F6" s="86" t="s">
        <v>236</v>
      </c>
      <c r="G6" s="86" t="s">
        <v>42</v>
      </c>
      <c r="H6" s="86" t="s">
        <v>160</v>
      </c>
      <c r="I6" s="86" t="s">
        <v>159</v>
      </c>
      <c r="J6" s="86" t="s">
        <v>38</v>
      </c>
      <c r="K6" s="53" t="s">
        <v>161</v>
      </c>
      <c r="L6" s="86">
        <v>2</v>
      </c>
      <c r="N6" s="86">
        <v>1</v>
      </c>
      <c r="O6" s="86">
        <v>0.7</v>
      </c>
      <c r="P6" s="86">
        <v>0.7</v>
      </c>
      <c r="Q6" s="95">
        <f t="shared" si="0"/>
        <v>0.7</v>
      </c>
      <c r="R6" s="86">
        <v>15.8</v>
      </c>
      <c r="S6" s="86">
        <v>134</v>
      </c>
      <c r="T6" s="96">
        <f t="shared" si="1"/>
        <v>25</v>
      </c>
      <c r="U6" s="86">
        <v>98</v>
      </c>
      <c r="V6" s="97">
        <f t="shared" si="2"/>
        <v>2450</v>
      </c>
      <c r="W6" s="86">
        <v>20</v>
      </c>
      <c r="X6" s="86" t="s">
        <v>46</v>
      </c>
      <c r="Y6" s="86" t="s">
        <v>55</v>
      </c>
      <c r="Z6" s="86" t="s">
        <v>69</v>
      </c>
      <c r="AA6" s="86" t="s">
        <v>97</v>
      </c>
      <c r="AB6" s="53" t="s">
        <v>158</v>
      </c>
      <c r="AE6" s="103" t="s">
        <v>56</v>
      </c>
      <c r="AG6" s="99" t="s">
        <v>243</v>
      </c>
      <c r="AH6" s="99" t="s">
        <v>244</v>
      </c>
      <c r="AL6" s="110" t="s">
        <v>198</v>
      </c>
      <c r="AN6" s="110" t="s">
        <v>165</v>
      </c>
      <c r="AP6" s="104" t="s">
        <v>53</v>
      </c>
      <c r="AR6" s="104" t="s">
        <v>59</v>
      </c>
      <c r="AV6" s="104" t="s">
        <v>60</v>
      </c>
      <c r="AX6" s="105">
        <v>97</v>
      </c>
      <c r="AY6" s="106">
        <v>36</v>
      </c>
      <c r="AZ6" s="106">
        <v>99</v>
      </c>
      <c r="BA6" s="107">
        <v>33</v>
      </c>
    </row>
    <row r="7" spans="1:53" x14ac:dyDescent="0.15">
      <c r="A7" s="86" t="s">
        <v>51</v>
      </c>
      <c r="B7" s="86" t="s">
        <v>157</v>
      </c>
      <c r="C7" s="86">
        <v>2019</v>
      </c>
      <c r="D7" s="94" t="s">
        <v>234</v>
      </c>
      <c r="E7" s="86" t="s">
        <v>235</v>
      </c>
      <c r="F7" s="86" t="s">
        <v>236</v>
      </c>
      <c r="G7" s="86" t="s">
        <v>42</v>
      </c>
      <c r="H7" s="86" t="s">
        <v>160</v>
      </c>
      <c r="I7" s="86" t="s">
        <v>159</v>
      </c>
      <c r="J7" s="86" t="s">
        <v>38</v>
      </c>
      <c r="K7" s="53" t="s">
        <v>161</v>
      </c>
      <c r="L7" s="86">
        <v>3</v>
      </c>
      <c r="N7" s="86">
        <v>1</v>
      </c>
      <c r="O7" s="86">
        <v>0.65</v>
      </c>
      <c r="P7" s="86">
        <v>0.7</v>
      </c>
      <c r="Q7" s="95">
        <f t="shared" si="0"/>
        <v>0.67500000000000004</v>
      </c>
      <c r="R7" s="86">
        <v>15.5</v>
      </c>
      <c r="S7" s="86">
        <v>130</v>
      </c>
      <c r="T7" s="96">
        <f t="shared" si="1"/>
        <v>25</v>
      </c>
      <c r="U7" s="86">
        <v>98</v>
      </c>
      <c r="V7" s="97">
        <f t="shared" si="2"/>
        <v>2450</v>
      </c>
      <c r="W7" s="86">
        <v>20</v>
      </c>
      <c r="X7" s="86" t="s">
        <v>46</v>
      </c>
      <c r="Y7" s="86" t="s">
        <v>55</v>
      </c>
      <c r="Z7" s="86" t="s">
        <v>69</v>
      </c>
      <c r="AA7" s="86" t="s">
        <v>97</v>
      </c>
      <c r="AB7" s="53" t="s">
        <v>158</v>
      </c>
      <c r="AE7" s="103" t="s">
        <v>61</v>
      </c>
      <c r="AG7" s="99" t="s">
        <v>245</v>
      </c>
      <c r="AH7" s="99" t="s">
        <v>237</v>
      </c>
      <c r="AL7" s="86" t="s">
        <v>168</v>
      </c>
      <c r="AP7" s="104" t="s">
        <v>58</v>
      </c>
      <c r="AR7" s="104" t="s">
        <v>200</v>
      </c>
      <c r="AV7" s="104" t="s">
        <v>64</v>
      </c>
      <c r="AX7" s="105">
        <v>109</v>
      </c>
      <c r="AY7" s="106">
        <v>33</v>
      </c>
      <c r="AZ7" s="106">
        <v>113</v>
      </c>
      <c r="BA7" s="107">
        <v>30</v>
      </c>
    </row>
    <row r="8" spans="1:53" x14ac:dyDescent="0.15">
      <c r="A8" s="86" t="s">
        <v>51</v>
      </c>
      <c r="B8" s="86" t="s">
        <v>157</v>
      </c>
      <c r="C8" s="86">
        <v>2019</v>
      </c>
      <c r="D8" s="94" t="s">
        <v>234</v>
      </c>
      <c r="E8" s="86" t="s">
        <v>238</v>
      </c>
      <c r="F8" s="86" t="s">
        <v>239</v>
      </c>
      <c r="G8" s="86" t="s">
        <v>36</v>
      </c>
      <c r="H8" s="86" t="s">
        <v>164</v>
      </c>
      <c r="I8" s="86" t="s">
        <v>159</v>
      </c>
      <c r="J8" s="86" t="s">
        <v>38</v>
      </c>
      <c r="K8" s="53" t="s">
        <v>161</v>
      </c>
      <c r="L8" s="86">
        <v>1</v>
      </c>
      <c r="N8" s="86">
        <v>1</v>
      </c>
      <c r="O8" s="86">
        <v>0.25</v>
      </c>
      <c r="P8" s="86">
        <v>0.55000000000000004</v>
      </c>
      <c r="Q8" s="95">
        <f t="shared" si="0"/>
        <v>0.4</v>
      </c>
      <c r="R8" s="86">
        <v>17.100000000000001</v>
      </c>
      <c r="S8" s="86">
        <v>134</v>
      </c>
      <c r="T8" s="96">
        <f t="shared" si="1"/>
        <v>25</v>
      </c>
      <c r="U8" s="86">
        <v>138</v>
      </c>
      <c r="V8" s="97">
        <f t="shared" si="2"/>
        <v>3450</v>
      </c>
      <c r="W8" s="86">
        <v>8</v>
      </c>
      <c r="X8" s="86" t="s">
        <v>46</v>
      </c>
      <c r="Y8" s="86" t="s">
        <v>47</v>
      </c>
      <c r="Z8" s="86" t="s">
        <v>69</v>
      </c>
      <c r="AA8" s="86" t="s">
        <v>55</v>
      </c>
      <c r="AB8" s="53" t="s">
        <v>158</v>
      </c>
      <c r="AE8" s="103" t="s">
        <v>59</v>
      </c>
      <c r="AG8" s="99" t="s">
        <v>246</v>
      </c>
      <c r="AH8" s="99" t="s">
        <v>247</v>
      </c>
      <c r="AL8" s="86" t="s">
        <v>160</v>
      </c>
      <c r="AP8" s="104" t="s">
        <v>62</v>
      </c>
      <c r="AR8" s="104" t="s">
        <v>81</v>
      </c>
      <c r="AV8" s="104" t="s">
        <v>97</v>
      </c>
      <c r="AX8" s="105">
        <v>119</v>
      </c>
      <c r="AY8" s="106">
        <v>30</v>
      </c>
      <c r="AZ8" s="106">
        <v>121</v>
      </c>
      <c r="BA8" s="107">
        <v>27</v>
      </c>
    </row>
    <row r="9" spans="1:53" x14ac:dyDescent="0.15">
      <c r="A9" s="86" t="s">
        <v>51</v>
      </c>
      <c r="B9" s="86" t="s">
        <v>157</v>
      </c>
      <c r="C9" s="86">
        <v>2019</v>
      </c>
      <c r="D9" s="94" t="s">
        <v>234</v>
      </c>
      <c r="E9" s="86" t="s">
        <v>238</v>
      </c>
      <c r="F9" s="86" t="s">
        <v>239</v>
      </c>
      <c r="G9" s="86" t="s">
        <v>36</v>
      </c>
      <c r="H9" s="86" t="s">
        <v>164</v>
      </c>
      <c r="I9" s="86" t="s">
        <v>159</v>
      </c>
      <c r="J9" s="86" t="s">
        <v>38</v>
      </c>
      <c r="K9" s="53" t="s">
        <v>161</v>
      </c>
      <c r="L9" s="86">
        <v>2</v>
      </c>
      <c r="N9" s="86">
        <v>1</v>
      </c>
      <c r="O9" s="86">
        <v>0.5</v>
      </c>
      <c r="P9" s="86">
        <v>0.5</v>
      </c>
      <c r="Q9" s="95">
        <f t="shared" si="0"/>
        <v>0.5</v>
      </c>
      <c r="R9" s="86">
        <v>16.899999999999999</v>
      </c>
      <c r="S9" s="86">
        <v>128</v>
      </c>
      <c r="T9" s="96">
        <f t="shared" si="1"/>
        <v>27</v>
      </c>
      <c r="U9" s="86">
        <v>138</v>
      </c>
      <c r="V9" s="97">
        <f t="shared" si="2"/>
        <v>3726</v>
      </c>
      <c r="W9" s="86">
        <v>8</v>
      </c>
      <c r="X9" s="86" t="s">
        <v>46</v>
      </c>
      <c r="Y9" s="86" t="s">
        <v>47</v>
      </c>
      <c r="Z9" s="86" t="s">
        <v>69</v>
      </c>
      <c r="AA9" s="86" t="s">
        <v>55</v>
      </c>
      <c r="AB9" s="53" t="s">
        <v>158</v>
      </c>
      <c r="AE9" s="103" t="s">
        <v>203</v>
      </c>
      <c r="AG9" s="99" t="s">
        <v>248</v>
      </c>
      <c r="AH9" s="99" t="s">
        <v>236</v>
      </c>
      <c r="AL9" s="110"/>
      <c r="AP9" s="104" t="s">
        <v>95</v>
      </c>
      <c r="AR9" s="104" t="s">
        <v>206</v>
      </c>
      <c r="AV9" s="104" t="s">
        <v>102</v>
      </c>
      <c r="AX9" s="105">
        <v>128</v>
      </c>
      <c r="AY9" s="106">
        <v>27</v>
      </c>
      <c r="AZ9" s="106">
        <v>129</v>
      </c>
      <c r="BA9" s="107">
        <v>25</v>
      </c>
    </row>
    <row r="10" spans="1:53" x14ac:dyDescent="0.15">
      <c r="A10" s="86" t="s">
        <v>51</v>
      </c>
      <c r="B10" s="86" t="s">
        <v>157</v>
      </c>
      <c r="C10" s="86">
        <v>2019</v>
      </c>
      <c r="D10" s="94" t="s">
        <v>234</v>
      </c>
      <c r="E10" s="86" t="s">
        <v>238</v>
      </c>
      <c r="F10" s="86" t="s">
        <v>239</v>
      </c>
      <c r="G10" s="86" t="s">
        <v>36</v>
      </c>
      <c r="H10" s="86" t="s">
        <v>164</v>
      </c>
      <c r="I10" s="86" t="s">
        <v>159</v>
      </c>
      <c r="J10" s="86" t="s">
        <v>38</v>
      </c>
      <c r="K10" s="53" t="s">
        <v>161</v>
      </c>
      <c r="L10" s="86">
        <v>3</v>
      </c>
      <c r="N10" s="86">
        <v>1</v>
      </c>
      <c r="O10" s="86">
        <v>0.55000000000000004</v>
      </c>
      <c r="P10" s="86">
        <v>0.5</v>
      </c>
      <c r="Q10" s="95">
        <f t="shared" si="0"/>
        <v>0.52500000000000002</v>
      </c>
      <c r="R10" s="86">
        <v>16.7</v>
      </c>
      <c r="S10" s="86">
        <v>130</v>
      </c>
      <c r="T10" s="96">
        <f t="shared" si="1"/>
        <v>25</v>
      </c>
      <c r="U10" s="86">
        <v>138</v>
      </c>
      <c r="V10" s="97">
        <f t="shared" si="2"/>
        <v>3450</v>
      </c>
      <c r="W10" s="86">
        <v>8</v>
      </c>
      <c r="X10" s="86" t="s">
        <v>46</v>
      </c>
      <c r="Y10" s="86" t="s">
        <v>47</v>
      </c>
      <c r="Z10" s="86" t="s">
        <v>69</v>
      </c>
      <c r="AA10" s="86" t="s">
        <v>55</v>
      </c>
      <c r="AB10" s="53" t="s">
        <v>158</v>
      </c>
      <c r="AE10" s="103" t="s">
        <v>207</v>
      </c>
      <c r="AG10" s="99" t="s">
        <v>235</v>
      </c>
      <c r="AH10" s="104" t="s">
        <v>236</v>
      </c>
      <c r="AP10" s="104" t="s">
        <v>100</v>
      </c>
      <c r="AR10" s="104" t="s">
        <v>209</v>
      </c>
      <c r="AV10" s="104" t="s">
        <v>106</v>
      </c>
      <c r="AX10" s="105">
        <v>138</v>
      </c>
      <c r="AY10" s="106">
        <v>25</v>
      </c>
      <c r="AZ10" s="106">
        <v>138</v>
      </c>
      <c r="BA10" s="107">
        <v>22</v>
      </c>
    </row>
    <row r="11" spans="1:53" x14ac:dyDescent="0.15">
      <c r="A11" s="86" t="s">
        <v>51</v>
      </c>
      <c r="B11" s="86" t="s">
        <v>157</v>
      </c>
      <c r="C11" s="86">
        <v>2019</v>
      </c>
      <c r="D11" s="94" t="s">
        <v>234</v>
      </c>
      <c r="E11" s="86" t="s">
        <v>238</v>
      </c>
      <c r="F11" s="86" t="s">
        <v>239</v>
      </c>
      <c r="G11" s="86" t="s">
        <v>36</v>
      </c>
      <c r="H11" s="86" t="s">
        <v>168</v>
      </c>
      <c r="I11" s="86" t="s">
        <v>159</v>
      </c>
      <c r="J11" s="86" t="s">
        <v>38</v>
      </c>
      <c r="K11" s="53" t="s">
        <v>161</v>
      </c>
      <c r="L11" s="86">
        <v>1</v>
      </c>
      <c r="N11" s="86">
        <v>5</v>
      </c>
      <c r="O11" s="86">
        <v>0.25</v>
      </c>
      <c r="P11" s="86">
        <v>0.25</v>
      </c>
      <c r="Q11" s="95">
        <f t="shared" si="0"/>
        <v>0.25</v>
      </c>
      <c r="R11" s="86">
        <v>15.9</v>
      </c>
      <c r="S11" s="86">
        <v>84</v>
      </c>
      <c r="T11" s="96">
        <f t="shared" si="1"/>
        <v>36</v>
      </c>
      <c r="U11" s="86">
        <v>398</v>
      </c>
      <c r="V11" s="97">
        <f t="shared" si="2"/>
        <v>2865.6</v>
      </c>
      <c r="W11" s="86">
        <v>8</v>
      </c>
      <c r="X11" s="86" t="s">
        <v>46</v>
      </c>
      <c r="Y11" s="86" t="s">
        <v>47</v>
      </c>
      <c r="Z11" s="86" t="s">
        <v>69</v>
      </c>
      <c r="AA11" s="86" t="s">
        <v>55</v>
      </c>
      <c r="AB11" s="53" t="s">
        <v>158</v>
      </c>
      <c r="AE11" s="103" t="s">
        <v>68</v>
      </c>
      <c r="AG11" s="99" t="s">
        <v>139</v>
      </c>
      <c r="AH11" s="104" t="s">
        <v>249</v>
      </c>
      <c r="AP11" s="104" t="s">
        <v>104</v>
      </c>
      <c r="AR11" s="104" t="s">
        <v>212</v>
      </c>
      <c r="AV11" s="104" t="s">
        <v>69</v>
      </c>
      <c r="AX11" s="105">
        <v>151</v>
      </c>
      <c r="AY11" s="106">
        <v>22</v>
      </c>
      <c r="AZ11" s="106">
        <v>152</v>
      </c>
      <c r="BA11" s="107">
        <v>18</v>
      </c>
    </row>
    <row r="12" spans="1:53" x14ac:dyDescent="0.15">
      <c r="A12" s="86" t="s">
        <v>51</v>
      </c>
      <c r="B12" s="86" t="s">
        <v>157</v>
      </c>
      <c r="C12" s="86">
        <v>2019</v>
      </c>
      <c r="D12" s="94" t="s">
        <v>234</v>
      </c>
      <c r="E12" s="86" t="s">
        <v>238</v>
      </c>
      <c r="F12" s="86" t="s">
        <v>239</v>
      </c>
      <c r="G12" s="86" t="s">
        <v>36</v>
      </c>
      <c r="H12" s="86" t="s">
        <v>168</v>
      </c>
      <c r="I12" s="86" t="s">
        <v>159</v>
      </c>
      <c r="J12" s="86" t="s">
        <v>38</v>
      </c>
      <c r="K12" s="53" t="s">
        <v>161</v>
      </c>
      <c r="L12" s="86">
        <v>2</v>
      </c>
      <c r="N12" s="86">
        <v>5</v>
      </c>
      <c r="O12" s="86">
        <v>0.5</v>
      </c>
      <c r="P12" s="86">
        <v>0.5</v>
      </c>
      <c r="Q12" s="95">
        <f t="shared" si="0"/>
        <v>0.5</v>
      </c>
      <c r="R12" s="86">
        <v>16.3</v>
      </c>
      <c r="S12" s="86">
        <v>79</v>
      </c>
      <c r="T12" s="96">
        <f t="shared" si="1"/>
        <v>39</v>
      </c>
      <c r="U12" s="86">
        <v>398</v>
      </c>
      <c r="V12" s="97">
        <f t="shared" si="2"/>
        <v>3104.3999999999996</v>
      </c>
      <c r="W12" s="86">
        <v>8</v>
      </c>
      <c r="X12" s="86" t="s">
        <v>46</v>
      </c>
      <c r="Y12" s="86" t="s">
        <v>47</v>
      </c>
      <c r="Z12" s="86" t="s">
        <v>69</v>
      </c>
      <c r="AA12" s="86" t="s">
        <v>55</v>
      </c>
      <c r="AB12" s="53" t="s">
        <v>158</v>
      </c>
      <c r="AE12" s="103" t="s">
        <v>213</v>
      </c>
      <c r="AG12" s="104"/>
      <c r="AH12" s="104"/>
      <c r="AP12" s="104" t="s">
        <v>67</v>
      </c>
      <c r="AR12" s="104" t="s">
        <v>214</v>
      </c>
      <c r="AV12" s="104" t="s">
        <v>72</v>
      </c>
      <c r="AX12" s="111">
        <v>180</v>
      </c>
      <c r="AY12" s="112">
        <v>18</v>
      </c>
      <c r="AZ12" s="112">
        <v>181</v>
      </c>
      <c r="BA12" s="113">
        <v>16</v>
      </c>
    </row>
    <row r="13" spans="1:53" x14ac:dyDescent="0.15">
      <c r="A13" s="86" t="s">
        <v>51</v>
      </c>
      <c r="B13" s="86" t="s">
        <v>157</v>
      </c>
      <c r="C13" s="86">
        <v>2019</v>
      </c>
      <c r="D13" s="94" t="s">
        <v>234</v>
      </c>
      <c r="E13" s="86" t="s">
        <v>238</v>
      </c>
      <c r="F13" s="86" t="s">
        <v>239</v>
      </c>
      <c r="G13" s="86" t="s">
        <v>36</v>
      </c>
      <c r="H13" s="86" t="s">
        <v>168</v>
      </c>
      <c r="I13" s="86" t="s">
        <v>159</v>
      </c>
      <c r="J13" s="86" t="s">
        <v>38</v>
      </c>
      <c r="K13" s="53" t="s">
        <v>161</v>
      </c>
      <c r="L13" s="86">
        <v>3</v>
      </c>
      <c r="N13" s="86">
        <v>5</v>
      </c>
      <c r="O13" s="86">
        <v>0.55000000000000004</v>
      </c>
      <c r="P13" s="86">
        <v>0.6</v>
      </c>
      <c r="Q13" s="95">
        <f t="shared" si="0"/>
        <v>0.57499999999999996</v>
      </c>
      <c r="R13" s="86">
        <v>16.600000000000001</v>
      </c>
      <c r="S13" s="86">
        <v>89</v>
      </c>
      <c r="T13" s="96">
        <f t="shared" si="1"/>
        <v>36</v>
      </c>
      <c r="U13" s="86">
        <v>398</v>
      </c>
      <c r="V13" s="97">
        <f t="shared" si="2"/>
        <v>2865.6</v>
      </c>
      <c r="W13" s="86">
        <v>8</v>
      </c>
      <c r="X13" s="86" t="s">
        <v>46</v>
      </c>
      <c r="Y13" s="86" t="s">
        <v>47</v>
      </c>
      <c r="Z13" s="86" t="s">
        <v>69</v>
      </c>
      <c r="AA13" s="86" t="s">
        <v>55</v>
      </c>
      <c r="AB13" s="53" t="s">
        <v>158</v>
      </c>
      <c r="AE13" s="103" t="s">
        <v>215</v>
      </c>
      <c r="AG13" s="104"/>
      <c r="AH13" s="104"/>
      <c r="AP13" s="104" t="s">
        <v>71</v>
      </c>
      <c r="AR13" s="104" t="s">
        <v>207</v>
      </c>
      <c r="AV13" s="104" t="s">
        <v>75</v>
      </c>
    </row>
    <row r="14" spans="1:53" x14ac:dyDescent="0.15">
      <c r="A14" s="86" t="s">
        <v>51</v>
      </c>
      <c r="B14" s="86" t="s">
        <v>157</v>
      </c>
      <c r="C14" s="86">
        <v>2019</v>
      </c>
      <c r="D14" s="94" t="s">
        <v>234</v>
      </c>
      <c r="E14" s="86" t="s">
        <v>238</v>
      </c>
      <c r="F14" s="86" t="s">
        <v>239</v>
      </c>
      <c r="G14" s="86" t="s">
        <v>36</v>
      </c>
      <c r="H14" s="86" t="s">
        <v>160</v>
      </c>
      <c r="I14" s="86" t="s">
        <v>159</v>
      </c>
      <c r="J14" s="86" t="s">
        <v>38</v>
      </c>
      <c r="K14" s="53" t="s">
        <v>161</v>
      </c>
      <c r="L14" s="86">
        <v>1</v>
      </c>
      <c r="N14" s="86">
        <v>1</v>
      </c>
      <c r="O14" s="86">
        <v>0.7</v>
      </c>
      <c r="P14" s="86">
        <v>0.7</v>
      </c>
      <c r="Q14" s="95">
        <f t="shared" si="0"/>
        <v>0.7</v>
      </c>
      <c r="R14" s="86">
        <v>17.2</v>
      </c>
      <c r="S14" s="86">
        <v>132</v>
      </c>
      <c r="T14" s="96">
        <f t="shared" si="1"/>
        <v>25</v>
      </c>
      <c r="U14" s="86">
        <v>138</v>
      </c>
      <c r="V14" s="97">
        <f t="shared" si="2"/>
        <v>3450</v>
      </c>
      <c r="W14" s="86">
        <v>8</v>
      </c>
      <c r="X14" s="86" t="s">
        <v>46</v>
      </c>
      <c r="Y14" s="86" t="s">
        <v>47</v>
      </c>
      <c r="Z14" s="86" t="s">
        <v>69</v>
      </c>
      <c r="AA14" s="86" t="s">
        <v>55</v>
      </c>
      <c r="AB14" s="53" t="s">
        <v>158</v>
      </c>
      <c r="AE14" s="103" t="s">
        <v>96</v>
      </c>
      <c r="AG14" s="104"/>
      <c r="AH14" s="104"/>
      <c r="AP14" s="104" t="s">
        <v>74</v>
      </c>
      <c r="AR14" s="104" t="s">
        <v>216</v>
      </c>
      <c r="AV14" s="104" t="s">
        <v>78</v>
      </c>
    </row>
    <row r="15" spans="1:53" x14ac:dyDescent="0.15">
      <c r="A15" s="86" t="s">
        <v>51</v>
      </c>
      <c r="B15" s="86" t="s">
        <v>157</v>
      </c>
      <c r="C15" s="86">
        <v>2019</v>
      </c>
      <c r="D15" s="94" t="s">
        <v>234</v>
      </c>
      <c r="E15" s="86" t="s">
        <v>238</v>
      </c>
      <c r="F15" s="86" t="s">
        <v>239</v>
      </c>
      <c r="G15" s="86" t="s">
        <v>36</v>
      </c>
      <c r="H15" s="86" t="s">
        <v>160</v>
      </c>
      <c r="I15" s="86" t="s">
        <v>159</v>
      </c>
      <c r="J15" s="86" t="s">
        <v>38</v>
      </c>
      <c r="K15" s="53" t="s">
        <v>161</v>
      </c>
      <c r="L15" s="86">
        <v>2</v>
      </c>
      <c r="N15" s="86">
        <v>1</v>
      </c>
      <c r="O15" s="86">
        <v>0.65</v>
      </c>
      <c r="P15" s="86">
        <v>0.7</v>
      </c>
      <c r="Q15" s="95">
        <f t="shared" si="0"/>
        <v>0.67500000000000004</v>
      </c>
      <c r="R15" s="86">
        <v>16.8</v>
      </c>
      <c r="S15" s="86">
        <v>130</v>
      </c>
      <c r="T15" s="96">
        <f t="shared" si="1"/>
        <v>25</v>
      </c>
      <c r="U15" s="86">
        <v>138</v>
      </c>
      <c r="V15" s="97">
        <f t="shared" si="2"/>
        <v>3450</v>
      </c>
      <c r="W15" s="86">
        <v>8</v>
      </c>
      <c r="X15" s="86" t="s">
        <v>46</v>
      </c>
      <c r="Y15" s="86" t="s">
        <v>47</v>
      </c>
      <c r="Z15" s="86" t="s">
        <v>69</v>
      </c>
      <c r="AA15" s="86" t="s">
        <v>55</v>
      </c>
      <c r="AB15" s="53" t="s">
        <v>158</v>
      </c>
      <c r="AE15" s="103" t="s">
        <v>217</v>
      </c>
      <c r="AG15" s="104"/>
      <c r="AH15" s="104"/>
      <c r="AP15" s="104" t="s">
        <v>77</v>
      </c>
      <c r="AR15" s="104" t="s">
        <v>80</v>
      </c>
      <c r="AV15" s="104" t="s">
        <v>107</v>
      </c>
    </row>
    <row r="16" spans="1:53" x14ac:dyDescent="0.15">
      <c r="A16" s="86" t="s">
        <v>51</v>
      </c>
      <c r="B16" s="86" t="s">
        <v>157</v>
      </c>
      <c r="C16" s="86">
        <v>2019</v>
      </c>
      <c r="D16" s="94" t="s">
        <v>234</v>
      </c>
      <c r="E16" s="86" t="s">
        <v>238</v>
      </c>
      <c r="F16" s="86" t="s">
        <v>239</v>
      </c>
      <c r="G16" s="86" t="s">
        <v>36</v>
      </c>
      <c r="H16" s="86" t="s">
        <v>160</v>
      </c>
      <c r="I16" s="86" t="s">
        <v>159</v>
      </c>
      <c r="J16" s="86" t="s">
        <v>38</v>
      </c>
      <c r="K16" s="53" t="s">
        <v>161</v>
      </c>
      <c r="L16" s="86">
        <v>3</v>
      </c>
      <c r="N16" s="86">
        <v>1</v>
      </c>
      <c r="O16" s="86">
        <v>0.75</v>
      </c>
      <c r="P16" s="86">
        <v>0.6</v>
      </c>
      <c r="Q16" s="95">
        <f t="shared" si="0"/>
        <v>0.67500000000000004</v>
      </c>
      <c r="R16" s="86">
        <v>17.600000000000001</v>
      </c>
      <c r="S16" s="86">
        <v>132</v>
      </c>
      <c r="T16" s="96">
        <f t="shared" si="1"/>
        <v>25</v>
      </c>
      <c r="U16" s="86">
        <v>138</v>
      </c>
      <c r="V16" s="97">
        <f t="shared" si="2"/>
        <v>3450</v>
      </c>
      <c r="W16" s="86">
        <v>8</v>
      </c>
      <c r="X16" s="86" t="s">
        <v>46</v>
      </c>
      <c r="Y16" s="86" t="s">
        <v>47</v>
      </c>
      <c r="Z16" s="86" t="s">
        <v>69</v>
      </c>
      <c r="AA16" s="86" t="s">
        <v>55</v>
      </c>
      <c r="AB16" s="53" t="s">
        <v>158</v>
      </c>
      <c r="AE16" s="103" t="s">
        <v>218</v>
      </c>
      <c r="AG16" s="109"/>
      <c r="AH16" s="109"/>
      <c r="AP16" s="104" t="s">
        <v>80</v>
      </c>
      <c r="AR16" s="104" t="s">
        <v>63</v>
      </c>
      <c r="AV16" s="104" t="s">
        <v>84</v>
      </c>
    </row>
    <row r="17" spans="1:48" x14ac:dyDescent="0.15">
      <c r="A17" s="86" t="s">
        <v>51</v>
      </c>
      <c r="B17" s="86" t="s">
        <v>157</v>
      </c>
      <c r="C17" s="86">
        <v>2019</v>
      </c>
      <c r="D17" s="94" t="s">
        <v>234</v>
      </c>
      <c r="E17" s="86" t="s">
        <v>139</v>
      </c>
      <c r="F17" s="86" t="s">
        <v>249</v>
      </c>
      <c r="G17" s="86" t="s">
        <v>42</v>
      </c>
      <c r="H17" s="86" t="s">
        <v>164</v>
      </c>
      <c r="I17" s="86" t="s">
        <v>159</v>
      </c>
      <c r="J17" s="86" t="s">
        <v>38</v>
      </c>
      <c r="K17" s="53" t="s">
        <v>161</v>
      </c>
      <c r="L17" s="86">
        <v>1</v>
      </c>
      <c r="N17" s="86">
        <v>1</v>
      </c>
      <c r="O17" s="86">
        <v>0.65</v>
      </c>
      <c r="P17" s="86">
        <v>0.5</v>
      </c>
      <c r="Q17" s="95">
        <f t="shared" si="0"/>
        <v>0.57499999999999996</v>
      </c>
      <c r="R17" s="86">
        <v>15.1</v>
      </c>
      <c r="S17" s="86">
        <v>93</v>
      </c>
      <c r="T17" s="96">
        <f t="shared" si="1"/>
        <v>36</v>
      </c>
      <c r="U17" s="86">
        <v>100</v>
      </c>
      <c r="V17" s="97">
        <f t="shared" si="2"/>
        <v>3600</v>
      </c>
      <c r="W17" s="86">
        <v>18</v>
      </c>
      <c r="X17" s="86" t="s">
        <v>46</v>
      </c>
      <c r="Y17" s="86" t="s">
        <v>69</v>
      </c>
      <c r="Z17" s="86" t="s">
        <v>47</v>
      </c>
      <c r="AA17" s="86" t="s">
        <v>55</v>
      </c>
      <c r="AB17" s="53" t="s">
        <v>158</v>
      </c>
      <c r="AE17" s="103" t="s">
        <v>219</v>
      </c>
      <c r="AP17" s="108" t="s">
        <v>220</v>
      </c>
      <c r="AR17" s="104" t="s">
        <v>96</v>
      </c>
      <c r="AV17" s="104" t="s">
        <v>86</v>
      </c>
    </row>
    <row r="18" spans="1:48" x14ac:dyDescent="0.15">
      <c r="A18" s="86" t="s">
        <v>51</v>
      </c>
      <c r="B18" s="86" t="s">
        <v>157</v>
      </c>
      <c r="C18" s="86">
        <v>2019</v>
      </c>
      <c r="D18" s="94" t="s">
        <v>234</v>
      </c>
      <c r="E18" s="86" t="s">
        <v>139</v>
      </c>
      <c r="F18" s="86" t="s">
        <v>249</v>
      </c>
      <c r="G18" s="86" t="s">
        <v>42</v>
      </c>
      <c r="H18" s="86" t="s">
        <v>164</v>
      </c>
      <c r="I18" s="86" t="s">
        <v>159</v>
      </c>
      <c r="J18" s="86" t="s">
        <v>38</v>
      </c>
      <c r="K18" s="53" t="s">
        <v>161</v>
      </c>
      <c r="L18" s="86">
        <v>2</v>
      </c>
      <c r="N18" s="86">
        <v>1</v>
      </c>
      <c r="O18" s="86">
        <v>0.55000000000000004</v>
      </c>
      <c r="P18" s="86">
        <v>0.65</v>
      </c>
      <c r="Q18" s="95">
        <f t="shared" si="0"/>
        <v>0.60000000000000009</v>
      </c>
      <c r="R18" s="86">
        <v>14.3</v>
      </c>
      <c r="S18" s="86">
        <v>88</v>
      </c>
      <c r="T18" s="96">
        <f t="shared" si="1"/>
        <v>36</v>
      </c>
      <c r="U18" s="86">
        <v>100</v>
      </c>
      <c r="V18" s="97">
        <f t="shared" si="2"/>
        <v>3600</v>
      </c>
      <c r="W18" s="86">
        <v>18</v>
      </c>
      <c r="X18" s="86" t="s">
        <v>46</v>
      </c>
      <c r="Y18" s="86" t="s">
        <v>69</v>
      </c>
      <c r="Z18" s="86" t="s">
        <v>47</v>
      </c>
      <c r="AA18" s="86" t="s">
        <v>55</v>
      </c>
      <c r="AB18" s="53" t="s">
        <v>158</v>
      </c>
      <c r="AE18" s="103" t="s">
        <v>212</v>
      </c>
      <c r="AP18" s="108" t="s">
        <v>221</v>
      </c>
      <c r="AR18" s="104" t="s">
        <v>101</v>
      </c>
      <c r="AV18" s="104" t="s">
        <v>88</v>
      </c>
    </row>
    <row r="19" spans="1:48" x14ac:dyDescent="0.15">
      <c r="A19" s="86" t="s">
        <v>51</v>
      </c>
      <c r="B19" s="86" t="s">
        <v>157</v>
      </c>
      <c r="C19" s="86">
        <v>2019</v>
      </c>
      <c r="D19" s="94" t="s">
        <v>234</v>
      </c>
      <c r="E19" s="86" t="s">
        <v>139</v>
      </c>
      <c r="F19" s="86" t="s">
        <v>249</v>
      </c>
      <c r="G19" s="86" t="s">
        <v>42</v>
      </c>
      <c r="H19" s="86" t="s">
        <v>164</v>
      </c>
      <c r="I19" s="86" t="s">
        <v>159</v>
      </c>
      <c r="J19" s="86" t="s">
        <v>38</v>
      </c>
      <c r="K19" s="53" t="s">
        <v>161</v>
      </c>
      <c r="L19" s="86">
        <v>3</v>
      </c>
      <c r="N19" s="86">
        <v>1</v>
      </c>
      <c r="O19" s="86">
        <v>0.6</v>
      </c>
      <c r="P19" s="86">
        <v>0.6</v>
      </c>
      <c r="Q19" s="95">
        <f t="shared" si="0"/>
        <v>0.6</v>
      </c>
      <c r="R19" s="86">
        <v>13.9</v>
      </c>
      <c r="S19" s="86">
        <v>82</v>
      </c>
      <c r="T19" s="96">
        <f t="shared" si="1"/>
        <v>39</v>
      </c>
      <c r="U19" s="86">
        <v>100</v>
      </c>
      <c r="V19" s="97">
        <f t="shared" si="2"/>
        <v>3900</v>
      </c>
      <c r="W19" s="86">
        <v>18</v>
      </c>
      <c r="X19" s="86" t="s">
        <v>46</v>
      </c>
      <c r="Y19" s="86" t="s">
        <v>69</v>
      </c>
      <c r="Z19" s="86" t="s">
        <v>47</v>
      </c>
      <c r="AA19" s="86" t="s">
        <v>55</v>
      </c>
      <c r="AB19" s="53" t="s">
        <v>158</v>
      </c>
      <c r="AE19" s="114" t="s">
        <v>206</v>
      </c>
      <c r="AP19" s="108" t="s">
        <v>222</v>
      </c>
      <c r="AR19" s="104" t="s">
        <v>223</v>
      </c>
      <c r="AV19" s="104" t="s">
        <v>90</v>
      </c>
    </row>
    <row r="20" spans="1:48" x14ac:dyDescent="0.15">
      <c r="A20" s="86" t="s">
        <v>51</v>
      </c>
      <c r="B20" s="86" t="s">
        <v>157</v>
      </c>
      <c r="C20" s="86">
        <v>2019</v>
      </c>
      <c r="D20" s="94" t="s">
        <v>234</v>
      </c>
      <c r="E20" s="86" t="s">
        <v>139</v>
      </c>
      <c r="F20" s="86" t="s">
        <v>249</v>
      </c>
      <c r="G20" s="86" t="s">
        <v>42</v>
      </c>
      <c r="H20" s="86" t="s">
        <v>160</v>
      </c>
      <c r="I20" s="86" t="s">
        <v>159</v>
      </c>
      <c r="J20" s="86" t="s">
        <v>38</v>
      </c>
      <c r="K20" s="53" t="s">
        <v>161</v>
      </c>
      <c r="L20" s="86">
        <v>1</v>
      </c>
      <c r="N20" s="86">
        <v>1</v>
      </c>
      <c r="O20" s="86">
        <v>0.7</v>
      </c>
      <c r="P20" s="86">
        <v>0.7</v>
      </c>
      <c r="Q20" s="95">
        <f t="shared" si="0"/>
        <v>0.7</v>
      </c>
      <c r="R20" s="86">
        <v>16.3</v>
      </c>
      <c r="S20" s="86">
        <v>99</v>
      </c>
      <c r="T20" s="96">
        <f t="shared" si="1"/>
        <v>33</v>
      </c>
      <c r="U20" s="86">
        <v>98</v>
      </c>
      <c r="V20" s="97">
        <f t="shared" si="2"/>
        <v>3234</v>
      </c>
      <c r="W20" s="86">
        <v>18</v>
      </c>
      <c r="X20" s="86" t="s">
        <v>46</v>
      </c>
      <c r="Y20" s="86" t="s">
        <v>69</v>
      </c>
      <c r="Z20" s="86" t="s">
        <v>47</v>
      </c>
      <c r="AA20" s="86" t="s">
        <v>55</v>
      </c>
      <c r="AB20" s="53" t="s">
        <v>158</v>
      </c>
      <c r="AE20" s="114"/>
      <c r="AP20" s="108" t="s">
        <v>224</v>
      </c>
      <c r="AR20" s="104" t="s">
        <v>105</v>
      </c>
      <c r="AV20" s="108" t="s">
        <v>225</v>
      </c>
    </row>
    <row r="21" spans="1:48" x14ac:dyDescent="0.15">
      <c r="A21" s="86" t="s">
        <v>51</v>
      </c>
      <c r="B21" s="86" t="s">
        <v>157</v>
      </c>
      <c r="C21" s="86">
        <v>2019</v>
      </c>
      <c r="D21" s="94" t="s">
        <v>234</v>
      </c>
      <c r="E21" s="86" t="s">
        <v>139</v>
      </c>
      <c r="F21" s="86" t="s">
        <v>249</v>
      </c>
      <c r="G21" s="86" t="s">
        <v>42</v>
      </c>
      <c r="H21" s="86" t="s">
        <v>160</v>
      </c>
      <c r="I21" s="86" t="s">
        <v>159</v>
      </c>
      <c r="J21" s="86" t="s">
        <v>38</v>
      </c>
      <c r="K21" s="53" t="s">
        <v>161</v>
      </c>
      <c r="L21" s="86">
        <v>2</v>
      </c>
      <c r="N21" s="86">
        <v>1</v>
      </c>
      <c r="O21" s="86">
        <v>0.75</v>
      </c>
      <c r="P21" s="86">
        <v>0.8</v>
      </c>
      <c r="Q21" s="95">
        <f t="shared" si="0"/>
        <v>0.77500000000000002</v>
      </c>
      <c r="R21" s="86">
        <v>16.600000000000001</v>
      </c>
      <c r="S21" s="86">
        <v>100</v>
      </c>
      <c r="T21" s="96">
        <f t="shared" si="1"/>
        <v>33</v>
      </c>
      <c r="U21" s="86">
        <v>98</v>
      </c>
      <c r="V21" s="97">
        <f t="shared" si="2"/>
        <v>3234</v>
      </c>
      <c r="W21" s="86">
        <v>18</v>
      </c>
      <c r="X21" s="86" t="s">
        <v>46</v>
      </c>
      <c r="Y21" s="86" t="s">
        <v>69</v>
      </c>
      <c r="Z21" s="86" t="s">
        <v>47</v>
      </c>
      <c r="AA21" s="86" t="s">
        <v>55</v>
      </c>
      <c r="AB21" s="53" t="s">
        <v>158</v>
      </c>
      <c r="AE21" s="109"/>
      <c r="AP21" s="108" t="s">
        <v>226</v>
      </c>
      <c r="AR21" s="104" t="s">
        <v>68</v>
      </c>
      <c r="AV21" s="108" t="s">
        <v>227</v>
      </c>
    </row>
    <row r="22" spans="1:48" x14ac:dyDescent="0.15">
      <c r="A22" s="86" t="s">
        <v>51</v>
      </c>
      <c r="B22" s="86" t="s">
        <v>157</v>
      </c>
      <c r="C22" s="86">
        <v>2019</v>
      </c>
      <c r="D22" s="94" t="s">
        <v>234</v>
      </c>
      <c r="E22" s="86" t="s">
        <v>139</v>
      </c>
      <c r="F22" s="86" t="s">
        <v>249</v>
      </c>
      <c r="G22" s="86" t="s">
        <v>42</v>
      </c>
      <c r="H22" s="86" t="s">
        <v>160</v>
      </c>
      <c r="I22" s="86" t="s">
        <v>159</v>
      </c>
      <c r="J22" s="86" t="s">
        <v>38</v>
      </c>
      <c r="K22" s="53" t="s">
        <v>161</v>
      </c>
      <c r="L22" s="86">
        <v>3</v>
      </c>
      <c r="N22" s="86">
        <v>1</v>
      </c>
      <c r="O22" s="86">
        <v>0.65</v>
      </c>
      <c r="P22" s="86">
        <v>0.7</v>
      </c>
      <c r="Q22" s="95">
        <f t="shared" si="0"/>
        <v>0.67500000000000004</v>
      </c>
      <c r="R22" s="86">
        <v>15.9</v>
      </c>
      <c r="S22" s="86">
        <v>95</v>
      </c>
      <c r="T22" s="96">
        <f t="shared" si="1"/>
        <v>36</v>
      </c>
      <c r="U22" s="86">
        <v>98</v>
      </c>
      <c r="V22" s="97">
        <f t="shared" si="2"/>
        <v>3528</v>
      </c>
      <c r="W22" s="86">
        <v>18</v>
      </c>
      <c r="X22" s="86" t="s">
        <v>46</v>
      </c>
      <c r="Y22" s="86" t="s">
        <v>69</v>
      </c>
      <c r="Z22" s="86" t="s">
        <v>47</v>
      </c>
      <c r="AA22" s="86" t="s">
        <v>55</v>
      </c>
      <c r="AB22" s="53" t="s">
        <v>158</v>
      </c>
      <c r="AP22" s="108" t="s">
        <v>228</v>
      </c>
      <c r="AR22" s="104" t="s">
        <v>83</v>
      </c>
      <c r="AV22" s="108"/>
    </row>
    <row r="23" spans="1:48" x14ac:dyDescent="0.15">
      <c r="A23" s="86" t="s">
        <v>51</v>
      </c>
      <c r="B23" s="86" t="s">
        <v>157</v>
      </c>
      <c r="C23" s="86">
        <v>2019</v>
      </c>
      <c r="D23" s="94" t="s">
        <v>234</v>
      </c>
      <c r="E23" s="86" t="s">
        <v>243</v>
      </c>
      <c r="F23" s="86" t="s">
        <v>244</v>
      </c>
      <c r="G23" s="86" t="s">
        <v>36</v>
      </c>
      <c r="H23" s="86" t="s">
        <v>164</v>
      </c>
      <c r="I23" s="86" t="s">
        <v>159</v>
      </c>
      <c r="J23" s="86" t="s">
        <v>38</v>
      </c>
      <c r="K23" s="53" t="s">
        <v>161</v>
      </c>
      <c r="L23" s="86">
        <v>1</v>
      </c>
      <c r="N23" s="86">
        <v>1</v>
      </c>
      <c r="O23" s="86">
        <v>0.65</v>
      </c>
      <c r="P23" s="86">
        <v>0.6</v>
      </c>
      <c r="Q23" s="95">
        <f t="shared" si="0"/>
        <v>0.625</v>
      </c>
      <c r="R23" s="86">
        <v>17.2</v>
      </c>
      <c r="S23" s="86">
        <v>148</v>
      </c>
      <c r="T23" s="96">
        <f t="shared" si="1"/>
        <v>22</v>
      </c>
      <c r="U23" s="86">
        <v>128</v>
      </c>
      <c r="V23" s="97">
        <f t="shared" si="2"/>
        <v>2816</v>
      </c>
      <c r="W23" s="86">
        <v>10</v>
      </c>
      <c r="X23" s="86" t="s">
        <v>46</v>
      </c>
      <c r="Y23" s="86" t="s">
        <v>69</v>
      </c>
      <c r="Z23" s="86" t="s">
        <v>47</v>
      </c>
      <c r="AA23" s="86" t="s">
        <v>90</v>
      </c>
      <c r="AB23" s="53" t="s">
        <v>158</v>
      </c>
      <c r="AP23" s="108" t="s">
        <v>250</v>
      </c>
      <c r="AR23" s="104" t="s">
        <v>61</v>
      </c>
    </row>
    <row r="24" spans="1:48" x14ac:dyDescent="0.15">
      <c r="A24" s="86" t="s">
        <v>51</v>
      </c>
      <c r="B24" s="86" t="s">
        <v>157</v>
      </c>
      <c r="C24" s="86">
        <v>2019</v>
      </c>
      <c r="D24" s="94" t="s">
        <v>234</v>
      </c>
      <c r="E24" s="86" t="s">
        <v>243</v>
      </c>
      <c r="F24" s="86" t="s">
        <v>244</v>
      </c>
      <c r="G24" s="86" t="s">
        <v>36</v>
      </c>
      <c r="H24" s="86" t="s">
        <v>164</v>
      </c>
      <c r="I24" s="86" t="s">
        <v>159</v>
      </c>
      <c r="J24" s="86" t="s">
        <v>38</v>
      </c>
      <c r="K24" s="53" t="s">
        <v>161</v>
      </c>
      <c r="L24" s="86">
        <v>2</v>
      </c>
      <c r="N24" s="86">
        <v>1</v>
      </c>
      <c r="O24" s="86">
        <v>0.55000000000000004</v>
      </c>
      <c r="P24" s="86">
        <v>0.65</v>
      </c>
      <c r="Q24" s="95">
        <f t="shared" si="0"/>
        <v>0.60000000000000009</v>
      </c>
      <c r="R24" s="86">
        <v>17</v>
      </c>
      <c r="S24" s="86">
        <v>140</v>
      </c>
      <c r="T24" s="96">
        <f t="shared" si="1"/>
        <v>22</v>
      </c>
      <c r="U24" s="86">
        <v>128</v>
      </c>
      <c r="V24" s="97">
        <f t="shared" si="2"/>
        <v>2816</v>
      </c>
      <c r="W24" s="86">
        <v>10</v>
      </c>
      <c r="X24" s="86" t="s">
        <v>46</v>
      </c>
      <c r="Y24" s="86" t="s">
        <v>69</v>
      </c>
      <c r="Z24" s="86" t="s">
        <v>47</v>
      </c>
      <c r="AA24" s="86" t="s">
        <v>90</v>
      </c>
      <c r="AB24" s="53" t="s">
        <v>158</v>
      </c>
      <c r="AP24" s="108" t="s">
        <v>251</v>
      </c>
      <c r="AR24" s="104" t="s">
        <v>91</v>
      </c>
    </row>
    <row r="25" spans="1:48" x14ac:dyDescent="0.15">
      <c r="A25" s="86" t="s">
        <v>51</v>
      </c>
      <c r="B25" s="86" t="s">
        <v>157</v>
      </c>
      <c r="C25" s="86">
        <v>2019</v>
      </c>
      <c r="D25" s="94" t="s">
        <v>234</v>
      </c>
      <c r="E25" s="86" t="s">
        <v>243</v>
      </c>
      <c r="F25" s="86" t="s">
        <v>244</v>
      </c>
      <c r="G25" s="86" t="s">
        <v>36</v>
      </c>
      <c r="H25" s="86" t="s">
        <v>164</v>
      </c>
      <c r="I25" s="86" t="s">
        <v>159</v>
      </c>
      <c r="J25" s="86" t="s">
        <v>38</v>
      </c>
      <c r="K25" s="53" t="s">
        <v>161</v>
      </c>
      <c r="L25" s="86">
        <v>3</v>
      </c>
      <c r="N25" s="86">
        <v>1</v>
      </c>
      <c r="O25" s="86">
        <v>0.6</v>
      </c>
      <c r="P25" s="86">
        <v>0.6</v>
      </c>
      <c r="Q25" s="95">
        <f t="shared" si="0"/>
        <v>0.6</v>
      </c>
      <c r="R25" s="86">
        <v>16.8</v>
      </c>
      <c r="S25" s="86">
        <v>138</v>
      </c>
      <c r="T25" s="96">
        <f t="shared" si="1"/>
        <v>22</v>
      </c>
      <c r="U25" s="86">
        <v>128</v>
      </c>
      <c r="V25" s="97">
        <f t="shared" si="2"/>
        <v>2816</v>
      </c>
      <c r="W25" s="86">
        <v>10</v>
      </c>
      <c r="X25" s="86" t="s">
        <v>46</v>
      </c>
      <c r="Y25" s="86" t="s">
        <v>69</v>
      </c>
      <c r="Z25" s="86" t="s">
        <v>47</v>
      </c>
      <c r="AA25" s="86" t="s">
        <v>90</v>
      </c>
      <c r="AB25" s="53" t="s">
        <v>158</v>
      </c>
      <c r="AP25" s="108" t="s">
        <v>252</v>
      </c>
      <c r="AR25" s="108" t="s">
        <v>51</v>
      </c>
    </row>
    <row r="26" spans="1:48" x14ac:dyDescent="0.15">
      <c r="A26" s="86" t="s">
        <v>51</v>
      </c>
      <c r="B26" s="86" t="s">
        <v>157</v>
      </c>
      <c r="C26" s="86">
        <v>2019</v>
      </c>
      <c r="D26" s="94" t="s">
        <v>234</v>
      </c>
      <c r="E26" s="86" t="s">
        <v>243</v>
      </c>
      <c r="F26" s="86" t="s">
        <v>244</v>
      </c>
      <c r="G26" s="86" t="s">
        <v>36</v>
      </c>
      <c r="H26" s="86" t="s">
        <v>168</v>
      </c>
      <c r="I26" s="86" t="s">
        <v>159</v>
      </c>
      <c r="J26" s="86" t="s">
        <v>38</v>
      </c>
      <c r="K26" s="53" t="s">
        <v>161</v>
      </c>
      <c r="L26" s="86">
        <v>1</v>
      </c>
      <c r="N26" s="86">
        <v>5</v>
      </c>
      <c r="O26" s="86">
        <v>0.25</v>
      </c>
      <c r="P26" s="86">
        <v>0.5</v>
      </c>
      <c r="Q26" s="95">
        <f t="shared" si="0"/>
        <v>0.375</v>
      </c>
      <c r="R26" s="86">
        <v>17.899999999999999</v>
      </c>
      <c r="S26" s="86">
        <v>71</v>
      </c>
      <c r="T26" s="96">
        <f t="shared" si="1"/>
        <v>42</v>
      </c>
      <c r="U26" s="86">
        <v>398</v>
      </c>
      <c r="V26" s="97">
        <f t="shared" si="2"/>
        <v>3343.2</v>
      </c>
      <c r="W26" s="86">
        <v>10</v>
      </c>
      <c r="X26" s="86" t="s">
        <v>46</v>
      </c>
      <c r="Y26" s="86" t="s">
        <v>69</v>
      </c>
      <c r="Z26" s="86" t="s">
        <v>47</v>
      </c>
      <c r="AA26" s="86" t="s">
        <v>90</v>
      </c>
      <c r="AB26" s="53" t="s">
        <v>158</v>
      </c>
      <c r="AP26" s="108" t="s">
        <v>229</v>
      </c>
      <c r="AR26" s="86" t="s">
        <v>230</v>
      </c>
    </row>
    <row r="27" spans="1:48" x14ac:dyDescent="0.15">
      <c r="A27" s="86" t="s">
        <v>51</v>
      </c>
      <c r="B27" s="86" t="s">
        <v>157</v>
      </c>
      <c r="C27" s="86">
        <v>2019</v>
      </c>
      <c r="D27" s="94" t="s">
        <v>234</v>
      </c>
      <c r="E27" s="86" t="s">
        <v>243</v>
      </c>
      <c r="F27" s="86" t="s">
        <v>244</v>
      </c>
      <c r="G27" s="86" t="s">
        <v>36</v>
      </c>
      <c r="H27" s="86" t="s">
        <v>168</v>
      </c>
      <c r="I27" s="86" t="s">
        <v>159</v>
      </c>
      <c r="J27" s="86" t="s">
        <v>38</v>
      </c>
      <c r="K27" s="53" t="s">
        <v>161</v>
      </c>
      <c r="L27" s="86">
        <v>2</v>
      </c>
      <c r="N27" s="86">
        <v>5</v>
      </c>
      <c r="O27" s="86">
        <v>0.5</v>
      </c>
      <c r="P27" s="86">
        <v>0.5</v>
      </c>
      <c r="Q27" s="95">
        <f t="shared" si="0"/>
        <v>0.5</v>
      </c>
      <c r="R27" s="86">
        <v>17.600000000000001</v>
      </c>
      <c r="S27" s="86">
        <v>74</v>
      </c>
      <c r="T27" s="96">
        <f t="shared" si="1"/>
        <v>42</v>
      </c>
      <c r="U27" s="86">
        <v>398</v>
      </c>
      <c r="V27" s="97">
        <f t="shared" si="2"/>
        <v>3343.2</v>
      </c>
      <c r="W27" s="86">
        <v>10</v>
      </c>
      <c r="X27" s="86" t="s">
        <v>46</v>
      </c>
      <c r="Y27" s="86" t="s">
        <v>69</v>
      </c>
      <c r="Z27" s="86" t="s">
        <v>47</v>
      </c>
      <c r="AA27" s="86" t="s">
        <v>90</v>
      </c>
      <c r="AB27" s="53" t="s">
        <v>158</v>
      </c>
      <c r="AP27" s="108" t="s">
        <v>231</v>
      </c>
    </row>
    <row r="28" spans="1:48" x14ac:dyDescent="0.15">
      <c r="A28" s="86" t="s">
        <v>51</v>
      </c>
      <c r="B28" s="86" t="s">
        <v>157</v>
      </c>
      <c r="C28" s="86">
        <v>2019</v>
      </c>
      <c r="D28" s="94" t="s">
        <v>234</v>
      </c>
      <c r="E28" s="86" t="s">
        <v>243</v>
      </c>
      <c r="F28" s="86" t="s">
        <v>244</v>
      </c>
      <c r="G28" s="86" t="s">
        <v>36</v>
      </c>
      <c r="H28" s="86" t="s">
        <v>168</v>
      </c>
      <c r="I28" s="86" t="s">
        <v>159</v>
      </c>
      <c r="J28" s="86" t="s">
        <v>38</v>
      </c>
      <c r="K28" s="53" t="s">
        <v>161</v>
      </c>
      <c r="L28" s="86">
        <v>3</v>
      </c>
      <c r="N28" s="86">
        <v>5</v>
      </c>
      <c r="O28" s="86">
        <v>0.55000000000000004</v>
      </c>
      <c r="P28" s="86">
        <v>0.55000000000000004</v>
      </c>
      <c r="Q28" s="95">
        <f t="shared" si="0"/>
        <v>0.55000000000000004</v>
      </c>
      <c r="R28" s="86">
        <v>18.3</v>
      </c>
      <c r="S28" s="86">
        <v>75</v>
      </c>
      <c r="T28" s="96">
        <f t="shared" si="1"/>
        <v>42</v>
      </c>
      <c r="U28" s="86">
        <v>398</v>
      </c>
      <c r="V28" s="97">
        <f t="shared" si="2"/>
        <v>3343.2</v>
      </c>
      <c r="W28" s="86">
        <v>10</v>
      </c>
      <c r="X28" s="86" t="s">
        <v>46</v>
      </c>
      <c r="Y28" s="86" t="s">
        <v>69</v>
      </c>
      <c r="Z28" s="86" t="s">
        <v>47</v>
      </c>
      <c r="AA28" s="86" t="s">
        <v>90</v>
      </c>
      <c r="AB28" s="53" t="s">
        <v>158</v>
      </c>
    </row>
    <row r="29" spans="1:48" x14ac:dyDescent="0.15">
      <c r="A29" s="86" t="s">
        <v>51</v>
      </c>
      <c r="B29" s="86" t="s">
        <v>157</v>
      </c>
      <c r="C29" s="86">
        <v>2019</v>
      </c>
      <c r="D29" s="94" t="s">
        <v>234</v>
      </c>
      <c r="E29" s="86" t="s">
        <v>243</v>
      </c>
      <c r="F29" s="86" t="s">
        <v>244</v>
      </c>
      <c r="G29" s="86" t="s">
        <v>36</v>
      </c>
      <c r="H29" s="86" t="s">
        <v>160</v>
      </c>
      <c r="I29" s="86" t="s">
        <v>159</v>
      </c>
      <c r="J29" s="86" t="s">
        <v>38</v>
      </c>
      <c r="K29" s="53" t="s">
        <v>161</v>
      </c>
      <c r="L29" s="86">
        <v>1</v>
      </c>
      <c r="N29" s="86">
        <v>1</v>
      </c>
      <c r="O29" s="86">
        <v>0.75</v>
      </c>
      <c r="P29" s="86">
        <v>0.7</v>
      </c>
      <c r="Q29" s="95">
        <f t="shared" si="0"/>
        <v>0.72499999999999998</v>
      </c>
      <c r="R29" s="86">
        <v>16.899999999999999</v>
      </c>
      <c r="S29" s="86">
        <v>132</v>
      </c>
      <c r="T29" s="96">
        <f t="shared" si="1"/>
        <v>25</v>
      </c>
      <c r="U29" s="86">
        <v>128</v>
      </c>
      <c r="V29" s="97">
        <f t="shared" si="2"/>
        <v>3200</v>
      </c>
      <c r="W29" s="86">
        <v>10</v>
      </c>
      <c r="X29" s="86" t="s">
        <v>46</v>
      </c>
      <c r="Y29" s="86" t="s">
        <v>69</v>
      </c>
      <c r="Z29" s="86" t="s">
        <v>47</v>
      </c>
      <c r="AA29" s="86" t="s">
        <v>90</v>
      </c>
      <c r="AB29" s="53" t="s">
        <v>158</v>
      </c>
    </row>
    <row r="30" spans="1:48" x14ac:dyDescent="0.15">
      <c r="A30" s="86" t="s">
        <v>51</v>
      </c>
      <c r="B30" s="86" t="s">
        <v>157</v>
      </c>
      <c r="C30" s="86">
        <v>2019</v>
      </c>
      <c r="D30" s="94" t="s">
        <v>234</v>
      </c>
      <c r="E30" s="86" t="s">
        <v>243</v>
      </c>
      <c r="F30" s="86" t="s">
        <v>244</v>
      </c>
      <c r="G30" s="86" t="s">
        <v>36</v>
      </c>
      <c r="H30" s="86" t="s">
        <v>160</v>
      </c>
      <c r="I30" s="86" t="s">
        <v>159</v>
      </c>
      <c r="J30" s="86" t="s">
        <v>38</v>
      </c>
      <c r="K30" s="53" t="s">
        <v>161</v>
      </c>
      <c r="L30" s="86">
        <v>2</v>
      </c>
      <c r="N30" s="86">
        <v>1</v>
      </c>
      <c r="O30" s="86">
        <v>0.7</v>
      </c>
      <c r="P30" s="86">
        <v>0.8</v>
      </c>
      <c r="Q30" s="95">
        <f t="shared" si="0"/>
        <v>0.75</v>
      </c>
      <c r="R30" s="86">
        <v>16.5</v>
      </c>
      <c r="S30" s="86">
        <v>130</v>
      </c>
      <c r="T30" s="96">
        <f t="shared" si="1"/>
        <v>25</v>
      </c>
      <c r="U30" s="86">
        <v>128</v>
      </c>
      <c r="V30" s="97">
        <f t="shared" si="2"/>
        <v>3200</v>
      </c>
      <c r="W30" s="86">
        <v>10</v>
      </c>
      <c r="X30" s="86" t="s">
        <v>46</v>
      </c>
      <c r="Y30" s="86" t="s">
        <v>69</v>
      </c>
      <c r="Z30" s="86" t="s">
        <v>47</v>
      </c>
      <c r="AA30" s="86" t="s">
        <v>90</v>
      </c>
      <c r="AB30" s="53" t="s">
        <v>158</v>
      </c>
    </row>
    <row r="31" spans="1:48" x14ac:dyDescent="0.15">
      <c r="A31" s="86" t="s">
        <v>51</v>
      </c>
      <c r="B31" s="86" t="s">
        <v>157</v>
      </c>
      <c r="C31" s="86">
        <v>2019</v>
      </c>
      <c r="D31" s="94" t="s">
        <v>234</v>
      </c>
      <c r="E31" s="86" t="s">
        <v>243</v>
      </c>
      <c r="F31" s="86" t="s">
        <v>244</v>
      </c>
      <c r="G31" s="86" t="s">
        <v>36</v>
      </c>
      <c r="H31" s="86" t="s">
        <v>160</v>
      </c>
      <c r="I31" s="86" t="s">
        <v>159</v>
      </c>
      <c r="J31" s="86" t="s">
        <v>38</v>
      </c>
      <c r="K31" s="53" t="s">
        <v>161</v>
      </c>
      <c r="L31" s="86">
        <v>3</v>
      </c>
      <c r="N31" s="86">
        <v>1</v>
      </c>
      <c r="O31" s="86">
        <v>0.75</v>
      </c>
      <c r="P31" s="86">
        <v>0.75</v>
      </c>
      <c r="Q31" s="95">
        <f t="shared" si="0"/>
        <v>0.75</v>
      </c>
      <c r="R31" s="86">
        <v>17.2</v>
      </c>
      <c r="S31" s="86">
        <v>136</v>
      </c>
      <c r="T31" s="96">
        <f t="shared" si="1"/>
        <v>25</v>
      </c>
      <c r="U31" s="86">
        <v>128</v>
      </c>
      <c r="V31" s="97">
        <f t="shared" si="2"/>
        <v>3200</v>
      </c>
      <c r="W31" s="86">
        <v>10</v>
      </c>
      <c r="X31" s="86" t="s">
        <v>46</v>
      </c>
      <c r="Y31" s="86" t="s">
        <v>69</v>
      </c>
      <c r="Z31" s="86" t="s">
        <v>47</v>
      </c>
      <c r="AA31" s="86" t="s">
        <v>90</v>
      </c>
      <c r="AB31" s="53" t="s">
        <v>158</v>
      </c>
    </row>
    <row r="32" spans="1:48" x14ac:dyDescent="0.15">
      <c r="A32" s="86" t="s">
        <v>51</v>
      </c>
      <c r="B32" s="86" t="s">
        <v>157</v>
      </c>
      <c r="C32" s="86">
        <v>2019</v>
      </c>
      <c r="D32" s="94" t="s">
        <v>234</v>
      </c>
      <c r="E32" s="86" t="s">
        <v>210</v>
      </c>
      <c r="F32" s="86" t="s">
        <v>237</v>
      </c>
      <c r="G32" s="86" t="s">
        <v>42</v>
      </c>
      <c r="H32" s="86" t="s">
        <v>164</v>
      </c>
      <c r="I32" s="86" t="s">
        <v>159</v>
      </c>
      <c r="J32" s="86" t="s">
        <v>38</v>
      </c>
      <c r="K32" s="53" t="s">
        <v>161</v>
      </c>
      <c r="L32" s="86">
        <v>1</v>
      </c>
      <c r="N32" s="86">
        <v>1</v>
      </c>
      <c r="O32" s="86">
        <v>0.7</v>
      </c>
      <c r="P32" s="86">
        <v>0.65</v>
      </c>
      <c r="Q32" s="95">
        <f t="shared" si="0"/>
        <v>0.67500000000000004</v>
      </c>
      <c r="R32" s="86">
        <v>15.3</v>
      </c>
      <c r="S32" s="86">
        <v>112</v>
      </c>
      <c r="T32" s="96">
        <f t="shared" si="1"/>
        <v>33</v>
      </c>
      <c r="U32" s="86">
        <v>89</v>
      </c>
      <c r="V32" s="97">
        <f t="shared" si="2"/>
        <v>2937</v>
      </c>
      <c r="W32" s="86">
        <v>16</v>
      </c>
      <c r="X32" s="86" t="s">
        <v>46</v>
      </c>
      <c r="Y32" s="86" t="s">
        <v>55</v>
      </c>
      <c r="Z32" s="86" t="s">
        <v>69</v>
      </c>
      <c r="AA32" s="86" t="s">
        <v>97</v>
      </c>
      <c r="AB32" s="53" t="s">
        <v>158</v>
      </c>
    </row>
    <row r="33" spans="1:28" x14ac:dyDescent="0.15">
      <c r="A33" s="86" t="s">
        <v>51</v>
      </c>
      <c r="B33" s="86" t="s">
        <v>157</v>
      </c>
      <c r="C33" s="86">
        <v>2019</v>
      </c>
      <c r="D33" s="94" t="s">
        <v>234</v>
      </c>
      <c r="E33" s="86" t="s">
        <v>210</v>
      </c>
      <c r="F33" s="86" t="s">
        <v>237</v>
      </c>
      <c r="G33" s="86" t="s">
        <v>42</v>
      </c>
      <c r="H33" s="86" t="s">
        <v>164</v>
      </c>
      <c r="I33" s="86" t="s">
        <v>159</v>
      </c>
      <c r="J33" s="86" t="s">
        <v>38</v>
      </c>
      <c r="K33" s="53" t="s">
        <v>161</v>
      </c>
      <c r="L33" s="86">
        <v>2</v>
      </c>
      <c r="N33" s="86">
        <v>1</v>
      </c>
      <c r="O33" s="86">
        <v>0.6</v>
      </c>
      <c r="P33" s="86">
        <v>0.55000000000000004</v>
      </c>
      <c r="Q33" s="95">
        <f t="shared" si="0"/>
        <v>0.57499999999999996</v>
      </c>
      <c r="R33" s="86">
        <v>15.8</v>
      </c>
      <c r="S33" s="86">
        <v>106</v>
      </c>
      <c r="T33" s="96">
        <f t="shared" si="1"/>
        <v>33</v>
      </c>
      <c r="U33" s="86">
        <v>89</v>
      </c>
      <c r="V33" s="97">
        <f t="shared" si="2"/>
        <v>2937</v>
      </c>
      <c r="W33" s="86">
        <v>16</v>
      </c>
      <c r="X33" s="86" t="s">
        <v>46</v>
      </c>
      <c r="Y33" s="86" t="s">
        <v>55</v>
      </c>
      <c r="Z33" s="86" t="s">
        <v>69</v>
      </c>
      <c r="AA33" s="86" t="s">
        <v>97</v>
      </c>
      <c r="AB33" s="53" t="s">
        <v>158</v>
      </c>
    </row>
    <row r="34" spans="1:28" x14ac:dyDescent="0.15">
      <c r="A34" s="86" t="s">
        <v>51</v>
      </c>
      <c r="B34" s="86" t="s">
        <v>157</v>
      </c>
      <c r="C34" s="86">
        <v>2019</v>
      </c>
      <c r="D34" s="94" t="s">
        <v>234</v>
      </c>
      <c r="E34" s="86" t="s">
        <v>210</v>
      </c>
      <c r="F34" s="86" t="s">
        <v>237</v>
      </c>
      <c r="G34" s="86" t="s">
        <v>42</v>
      </c>
      <c r="H34" s="86" t="s">
        <v>164</v>
      </c>
      <c r="I34" s="86" t="s">
        <v>159</v>
      </c>
      <c r="J34" s="86" t="s">
        <v>38</v>
      </c>
      <c r="K34" s="53" t="s">
        <v>161</v>
      </c>
      <c r="L34" s="86">
        <v>3</v>
      </c>
      <c r="N34" s="86">
        <v>1</v>
      </c>
      <c r="O34" s="86">
        <v>0.75</v>
      </c>
      <c r="P34" s="86">
        <v>0.6</v>
      </c>
      <c r="Q34" s="95">
        <f t="shared" si="0"/>
        <v>0.67500000000000004</v>
      </c>
      <c r="R34" s="86">
        <v>16</v>
      </c>
      <c r="S34" s="86">
        <v>110</v>
      </c>
      <c r="T34" s="96">
        <f t="shared" si="1"/>
        <v>33</v>
      </c>
      <c r="U34" s="86">
        <v>89</v>
      </c>
      <c r="V34" s="97">
        <f t="shared" si="2"/>
        <v>2937</v>
      </c>
      <c r="W34" s="86">
        <v>16</v>
      </c>
      <c r="X34" s="86" t="s">
        <v>46</v>
      </c>
      <c r="Y34" s="86" t="s">
        <v>55</v>
      </c>
      <c r="Z34" s="86" t="s">
        <v>69</v>
      </c>
      <c r="AA34" s="86" t="s">
        <v>97</v>
      </c>
      <c r="AB34" s="53" t="s">
        <v>158</v>
      </c>
    </row>
    <row r="35" spans="1:28" x14ac:dyDescent="0.15">
      <c r="A35" s="86" t="s">
        <v>51</v>
      </c>
      <c r="B35" s="86" t="s">
        <v>157</v>
      </c>
      <c r="C35" s="86">
        <v>2019</v>
      </c>
      <c r="D35" s="94" t="s">
        <v>234</v>
      </c>
      <c r="E35" s="86" t="s">
        <v>210</v>
      </c>
      <c r="F35" s="86" t="s">
        <v>237</v>
      </c>
      <c r="G35" s="86" t="s">
        <v>42</v>
      </c>
      <c r="H35" s="86" t="s">
        <v>160</v>
      </c>
      <c r="I35" s="86" t="s">
        <v>159</v>
      </c>
      <c r="J35" s="86" t="s">
        <v>38</v>
      </c>
      <c r="K35" s="53" t="s">
        <v>161</v>
      </c>
      <c r="L35" s="86">
        <v>1</v>
      </c>
      <c r="N35" s="86">
        <v>1</v>
      </c>
      <c r="O35" s="86">
        <v>0.6</v>
      </c>
      <c r="P35" s="86">
        <v>0.55000000000000004</v>
      </c>
      <c r="Q35" s="95">
        <f t="shared" si="0"/>
        <v>0.57499999999999996</v>
      </c>
      <c r="R35" s="86">
        <v>16.3</v>
      </c>
      <c r="S35" s="86">
        <v>128</v>
      </c>
      <c r="T35" s="96">
        <f t="shared" si="1"/>
        <v>27</v>
      </c>
      <c r="U35" s="86">
        <v>89</v>
      </c>
      <c r="V35" s="97">
        <f t="shared" si="2"/>
        <v>2403</v>
      </c>
      <c r="W35" s="86">
        <v>16</v>
      </c>
      <c r="X35" s="86" t="s">
        <v>46</v>
      </c>
      <c r="Y35" s="86" t="s">
        <v>55</v>
      </c>
      <c r="Z35" s="86" t="s">
        <v>69</v>
      </c>
      <c r="AA35" s="86" t="s">
        <v>97</v>
      </c>
      <c r="AB35" s="53" t="s">
        <v>158</v>
      </c>
    </row>
    <row r="36" spans="1:28" x14ac:dyDescent="0.15">
      <c r="A36" s="86" t="s">
        <v>51</v>
      </c>
      <c r="B36" s="86" t="s">
        <v>157</v>
      </c>
      <c r="C36" s="86">
        <v>2019</v>
      </c>
      <c r="D36" s="94" t="s">
        <v>234</v>
      </c>
      <c r="E36" s="86" t="s">
        <v>210</v>
      </c>
      <c r="F36" s="86" t="s">
        <v>237</v>
      </c>
      <c r="G36" s="86" t="s">
        <v>42</v>
      </c>
      <c r="H36" s="86" t="s">
        <v>160</v>
      </c>
      <c r="I36" s="86" t="s">
        <v>159</v>
      </c>
      <c r="J36" s="86" t="s">
        <v>38</v>
      </c>
      <c r="K36" s="53" t="s">
        <v>161</v>
      </c>
      <c r="L36" s="86">
        <v>2</v>
      </c>
      <c r="N36" s="86">
        <v>1</v>
      </c>
      <c r="O36" s="86">
        <v>0.7</v>
      </c>
      <c r="P36" s="86">
        <v>0.65</v>
      </c>
      <c r="Q36" s="95">
        <f t="shared" si="0"/>
        <v>0.67500000000000004</v>
      </c>
      <c r="R36" s="86">
        <v>16.7</v>
      </c>
      <c r="S36" s="86">
        <v>132</v>
      </c>
      <c r="T36" s="96">
        <f t="shared" si="1"/>
        <v>25</v>
      </c>
      <c r="U36" s="86">
        <v>89</v>
      </c>
      <c r="V36" s="97">
        <f t="shared" si="2"/>
        <v>2225</v>
      </c>
      <c r="W36" s="86">
        <v>16</v>
      </c>
      <c r="X36" s="86" t="s">
        <v>46</v>
      </c>
      <c r="Y36" s="86" t="s">
        <v>55</v>
      </c>
      <c r="Z36" s="86" t="s">
        <v>69</v>
      </c>
      <c r="AA36" s="86" t="s">
        <v>97</v>
      </c>
      <c r="AB36" s="53" t="s">
        <v>158</v>
      </c>
    </row>
    <row r="37" spans="1:28" x14ac:dyDescent="0.15">
      <c r="A37" s="86" t="s">
        <v>51</v>
      </c>
      <c r="B37" s="86" t="s">
        <v>157</v>
      </c>
      <c r="C37" s="86">
        <v>2019</v>
      </c>
      <c r="D37" s="94" t="s">
        <v>234</v>
      </c>
      <c r="E37" s="86" t="s">
        <v>210</v>
      </c>
      <c r="F37" s="86" t="s">
        <v>237</v>
      </c>
      <c r="G37" s="86" t="s">
        <v>42</v>
      </c>
      <c r="H37" s="86" t="s">
        <v>160</v>
      </c>
      <c r="I37" s="86" t="s">
        <v>159</v>
      </c>
      <c r="J37" s="86" t="s">
        <v>38</v>
      </c>
      <c r="K37" s="53" t="s">
        <v>161</v>
      </c>
      <c r="L37" s="86">
        <v>3</v>
      </c>
      <c r="N37" s="86">
        <v>1</v>
      </c>
      <c r="O37" s="86">
        <v>0.6</v>
      </c>
      <c r="P37" s="86">
        <v>0.7</v>
      </c>
      <c r="Q37" s="95">
        <f t="shared" si="0"/>
        <v>0.64999999999999991</v>
      </c>
      <c r="R37" s="86">
        <v>16.600000000000001</v>
      </c>
      <c r="S37" s="86">
        <v>130</v>
      </c>
      <c r="T37" s="96">
        <f t="shared" si="1"/>
        <v>25</v>
      </c>
      <c r="U37" s="86">
        <v>89</v>
      </c>
      <c r="V37" s="97">
        <f t="shared" si="2"/>
        <v>2225</v>
      </c>
      <c r="W37" s="86">
        <v>16</v>
      </c>
      <c r="X37" s="86" t="s">
        <v>46</v>
      </c>
      <c r="Y37" s="86" t="s">
        <v>55</v>
      </c>
      <c r="Z37" s="86" t="s">
        <v>69</v>
      </c>
      <c r="AA37" s="86" t="s">
        <v>97</v>
      </c>
      <c r="AB37" s="53" t="s">
        <v>158</v>
      </c>
    </row>
    <row r="38" spans="1:28" x14ac:dyDescent="0.15">
      <c r="A38" s="86" t="s">
        <v>51</v>
      </c>
      <c r="B38" s="86" t="s">
        <v>157</v>
      </c>
      <c r="C38" s="86">
        <v>2019</v>
      </c>
      <c r="D38" s="94" t="s">
        <v>234</v>
      </c>
      <c r="E38" s="86" t="s">
        <v>245</v>
      </c>
      <c r="F38" s="86" t="s">
        <v>237</v>
      </c>
      <c r="G38" s="86" t="s">
        <v>42</v>
      </c>
      <c r="H38" s="86" t="s">
        <v>164</v>
      </c>
      <c r="I38" s="86" t="s">
        <v>159</v>
      </c>
      <c r="J38" s="86" t="s">
        <v>38</v>
      </c>
      <c r="K38" s="53" t="s">
        <v>161</v>
      </c>
      <c r="L38" s="86">
        <v>1</v>
      </c>
      <c r="N38" s="86">
        <v>1</v>
      </c>
      <c r="O38" s="86">
        <v>0.8</v>
      </c>
      <c r="P38" s="86">
        <v>0.75</v>
      </c>
      <c r="Q38" s="95">
        <f t="shared" si="0"/>
        <v>0.77500000000000002</v>
      </c>
      <c r="R38" s="86">
        <v>14.7</v>
      </c>
      <c r="S38" s="86">
        <v>128</v>
      </c>
      <c r="T38" s="96">
        <f t="shared" si="1"/>
        <v>27</v>
      </c>
      <c r="U38" s="86">
        <v>100</v>
      </c>
      <c r="V38" s="97">
        <f t="shared" si="2"/>
        <v>2700</v>
      </c>
      <c r="W38" s="86">
        <v>24</v>
      </c>
      <c r="X38" s="86" t="s">
        <v>46</v>
      </c>
      <c r="Y38" s="86" t="s">
        <v>55</v>
      </c>
      <c r="Z38" s="86" t="s">
        <v>97</v>
      </c>
      <c r="AA38" s="86" t="s">
        <v>69</v>
      </c>
      <c r="AB38" s="53" t="s">
        <v>158</v>
      </c>
    </row>
    <row r="39" spans="1:28" x14ac:dyDescent="0.15">
      <c r="A39" s="86" t="s">
        <v>51</v>
      </c>
      <c r="B39" s="86" t="s">
        <v>157</v>
      </c>
      <c r="C39" s="86">
        <v>2019</v>
      </c>
      <c r="D39" s="94" t="s">
        <v>234</v>
      </c>
      <c r="E39" s="86" t="s">
        <v>245</v>
      </c>
      <c r="F39" s="86" t="s">
        <v>237</v>
      </c>
      <c r="G39" s="86" t="s">
        <v>42</v>
      </c>
      <c r="H39" s="86" t="s">
        <v>164</v>
      </c>
      <c r="I39" s="86" t="s">
        <v>159</v>
      </c>
      <c r="J39" s="86" t="s">
        <v>38</v>
      </c>
      <c r="K39" s="53" t="s">
        <v>161</v>
      </c>
      <c r="L39" s="86">
        <v>2</v>
      </c>
      <c r="N39" s="86">
        <v>1</v>
      </c>
      <c r="O39" s="86">
        <v>0.8</v>
      </c>
      <c r="P39" s="86">
        <v>1</v>
      </c>
      <c r="Q39" s="95">
        <f t="shared" si="0"/>
        <v>0.9</v>
      </c>
      <c r="R39" s="86">
        <v>14.4</v>
      </c>
      <c r="S39" s="86">
        <v>126</v>
      </c>
      <c r="T39" s="96">
        <f t="shared" si="1"/>
        <v>27</v>
      </c>
      <c r="U39" s="86">
        <v>100</v>
      </c>
      <c r="V39" s="97">
        <f t="shared" si="2"/>
        <v>2700</v>
      </c>
      <c r="W39" s="86">
        <v>24</v>
      </c>
      <c r="X39" s="86" t="s">
        <v>46</v>
      </c>
      <c r="Y39" s="86" t="s">
        <v>55</v>
      </c>
      <c r="Z39" s="86" t="s">
        <v>97</v>
      </c>
      <c r="AA39" s="86" t="s">
        <v>69</v>
      </c>
      <c r="AB39" s="53" t="s">
        <v>158</v>
      </c>
    </row>
    <row r="40" spans="1:28" x14ac:dyDescent="0.15">
      <c r="A40" s="86" t="s">
        <v>51</v>
      </c>
      <c r="B40" s="86" t="s">
        <v>157</v>
      </c>
      <c r="C40" s="86">
        <v>2019</v>
      </c>
      <c r="D40" s="94" t="s">
        <v>234</v>
      </c>
      <c r="E40" s="86" t="s">
        <v>245</v>
      </c>
      <c r="F40" s="86" t="s">
        <v>237</v>
      </c>
      <c r="G40" s="86" t="s">
        <v>42</v>
      </c>
      <c r="H40" s="86" t="s">
        <v>164</v>
      </c>
      <c r="I40" s="86" t="s">
        <v>159</v>
      </c>
      <c r="J40" s="86" t="s">
        <v>38</v>
      </c>
      <c r="K40" s="53" t="s">
        <v>161</v>
      </c>
      <c r="L40" s="86">
        <v>3</v>
      </c>
      <c r="N40" s="86">
        <v>1</v>
      </c>
      <c r="O40" s="86">
        <v>0.7</v>
      </c>
      <c r="P40" s="86">
        <v>0.86</v>
      </c>
      <c r="Q40" s="95">
        <f t="shared" si="0"/>
        <v>0.78</v>
      </c>
      <c r="R40" s="86">
        <v>15</v>
      </c>
      <c r="S40" s="86">
        <v>128</v>
      </c>
      <c r="T40" s="96">
        <f t="shared" si="1"/>
        <v>27</v>
      </c>
      <c r="U40" s="86">
        <v>100</v>
      </c>
      <c r="V40" s="97">
        <f t="shared" si="2"/>
        <v>2700</v>
      </c>
      <c r="W40" s="86">
        <v>24</v>
      </c>
      <c r="X40" s="86" t="s">
        <v>46</v>
      </c>
      <c r="Y40" s="86" t="s">
        <v>55</v>
      </c>
      <c r="Z40" s="86" t="s">
        <v>97</v>
      </c>
      <c r="AA40" s="86" t="s">
        <v>69</v>
      </c>
      <c r="AB40" s="53" t="s">
        <v>158</v>
      </c>
    </row>
    <row r="41" spans="1:28" x14ac:dyDescent="0.15">
      <c r="A41" s="86" t="s">
        <v>51</v>
      </c>
      <c r="B41" s="86" t="s">
        <v>157</v>
      </c>
      <c r="C41" s="86">
        <v>2019</v>
      </c>
      <c r="D41" s="94" t="s">
        <v>234</v>
      </c>
      <c r="E41" s="86" t="s">
        <v>245</v>
      </c>
      <c r="F41" s="86" t="s">
        <v>237</v>
      </c>
      <c r="G41" s="86" t="s">
        <v>42</v>
      </c>
      <c r="H41" s="86" t="s">
        <v>164</v>
      </c>
      <c r="I41" s="86" t="s">
        <v>165</v>
      </c>
      <c r="J41" s="86" t="s">
        <v>38</v>
      </c>
      <c r="K41" s="53" t="s">
        <v>161</v>
      </c>
      <c r="L41" s="86">
        <v>1</v>
      </c>
      <c r="N41" s="86">
        <v>4</v>
      </c>
      <c r="O41" s="86">
        <v>0.25</v>
      </c>
      <c r="P41" s="86">
        <v>0.5</v>
      </c>
      <c r="Q41" s="95">
        <f t="shared" si="0"/>
        <v>0.375</v>
      </c>
      <c r="R41" s="86">
        <v>13.3</v>
      </c>
      <c r="S41" s="86">
        <v>98</v>
      </c>
      <c r="T41" s="96">
        <f t="shared" si="1"/>
        <v>36</v>
      </c>
      <c r="U41" s="86">
        <v>380</v>
      </c>
      <c r="V41" s="97">
        <f t="shared" si="2"/>
        <v>3420</v>
      </c>
      <c r="W41" s="86">
        <v>24</v>
      </c>
      <c r="X41" s="86" t="s">
        <v>46</v>
      </c>
      <c r="Y41" s="86" t="s">
        <v>55</v>
      </c>
      <c r="Z41" s="86" t="s">
        <v>97</v>
      </c>
      <c r="AA41" s="86" t="s">
        <v>69</v>
      </c>
      <c r="AB41" s="53" t="s">
        <v>158</v>
      </c>
    </row>
    <row r="42" spans="1:28" x14ac:dyDescent="0.15">
      <c r="A42" s="86" t="s">
        <v>51</v>
      </c>
      <c r="B42" s="86" t="s">
        <v>157</v>
      </c>
      <c r="C42" s="86">
        <v>2019</v>
      </c>
      <c r="D42" s="94" t="s">
        <v>234</v>
      </c>
      <c r="E42" s="86" t="s">
        <v>245</v>
      </c>
      <c r="F42" s="86" t="s">
        <v>237</v>
      </c>
      <c r="G42" s="86" t="s">
        <v>42</v>
      </c>
      <c r="H42" s="86" t="s">
        <v>164</v>
      </c>
      <c r="I42" s="86" t="s">
        <v>165</v>
      </c>
      <c r="J42" s="86" t="s">
        <v>38</v>
      </c>
      <c r="K42" s="53" t="s">
        <v>161</v>
      </c>
      <c r="L42" s="86">
        <v>2</v>
      </c>
      <c r="N42" s="86">
        <v>4</v>
      </c>
      <c r="O42" s="86">
        <v>0.5</v>
      </c>
      <c r="P42" s="86">
        <v>0.5</v>
      </c>
      <c r="Q42" s="95">
        <f t="shared" si="0"/>
        <v>0.5</v>
      </c>
      <c r="R42" s="86">
        <v>15.2</v>
      </c>
      <c r="S42" s="86">
        <v>100</v>
      </c>
      <c r="T42" s="96">
        <f t="shared" si="1"/>
        <v>33</v>
      </c>
      <c r="U42" s="86">
        <v>380</v>
      </c>
      <c r="V42" s="97">
        <f t="shared" si="2"/>
        <v>3135</v>
      </c>
      <c r="W42" s="86">
        <v>24</v>
      </c>
      <c r="X42" s="86" t="s">
        <v>46</v>
      </c>
      <c r="Y42" s="86" t="s">
        <v>55</v>
      </c>
      <c r="Z42" s="86" t="s">
        <v>97</v>
      </c>
      <c r="AA42" s="86" t="s">
        <v>69</v>
      </c>
      <c r="AB42" s="53" t="s">
        <v>158</v>
      </c>
    </row>
    <row r="43" spans="1:28" x14ac:dyDescent="0.15">
      <c r="A43" s="86" t="s">
        <v>51</v>
      </c>
      <c r="B43" s="86" t="s">
        <v>157</v>
      </c>
      <c r="C43" s="86">
        <v>2019</v>
      </c>
      <c r="D43" s="94" t="s">
        <v>234</v>
      </c>
      <c r="E43" s="86" t="s">
        <v>245</v>
      </c>
      <c r="F43" s="86" t="s">
        <v>237</v>
      </c>
      <c r="G43" s="86" t="s">
        <v>42</v>
      </c>
      <c r="H43" s="86" t="s">
        <v>164</v>
      </c>
      <c r="I43" s="86" t="s">
        <v>165</v>
      </c>
      <c r="J43" s="86" t="s">
        <v>38</v>
      </c>
      <c r="K43" s="53" t="s">
        <v>161</v>
      </c>
      <c r="L43" s="86">
        <v>3</v>
      </c>
      <c r="N43" s="86">
        <v>4</v>
      </c>
      <c r="O43" s="86">
        <v>0.25</v>
      </c>
      <c r="P43" s="86">
        <v>0.25</v>
      </c>
      <c r="Q43" s="95">
        <f t="shared" si="0"/>
        <v>0.25</v>
      </c>
      <c r="R43" s="86">
        <v>14.7</v>
      </c>
      <c r="S43" s="86">
        <v>98</v>
      </c>
      <c r="T43" s="96">
        <f t="shared" si="1"/>
        <v>36</v>
      </c>
      <c r="U43" s="86">
        <v>380</v>
      </c>
      <c r="V43" s="97">
        <f t="shared" si="2"/>
        <v>3420</v>
      </c>
      <c r="W43" s="86">
        <v>24</v>
      </c>
      <c r="X43" s="86" t="s">
        <v>46</v>
      </c>
      <c r="Y43" s="86" t="s">
        <v>55</v>
      </c>
      <c r="Z43" s="86" t="s">
        <v>97</v>
      </c>
      <c r="AA43" s="86" t="s">
        <v>69</v>
      </c>
      <c r="AB43" s="53" t="s">
        <v>158</v>
      </c>
    </row>
    <row r="44" spans="1:28" x14ac:dyDescent="0.15">
      <c r="A44" s="86" t="s">
        <v>51</v>
      </c>
      <c r="B44" s="86" t="s">
        <v>157</v>
      </c>
      <c r="C44" s="86">
        <v>2019</v>
      </c>
      <c r="D44" s="94" t="s">
        <v>234</v>
      </c>
      <c r="E44" s="86" t="s">
        <v>245</v>
      </c>
      <c r="F44" s="86" t="s">
        <v>237</v>
      </c>
      <c r="G44" s="86" t="s">
        <v>42</v>
      </c>
      <c r="H44" s="86" t="s">
        <v>168</v>
      </c>
      <c r="I44" s="86" t="s">
        <v>159</v>
      </c>
      <c r="J44" s="86" t="s">
        <v>38</v>
      </c>
      <c r="K44" s="53" t="s">
        <v>161</v>
      </c>
      <c r="L44" s="86">
        <v>1</v>
      </c>
      <c r="N44" s="86">
        <v>5</v>
      </c>
      <c r="O44" s="86">
        <v>0.25</v>
      </c>
      <c r="P44" s="86">
        <v>0.25</v>
      </c>
      <c r="Q44" s="95">
        <f t="shared" si="0"/>
        <v>0.25</v>
      </c>
      <c r="R44" s="86">
        <v>17.3</v>
      </c>
      <c r="S44" s="86">
        <v>75</v>
      </c>
      <c r="T44" s="96">
        <f t="shared" si="1"/>
        <v>42</v>
      </c>
      <c r="U44" s="86">
        <v>398</v>
      </c>
      <c r="V44" s="97">
        <f t="shared" si="2"/>
        <v>3343.2</v>
      </c>
      <c r="W44" s="86">
        <v>24</v>
      </c>
      <c r="X44" s="86" t="s">
        <v>46</v>
      </c>
      <c r="Y44" s="86" t="s">
        <v>55</v>
      </c>
      <c r="Z44" s="86" t="s">
        <v>97</v>
      </c>
      <c r="AA44" s="86" t="s">
        <v>69</v>
      </c>
      <c r="AB44" s="53" t="s">
        <v>158</v>
      </c>
    </row>
    <row r="45" spans="1:28" x14ac:dyDescent="0.15">
      <c r="A45" s="86" t="s">
        <v>51</v>
      </c>
      <c r="B45" s="86" t="s">
        <v>157</v>
      </c>
      <c r="C45" s="86">
        <v>2019</v>
      </c>
      <c r="D45" s="94" t="s">
        <v>234</v>
      </c>
      <c r="E45" s="86" t="s">
        <v>245</v>
      </c>
      <c r="F45" s="86" t="s">
        <v>237</v>
      </c>
      <c r="G45" s="86" t="s">
        <v>42</v>
      </c>
      <c r="H45" s="86" t="s">
        <v>168</v>
      </c>
      <c r="I45" s="86" t="s">
        <v>159</v>
      </c>
      <c r="J45" s="86" t="s">
        <v>38</v>
      </c>
      <c r="K45" s="53" t="s">
        <v>161</v>
      </c>
      <c r="L45" s="86">
        <v>2</v>
      </c>
      <c r="N45" s="86">
        <v>5</v>
      </c>
      <c r="O45" s="86">
        <v>0.25</v>
      </c>
      <c r="P45" s="86">
        <v>0.25</v>
      </c>
      <c r="Q45" s="95">
        <f t="shared" si="0"/>
        <v>0.25</v>
      </c>
      <c r="R45" s="86">
        <v>16.8</v>
      </c>
      <c r="S45" s="86">
        <v>71</v>
      </c>
      <c r="T45" s="96">
        <f t="shared" si="1"/>
        <v>42</v>
      </c>
      <c r="U45" s="86">
        <v>398</v>
      </c>
      <c r="V45" s="97">
        <f t="shared" si="2"/>
        <v>3343.2</v>
      </c>
      <c r="W45" s="86">
        <v>24</v>
      </c>
      <c r="X45" s="86" t="s">
        <v>46</v>
      </c>
      <c r="Y45" s="86" t="s">
        <v>55</v>
      </c>
      <c r="Z45" s="86" t="s">
        <v>97</v>
      </c>
      <c r="AA45" s="86" t="s">
        <v>69</v>
      </c>
      <c r="AB45" s="53" t="s">
        <v>158</v>
      </c>
    </row>
    <row r="46" spans="1:28" x14ac:dyDescent="0.15">
      <c r="A46" s="86" t="s">
        <v>51</v>
      </c>
      <c r="B46" s="86" t="s">
        <v>157</v>
      </c>
      <c r="C46" s="86">
        <v>2019</v>
      </c>
      <c r="D46" s="94" t="s">
        <v>234</v>
      </c>
      <c r="E46" s="86" t="s">
        <v>245</v>
      </c>
      <c r="F46" s="86" t="s">
        <v>237</v>
      </c>
      <c r="G46" s="86" t="s">
        <v>42</v>
      </c>
      <c r="H46" s="86" t="s">
        <v>168</v>
      </c>
      <c r="I46" s="86" t="s">
        <v>159</v>
      </c>
      <c r="J46" s="86" t="s">
        <v>38</v>
      </c>
      <c r="K46" s="53" t="s">
        <v>161</v>
      </c>
      <c r="L46" s="86">
        <v>3</v>
      </c>
      <c r="N46" s="86">
        <v>5</v>
      </c>
      <c r="O46" s="86">
        <v>0.5</v>
      </c>
      <c r="P46" s="86">
        <v>0.25</v>
      </c>
      <c r="Q46" s="95">
        <f t="shared" si="0"/>
        <v>0.375</v>
      </c>
      <c r="R46" s="86">
        <v>18.100000000000001</v>
      </c>
      <c r="S46" s="86">
        <v>82</v>
      </c>
      <c r="T46" s="96">
        <f t="shared" si="1"/>
        <v>39</v>
      </c>
      <c r="U46" s="86">
        <v>398</v>
      </c>
      <c r="V46" s="97">
        <f t="shared" si="2"/>
        <v>3104.3999999999996</v>
      </c>
      <c r="W46" s="86">
        <v>24</v>
      </c>
      <c r="X46" s="86" t="s">
        <v>46</v>
      </c>
      <c r="Y46" s="86" t="s">
        <v>55</v>
      </c>
      <c r="Z46" s="86" t="s">
        <v>97</v>
      </c>
      <c r="AA46" s="86" t="s">
        <v>69</v>
      </c>
      <c r="AB46" s="53" t="s">
        <v>158</v>
      </c>
    </row>
    <row r="47" spans="1:28" x14ac:dyDescent="0.15">
      <c r="A47" s="86" t="s">
        <v>51</v>
      </c>
      <c r="B47" s="86" t="s">
        <v>157</v>
      </c>
      <c r="C47" s="86">
        <v>2019</v>
      </c>
      <c r="D47" s="94" t="s">
        <v>234</v>
      </c>
      <c r="E47" s="86" t="s">
        <v>245</v>
      </c>
      <c r="F47" s="86" t="s">
        <v>237</v>
      </c>
      <c r="G47" s="86" t="s">
        <v>42</v>
      </c>
      <c r="H47" s="86" t="s">
        <v>160</v>
      </c>
      <c r="I47" s="86" t="s">
        <v>159</v>
      </c>
      <c r="J47" s="86" t="s">
        <v>38</v>
      </c>
      <c r="K47" s="53" t="s">
        <v>161</v>
      </c>
      <c r="L47" s="86">
        <v>1</v>
      </c>
      <c r="N47" s="86">
        <v>1</v>
      </c>
      <c r="O47" s="86">
        <v>0.65</v>
      </c>
      <c r="P47" s="86">
        <v>0.65</v>
      </c>
      <c r="Q47" s="95">
        <f t="shared" si="0"/>
        <v>0.65</v>
      </c>
      <c r="R47" s="86">
        <v>18.399999999999999</v>
      </c>
      <c r="S47" s="86">
        <v>114</v>
      </c>
      <c r="T47" s="96">
        <f t="shared" si="1"/>
        <v>30</v>
      </c>
      <c r="U47" s="86">
        <v>100</v>
      </c>
      <c r="V47" s="97">
        <f t="shared" si="2"/>
        <v>3000</v>
      </c>
      <c r="W47" s="86">
        <v>24</v>
      </c>
      <c r="X47" s="86" t="s">
        <v>46</v>
      </c>
      <c r="Y47" s="86" t="s">
        <v>55</v>
      </c>
      <c r="Z47" s="86" t="s">
        <v>97</v>
      </c>
      <c r="AA47" s="86" t="s">
        <v>69</v>
      </c>
      <c r="AB47" s="53" t="s">
        <v>158</v>
      </c>
    </row>
    <row r="48" spans="1:28" x14ac:dyDescent="0.15">
      <c r="A48" s="86" t="s">
        <v>51</v>
      </c>
      <c r="B48" s="86" t="s">
        <v>157</v>
      </c>
      <c r="C48" s="86">
        <v>2019</v>
      </c>
      <c r="D48" s="94" t="s">
        <v>234</v>
      </c>
      <c r="E48" s="86" t="s">
        <v>245</v>
      </c>
      <c r="F48" s="86" t="s">
        <v>237</v>
      </c>
      <c r="G48" s="86" t="s">
        <v>42</v>
      </c>
      <c r="H48" s="86" t="s">
        <v>160</v>
      </c>
      <c r="I48" s="86" t="s">
        <v>159</v>
      </c>
      <c r="J48" s="86" t="s">
        <v>38</v>
      </c>
      <c r="K48" s="53" t="s">
        <v>161</v>
      </c>
      <c r="L48" s="86">
        <v>2</v>
      </c>
      <c r="N48" s="86">
        <v>1</v>
      </c>
      <c r="O48" s="86">
        <v>0.7</v>
      </c>
      <c r="P48" s="86">
        <v>0.55000000000000004</v>
      </c>
      <c r="Q48" s="95">
        <f t="shared" si="0"/>
        <v>0.625</v>
      </c>
      <c r="R48" s="86">
        <v>17.899999999999999</v>
      </c>
      <c r="S48" s="86">
        <v>114</v>
      </c>
      <c r="T48" s="96">
        <f t="shared" si="1"/>
        <v>30</v>
      </c>
      <c r="U48" s="86">
        <v>100</v>
      </c>
      <c r="V48" s="97">
        <f t="shared" si="2"/>
        <v>3000</v>
      </c>
      <c r="W48" s="86">
        <v>24</v>
      </c>
      <c r="X48" s="86" t="s">
        <v>46</v>
      </c>
      <c r="Y48" s="86" t="s">
        <v>55</v>
      </c>
      <c r="Z48" s="86" t="s">
        <v>97</v>
      </c>
      <c r="AA48" s="86" t="s">
        <v>69</v>
      </c>
      <c r="AB48" s="53" t="s">
        <v>158</v>
      </c>
    </row>
    <row r="49" spans="1:28" x14ac:dyDescent="0.15">
      <c r="A49" s="86" t="s">
        <v>51</v>
      </c>
      <c r="B49" s="86" t="s">
        <v>157</v>
      </c>
      <c r="C49" s="86">
        <v>2019</v>
      </c>
      <c r="D49" s="94" t="s">
        <v>234</v>
      </c>
      <c r="E49" s="86" t="s">
        <v>245</v>
      </c>
      <c r="F49" s="86" t="s">
        <v>237</v>
      </c>
      <c r="G49" s="86" t="s">
        <v>42</v>
      </c>
      <c r="H49" s="86" t="s">
        <v>160</v>
      </c>
      <c r="I49" s="86" t="s">
        <v>159</v>
      </c>
      <c r="J49" s="86" t="s">
        <v>38</v>
      </c>
      <c r="K49" s="53" t="s">
        <v>161</v>
      </c>
      <c r="L49" s="86">
        <v>3</v>
      </c>
      <c r="N49" s="86">
        <v>1</v>
      </c>
      <c r="O49" s="86">
        <v>0.7</v>
      </c>
      <c r="P49" s="86">
        <v>0.6</v>
      </c>
      <c r="Q49" s="95">
        <f t="shared" si="0"/>
        <v>0.64999999999999991</v>
      </c>
      <c r="R49" s="86">
        <v>18.600000000000001</v>
      </c>
      <c r="S49" s="86">
        <v>118</v>
      </c>
      <c r="T49" s="96">
        <f t="shared" si="1"/>
        <v>30</v>
      </c>
      <c r="U49" s="86">
        <v>100</v>
      </c>
      <c r="V49" s="97">
        <f t="shared" si="2"/>
        <v>3000</v>
      </c>
      <c r="W49" s="86">
        <v>24</v>
      </c>
      <c r="X49" s="86" t="s">
        <v>46</v>
      </c>
      <c r="Y49" s="86" t="s">
        <v>55</v>
      </c>
      <c r="Z49" s="86" t="s">
        <v>97</v>
      </c>
      <c r="AA49" s="86" t="s">
        <v>69</v>
      </c>
      <c r="AB49" s="53" t="s">
        <v>158</v>
      </c>
    </row>
    <row r="50" spans="1:28" x14ac:dyDescent="0.15">
      <c r="A50" s="86" t="s">
        <v>51</v>
      </c>
      <c r="B50" s="86" t="s">
        <v>157</v>
      </c>
      <c r="C50" s="86">
        <v>2019</v>
      </c>
      <c r="D50" s="94" t="s">
        <v>234</v>
      </c>
      <c r="E50" s="86" t="s">
        <v>245</v>
      </c>
      <c r="F50" s="86" t="s">
        <v>237</v>
      </c>
      <c r="G50" s="86" t="s">
        <v>42</v>
      </c>
      <c r="H50" s="86" t="s">
        <v>160</v>
      </c>
      <c r="I50" s="86" t="s">
        <v>165</v>
      </c>
      <c r="J50" s="86" t="s">
        <v>38</v>
      </c>
      <c r="K50" s="53" t="s">
        <v>161</v>
      </c>
      <c r="L50" s="86">
        <v>1</v>
      </c>
      <c r="N50" s="86">
        <v>4</v>
      </c>
      <c r="O50" s="86">
        <v>0.5</v>
      </c>
      <c r="P50" s="86">
        <v>0.25</v>
      </c>
      <c r="Q50" s="95">
        <f t="shared" si="0"/>
        <v>0.375</v>
      </c>
      <c r="R50" s="86">
        <v>15.8</v>
      </c>
      <c r="S50" s="86">
        <v>93</v>
      </c>
      <c r="T50" s="96">
        <f t="shared" si="1"/>
        <v>36</v>
      </c>
      <c r="U50" s="86">
        <v>498</v>
      </c>
      <c r="V50" s="97">
        <f t="shared" si="2"/>
        <v>4482</v>
      </c>
      <c r="W50" s="86">
        <v>24</v>
      </c>
      <c r="X50" s="86" t="s">
        <v>46</v>
      </c>
      <c r="Y50" s="86" t="s">
        <v>55</v>
      </c>
      <c r="Z50" s="86" t="s">
        <v>97</v>
      </c>
      <c r="AA50" s="86" t="s">
        <v>69</v>
      </c>
      <c r="AB50" s="53" t="s">
        <v>158</v>
      </c>
    </row>
    <row r="51" spans="1:28" x14ac:dyDescent="0.15">
      <c r="A51" s="86" t="s">
        <v>51</v>
      </c>
      <c r="B51" s="86" t="s">
        <v>157</v>
      </c>
      <c r="C51" s="86">
        <v>2019</v>
      </c>
      <c r="D51" s="94" t="s">
        <v>234</v>
      </c>
      <c r="E51" s="86" t="s">
        <v>245</v>
      </c>
      <c r="F51" s="86" t="s">
        <v>237</v>
      </c>
      <c r="G51" s="86" t="s">
        <v>42</v>
      </c>
      <c r="H51" s="86" t="s">
        <v>160</v>
      </c>
      <c r="I51" s="86" t="s">
        <v>165</v>
      </c>
      <c r="J51" s="86" t="s">
        <v>38</v>
      </c>
      <c r="K51" s="53" t="s">
        <v>161</v>
      </c>
      <c r="L51" s="86">
        <v>2</v>
      </c>
      <c r="N51" s="86">
        <v>4</v>
      </c>
      <c r="O51" s="86">
        <v>0.55000000000000004</v>
      </c>
      <c r="P51" s="86">
        <v>0.6</v>
      </c>
      <c r="Q51" s="95">
        <f t="shared" si="0"/>
        <v>0.57499999999999996</v>
      </c>
      <c r="R51" s="86">
        <v>16.2</v>
      </c>
      <c r="S51" s="86">
        <v>96</v>
      </c>
      <c r="T51" s="96">
        <f t="shared" si="1"/>
        <v>36</v>
      </c>
      <c r="U51" s="86">
        <v>498</v>
      </c>
      <c r="V51" s="97">
        <f t="shared" si="2"/>
        <v>4482</v>
      </c>
      <c r="W51" s="86">
        <v>24</v>
      </c>
      <c r="X51" s="86" t="s">
        <v>46</v>
      </c>
      <c r="Y51" s="86" t="s">
        <v>55</v>
      </c>
      <c r="Z51" s="86" t="s">
        <v>97</v>
      </c>
      <c r="AA51" s="86" t="s">
        <v>69</v>
      </c>
      <c r="AB51" s="53" t="s">
        <v>158</v>
      </c>
    </row>
    <row r="52" spans="1:28" x14ac:dyDescent="0.15">
      <c r="A52" s="86" t="s">
        <v>51</v>
      </c>
      <c r="B52" s="86" t="s">
        <v>157</v>
      </c>
      <c r="C52" s="86">
        <v>2019</v>
      </c>
      <c r="D52" s="94" t="s">
        <v>234</v>
      </c>
      <c r="E52" s="86" t="s">
        <v>245</v>
      </c>
      <c r="F52" s="86" t="s">
        <v>237</v>
      </c>
      <c r="G52" s="86" t="s">
        <v>42</v>
      </c>
      <c r="H52" s="86" t="s">
        <v>160</v>
      </c>
      <c r="I52" s="86" t="s">
        <v>165</v>
      </c>
      <c r="J52" s="86" t="s">
        <v>38</v>
      </c>
      <c r="K52" s="53" t="s">
        <v>161</v>
      </c>
      <c r="L52" s="86">
        <v>3</v>
      </c>
      <c r="N52" s="86">
        <v>4</v>
      </c>
      <c r="O52" s="86">
        <v>0.6</v>
      </c>
      <c r="P52" s="86">
        <v>0.65</v>
      </c>
      <c r="Q52" s="95">
        <f t="shared" si="0"/>
        <v>0.625</v>
      </c>
      <c r="R52" s="86">
        <v>16.600000000000001</v>
      </c>
      <c r="S52" s="86">
        <v>95</v>
      </c>
      <c r="T52" s="96">
        <f t="shared" si="1"/>
        <v>36</v>
      </c>
      <c r="U52" s="86">
        <v>498</v>
      </c>
      <c r="V52" s="97">
        <f t="shared" si="2"/>
        <v>4482</v>
      </c>
      <c r="W52" s="86">
        <v>24</v>
      </c>
      <c r="X52" s="86" t="s">
        <v>46</v>
      </c>
      <c r="Y52" s="86" t="s">
        <v>55</v>
      </c>
      <c r="Z52" s="86" t="s">
        <v>97</v>
      </c>
      <c r="AA52" s="86" t="s">
        <v>69</v>
      </c>
      <c r="AB52" s="53" t="s">
        <v>158</v>
      </c>
    </row>
    <row r="53" spans="1:28" x14ac:dyDescent="0.15">
      <c r="A53" s="86" t="s">
        <v>51</v>
      </c>
      <c r="B53" s="86" t="s">
        <v>157</v>
      </c>
      <c r="C53" s="86">
        <v>2019</v>
      </c>
      <c r="D53" s="94" t="s">
        <v>234</v>
      </c>
      <c r="E53" s="86" t="s">
        <v>240</v>
      </c>
      <c r="F53" s="86" t="s">
        <v>241</v>
      </c>
      <c r="G53" s="86" t="s">
        <v>42</v>
      </c>
      <c r="H53" s="86" t="s">
        <v>164</v>
      </c>
      <c r="I53" s="86" t="s">
        <v>159</v>
      </c>
      <c r="J53" s="86" t="s">
        <v>38</v>
      </c>
      <c r="K53" s="53" t="s">
        <v>161</v>
      </c>
      <c r="L53" s="86">
        <v>1</v>
      </c>
      <c r="N53" s="86">
        <v>1</v>
      </c>
      <c r="O53" s="86">
        <v>0.75</v>
      </c>
      <c r="P53" s="86">
        <v>0.8</v>
      </c>
      <c r="Q53" s="95">
        <f t="shared" si="0"/>
        <v>0.77500000000000002</v>
      </c>
      <c r="R53" s="86">
        <v>16.899999999999999</v>
      </c>
      <c r="S53" s="86">
        <v>136</v>
      </c>
      <c r="T53" s="96">
        <f t="shared" si="1"/>
        <v>25</v>
      </c>
      <c r="U53" s="86">
        <v>88</v>
      </c>
      <c r="V53" s="97">
        <f t="shared" si="2"/>
        <v>2200</v>
      </c>
      <c r="W53" s="86">
        <v>4</v>
      </c>
      <c r="X53" s="86" t="s">
        <v>46</v>
      </c>
      <c r="Y53" s="86" t="s">
        <v>69</v>
      </c>
      <c r="Z53" s="86" t="s">
        <v>55</v>
      </c>
      <c r="AA53" s="86" t="s">
        <v>97</v>
      </c>
      <c r="AB53" s="53" t="s">
        <v>158</v>
      </c>
    </row>
    <row r="54" spans="1:28" x14ac:dyDescent="0.15">
      <c r="A54" s="86" t="s">
        <v>51</v>
      </c>
      <c r="B54" s="86" t="s">
        <v>157</v>
      </c>
      <c r="C54" s="86">
        <v>2019</v>
      </c>
      <c r="D54" s="94" t="s">
        <v>234</v>
      </c>
      <c r="E54" s="86" t="s">
        <v>240</v>
      </c>
      <c r="F54" s="86" t="s">
        <v>241</v>
      </c>
      <c r="G54" s="86" t="s">
        <v>42</v>
      </c>
      <c r="H54" s="86" t="s">
        <v>164</v>
      </c>
      <c r="I54" s="86" t="s">
        <v>159</v>
      </c>
      <c r="J54" s="86" t="s">
        <v>38</v>
      </c>
      <c r="K54" s="53" t="s">
        <v>161</v>
      </c>
      <c r="L54" s="86">
        <v>2</v>
      </c>
      <c r="N54" s="86">
        <v>1</v>
      </c>
      <c r="O54" s="86">
        <v>0.7</v>
      </c>
      <c r="P54" s="86">
        <v>0.7</v>
      </c>
      <c r="Q54" s="95">
        <f t="shared" si="0"/>
        <v>0.7</v>
      </c>
      <c r="R54" s="86">
        <v>16.5</v>
      </c>
      <c r="S54" s="86">
        <v>134</v>
      </c>
      <c r="T54" s="96">
        <f t="shared" si="1"/>
        <v>25</v>
      </c>
      <c r="U54" s="86">
        <v>88</v>
      </c>
      <c r="V54" s="97">
        <f t="shared" si="2"/>
        <v>2200</v>
      </c>
      <c r="W54" s="86">
        <v>4</v>
      </c>
      <c r="X54" s="86" t="s">
        <v>46</v>
      </c>
      <c r="Y54" s="86" t="s">
        <v>69</v>
      </c>
      <c r="Z54" s="86" t="s">
        <v>55</v>
      </c>
      <c r="AA54" s="86" t="s">
        <v>97</v>
      </c>
      <c r="AB54" s="53" t="s">
        <v>158</v>
      </c>
    </row>
    <row r="55" spans="1:28" x14ac:dyDescent="0.15">
      <c r="A55" s="86" t="s">
        <v>51</v>
      </c>
      <c r="B55" s="86" t="s">
        <v>157</v>
      </c>
      <c r="C55" s="86">
        <v>2019</v>
      </c>
      <c r="D55" s="94" t="s">
        <v>234</v>
      </c>
      <c r="E55" s="86" t="s">
        <v>240</v>
      </c>
      <c r="F55" s="86" t="s">
        <v>241</v>
      </c>
      <c r="G55" s="86" t="s">
        <v>42</v>
      </c>
      <c r="H55" s="86" t="s">
        <v>164</v>
      </c>
      <c r="I55" s="86" t="s">
        <v>159</v>
      </c>
      <c r="J55" s="86" t="s">
        <v>38</v>
      </c>
      <c r="K55" s="53" t="s">
        <v>161</v>
      </c>
      <c r="L55" s="86">
        <v>3</v>
      </c>
      <c r="N55" s="86">
        <v>1</v>
      </c>
      <c r="O55" s="86">
        <v>0.65</v>
      </c>
      <c r="P55" s="86">
        <v>0.9</v>
      </c>
      <c r="Q55" s="95">
        <f t="shared" si="0"/>
        <v>0.77500000000000002</v>
      </c>
      <c r="R55" s="86">
        <v>16.2</v>
      </c>
      <c r="S55" s="86">
        <v>132</v>
      </c>
      <c r="T55" s="96">
        <f t="shared" si="1"/>
        <v>25</v>
      </c>
      <c r="U55" s="86">
        <v>88</v>
      </c>
      <c r="V55" s="97">
        <f t="shared" si="2"/>
        <v>2200</v>
      </c>
      <c r="W55" s="86">
        <v>4</v>
      </c>
      <c r="X55" s="86" t="s">
        <v>46</v>
      </c>
      <c r="Y55" s="86" t="s">
        <v>69</v>
      </c>
      <c r="Z55" s="86" t="s">
        <v>55</v>
      </c>
      <c r="AA55" s="86" t="s">
        <v>97</v>
      </c>
      <c r="AB55" s="53" t="s">
        <v>158</v>
      </c>
    </row>
    <row r="56" spans="1:28" x14ac:dyDescent="0.15">
      <c r="A56" s="86" t="s">
        <v>51</v>
      </c>
      <c r="B56" s="86" t="s">
        <v>157</v>
      </c>
      <c r="C56" s="86">
        <v>2019</v>
      </c>
      <c r="D56" s="94" t="s">
        <v>234</v>
      </c>
      <c r="E56" s="86" t="s">
        <v>240</v>
      </c>
      <c r="F56" s="86" t="s">
        <v>241</v>
      </c>
      <c r="G56" s="86" t="s">
        <v>42</v>
      </c>
      <c r="H56" s="86" t="s">
        <v>160</v>
      </c>
      <c r="I56" s="86" t="s">
        <v>159</v>
      </c>
      <c r="J56" s="86" t="s">
        <v>38</v>
      </c>
      <c r="K56" s="53" t="s">
        <v>161</v>
      </c>
      <c r="L56" s="86">
        <v>1</v>
      </c>
      <c r="N56" s="86">
        <v>1</v>
      </c>
      <c r="O56" s="86">
        <v>0.6</v>
      </c>
      <c r="P56" s="86">
        <v>0.65</v>
      </c>
      <c r="Q56" s="95">
        <f t="shared" si="0"/>
        <v>0.625</v>
      </c>
      <c r="R56" s="86">
        <v>16</v>
      </c>
      <c r="S56" s="86">
        <v>126</v>
      </c>
      <c r="T56" s="96">
        <f t="shared" si="1"/>
        <v>27</v>
      </c>
      <c r="U56" s="86">
        <v>128</v>
      </c>
      <c r="V56" s="97">
        <f t="shared" si="2"/>
        <v>3456</v>
      </c>
      <c r="W56" s="86">
        <v>4</v>
      </c>
      <c r="X56" s="86" t="s">
        <v>46</v>
      </c>
      <c r="Y56" s="86" t="s">
        <v>69</v>
      </c>
      <c r="Z56" s="86" t="s">
        <v>55</v>
      </c>
      <c r="AA56" s="86" t="s">
        <v>97</v>
      </c>
      <c r="AB56" s="53" t="s">
        <v>158</v>
      </c>
    </row>
    <row r="57" spans="1:28" x14ac:dyDescent="0.15">
      <c r="A57" s="86" t="s">
        <v>51</v>
      </c>
      <c r="B57" s="86" t="s">
        <v>157</v>
      </c>
      <c r="C57" s="86">
        <v>2019</v>
      </c>
      <c r="D57" s="94" t="s">
        <v>234</v>
      </c>
      <c r="E57" s="86" t="s">
        <v>240</v>
      </c>
      <c r="F57" s="86" t="s">
        <v>241</v>
      </c>
      <c r="G57" s="86" t="s">
        <v>42</v>
      </c>
      <c r="H57" s="86" t="s">
        <v>160</v>
      </c>
      <c r="I57" s="86" t="s">
        <v>159</v>
      </c>
      <c r="J57" s="86" t="s">
        <v>38</v>
      </c>
      <c r="K57" s="53" t="s">
        <v>161</v>
      </c>
      <c r="L57" s="86">
        <v>2</v>
      </c>
      <c r="N57" s="86">
        <v>1</v>
      </c>
      <c r="O57" s="86">
        <v>0.75</v>
      </c>
      <c r="P57" s="86">
        <v>0.7</v>
      </c>
      <c r="Q57" s="95">
        <f t="shared" si="0"/>
        <v>0.72499999999999998</v>
      </c>
      <c r="R57" s="86">
        <v>16.7</v>
      </c>
      <c r="S57" s="86">
        <v>136</v>
      </c>
      <c r="T57" s="96">
        <f t="shared" si="1"/>
        <v>25</v>
      </c>
      <c r="U57" s="86">
        <v>128</v>
      </c>
      <c r="V57" s="97">
        <f t="shared" si="2"/>
        <v>3200</v>
      </c>
      <c r="W57" s="86">
        <v>4</v>
      </c>
      <c r="X57" s="86" t="s">
        <v>46</v>
      </c>
      <c r="Y57" s="86" t="s">
        <v>69</v>
      </c>
      <c r="Z57" s="86" t="s">
        <v>55</v>
      </c>
      <c r="AA57" s="86" t="s">
        <v>97</v>
      </c>
      <c r="AB57" s="53" t="s">
        <v>158</v>
      </c>
    </row>
    <row r="58" spans="1:28" x14ac:dyDescent="0.15">
      <c r="A58" s="86" t="s">
        <v>51</v>
      </c>
      <c r="B58" s="86" t="s">
        <v>157</v>
      </c>
      <c r="C58" s="86">
        <v>2019</v>
      </c>
      <c r="D58" s="94" t="s">
        <v>234</v>
      </c>
      <c r="E58" s="86" t="s">
        <v>240</v>
      </c>
      <c r="F58" s="86" t="s">
        <v>241</v>
      </c>
      <c r="G58" s="86" t="s">
        <v>42</v>
      </c>
      <c r="H58" s="86" t="s">
        <v>160</v>
      </c>
      <c r="I58" s="86" t="s">
        <v>159</v>
      </c>
      <c r="J58" s="86" t="s">
        <v>38</v>
      </c>
      <c r="K58" s="53" t="s">
        <v>161</v>
      </c>
      <c r="L58" s="86">
        <v>3</v>
      </c>
      <c r="N58" s="86">
        <v>1</v>
      </c>
      <c r="O58" s="86">
        <v>0.8</v>
      </c>
      <c r="P58" s="86">
        <v>0.65</v>
      </c>
      <c r="Q58" s="95">
        <f t="shared" si="0"/>
        <v>0.72500000000000009</v>
      </c>
      <c r="R58" s="86">
        <v>16.5</v>
      </c>
      <c r="S58" s="86">
        <v>130</v>
      </c>
      <c r="T58" s="96">
        <f t="shared" si="1"/>
        <v>25</v>
      </c>
      <c r="U58" s="86">
        <v>128</v>
      </c>
      <c r="V58" s="97">
        <f t="shared" si="2"/>
        <v>3200</v>
      </c>
      <c r="W58" s="86">
        <v>4</v>
      </c>
      <c r="X58" s="86" t="s">
        <v>46</v>
      </c>
      <c r="Y58" s="86" t="s">
        <v>69</v>
      </c>
      <c r="Z58" s="86" t="s">
        <v>55</v>
      </c>
      <c r="AA58" s="86" t="s">
        <v>97</v>
      </c>
      <c r="AB58" s="53" t="s">
        <v>158</v>
      </c>
    </row>
    <row r="59" spans="1:28" x14ac:dyDescent="0.15">
      <c r="A59" s="86" t="s">
        <v>51</v>
      </c>
      <c r="B59" s="86" t="s">
        <v>157</v>
      </c>
      <c r="C59" s="86">
        <v>2019</v>
      </c>
      <c r="D59" s="94" t="s">
        <v>234</v>
      </c>
      <c r="E59" s="86" t="s">
        <v>242</v>
      </c>
      <c r="F59" s="86" t="s">
        <v>236</v>
      </c>
      <c r="G59" s="86" t="s">
        <v>36</v>
      </c>
      <c r="H59" s="86" t="s">
        <v>164</v>
      </c>
      <c r="I59" s="86" t="s">
        <v>159</v>
      </c>
      <c r="J59" s="86" t="s">
        <v>38</v>
      </c>
      <c r="K59" s="53" t="s">
        <v>161</v>
      </c>
      <c r="L59" s="86">
        <v>1</v>
      </c>
      <c r="N59" s="86">
        <v>1</v>
      </c>
      <c r="O59" s="86">
        <v>0.65</v>
      </c>
      <c r="P59" s="86">
        <v>0.7</v>
      </c>
      <c r="Q59" s="95">
        <f t="shared" si="0"/>
        <v>0.67500000000000004</v>
      </c>
      <c r="R59" s="86">
        <v>16.8</v>
      </c>
      <c r="S59" s="86">
        <v>112</v>
      </c>
      <c r="T59" s="96">
        <f t="shared" si="1"/>
        <v>33</v>
      </c>
      <c r="U59" s="86">
        <v>100</v>
      </c>
      <c r="V59" s="97">
        <f t="shared" si="2"/>
        <v>3300</v>
      </c>
      <c r="W59" s="86">
        <v>6</v>
      </c>
      <c r="X59" s="86" t="s">
        <v>46</v>
      </c>
      <c r="Y59" s="86" t="s">
        <v>69</v>
      </c>
      <c r="Z59" s="86" t="s">
        <v>97</v>
      </c>
      <c r="AA59" s="86" t="s">
        <v>47</v>
      </c>
      <c r="AB59" s="53" t="s">
        <v>158</v>
      </c>
    </row>
    <row r="60" spans="1:28" x14ac:dyDescent="0.15">
      <c r="A60" s="86" t="s">
        <v>51</v>
      </c>
      <c r="B60" s="86" t="s">
        <v>157</v>
      </c>
      <c r="C60" s="86">
        <v>2019</v>
      </c>
      <c r="D60" s="94" t="s">
        <v>234</v>
      </c>
      <c r="E60" s="86" t="s">
        <v>242</v>
      </c>
      <c r="F60" s="86" t="s">
        <v>236</v>
      </c>
      <c r="G60" s="86" t="s">
        <v>36</v>
      </c>
      <c r="H60" s="86" t="s">
        <v>164</v>
      </c>
      <c r="I60" s="86" t="s">
        <v>159</v>
      </c>
      <c r="J60" s="86" t="s">
        <v>38</v>
      </c>
      <c r="K60" s="53" t="s">
        <v>161</v>
      </c>
      <c r="L60" s="86">
        <v>2</v>
      </c>
      <c r="N60" s="86">
        <v>1</v>
      </c>
      <c r="O60" s="86">
        <v>0.55000000000000004</v>
      </c>
      <c r="P60" s="86">
        <v>0.55000000000000004</v>
      </c>
      <c r="Q60" s="95">
        <f t="shared" si="0"/>
        <v>0.55000000000000004</v>
      </c>
      <c r="R60" s="86">
        <v>16.5</v>
      </c>
      <c r="S60" s="86">
        <v>108</v>
      </c>
      <c r="T60" s="96">
        <f t="shared" si="1"/>
        <v>33</v>
      </c>
      <c r="U60" s="86">
        <v>100</v>
      </c>
      <c r="V60" s="97">
        <f t="shared" si="2"/>
        <v>3300</v>
      </c>
      <c r="W60" s="86">
        <v>6</v>
      </c>
      <c r="X60" s="86" t="s">
        <v>46</v>
      </c>
      <c r="Y60" s="86" t="s">
        <v>69</v>
      </c>
      <c r="Z60" s="86" t="s">
        <v>97</v>
      </c>
      <c r="AA60" s="86" t="s">
        <v>47</v>
      </c>
      <c r="AB60" s="53" t="s">
        <v>158</v>
      </c>
    </row>
    <row r="61" spans="1:28" x14ac:dyDescent="0.15">
      <c r="A61" s="86" t="s">
        <v>51</v>
      </c>
      <c r="B61" s="86" t="s">
        <v>157</v>
      </c>
      <c r="C61" s="86">
        <v>2019</v>
      </c>
      <c r="D61" s="94" t="s">
        <v>234</v>
      </c>
      <c r="E61" s="86" t="s">
        <v>242</v>
      </c>
      <c r="F61" s="86" t="s">
        <v>236</v>
      </c>
      <c r="G61" s="86" t="s">
        <v>36</v>
      </c>
      <c r="H61" s="86" t="s">
        <v>164</v>
      </c>
      <c r="I61" s="86" t="s">
        <v>159</v>
      </c>
      <c r="J61" s="86" t="s">
        <v>38</v>
      </c>
      <c r="K61" s="53" t="s">
        <v>161</v>
      </c>
      <c r="L61" s="86">
        <v>3</v>
      </c>
      <c r="N61" s="86">
        <v>1</v>
      </c>
      <c r="O61" s="86">
        <v>0.6</v>
      </c>
      <c r="P61" s="86">
        <v>0.5</v>
      </c>
      <c r="Q61" s="95">
        <f t="shared" si="0"/>
        <v>0.55000000000000004</v>
      </c>
      <c r="R61" s="86">
        <v>15.9</v>
      </c>
      <c r="S61" s="86">
        <v>108</v>
      </c>
      <c r="T61" s="96">
        <f t="shared" si="1"/>
        <v>33</v>
      </c>
      <c r="U61" s="86">
        <v>100</v>
      </c>
      <c r="V61" s="97">
        <f t="shared" si="2"/>
        <v>3300</v>
      </c>
      <c r="W61" s="86">
        <v>6</v>
      </c>
      <c r="X61" s="86" t="s">
        <v>46</v>
      </c>
      <c r="Y61" s="86" t="s">
        <v>69</v>
      </c>
      <c r="Z61" s="86" t="s">
        <v>97</v>
      </c>
      <c r="AA61" s="86" t="s">
        <v>47</v>
      </c>
      <c r="AB61" s="53" t="s">
        <v>158</v>
      </c>
    </row>
    <row r="62" spans="1:28" x14ac:dyDescent="0.15">
      <c r="A62" s="86" t="s">
        <v>51</v>
      </c>
      <c r="B62" s="86" t="s">
        <v>157</v>
      </c>
      <c r="C62" s="86">
        <v>2019</v>
      </c>
      <c r="D62" s="94" t="s">
        <v>234</v>
      </c>
      <c r="E62" s="86" t="s">
        <v>242</v>
      </c>
      <c r="F62" s="86" t="s">
        <v>236</v>
      </c>
      <c r="G62" s="86" t="s">
        <v>36</v>
      </c>
      <c r="H62" s="86" t="s">
        <v>160</v>
      </c>
      <c r="I62" s="86" t="s">
        <v>159</v>
      </c>
      <c r="J62" s="86" t="s">
        <v>38</v>
      </c>
      <c r="K62" s="53" t="s">
        <v>161</v>
      </c>
      <c r="L62" s="86">
        <v>1</v>
      </c>
      <c r="N62" s="86">
        <v>1</v>
      </c>
      <c r="O62" s="86">
        <v>1</v>
      </c>
      <c r="P62" s="86">
        <v>1.05</v>
      </c>
      <c r="Q62" s="95">
        <f t="shared" si="0"/>
        <v>1.0249999999999999</v>
      </c>
      <c r="R62" s="86">
        <v>14.5</v>
      </c>
      <c r="S62" s="86">
        <v>106</v>
      </c>
      <c r="T62" s="96">
        <f t="shared" si="1"/>
        <v>33</v>
      </c>
      <c r="U62" s="86">
        <v>100</v>
      </c>
      <c r="V62" s="97">
        <f t="shared" si="2"/>
        <v>3300</v>
      </c>
      <c r="W62" s="86">
        <v>6</v>
      </c>
      <c r="X62" s="86" t="s">
        <v>46</v>
      </c>
      <c r="Y62" s="86" t="s">
        <v>69</v>
      </c>
      <c r="Z62" s="86" t="s">
        <v>97</v>
      </c>
      <c r="AA62" s="86" t="s">
        <v>47</v>
      </c>
      <c r="AB62" s="53" t="s">
        <v>158</v>
      </c>
    </row>
    <row r="63" spans="1:28" x14ac:dyDescent="0.15">
      <c r="A63" s="86" t="s">
        <v>51</v>
      </c>
      <c r="B63" s="86" t="s">
        <v>157</v>
      </c>
      <c r="C63" s="86">
        <v>2019</v>
      </c>
      <c r="D63" s="94" t="s">
        <v>234</v>
      </c>
      <c r="E63" s="86" t="s">
        <v>242</v>
      </c>
      <c r="F63" s="86" t="s">
        <v>236</v>
      </c>
      <c r="G63" s="86" t="s">
        <v>36</v>
      </c>
      <c r="H63" s="86" t="s">
        <v>160</v>
      </c>
      <c r="I63" s="86" t="s">
        <v>159</v>
      </c>
      <c r="J63" s="86" t="s">
        <v>38</v>
      </c>
      <c r="K63" s="53" t="s">
        <v>161</v>
      </c>
      <c r="L63" s="86">
        <v>2</v>
      </c>
      <c r="N63" s="86">
        <v>1</v>
      </c>
      <c r="O63" s="86">
        <v>1.1000000000000001</v>
      </c>
      <c r="P63" s="86">
        <v>1</v>
      </c>
      <c r="Q63" s="95">
        <f t="shared" si="0"/>
        <v>1.05</v>
      </c>
      <c r="R63" s="86">
        <v>14.2</v>
      </c>
      <c r="S63" s="86">
        <v>110</v>
      </c>
      <c r="T63" s="96">
        <f t="shared" si="1"/>
        <v>33</v>
      </c>
      <c r="U63" s="86">
        <v>100</v>
      </c>
      <c r="V63" s="97">
        <f t="shared" si="2"/>
        <v>3300</v>
      </c>
      <c r="W63" s="86">
        <v>6</v>
      </c>
      <c r="X63" s="86" t="s">
        <v>46</v>
      </c>
      <c r="Y63" s="86" t="s">
        <v>69</v>
      </c>
      <c r="Z63" s="86" t="s">
        <v>97</v>
      </c>
      <c r="AA63" s="86" t="s">
        <v>47</v>
      </c>
      <c r="AB63" s="53" t="s">
        <v>158</v>
      </c>
    </row>
    <row r="64" spans="1:28" x14ac:dyDescent="0.15">
      <c r="A64" s="86" t="s">
        <v>51</v>
      </c>
      <c r="B64" s="86" t="s">
        <v>157</v>
      </c>
      <c r="C64" s="86">
        <v>2019</v>
      </c>
      <c r="D64" s="94" t="s">
        <v>234</v>
      </c>
      <c r="E64" s="86" t="s">
        <v>242</v>
      </c>
      <c r="F64" s="86" t="s">
        <v>236</v>
      </c>
      <c r="G64" s="86" t="s">
        <v>36</v>
      </c>
      <c r="H64" s="86" t="s">
        <v>160</v>
      </c>
      <c r="I64" s="86" t="s">
        <v>159</v>
      </c>
      <c r="J64" s="86" t="s">
        <v>38</v>
      </c>
      <c r="K64" s="53" t="s">
        <v>161</v>
      </c>
      <c r="L64" s="86">
        <v>3</v>
      </c>
      <c r="N64" s="86">
        <v>1</v>
      </c>
      <c r="O64" s="86">
        <v>1.05</v>
      </c>
      <c r="P64" s="86">
        <v>0.95</v>
      </c>
      <c r="Q64" s="95">
        <f t="shared" si="0"/>
        <v>1</v>
      </c>
      <c r="R64" s="86">
        <v>14.8</v>
      </c>
      <c r="S64" s="86">
        <v>110</v>
      </c>
      <c r="T64" s="96">
        <f t="shared" si="1"/>
        <v>33</v>
      </c>
      <c r="U64" s="86">
        <v>100</v>
      </c>
      <c r="V64" s="97">
        <f t="shared" si="2"/>
        <v>3300</v>
      </c>
      <c r="W64" s="86">
        <v>6</v>
      </c>
      <c r="X64" s="86" t="s">
        <v>46</v>
      </c>
      <c r="Y64" s="86" t="s">
        <v>69</v>
      </c>
      <c r="Z64" s="86" t="s">
        <v>97</v>
      </c>
      <c r="AA64" s="86" t="s">
        <v>47</v>
      </c>
      <c r="AB64" s="53" t="s">
        <v>158</v>
      </c>
    </row>
    <row r="65" spans="1:28" x14ac:dyDescent="0.15">
      <c r="A65" s="86" t="s">
        <v>51</v>
      </c>
      <c r="B65" s="86" t="s">
        <v>157</v>
      </c>
      <c r="C65" s="86">
        <v>2019</v>
      </c>
      <c r="D65" s="94" t="s">
        <v>234</v>
      </c>
      <c r="E65" s="86" t="s">
        <v>246</v>
      </c>
      <c r="F65" s="86" t="s">
        <v>247</v>
      </c>
      <c r="G65" s="86" t="s">
        <v>36</v>
      </c>
      <c r="H65" s="86" t="s">
        <v>164</v>
      </c>
      <c r="I65" s="86" t="s">
        <v>159</v>
      </c>
      <c r="J65" s="86" t="s">
        <v>38</v>
      </c>
      <c r="K65" s="53" t="s">
        <v>161</v>
      </c>
      <c r="L65" s="86">
        <v>1</v>
      </c>
      <c r="N65" s="86">
        <v>1</v>
      </c>
      <c r="O65" s="86">
        <v>0.95</v>
      </c>
      <c r="P65" s="86">
        <v>0.9</v>
      </c>
      <c r="Q65" s="96">
        <f t="shared" si="0"/>
        <v>0.92500000000000004</v>
      </c>
      <c r="R65" s="86">
        <v>16.8</v>
      </c>
      <c r="S65" s="86">
        <v>146</v>
      </c>
      <c r="T65" s="96">
        <f t="shared" si="1"/>
        <v>22</v>
      </c>
      <c r="U65" s="86">
        <v>98</v>
      </c>
      <c r="V65" s="96">
        <f t="shared" si="2"/>
        <v>2156</v>
      </c>
      <c r="W65" s="86">
        <v>16</v>
      </c>
      <c r="X65" s="86" t="s">
        <v>46</v>
      </c>
      <c r="Y65" s="86" t="s">
        <v>69</v>
      </c>
      <c r="Z65" s="86" t="s">
        <v>47</v>
      </c>
      <c r="AA65" s="86" t="s">
        <v>55</v>
      </c>
      <c r="AB65" s="53" t="s">
        <v>158</v>
      </c>
    </row>
    <row r="66" spans="1:28" x14ac:dyDescent="0.15">
      <c r="A66" s="86" t="s">
        <v>51</v>
      </c>
      <c r="B66" s="86" t="s">
        <v>157</v>
      </c>
      <c r="C66" s="86">
        <v>2019</v>
      </c>
      <c r="D66" s="94" t="s">
        <v>234</v>
      </c>
      <c r="E66" s="86" t="s">
        <v>246</v>
      </c>
      <c r="F66" s="86" t="s">
        <v>247</v>
      </c>
      <c r="G66" s="86" t="s">
        <v>36</v>
      </c>
      <c r="H66" s="86" t="s">
        <v>164</v>
      </c>
      <c r="I66" s="86" t="s">
        <v>159</v>
      </c>
      <c r="J66" s="86" t="s">
        <v>38</v>
      </c>
      <c r="K66" s="53" t="s">
        <v>161</v>
      </c>
      <c r="L66" s="86">
        <v>2</v>
      </c>
      <c r="N66" s="86">
        <v>1</v>
      </c>
      <c r="O66" s="86">
        <v>1.05</v>
      </c>
      <c r="P66" s="86">
        <v>0.95</v>
      </c>
      <c r="Q66" s="96">
        <f t="shared" ref="Q66:Q85" si="3">IF(OR(O66="",P66=""),"",AVERAGE(O66,P66))</f>
        <v>1</v>
      </c>
      <c r="R66" s="86">
        <v>16.3</v>
      </c>
      <c r="S66" s="86">
        <v>144</v>
      </c>
      <c r="T66" s="96">
        <f t="shared" ref="T66:T85" si="4">IF(H66="","",IF(OR(H66="GREEN",H66="GK"),IF(S66&gt;=$AX$2,VLOOKUP(S66,$AX$2:$AY$12,2,1),""),IF(S66&gt;=$AZ$2,VLOOKUP(S66,$AZ$2:$BA$12,2,1),"")))</f>
        <v>22</v>
      </c>
      <c r="U66" s="86">
        <v>98</v>
      </c>
      <c r="V66" s="96">
        <f t="shared" ref="V66:V85" si="5">IF(OR(N66="",U66="",T66=""),"",U66/N66*T66)</f>
        <v>2156</v>
      </c>
      <c r="W66" s="86">
        <v>16</v>
      </c>
      <c r="X66" s="86" t="s">
        <v>46</v>
      </c>
      <c r="Y66" s="86" t="s">
        <v>69</v>
      </c>
      <c r="Z66" s="86" t="s">
        <v>47</v>
      </c>
      <c r="AA66" s="86" t="s">
        <v>55</v>
      </c>
      <c r="AB66" s="53" t="s">
        <v>158</v>
      </c>
    </row>
    <row r="67" spans="1:28" x14ac:dyDescent="0.15">
      <c r="A67" s="86" t="s">
        <v>51</v>
      </c>
      <c r="B67" s="86" t="s">
        <v>157</v>
      </c>
      <c r="C67" s="86">
        <v>2019</v>
      </c>
      <c r="D67" s="94" t="s">
        <v>234</v>
      </c>
      <c r="E67" s="86" t="s">
        <v>246</v>
      </c>
      <c r="F67" s="86" t="s">
        <v>247</v>
      </c>
      <c r="G67" s="86" t="s">
        <v>36</v>
      </c>
      <c r="H67" s="86" t="s">
        <v>164</v>
      </c>
      <c r="I67" s="86" t="s">
        <v>159</v>
      </c>
      <c r="J67" s="86" t="s">
        <v>38</v>
      </c>
      <c r="K67" s="53" t="s">
        <v>161</v>
      </c>
      <c r="L67" s="86">
        <v>3</v>
      </c>
      <c r="N67" s="86">
        <v>1</v>
      </c>
      <c r="O67" s="86">
        <v>1</v>
      </c>
      <c r="P67" s="86">
        <v>1</v>
      </c>
      <c r="Q67" s="96">
        <f t="shared" si="3"/>
        <v>1</v>
      </c>
      <c r="R67" s="86">
        <v>16</v>
      </c>
      <c r="S67" s="86">
        <v>132</v>
      </c>
      <c r="T67" s="96">
        <f t="shared" si="4"/>
        <v>25</v>
      </c>
      <c r="U67" s="86">
        <v>98</v>
      </c>
      <c r="V67" s="96">
        <f t="shared" si="5"/>
        <v>2450</v>
      </c>
      <c r="W67" s="86">
        <v>16</v>
      </c>
      <c r="X67" s="86" t="s">
        <v>46</v>
      </c>
      <c r="Y67" s="86" t="s">
        <v>69</v>
      </c>
      <c r="Z67" s="86" t="s">
        <v>47</v>
      </c>
      <c r="AA67" s="86" t="s">
        <v>55</v>
      </c>
      <c r="AB67" s="53" t="s">
        <v>158</v>
      </c>
    </row>
    <row r="68" spans="1:28" x14ac:dyDescent="0.15">
      <c r="A68" s="86" t="s">
        <v>51</v>
      </c>
      <c r="B68" s="86" t="s">
        <v>157</v>
      </c>
      <c r="C68" s="86">
        <v>2019</v>
      </c>
      <c r="D68" s="94" t="s">
        <v>234</v>
      </c>
      <c r="E68" s="86" t="s">
        <v>246</v>
      </c>
      <c r="F68" s="86" t="s">
        <v>247</v>
      </c>
      <c r="G68" s="86" t="s">
        <v>36</v>
      </c>
      <c r="H68" s="86" t="s">
        <v>160</v>
      </c>
      <c r="I68" s="86" t="s">
        <v>159</v>
      </c>
      <c r="J68" s="86" t="s">
        <v>38</v>
      </c>
      <c r="K68" s="53" t="s">
        <v>161</v>
      </c>
      <c r="L68" s="86">
        <v>1</v>
      </c>
      <c r="N68" s="86">
        <v>1</v>
      </c>
      <c r="O68" s="86">
        <v>0.65</v>
      </c>
      <c r="P68" s="86">
        <v>0.65</v>
      </c>
      <c r="Q68" s="96">
        <f t="shared" si="3"/>
        <v>0.65</v>
      </c>
      <c r="R68" s="86">
        <v>16.600000000000001</v>
      </c>
      <c r="S68" s="86">
        <v>132</v>
      </c>
      <c r="T68" s="96">
        <f t="shared" si="4"/>
        <v>25</v>
      </c>
      <c r="U68" s="86">
        <v>98</v>
      </c>
      <c r="V68" s="96">
        <f t="shared" si="5"/>
        <v>2450</v>
      </c>
      <c r="W68" s="86">
        <v>16</v>
      </c>
      <c r="X68" s="86" t="s">
        <v>46</v>
      </c>
      <c r="Y68" s="86" t="s">
        <v>69</v>
      </c>
      <c r="Z68" s="86" t="s">
        <v>47</v>
      </c>
      <c r="AA68" s="86" t="s">
        <v>55</v>
      </c>
      <c r="AB68" s="53" t="s">
        <v>158</v>
      </c>
    </row>
    <row r="69" spans="1:28" x14ac:dyDescent="0.15">
      <c r="A69" s="86" t="s">
        <v>51</v>
      </c>
      <c r="B69" s="86" t="s">
        <v>157</v>
      </c>
      <c r="C69" s="86">
        <v>2019</v>
      </c>
      <c r="D69" s="94" t="s">
        <v>234</v>
      </c>
      <c r="E69" s="86" t="s">
        <v>246</v>
      </c>
      <c r="F69" s="86" t="s">
        <v>247</v>
      </c>
      <c r="G69" s="86" t="s">
        <v>36</v>
      </c>
      <c r="H69" s="86" t="s">
        <v>160</v>
      </c>
      <c r="I69" s="86" t="s">
        <v>159</v>
      </c>
      <c r="J69" s="86" t="s">
        <v>38</v>
      </c>
      <c r="K69" s="53" t="s">
        <v>161</v>
      </c>
      <c r="L69" s="86">
        <v>2</v>
      </c>
      <c r="N69" s="86">
        <v>1</v>
      </c>
      <c r="O69" s="86">
        <v>0.7</v>
      </c>
      <c r="P69" s="86">
        <v>0.6</v>
      </c>
      <c r="Q69" s="96">
        <f t="shared" si="3"/>
        <v>0.64999999999999991</v>
      </c>
      <c r="R69" s="86">
        <v>16.899999999999999</v>
      </c>
      <c r="S69" s="86">
        <v>134</v>
      </c>
      <c r="T69" s="96">
        <f t="shared" si="4"/>
        <v>25</v>
      </c>
      <c r="U69" s="86">
        <v>98</v>
      </c>
      <c r="V69" s="96">
        <f t="shared" si="5"/>
        <v>2450</v>
      </c>
      <c r="W69" s="86">
        <v>16</v>
      </c>
      <c r="X69" s="86" t="s">
        <v>46</v>
      </c>
      <c r="Y69" s="86" t="s">
        <v>69</v>
      </c>
      <c r="Z69" s="86" t="s">
        <v>47</v>
      </c>
      <c r="AA69" s="86" t="s">
        <v>55</v>
      </c>
      <c r="AB69" s="53" t="s">
        <v>158</v>
      </c>
    </row>
    <row r="70" spans="1:28" x14ac:dyDescent="0.15">
      <c r="A70" s="86" t="s">
        <v>51</v>
      </c>
      <c r="B70" s="86" t="s">
        <v>157</v>
      </c>
      <c r="C70" s="86">
        <v>2019</v>
      </c>
      <c r="D70" s="94" t="s">
        <v>234</v>
      </c>
      <c r="E70" s="86" t="s">
        <v>246</v>
      </c>
      <c r="F70" s="86" t="s">
        <v>247</v>
      </c>
      <c r="G70" s="86" t="s">
        <v>36</v>
      </c>
      <c r="H70" s="86" t="s">
        <v>160</v>
      </c>
      <c r="I70" s="86" t="s">
        <v>159</v>
      </c>
      <c r="J70" s="86" t="s">
        <v>38</v>
      </c>
      <c r="K70" s="53" t="s">
        <v>161</v>
      </c>
      <c r="L70" s="86">
        <v>3</v>
      </c>
      <c r="N70" s="86">
        <v>1</v>
      </c>
      <c r="O70" s="86">
        <v>0.75</v>
      </c>
      <c r="P70" s="86">
        <v>0.8</v>
      </c>
      <c r="Q70" s="96">
        <f t="shared" si="3"/>
        <v>0.77500000000000002</v>
      </c>
      <c r="R70" s="86">
        <v>16.7</v>
      </c>
      <c r="S70" s="86">
        <v>136</v>
      </c>
      <c r="T70" s="96">
        <f t="shared" si="4"/>
        <v>25</v>
      </c>
      <c r="U70" s="86">
        <v>98</v>
      </c>
      <c r="V70" s="96">
        <f t="shared" si="5"/>
        <v>2450</v>
      </c>
      <c r="W70" s="86">
        <v>16</v>
      </c>
      <c r="X70" s="86" t="s">
        <v>46</v>
      </c>
      <c r="Y70" s="86" t="s">
        <v>69</v>
      </c>
      <c r="Z70" s="86" t="s">
        <v>47</v>
      </c>
      <c r="AA70" s="86" t="s">
        <v>55</v>
      </c>
      <c r="AB70" s="53" t="s">
        <v>158</v>
      </c>
    </row>
    <row r="71" spans="1:28" x14ac:dyDescent="0.15">
      <c r="A71" s="86" t="s">
        <v>51</v>
      </c>
      <c r="B71" s="86" t="s">
        <v>157</v>
      </c>
      <c r="C71" s="86">
        <v>2019</v>
      </c>
      <c r="D71" s="94" t="s">
        <v>234</v>
      </c>
      <c r="E71" s="86" t="s">
        <v>248</v>
      </c>
      <c r="F71" s="86" t="s">
        <v>236</v>
      </c>
      <c r="G71" s="86" t="s">
        <v>42</v>
      </c>
      <c r="H71" s="86" t="s">
        <v>164</v>
      </c>
      <c r="I71" s="86" t="s">
        <v>159</v>
      </c>
      <c r="J71" s="86" t="s">
        <v>38</v>
      </c>
      <c r="K71" s="53" t="s">
        <v>161</v>
      </c>
      <c r="L71" s="86">
        <v>1</v>
      </c>
      <c r="N71" s="86">
        <v>1</v>
      </c>
      <c r="O71" s="86">
        <v>1.1000000000000001</v>
      </c>
      <c r="P71" s="86">
        <v>1</v>
      </c>
      <c r="Q71" s="96">
        <f t="shared" si="3"/>
        <v>1.05</v>
      </c>
      <c r="R71" s="86">
        <v>17.3</v>
      </c>
      <c r="S71" s="86">
        <v>120</v>
      </c>
      <c r="T71" s="96">
        <f t="shared" si="4"/>
        <v>30</v>
      </c>
      <c r="U71" s="86">
        <v>98</v>
      </c>
      <c r="V71" s="96">
        <f t="shared" si="5"/>
        <v>2940</v>
      </c>
      <c r="W71" s="86">
        <v>9</v>
      </c>
      <c r="X71" s="86" t="s">
        <v>46</v>
      </c>
      <c r="Y71" s="86" t="s">
        <v>55</v>
      </c>
      <c r="Z71" s="86" t="s">
        <v>69</v>
      </c>
      <c r="AA71" s="86" t="s">
        <v>97</v>
      </c>
      <c r="AB71" s="53" t="s">
        <v>158</v>
      </c>
    </row>
    <row r="72" spans="1:28" x14ac:dyDescent="0.15">
      <c r="A72" s="86" t="s">
        <v>51</v>
      </c>
      <c r="B72" s="86" t="s">
        <v>157</v>
      </c>
      <c r="C72" s="86">
        <v>2019</v>
      </c>
      <c r="D72" s="94" t="s">
        <v>234</v>
      </c>
      <c r="E72" s="86" t="s">
        <v>248</v>
      </c>
      <c r="F72" s="86" t="s">
        <v>236</v>
      </c>
      <c r="G72" s="86" t="s">
        <v>42</v>
      </c>
      <c r="H72" s="86" t="s">
        <v>164</v>
      </c>
      <c r="I72" s="86" t="s">
        <v>159</v>
      </c>
      <c r="J72" s="86" t="s">
        <v>38</v>
      </c>
      <c r="K72" s="53" t="s">
        <v>161</v>
      </c>
      <c r="L72" s="86">
        <v>2</v>
      </c>
      <c r="N72" s="86">
        <v>1</v>
      </c>
      <c r="O72" s="86">
        <v>1</v>
      </c>
      <c r="P72" s="86">
        <v>0.95</v>
      </c>
      <c r="Q72" s="96">
        <f t="shared" si="3"/>
        <v>0.97499999999999998</v>
      </c>
      <c r="R72" s="86">
        <v>16.8</v>
      </c>
      <c r="S72" s="86">
        <v>122</v>
      </c>
      <c r="T72" s="96">
        <f t="shared" si="4"/>
        <v>27</v>
      </c>
      <c r="U72" s="86">
        <v>98</v>
      </c>
      <c r="V72" s="96">
        <f t="shared" si="5"/>
        <v>2646</v>
      </c>
      <c r="W72" s="86">
        <v>9</v>
      </c>
      <c r="X72" s="86" t="s">
        <v>46</v>
      </c>
      <c r="Y72" s="86" t="s">
        <v>55</v>
      </c>
      <c r="Z72" s="86" t="s">
        <v>69</v>
      </c>
      <c r="AA72" s="86" t="s">
        <v>97</v>
      </c>
      <c r="AB72" s="53" t="s">
        <v>158</v>
      </c>
    </row>
    <row r="73" spans="1:28" x14ac:dyDescent="0.15">
      <c r="A73" s="86" t="s">
        <v>51</v>
      </c>
      <c r="B73" s="86" t="s">
        <v>157</v>
      </c>
      <c r="C73" s="86">
        <v>2019</v>
      </c>
      <c r="D73" s="94" t="s">
        <v>234</v>
      </c>
      <c r="E73" s="86" t="s">
        <v>248</v>
      </c>
      <c r="F73" s="86" t="s">
        <v>236</v>
      </c>
      <c r="G73" s="86" t="s">
        <v>42</v>
      </c>
      <c r="H73" s="86" t="s">
        <v>164</v>
      </c>
      <c r="I73" s="86" t="s">
        <v>159</v>
      </c>
      <c r="J73" s="86" t="s">
        <v>38</v>
      </c>
      <c r="K73" s="53" t="s">
        <v>161</v>
      </c>
      <c r="L73" s="86">
        <v>3</v>
      </c>
      <c r="N73" s="86">
        <v>1</v>
      </c>
      <c r="O73" s="86">
        <v>0.9</v>
      </c>
      <c r="P73" s="86">
        <v>1.05</v>
      </c>
      <c r="Q73" s="96">
        <f t="shared" si="3"/>
        <v>0.97500000000000009</v>
      </c>
      <c r="R73" s="86">
        <v>17</v>
      </c>
      <c r="S73" s="86">
        <v>126</v>
      </c>
      <c r="T73" s="96">
        <f t="shared" si="4"/>
        <v>27</v>
      </c>
      <c r="U73" s="86">
        <v>98</v>
      </c>
      <c r="V73" s="96">
        <f t="shared" si="5"/>
        <v>2646</v>
      </c>
      <c r="W73" s="86">
        <v>9</v>
      </c>
      <c r="X73" s="86" t="s">
        <v>46</v>
      </c>
      <c r="Y73" s="86" t="s">
        <v>55</v>
      </c>
      <c r="Z73" s="86" t="s">
        <v>69</v>
      </c>
      <c r="AA73" s="86" t="s">
        <v>97</v>
      </c>
      <c r="AB73" s="53" t="s">
        <v>158</v>
      </c>
    </row>
    <row r="74" spans="1:28" x14ac:dyDescent="0.15">
      <c r="A74" s="86" t="s">
        <v>51</v>
      </c>
      <c r="B74" s="86" t="s">
        <v>157</v>
      </c>
      <c r="C74" s="86">
        <v>2019</v>
      </c>
      <c r="D74" s="94" t="s">
        <v>234</v>
      </c>
      <c r="E74" s="86" t="s">
        <v>248</v>
      </c>
      <c r="F74" s="86" t="s">
        <v>236</v>
      </c>
      <c r="G74" s="86" t="s">
        <v>42</v>
      </c>
      <c r="H74" s="86" t="s">
        <v>168</v>
      </c>
      <c r="I74" s="86" t="s">
        <v>159</v>
      </c>
      <c r="J74" s="86" t="s">
        <v>38</v>
      </c>
      <c r="K74" s="53" t="s">
        <v>161</v>
      </c>
      <c r="L74" s="86">
        <v>1</v>
      </c>
      <c r="N74" s="86">
        <v>5</v>
      </c>
      <c r="O74" s="86">
        <v>0.55000000000000004</v>
      </c>
      <c r="P74" s="86">
        <v>0.6</v>
      </c>
      <c r="Q74" s="96">
        <f t="shared" si="3"/>
        <v>0.57499999999999996</v>
      </c>
      <c r="R74" s="86">
        <v>19.3</v>
      </c>
      <c r="S74" s="86">
        <v>76</v>
      </c>
      <c r="T74" s="96">
        <f t="shared" si="4"/>
        <v>39</v>
      </c>
      <c r="U74" s="86">
        <v>398</v>
      </c>
      <c r="V74" s="96">
        <f t="shared" si="5"/>
        <v>3104.3999999999996</v>
      </c>
      <c r="W74" s="86">
        <v>9</v>
      </c>
      <c r="X74" s="86" t="s">
        <v>46</v>
      </c>
      <c r="Y74" s="86" t="s">
        <v>55</v>
      </c>
      <c r="Z74" s="86" t="s">
        <v>69</v>
      </c>
      <c r="AA74" s="86" t="s">
        <v>97</v>
      </c>
      <c r="AB74" s="53" t="s">
        <v>158</v>
      </c>
    </row>
    <row r="75" spans="1:28" x14ac:dyDescent="0.15">
      <c r="A75" s="86" t="s">
        <v>51</v>
      </c>
      <c r="B75" s="86" t="s">
        <v>157</v>
      </c>
      <c r="C75" s="86">
        <v>2019</v>
      </c>
      <c r="D75" s="94" t="s">
        <v>234</v>
      </c>
      <c r="E75" s="86" t="s">
        <v>248</v>
      </c>
      <c r="F75" s="86" t="s">
        <v>236</v>
      </c>
      <c r="G75" s="86" t="s">
        <v>42</v>
      </c>
      <c r="H75" s="86" t="s">
        <v>168</v>
      </c>
      <c r="I75" s="86" t="s">
        <v>159</v>
      </c>
      <c r="J75" s="86" t="s">
        <v>38</v>
      </c>
      <c r="K75" s="53" t="s">
        <v>161</v>
      </c>
      <c r="L75" s="86">
        <v>2</v>
      </c>
      <c r="N75" s="86">
        <v>5</v>
      </c>
      <c r="O75" s="86">
        <v>0.6</v>
      </c>
      <c r="P75" s="86">
        <v>0.5</v>
      </c>
      <c r="Q75" s="96">
        <f t="shared" si="3"/>
        <v>0.55000000000000004</v>
      </c>
      <c r="R75" s="86">
        <v>18.600000000000001</v>
      </c>
      <c r="S75" s="86">
        <v>77</v>
      </c>
      <c r="T75" s="96">
        <f t="shared" si="4"/>
        <v>39</v>
      </c>
      <c r="U75" s="86">
        <v>398</v>
      </c>
      <c r="V75" s="96">
        <f t="shared" si="5"/>
        <v>3104.3999999999996</v>
      </c>
      <c r="W75" s="86">
        <v>9</v>
      </c>
      <c r="X75" s="86" t="s">
        <v>46</v>
      </c>
      <c r="Y75" s="86" t="s">
        <v>55</v>
      </c>
      <c r="Z75" s="86" t="s">
        <v>69</v>
      </c>
      <c r="AA75" s="86" t="s">
        <v>97</v>
      </c>
      <c r="AB75" s="53" t="s">
        <v>158</v>
      </c>
    </row>
    <row r="76" spans="1:28" x14ac:dyDescent="0.15">
      <c r="A76" s="86" t="s">
        <v>51</v>
      </c>
      <c r="B76" s="86" t="s">
        <v>157</v>
      </c>
      <c r="C76" s="86">
        <v>2019</v>
      </c>
      <c r="D76" s="94" t="s">
        <v>234</v>
      </c>
      <c r="E76" s="86" t="s">
        <v>248</v>
      </c>
      <c r="F76" s="86" t="s">
        <v>236</v>
      </c>
      <c r="G76" s="86" t="s">
        <v>42</v>
      </c>
      <c r="H76" s="86" t="s">
        <v>168</v>
      </c>
      <c r="I76" s="86" t="s">
        <v>159</v>
      </c>
      <c r="J76" s="86" t="s">
        <v>38</v>
      </c>
      <c r="K76" s="53" t="s">
        <v>161</v>
      </c>
      <c r="L76" s="86">
        <v>3</v>
      </c>
      <c r="N76" s="86">
        <v>5</v>
      </c>
      <c r="O76" s="86">
        <v>0.55000000000000004</v>
      </c>
      <c r="P76" s="86">
        <v>0.65</v>
      </c>
      <c r="Q76" s="96">
        <f t="shared" si="3"/>
        <v>0.60000000000000009</v>
      </c>
      <c r="R76" s="86">
        <v>18.8</v>
      </c>
      <c r="S76" s="86">
        <v>80</v>
      </c>
      <c r="T76" s="96">
        <f t="shared" si="4"/>
        <v>39</v>
      </c>
      <c r="U76" s="86">
        <v>398</v>
      </c>
      <c r="V76" s="96">
        <f t="shared" si="5"/>
        <v>3104.3999999999996</v>
      </c>
      <c r="W76" s="86">
        <v>9</v>
      </c>
      <c r="X76" s="86" t="s">
        <v>46</v>
      </c>
      <c r="Y76" s="86" t="s">
        <v>55</v>
      </c>
      <c r="Z76" s="86" t="s">
        <v>69</v>
      </c>
      <c r="AA76" s="86" t="s">
        <v>97</v>
      </c>
      <c r="AB76" s="53" t="s">
        <v>158</v>
      </c>
    </row>
    <row r="77" spans="1:28" x14ac:dyDescent="0.15">
      <c r="A77" s="86" t="s">
        <v>51</v>
      </c>
      <c r="B77" s="86" t="s">
        <v>157</v>
      </c>
      <c r="C77" s="86">
        <v>2019</v>
      </c>
      <c r="D77" s="94" t="s">
        <v>234</v>
      </c>
      <c r="E77" s="86" t="s">
        <v>248</v>
      </c>
      <c r="F77" s="86" t="s">
        <v>236</v>
      </c>
      <c r="G77" s="86" t="s">
        <v>42</v>
      </c>
      <c r="H77" s="86" t="s">
        <v>160</v>
      </c>
      <c r="I77" s="86" t="s">
        <v>159</v>
      </c>
      <c r="J77" s="86" t="s">
        <v>38</v>
      </c>
      <c r="K77" s="53" t="s">
        <v>161</v>
      </c>
      <c r="L77" s="86">
        <v>1</v>
      </c>
      <c r="N77" s="86">
        <v>1</v>
      </c>
      <c r="O77" s="86">
        <v>0.6</v>
      </c>
      <c r="P77" s="86">
        <v>0.7</v>
      </c>
      <c r="Q77" s="96">
        <f t="shared" si="3"/>
        <v>0.64999999999999991</v>
      </c>
      <c r="R77" s="86">
        <v>17.5</v>
      </c>
      <c r="S77" s="86">
        <v>134</v>
      </c>
      <c r="T77" s="96">
        <f t="shared" si="4"/>
        <v>25</v>
      </c>
      <c r="U77" s="86">
        <v>128</v>
      </c>
      <c r="V77" s="96">
        <f t="shared" si="5"/>
        <v>3200</v>
      </c>
      <c r="W77" s="86">
        <v>9</v>
      </c>
      <c r="X77" s="86" t="s">
        <v>46</v>
      </c>
      <c r="Y77" s="86" t="s">
        <v>55</v>
      </c>
      <c r="Z77" s="86" t="s">
        <v>69</v>
      </c>
      <c r="AA77" s="86" t="s">
        <v>97</v>
      </c>
      <c r="AB77" s="53" t="s">
        <v>158</v>
      </c>
    </row>
    <row r="78" spans="1:28" x14ac:dyDescent="0.15">
      <c r="A78" s="86" t="s">
        <v>51</v>
      </c>
      <c r="B78" s="86" t="s">
        <v>157</v>
      </c>
      <c r="C78" s="86">
        <v>2019</v>
      </c>
      <c r="D78" s="94" t="s">
        <v>234</v>
      </c>
      <c r="E78" s="86" t="s">
        <v>248</v>
      </c>
      <c r="F78" s="86" t="s">
        <v>236</v>
      </c>
      <c r="G78" s="86" t="s">
        <v>42</v>
      </c>
      <c r="H78" s="86" t="s">
        <v>160</v>
      </c>
      <c r="I78" s="86" t="s">
        <v>159</v>
      </c>
      <c r="J78" s="86" t="s">
        <v>38</v>
      </c>
      <c r="K78" s="53" t="s">
        <v>161</v>
      </c>
      <c r="L78" s="86">
        <v>2</v>
      </c>
      <c r="N78" s="86">
        <v>1</v>
      </c>
      <c r="O78" s="86">
        <v>0.55000000000000004</v>
      </c>
      <c r="P78" s="86">
        <v>0.6</v>
      </c>
      <c r="Q78" s="96">
        <f t="shared" si="3"/>
        <v>0.57499999999999996</v>
      </c>
      <c r="R78" s="86">
        <v>18.600000000000001</v>
      </c>
      <c r="S78" s="86">
        <v>132</v>
      </c>
      <c r="T78" s="96">
        <f t="shared" si="4"/>
        <v>25</v>
      </c>
      <c r="U78" s="86">
        <v>128</v>
      </c>
      <c r="V78" s="96">
        <f t="shared" si="5"/>
        <v>3200</v>
      </c>
      <c r="W78" s="86">
        <v>9</v>
      </c>
      <c r="X78" s="86" t="s">
        <v>46</v>
      </c>
      <c r="Y78" s="86" t="s">
        <v>55</v>
      </c>
      <c r="Z78" s="86" t="s">
        <v>69</v>
      </c>
      <c r="AA78" s="86" t="s">
        <v>97</v>
      </c>
      <c r="AB78" s="53" t="s">
        <v>158</v>
      </c>
    </row>
    <row r="79" spans="1:28" x14ac:dyDescent="0.15">
      <c r="A79" s="86" t="s">
        <v>51</v>
      </c>
      <c r="B79" s="86" t="s">
        <v>157</v>
      </c>
      <c r="C79" s="86">
        <v>2019</v>
      </c>
      <c r="D79" s="94" t="s">
        <v>234</v>
      </c>
      <c r="E79" s="86" t="s">
        <v>248</v>
      </c>
      <c r="F79" s="86" t="s">
        <v>236</v>
      </c>
      <c r="G79" s="86" t="s">
        <v>42</v>
      </c>
      <c r="H79" s="86" t="s">
        <v>160</v>
      </c>
      <c r="I79" s="86" t="s">
        <v>159</v>
      </c>
      <c r="J79" s="86" t="s">
        <v>38</v>
      </c>
      <c r="K79" s="53" t="s">
        <v>161</v>
      </c>
      <c r="L79" s="86">
        <v>3</v>
      </c>
      <c r="N79" s="86">
        <v>1</v>
      </c>
      <c r="O79" s="86">
        <v>0.65</v>
      </c>
      <c r="P79" s="86">
        <v>0.6</v>
      </c>
      <c r="Q79" s="96">
        <f t="shared" si="3"/>
        <v>0.625</v>
      </c>
      <c r="R79" s="86">
        <v>17.2</v>
      </c>
      <c r="S79" s="86">
        <v>132</v>
      </c>
      <c r="T79" s="96">
        <f t="shared" si="4"/>
        <v>25</v>
      </c>
      <c r="U79" s="86">
        <v>128</v>
      </c>
      <c r="V79" s="96">
        <f t="shared" si="5"/>
        <v>3200</v>
      </c>
      <c r="W79" s="86">
        <v>9</v>
      </c>
      <c r="X79" s="86" t="s">
        <v>46</v>
      </c>
      <c r="Y79" s="86" t="s">
        <v>55</v>
      </c>
      <c r="Z79" s="86" t="s">
        <v>69</v>
      </c>
      <c r="AA79" s="86" t="s">
        <v>97</v>
      </c>
      <c r="AB79" s="53" t="s">
        <v>158</v>
      </c>
    </row>
    <row r="80" spans="1:28" x14ac:dyDescent="0.15">
      <c r="D80" s="115"/>
      <c r="Q80" s="96" t="str">
        <f t="shared" si="3"/>
        <v/>
      </c>
      <c r="T80" s="96" t="str">
        <f t="shared" si="4"/>
        <v/>
      </c>
      <c r="V80" s="96" t="str">
        <f t="shared" si="5"/>
        <v/>
      </c>
    </row>
    <row r="81" spans="4:22" x14ac:dyDescent="0.15">
      <c r="D81" s="115"/>
      <c r="Q81" s="96" t="str">
        <f t="shared" si="3"/>
        <v/>
      </c>
      <c r="T81" s="96" t="str">
        <f t="shared" si="4"/>
        <v/>
      </c>
      <c r="V81" s="96" t="str">
        <f t="shared" si="5"/>
        <v/>
      </c>
    </row>
    <row r="82" spans="4:22" x14ac:dyDescent="0.15">
      <c r="D82" s="115"/>
      <c r="Q82" s="96" t="str">
        <f t="shared" si="3"/>
        <v/>
      </c>
      <c r="T82" s="96" t="str">
        <f t="shared" si="4"/>
        <v/>
      </c>
      <c r="V82" s="96" t="str">
        <f t="shared" si="5"/>
        <v/>
      </c>
    </row>
    <row r="83" spans="4:22" x14ac:dyDescent="0.15">
      <c r="D83" s="115"/>
      <c r="Q83" s="96" t="str">
        <f t="shared" si="3"/>
        <v/>
      </c>
      <c r="T83" s="96" t="str">
        <f t="shared" si="4"/>
        <v/>
      </c>
      <c r="V83" s="96" t="str">
        <f t="shared" si="5"/>
        <v/>
      </c>
    </row>
    <row r="84" spans="4:22" x14ac:dyDescent="0.15">
      <c r="D84" s="115"/>
      <c r="Q84" s="96" t="str">
        <f t="shared" si="3"/>
        <v/>
      </c>
      <c r="T84" s="96" t="str">
        <f t="shared" si="4"/>
        <v/>
      </c>
      <c r="V84" s="96" t="str">
        <f t="shared" si="5"/>
        <v/>
      </c>
    </row>
    <row r="85" spans="4:22" x14ac:dyDescent="0.15">
      <c r="D85" s="115"/>
      <c r="Q85" s="96" t="str">
        <f t="shared" si="3"/>
        <v/>
      </c>
      <c r="T85" s="96" t="str">
        <f t="shared" si="4"/>
        <v/>
      </c>
      <c r="V85" s="96" t="str">
        <f t="shared" si="5"/>
        <v/>
      </c>
    </row>
    <row r="86" spans="4:22" x14ac:dyDescent="0.15">
      <c r="D86" s="115"/>
    </row>
    <row r="87" spans="4:22" x14ac:dyDescent="0.15">
      <c r="D87" s="115"/>
    </row>
    <row r="88" spans="4:22" x14ac:dyDescent="0.15">
      <c r="D88" s="115"/>
    </row>
    <row r="89" spans="4:22" x14ac:dyDescent="0.15">
      <c r="D89" s="115"/>
    </row>
    <row r="90" spans="4:22" x14ac:dyDescent="0.15">
      <c r="D90" s="115"/>
    </row>
    <row r="91" spans="4:22" x14ac:dyDescent="0.15">
      <c r="D91" s="115"/>
    </row>
  </sheetData>
  <autoFilter ref="A1:BA85" xr:uid="{00000000-0009-0000-0000-000000000000}"/>
  <phoneticPr fontId="3"/>
  <dataValidations count="16">
    <dataValidation type="decimal" allowBlank="1" showInputMessage="1" showErrorMessage="1" error="硬度を正しく入力して下さい。" sqref="O2:P500" xr:uid="{B84EC0E1-EE3E-4568-82BD-6385E557C0D0}">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DE8A1692-C9EA-485C-AE49-57F5E18FDE0E}">
      <formula1>$AV$2:$AV$20</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EFF2BDA7-6483-43B6-9446-BCD59E741FFB}">
      <formula1>$AT$2:$AT$3</formula1>
    </dataValidation>
    <dataValidation type="list" allowBlank="1" showInputMessage="1" showErrorMessage="1" sqref="K80:K89" xr:uid="{CF23D7E6-FE63-4237-B455-74BD13FA4AFF}">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B9282D70-1128-4CBF-A0D2-E5050BB2AD7F}">
      <formula1>$AR$2:$AR$25</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FEE418C7-9C9B-4370-8715-97A67EAB659A}">
      <formula1>$AL$4:$AL$12</formula1>
    </dataValidation>
    <dataValidation type="list" allowBlank="1" showInputMessage="1" showErrorMessage="1" sqref="Y2:AA500" xr:uid="{C5BD52B6-B6C6-4461-BDB9-1B2EA1C1C594}">
      <formula1>$AV$2:$AV$21</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A5DF1FAD-DE6C-40B0-A401-2685A35BB442}">
      <formula1>$AP$2:$AP$27</formula1>
    </dataValidation>
    <dataValidation type="list" allowBlank="1" showInputMessage="1" showErrorMessage="1" sqref="H2:H500" xr:uid="{7AEA4082-C0B1-48F8-B185-1CC23A1D0CC7}">
      <formula1>$AL$2:$AL$8</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12925AE7-9087-4AF3-ADDE-485D2AC0FA52}">
      <formula1>$AH$2:$AH$11</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775F1548-1B41-4B68-B214-B0C8999F5692}"/>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2D27006E-77EF-4399-B246-5C839870C65F}">
      <formula1>$AG$2:$AG$11</formula1>
    </dataValidation>
    <dataValidation type="list" allowBlank="1" showInputMessage="1" showErrorMessage="1" sqref="WVI983042:WVI983119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A2:A500" xr:uid="{BB2D46AA-28B6-4F18-8023-D825B5628C87}">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FC3E29AA-82B9-46FF-993A-51BC55F8D789}">
      <formula1>$AJ$2:$AJ$4</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C1EA5F77-7141-434F-A52C-9A084C632D2D}">
      <formula1>$AN$5:$AN$6</formula1>
    </dataValidation>
    <dataValidation type="list" allowBlank="1" showInputMessage="1" showErrorMessage="1" sqref="K2:K79" xr:uid="{47F6421D-1E18-475C-A7DE-F4CDAB2CB402}">
      <formula1>$AR$2:$AR$23</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7C6ED-E530-48A4-98C5-761703E01FAD}">
  <sheetPr>
    <pageSetUpPr fitToPage="1"/>
  </sheetPr>
  <dimension ref="A1:BA123"/>
  <sheetViews>
    <sheetView zoomScale="70" zoomScaleNormal="70" workbookViewId="0">
      <selection activeCell="AC37" sqref="AC37"/>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16" t="s">
        <v>253</v>
      </c>
      <c r="B1" s="55" t="s">
        <v>1</v>
      </c>
      <c r="C1" s="55" t="s">
        <v>2</v>
      </c>
      <c r="D1" s="56" t="s">
        <v>3</v>
      </c>
      <c r="E1" s="56" t="s">
        <v>254</v>
      </c>
      <c r="F1" s="56" t="s">
        <v>5</v>
      </c>
      <c r="G1" s="56" t="s">
        <v>6</v>
      </c>
      <c r="H1" s="56" t="s">
        <v>255</v>
      </c>
      <c r="I1" s="56" t="s">
        <v>8</v>
      </c>
      <c r="J1" s="56" t="s">
        <v>9</v>
      </c>
      <c r="K1" s="56" t="s">
        <v>10</v>
      </c>
      <c r="L1" s="56" t="s">
        <v>11</v>
      </c>
      <c r="M1" s="56" t="s">
        <v>12</v>
      </c>
      <c r="N1" s="56" t="s">
        <v>13</v>
      </c>
      <c r="O1" s="56" t="s">
        <v>14</v>
      </c>
      <c r="P1" s="56" t="s">
        <v>15</v>
      </c>
      <c r="Q1" s="3" t="s">
        <v>16</v>
      </c>
      <c r="R1" s="56" t="s">
        <v>17</v>
      </c>
      <c r="S1" s="56" t="s">
        <v>18</v>
      </c>
      <c r="T1" s="3" t="s">
        <v>19</v>
      </c>
      <c r="U1" s="58" t="s">
        <v>108</v>
      </c>
      <c r="V1" s="5" t="s">
        <v>20</v>
      </c>
      <c r="W1" s="56" t="s">
        <v>21</v>
      </c>
      <c r="X1" s="56" t="s">
        <v>22</v>
      </c>
      <c r="Y1" s="56" t="s">
        <v>23</v>
      </c>
      <c r="Z1" s="56" t="s">
        <v>24</v>
      </c>
      <c r="AA1" s="117" t="s">
        <v>25</v>
      </c>
      <c r="AB1" s="118" t="s">
        <v>26</v>
      </c>
      <c r="AC1" s="119"/>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0" customFormat="1" x14ac:dyDescent="0.15">
      <c r="A2" s="120" t="s">
        <v>61</v>
      </c>
      <c r="B2" s="120" t="s">
        <v>256</v>
      </c>
      <c r="C2" s="120">
        <v>2019</v>
      </c>
      <c r="D2" s="121" t="s">
        <v>257</v>
      </c>
      <c r="E2" s="120" t="s">
        <v>258</v>
      </c>
      <c r="F2" s="120" t="s">
        <v>259</v>
      </c>
      <c r="G2" s="120" t="s">
        <v>42</v>
      </c>
      <c r="H2" s="53" t="s">
        <v>164</v>
      </c>
      <c r="I2" s="53" t="s">
        <v>159</v>
      </c>
      <c r="J2" s="120" t="s">
        <v>38</v>
      </c>
      <c r="K2" s="53" t="s">
        <v>161</v>
      </c>
      <c r="L2" s="53">
        <v>1</v>
      </c>
      <c r="M2" s="53"/>
      <c r="N2" s="53">
        <v>4</v>
      </c>
      <c r="O2" s="53">
        <v>0.5</v>
      </c>
      <c r="P2" s="53">
        <v>0.5</v>
      </c>
      <c r="Q2" s="74">
        <f t="shared" ref="Q2:Q65" si="0">IF(OR(O2="",P2=""),"",AVERAGE(O2,P2))</f>
        <v>0.5</v>
      </c>
      <c r="R2" s="53">
        <v>16.2</v>
      </c>
      <c r="S2" s="53">
        <v>94</v>
      </c>
      <c r="T2" s="16">
        <f t="shared" ref="T2:T65" si="1">IF(H2="","",IF(OR(H2="GREEN",H2="GK"),IF(S2&gt;=$AX$2,VLOOKUP(S2,$AX$2:$AY$15,2,1),""),IF(S2&gt;=$AZ$2,VLOOKUP(S2,$AZ$2:$BA$15,2,1),"")))</f>
        <v>36</v>
      </c>
      <c r="U2" s="53">
        <v>350</v>
      </c>
      <c r="V2" s="122">
        <f t="shared" ref="V2:V65" si="2">IF(OR(N2="",U2="",T2=""),"",U2/N2*T2)</f>
        <v>3150</v>
      </c>
      <c r="W2" s="53">
        <v>4</v>
      </c>
      <c r="X2" s="120" t="s">
        <v>39</v>
      </c>
      <c r="Y2" s="53" t="s">
        <v>97</v>
      </c>
      <c r="Z2" s="53" t="s">
        <v>47</v>
      </c>
      <c r="AA2" s="53" t="s">
        <v>55</v>
      </c>
      <c r="AB2" s="120" t="s">
        <v>260</v>
      </c>
      <c r="AC2" s="34"/>
      <c r="AE2" s="64" t="s">
        <v>35</v>
      </c>
      <c r="AG2" s="49" t="s">
        <v>258</v>
      </c>
      <c r="AH2" s="49" t="s">
        <v>259</v>
      </c>
      <c r="AJ2" s="123" t="s">
        <v>36</v>
      </c>
      <c r="AL2" s="67" t="s">
        <v>127</v>
      </c>
      <c r="AN2" s="123" t="s">
        <v>37</v>
      </c>
      <c r="AP2" s="67" t="s">
        <v>38</v>
      </c>
      <c r="AR2" s="67" t="s">
        <v>120</v>
      </c>
      <c r="AT2" s="123" t="s">
        <v>39</v>
      </c>
      <c r="AV2" s="67" t="s">
        <v>40</v>
      </c>
      <c r="AX2" s="124">
        <v>1</v>
      </c>
      <c r="AY2" s="125">
        <v>50</v>
      </c>
      <c r="AZ2" s="125">
        <v>1</v>
      </c>
      <c r="BA2" s="126">
        <v>50</v>
      </c>
    </row>
    <row r="3" spans="1:53" x14ac:dyDescent="0.15">
      <c r="A3" s="120" t="s">
        <v>61</v>
      </c>
      <c r="B3" s="120" t="s">
        <v>256</v>
      </c>
      <c r="C3" s="120">
        <v>2019</v>
      </c>
      <c r="D3" s="121" t="s">
        <v>257</v>
      </c>
      <c r="E3" s="120" t="s">
        <v>258</v>
      </c>
      <c r="F3" s="120" t="s">
        <v>259</v>
      </c>
      <c r="G3" s="120" t="s">
        <v>42</v>
      </c>
      <c r="H3" s="53" t="s">
        <v>164</v>
      </c>
      <c r="I3" s="53" t="s">
        <v>159</v>
      </c>
      <c r="J3" s="120" t="s">
        <v>38</v>
      </c>
      <c r="K3" s="53" t="s">
        <v>161</v>
      </c>
      <c r="L3" s="53">
        <v>2</v>
      </c>
      <c r="N3" s="53">
        <v>4</v>
      </c>
      <c r="O3" s="53">
        <v>0.5</v>
      </c>
      <c r="P3" s="53">
        <v>0.5</v>
      </c>
      <c r="Q3" s="74">
        <f t="shared" si="0"/>
        <v>0.5</v>
      </c>
      <c r="R3" s="53">
        <v>18.100000000000001</v>
      </c>
      <c r="S3" s="53">
        <v>96</v>
      </c>
      <c r="T3" s="16">
        <f t="shared" si="1"/>
        <v>36</v>
      </c>
      <c r="U3" s="53">
        <v>350</v>
      </c>
      <c r="V3" s="122">
        <f t="shared" si="2"/>
        <v>3150</v>
      </c>
      <c r="W3" s="53">
        <v>4</v>
      </c>
      <c r="X3" s="120" t="s">
        <v>39</v>
      </c>
      <c r="Y3" s="53" t="s">
        <v>97</v>
      </c>
      <c r="Z3" s="53" t="s">
        <v>47</v>
      </c>
      <c r="AA3" s="53" t="s">
        <v>55</v>
      </c>
      <c r="AB3" s="120" t="s">
        <v>260</v>
      </c>
      <c r="AC3" s="34"/>
      <c r="AE3" s="22" t="s">
        <v>41</v>
      </c>
      <c r="AG3" s="49" t="s">
        <v>261</v>
      </c>
      <c r="AH3" s="49" t="s">
        <v>262</v>
      </c>
      <c r="AJ3" s="23" t="s">
        <v>42</v>
      </c>
      <c r="AL3" s="23" t="s">
        <v>128</v>
      </c>
      <c r="AN3" s="23" t="s">
        <v>43</v>
      </c>
      <c r="AP3" s="23" t="s">
        <v>44</v>
      </c>
      <c r="AR3" s="23" t="s">
        <v>45</v>
      </c>
      <c r="AT3" s="23" t="s">
        <v>46</v>
      </c>
      <c r="AV3" s="23" t="s">
        <v>47</v>
      </c>
      <c r="AX3" s="24">
        <v>72</v>
      </c>
      <c r="AY3" s="25">
        <v>46</v>
      </c>
      <c r="AZ3" s="25">
        <v>71</v>
      </c>
      <c r="BA3" s="26">
        <v>42</v>
      </c>
    </row>
    <row r="4" spans="1:53" x14ac:dyDescent="0.15">
      <c r="A4" s="120" t="s">
        <v>61</v>
      </c>
      <c r="B4" s="120" t="s">
        <v>256</v>
      </c>
      <c r="C4" s="120">
        <v>2019</v>
      </c>
      <c r="D4" s="121" t="s">
        <v>257</v>
      </c>
      <c r="E4" s="120" t="s">
        <v>258</v>
      </c>
      <c r="F4" s="120" t="s">
        <v>259</v>
      </c>
      <c r="G4" s="120" t="s">
        <v>42</v>
      </c>
      <c r="H4" s="53" t="s">
        <v>164</v>
      </c>
      <c r="I4" s="53" t="s">
        <v>159</v>
      </c>
      <c r="J4" s="120" t="s">
        <v>38</v>
      </c>
      <c r="K4" s="53" t="s">
        <v>161</v>
      </c>
      <c r="L4" s="53">
        <v>3</v>
      </c>
      <c r="N4" s="53">
        <v>4</v>
      </c>
      <c r="O4" s="53">
        <v>0.5</v>
      </c>
      <c r="P4" s="53">
        <v>0.5</v>
      </c>
      <c r="Q4" s="74">
        <f t="shared" si="0"/>
        <v>0.5</v>
      </c>
      <c r="R4" s="53">
        <v>16.899999999999999</v>
      </c>
      <c r="S4" s="53">
        <v>99</v>
      </c>
      <c r="T4" s="16">
        <f t="shared" si="1"/>
        <v>33</v>
      </c>
      <c r="U4" s="53">
        <v>350</v>
      </c>
      <c r="V4" s="122">
        <f t="shared" si="2"/>
        <v>2887.5</v>
      </c>
      <c r="W4" s="53">
        <v>4</v>
      </c>
      <c r="X4" s="120" t="s">
        <v>39</v>
      </c>
      <c r="Y4" s="53" t="s">
        <v>97</v>
      </c>
      <c r="Z4" s="53" t="s">
        <v>47</v>
      </c>
      <c r="AA4" s="53" t="s">
        <v>55</v>
      </c>
      <c r="AB4" s="120" t="s">
        <v>260</v>
      </c>
      <c r="AC4" s="34"/>
      <c r="AE4" s="22" t="s">
        <v>34</v>
      </c>
      <c r="AG4" s="49" t="s">
        <v>263</v>
      </c>
      <c r="AH4" s="49" t="s">
        <v>264</v>
      </c>
      <c r="AJ4" s="27" t="s">
        <v>48</v>
      </c>
      <c r="AL4" s="27" t="s">
        <v>129</v>
      </c>
      <c r="AN4" s="28" t="s">
        <v>49</v>
      </c>
      <c r="AP4" s="23" t="s">
        <v>93</v>
      </c>
      <c r="AR4" s="23" t="s">
        <v>121</v>
      </c>
      <c r="AT4" s="28"/>
      <c r="AV4" s="23" t="s">
        <v>50</v>
      </c>
      <c r="AX4" s="24">
        <v>75</v>
      </c>
      <c r="AY4" s="25">
        <v>42</v>
      </c>
      <c r="AZ4" s="25">
        <v>76</v>
      </c>
      <c r="BA4" s="26">
        <v>39</v>
      </c>
    </row>
    <row r="5" spans="1:53" x14ac:dyDescent="0.15">
      <c r="A5" s="120" t="s">
        <v>61</v>
      </c>
      <c r="B5" s="120" t="s">
        <v>256</v>
      </c>
      <c r="C5" s="120">
        <v>2019</v>
      </c>
      <c r="D5" s="121" t="s">
        <v>257</v>
      </c>
      <c r="E5" s="120" t="s">
        <v>258</v>
      </c>
      <c r="F5" s="120" t="s">
        <v>259</v>
      </c>
      <c r="G5" s="120" t="s">
        <v>42</v>
      </c>
      <c r="H5" s="53" t="s">
        <v>160</v>
      </c>
      <c r="I5" s="53" t="s">
        <v>159</v>
      </c>
      <c r="J5" s="120" t="s">
        <v>38</v>
      </c>
      <c r="K5" s="53" t="s">
        <v>161</v>
      </c>
      <c r="L5" s="53">
        <v>1</v>
      </c>
      <c r="N5" s="53">
        <v>1</v>
      </c>
      <c r="O5" s="53">
        <v>0.75</v>
      </c>
      <c r="P5" s="53">
        <v>0.5</v>
      </c>
      <c r="Q5" s="74">
        <f t="shared" si="0"/>
        <v>0.625</v>
      </c>
      <c r="R5" s="53">
        <v>17.2</v>
      </c>
      <c r="S5" s="53">
        <v>134</v>
      </c>
      <c r="T5" s="16">
        <f t="shared" si="1"/>
        <v>25</v>
      </c>
      <c r="U5" s="53">
        <v>138</v>
      </c>
      <c r="V5" s="122">
        <f t="shared" si="2"/>
        <v>3450</v>
      </c>
      <c r="W5" s="53">
        <v>4</v>
      </c>
      <c r="X5" s="120" t="s">
        <v>39</v>
      </c>
      <c r="Y5" s="53" t="s">
        <v>97</v>
      </c>
      <c r="Z5" s="53" t="s">
        <v>47</v>
      </c>
      <c r="AA5" s="53" t="s">
        <v>55</v>
      </c>
      <c r="AB5" s="120" t="s">
        <v>260</v>
      </c>
      <c r="AC5" s="34"/>
      <c r="AE5" s="22" t="s">
        <v>51</v>
      </c>
      <c r="AG5" s="49" t="s">
        <v>265</v>
      </c>
      <c r="AH5" s="49" t="s">
        <v>266</v>
      </c>
      <c r="AJ5" s="27"/>
      <c r="AL5" s="72" t="s">
        <v>66</v>
      </c>
      <c r="AN5" s="72" t="s">
        <v>52</v>
      </c>
      <c r="AP5" s="23" t="s">
        <v>119</v>
      </c>
      <c r="AR5" s="23" t="s">
        <v>54</v>
      </c>
      <c r="AV5" s="23" t="s">
        <v>55</v>
      </c>
      <c r="AX5" s="24">
        <v>84</v>
      </c>
      <c r="AY5" s="25">
        <v>39</v>
      </c>
      <c r="AZ5" s="25">
        <v>84</v>
      </c>
      <c r="BA5" s="26">
        <v>36</v>
      </c>
    </row>
    <row r="6" spans="1:53" x14ac:dyDescent="0.15">
      <c r="A6" s="120" t="s">
        <v>61</v>
      </c>
      <c r="B6" s="120" t="s">
        <v>256</v>
      </c>
      <c r="C6" s="120">
        <v>2019</v>
      </c>
      <c r="D6" s="121" t="s">
        <v>257</v>
      </c>
      <c r="E6" s="120" t="s">
        <v>258</v>
      </c>
      <c r="F6" s="120" t="s">
        <v>259</v>
      </c>
      <c r="G6" s="120" t="s">
        <v>42</v>
      </c>
      <c r="H6" s="53" t="s">
        <v>160</v>
      </c>
      <c r="I6" s="53" t="s">
        <v>159</v>
      </c>
      <c r="J6" s="120" t="s">
        <v>38</v>
      </c>
      <c r="K6" s="53" t="s">
        <v>161</v>
      </c>
      <c r="L6" s="53">
        <v>2</v>
      </c>
      <c r="N6" s="53">
        <v>1</v>
      </c>
      <c r="O6" s="53">
        <v>0.5</v>
      </c>
      <c r="P6" s="53">
        <v>0.65</v>
      </c>
      <c r="Q6" s="74">
        <f t="shared" si="0"/>
        <v>0.57499999999999996</v>
      </c>
      <c r="R6" s="53">
        <v>18.100000000000001</v>
      </c>
      <c r="S6" s="53">
        <v>132</v>
      </c>
      <c r="T6" s="16">
        <f t="shared" si="1"/>
        <v>25</v>
      </c>
      <c r="U6" s="53">
        <v>138</v>
      </c>
      <c r="V6" s="122">
        <f t="shared" si="2"/>
        <v>3450</v>
      </c>
      <c r="W6" s="53">
        <v>4</v>
      </c>
      <c r="X6" s="120" t="s">
        <v>39</v>
      </c>
      <c r="Y6" s="53" t="s">
        <v>97</v>
      </c>
      <c r="Z6" s="53" t="s">
        <v>47</v>
      </c>
      <c r="AA6" s="53" t="s">
        <v>55</v>
      </c>
      <c r="AB6" s="120" t="s">
        <v>260</v>
      </c>
      <c r="AC6" s="34"/>
      <c r="AE6" s="22" t="s">
        <v>56</v>
      </c>
      <c r="AG6" s="49" t="s">
        <v>267</v>
      </c>
      <c r="AH6" s="49" t="s">
        <v>268</v>
      </c>
      <c r="AJ6" s="27"/>
      <c r="AL6" s="72" t="s">
        <v>99</v>
      </c>
      <c r="AN6" s="72" t="s">
        <v>57</v>
      </c>
      <c r="AP6" s="23" t="s">
        <v>53</v>
      </c>
      <c r="AR6" s="23" t="s">
        <v>59</v>
      </c>
      <c r="AV6" s="23" t="s">
        <v>60</v>
      </c>
      <c r="AX6" s="24">
        <v>97</v>
      </c>
      <c r="AY6" s="25">
        <v>36</v>
      </c>
      <c r="AZ6" s="25">
        <v>99</v>
      </c>
      <c r="BA6" s="26">
        <v>33</v>
      </c>
    </row>
    <row r="7" spans="1:53" x14ac:dyDescent="0.15">
      <c r="A7" s="120" t="s">
        <v>61</v>
      </c>
      <c r="B7" s="120" t="s">
        <v>256</v>
      </c>
      <c r="C7" s="120">
        <v>2019</v>
      </c>
      <c r="D7" s="121" t="s">
        <v>257</v>
      </c>
      <c r="E7" s="120" t="s">
        <v>258</v>
      </c>
      <c r="F7" s="120" t="s">
        <v>259</v>
      </c>
      <c r="G7" s="120" t="s">
        <v>42</v>
      </c>
      <c r="H7" s="53" t="s">
        <v>160</v>
      </c>
      <c r="I7" s="53" t="s">
        <v>159</v>
      </c>
      <c r="J7" s="120" t="s">
        <v>38</v>
      </c>
      <c r="K7" s="53" t="s">
        <v>161</v>
      </c>
      <c r="L7" s="53">
        <v>3</v>
      </c>
      <c r="N7" s="53">
        <v>1</v>
      </c>
      <c r="O7" s="53">
        <v>0.6</v>
      </c>
      <c r="P7" s="53">
        <v>0.7</v>
      </c>
      <c r="Q7" s="74">
        <f t="shared" si="0"/>
        <v>0.64999999999999991</v>
      </c>
      <c r="R7" s="53">
        <v>18.399999999999999</v>
      </c>
      <c r="S7" s="53">
        <v>131</v>
      </c>
      <c r="T7" s="16">
        <f t="shared" si="1"/>
        <v>25</v>
      </c>
      <c r="U7" s="53">
        <v>138</v>
      </c>
      <c r="V7" s="122">
        <f t="shared" si="2"/>
        <v>3450</v>
      </c>
      <c r="W7" s="53">
        <v>4</v>
      </c>
      <c r="X7" s="120" t="s">
        <v>39</v>
      </c>
      <c r="Y7" s="53" t="s">
        <v>97</v>
      </c>
      <c r="Z7" s="53" t="s">
        <v>47</v>
      </c>
      <c r="AA7" s="53" t="s">
        <v>55</v>
      </c>
      <c r="AB7" s="120" t="s">
        <v>260</v>
      </c>
      <c r="AC7" s="34"/>
      <c r="AE7" s="22" t="s">
        <v>61</v>
      </c>
      <c r="AG7" s="49" t="s">
        <v>269</v>
      </c>
      <c r="AH7" s="49" t="s">
        <v>270</v>
      </c>
      <c r="AJ7" s="27"/>
      <c r="AL7" s="34" t="s">
        <v>109</v>
      </c>
      <c r="AN7" s="72"/>
      <c r="AP7" s="23" t="s">
        <v>58</v>
      </c>
      <c r="AR7" s="23" t="s">
        <v>122</v>
      </c>
      <c r="AV7" s="23" t="s">
        <v>64</v>
      </c>
      <c r="AX7" s="24">
        <v>109</v>
      </c>
      <c r="AY7" s="25">
        <v>33</v>
      </c>
      <c r="AZ7" s="25">
        <v>113</v>
      </c>
      <c r="BA7" s="26">
        <v>30</v>
      </c>
    </row>
    <row r="8" spans="1:53" x14ac:dyDescent="0.15">
      <c r="A8" s="120" t="s">
        <v>61</v>
      </c>
      <c r="B8" s="120" t="s">
        <v>256</v>
      </c>
      <c r="C8" s="120">
        <v>2019</v>
      </c>
      <c r="D8" s="121" t="s">
        <v>257</v>
      </c>
      <c r="E8" s="120" t="s">
        <v>261</v>
      </c>
      <c r="F8" s="120" t="s">
        <v>262</v>
      </c>
      <c r="G8" s="120" t="s">
        <v>42</v>
      </c>
      <c r="H8" s="53" t="s">
        <v>164</v>
      </c>
      <c r="I8" s="53" t="s">
        <v>159</v>
      </c>
      <c r="J8" s="120" t="s">
        <v>38</v>
      </c>
      <c r="K8" s="53" t="s">
        <v>161</v>
      </c>
      <c r="L8" s="53">
        <v>1</v>
      </c>
      <c r="N8" s="53">
        <v>3</v>
      </c>
      <c r="O8" s="53">
        <v>0.75</v>
      </c>
      <c r="P8" s="53">
        <v>0.5</v>
      </c>
      <c r="Q8" s="74">
        <f t="shared" si="0"/>
        <v>0.625</v>
      </c>
      <c r="R8" s="53">
        <v>17.2</v>
      </c>
      <c r="S8" s="53">
        <v>139</v>
      </c>
      <c r="T8" s="16">
        <f t="shared" si="1"/>
        <v>22</v>
      </c>
      <c r="U8" s="53">
        <v>458</v>
      </c>
      <c r="V8" s="122">
        <f t="shared" si="2"/>
        <v>3358.6666666666665</v>
      </c>
      <c r="W8" s="53">
        <v>12</v>
      </c>
      <c r="X8" s="120" t="s">
        <v>46</v>
      </c>
      <c r="Y8" s="53" t="s">
        <v>97</v>
      </c>
      <c r="Z8" s="53" t="s">
        <v>47</v>
      </c>
      <c r="AA8" s="53" t="s">
        <v>55</v>
      </c>
      <c r="AB8" s="120" t="s">
        <v>260</v>
      </c>
      <c r="AC8" s="34"/>
      <c r="AE8" s="22" t="s">
        <v>59</v>
      </c>
      <c r="AG8" s="49" t="s">
        <v>271</v>
      </c>
      <c r="AH8" s="49" t="s">
        <v>272</v>
      </c>
      <c r="AJ8" s="28"/>
      <c r="AL8" s="34" t="s">
        <v>134</v>
      </c>
      <c r="AN8" s="72"/>
      <c r="AP8" s="23" t="s">
        <v>62</v>
      </c>
      <c r="AR8" s="23" t="s">
        <v>81</v>
      </c>
      <c r="AV8" s="23" t="s">
        <v>97</v>
      </c>
      <c r="AX8" s="24">
        <v>119</v>
      </c>
      <c r="AY8" s="25">
        <v>30</v>
      </c>
      <c r="AZ8" s="25">
        <v>121</v>
      </c>
      <c r="BA8" s="26">
        <v>27</v>
      </c>
    </row>
    <row r="9" spans="1:53" x14ac:dyDescent="0.15">
      <c r="A9" s="120" t="s">
        <v>61</v>
      </c>
      <c r="B9" s="120" t="s">
        <v>256</v>
      </c>
      <c r="C9" s="120">
        <v>2019</v>
      </c>
      <c r="D9" s="121" t="s">
        <v>257</v>
      </c>
      <c r="E9" s="120" t="s">
        <v>261</v>
      </c>
      <c r="F9" s="120" t="s">
        <v>262</v>
      </c>
      <c r="G9" s="120" t="s">
        <v>42</v>
      </c>
      <c r="H9" s="53" t="s">
        <v>164</v>
      </c>
      <c r="I9" s="53" t="s">
        <v>159</v>
      </c>
      <c r="J9" s="120" t="s">
        <v>38</v>
      </c>
      <c r="K9" s="53" t="s">
        <v>161</v>
      </c>
      <c r="L9" s="53">
        <v>2</v>
      </c>
      <c r="N9" s="53">
        <v>3</v>
      </c>
      <c r="O9" s="53">
        <v>0.5</v>
      </c>
      <c r="P9" s="53">
        <v>0.5</v>
      </c>
      <c r="Q9" s="74">
        <f t="shared" si="0"/>
        <v>0.5</v>
      </c>
      <c r="R9" s="34">
        <v>17.7</v>
      </c>
      <c r="S9" s="53">
        <v>139</v>
      </c>
      <c r="T9" s="16">
        <f t="shared" si="1"/>
        <v>22</v>
      </c>
      <c r="U9" s="53">
        <v>458</v>
      </c>
      <c r="V9" s="122">
        <f t="shared" si="2"/>
        <v>3358.6666666666665</v>
      </c>
      <c r="W9" s="53">
        <v>12</v>
      </c>
      <c r="X9" s="120" t="s">
        <v>46</v>
      </c>
      <c r="Y9" s="53" t="s">
        <v>97</v>
      </c>
      <c r="Z9" s="53" t="s">
        <v>47</v>
      </c>
      <c r="AA9" s="53" t="s">
        <v>55</v>
      </c>
      <c r="AB9" s="120" t="s">
        <v>260</v>
      </c>
      <c r="AC9" s="34"/>
      <c r="AE9" s="22" t="s">
        <v>98</v>
      </c>
      <c r="AG9" s="49" t="s">
        <v>133</v>
      </c>
      <c r="AH9" s="49" t="s">
        <v>273</v>
      </c>
      <c r="AL9" s="72"/>
      <c r="AN9" s="72"/>
      <c r="AP9" s="23" t="s">
        <v>95</v>
      </c>
      <c r="AR9" s="23" t="s">
        <v>89</v>
      </c>
      <c r="AV9" s="23" t="s">
        <v>102</v>
      </c>
      <c r="AX9" s="24">
        <v>128</v>
      </c>
      <c r="AY9" s="25">
        <v>27</v>
      </c>
      <c r="AZ9" s="25">
        <v>129</v>
      </c>
      <c r="BA9" s="26">
        <v>25</v>
      </c>
    </row>
    <row r="10" spans="1:53" x14ac:dyDescent="0.15">
      <c r="A10" s="120" t="s">
        <v>61</v>
      </c>
      <c r="B10" s="120" t="s">
        <v>256</v>
      </c>
      <c r="C10" s="120">
        <v>2019</v>
      </c>
      <c r="D10" s="121" t="s">
        <v>257</v>
      </c>
      <c r="E10" s="120" t="s">
        <v>261</v>
      </c>
      <c r="F10" s="120" t="s">
        <v>262</v>
      </c>
      <c r="G10" s="120" t="s">
        <v>42</v>
      </c>
      <c r="H10" s="53" t="s">
        <v>164</v>
      </c>
      <c r="I10" s="53" t="s">
        <v>159</v>
      </c>
      <c r="J10" s="120" t="s">
        <v>38</v>
      </c>
      <c r="K10" s="53" t="s">
        <v>161</v>
      </c>
      <c r="L10" s="53">
        <v>3</v>
      </c>
      <c r="N10" s="53">
        <v>3</v>
      </c>
      <c r="O10" s="53">
        <v>0.5</v>
      </c>
      <c r="P10" s="53">
        <v>0.5</v>
      </c>
      <c r="Q10" s="74">
        <f t="shared" si="0"/>
        <v>0.5</v>
      </c>
      <c r="R10" s="53">
        <v>17.3</v>
      </c>
      <c r="S10" s="53">
        <v>133</v>
      </c>
      <c r="T10" s="16">
        <f t="shared" si="1"/>
        <v>25</v>
      </c>
      <c r="U10" s="53">
        <v>458</v>
      </c>
      <c r="V10" s="122">
        <f t="shared" si="2"/>
        <v>3816.6666666666665</v>
      </c>
      <c r="W10" s="53">
        <v>12</v>
      </c>
      <c r="X10" s="120" t="s">
        <v>46</v>
      </c>
      <c r="Y10" s="53" t="s">
        <v>97</v>
      </c>
      <c r="Z10" s="53" t="s">
        <v>47</v>
      </c>
      <c r="AA10" s="53" t="s">
        <v>55</v>
      </c>
      <c r="AB10" s="120" t="s">
        <v>260</v>
      </c>
      <c r="AC10" s="34"/>
      <c r="AE10" s="22" t="s">
        <v>103</v>
      </c>
      <c r="AG10" s="49" t="s">
        <v>274</v>
      </c>
      <c r="AH10" s="49" t="s">
        <v>275</v>
      </c>
      <c r="AL10" s="27"/>
      <c r="AP10" s="23" t="s">
        <v>100</v>
      </c>
      <c r="AR10" s="23" t="s">
        <v>123</v>
      </c>
      <c r="AV10" s="23" t="s">
        <v>106</v>
      </c>
      <c r="AX10" s="24">
        <v>138</v>
      </c>
      <c r="AY10" s="25">
        <v>25</v>
      </c>
      <c r="AZ10" s="25">
        <v>138</v>
      </c>
      <c r="BA10" s="26">
        <v>22</v>
      </c>
    </row>
    <row r="11" spans="1:53" x14ac:dyDescent="0.15">
      <c r="A11" s="120" t="s">
        <v>61</v>
      </c>
      <c r="B11" s="120" t="s">
        <v>256</v>
      </c>
      <c r="C11" s="120">
        <v>2019</v>
      </c>
      <c r="D11" s="121" t="s">
        <v>257</v>
      </c>
      <c r="E11" s="120" t="s">
        <v>261</v>
      </c>
      <c r="F11" s="120" t="s">
        <v>262</v>
      </c>
      <c r="G11" s="120" t="s">
        <v>42</v>
      </c>
      <c r="H11" s="53" t="s">
        <v>160</v>
      </c>
      <c r="I11" s="53" t="s">
        <v>159</v>
      </c>
      <c r="J11" s="120" t="s">
        <v>38</v>
      </c>
      <c r="K11" s="53" t="s">
        <v>161</v>
      </c>
      <c r="L11" s="53">
        <v>1</v>
      </c>
      <c r="N11" s="53">
        <v>3</v>
      </c>
      <c r="O11" s="53">
        <v>0.5</v>
      </c>
      <c r="P11" s="53">
        <v>0.5</v>
      </c>
      <c r="Q11" s="74">
        <f t="shared" si="0"/>
        <v>0.5</v>
      </c>
      <c r="R11" s="53">
        <v>18.7</v>
      </c>
      <c r="S11" s="53">
        <v>138</v>
      </c>
      <c r="T11" s="16">
        <f t="shared" si="1"/>
        <v>22</v>
      </c>
      <c r="U11" s="53">
        <v>458</v>
      </c>
      <c r="V11" s="122">
        <f t="shared" si="2"/>
        <v>3358.6666666666665</v>
      </c>
      <c r="W11" s="53">
        <v>12</v>
      </c>
      <c r="X11" s="120" t="s">
        <v>46</v>
      </c>
      <c r="Y11" s="53" t="s">
        <v>97</v>
      </c>
      <c r="Z11" s="53" t="s">
        <v>47</v>
      </c>
      <c r="AA11" s="53" t="s">
        <v>55</v>
      </c>
      <c r="AB11" s="120" t="s">
        <v>260</v>
      </c>
      <c r="AC11" s="34"/>
      <c r="AE11" s="22" t="s">
        <v>65</v>
      </c>
      <c r="AG11" s="49" t="s">
        <v>276</v>
      </c>
      <c r="AH11" s="49" t="s">
        <v>275</v>
      </c>
      <c r="AL11" s="127"/>
      <c r="AP11" s="23" t="s">
        <v>104</v>
      </c>
      <c r="AR11" s="23" t="s">
        <v>87</v>
      </c>
      <c r="AV11" s="128" t="s">
        <v>277</v>
      </c>
      <c r="AX11" s="24">
        <v>151</v>
      </c>
      <c r="AY11" s="25">
        <v>22</v>
      </c>
      <c r="AZ11" s="25">
        <v>152</v>
      </c>
      <c r="BA11" s="26">
        <v>18</v>
      </c>
    </row>
    <row r="12" spans="1:53" x14ac:dyDescent="0.15">
      <c r="A12" s="120" t="s">
        <v>61</v>
      </c>
      <c r="B12" s="120" t="s">
        <v>256</v>
      </c>
      <c r="C12" s="120">
        <v>2019</v>
      </c>
      <c r="D12" s="121" t="s">
        <v>257</v>
      </c>
      <c r="E12" s="120" t="s">
        <v>261</v>
      </c>
      <c r="F12" s="120" t="s">
        <v>262</v>
      </c>
      <c r="G12" s="120" t="s">
        <v>42</v>
      </c>
      <c r="H12" s="53" t="s">
        <v>160</v>
      </c>
      <c r="I12" s="53" t="s">
        <v>159</v>
      </c>
      <c r="J12" s="120" t="s">
        <v>38</v>
      </c>
      <c r="K12" s="53" t="s">
        <v>161</v>
      </c>
      <c r="L12" s="53">
        <v>2</v>
      </c>
      <c r="N12" s="53">
        <v>3</v>
      </c>
      <c r="O12" s="53">
        <v>0.5</v>
      </c>
      <c r="P12" s="53">
        <v>0.5</v>
      </c>
      <c r="Q12" s="74">
        <f t="shared" si="0"/>
        <v>0.5</v>
      </c>
      <c r="R12" s="34">
        <v>18.3</v>
      </c>
      <c r="S12" s="53">
        <v>112</v>
      </c>
      <c r="T12" s="16">
        <f t="shared" si="1"/>
        <v>33</v>
      </c>
      <c r="U12" s="53">
        <v>458</v>
      </c>
      <c r="V12" s="122">
        <f t="shared" si="2"/>
        <v>5038</v>
      </c>
      <c r="W12" s="53">
        <v>12</v>
      </c>
      <c r="X12" s="120" t="s">
        <v>46</v>
      </c>
      <c r="Y12" s="53" t="s">
        <v>97</v>
      </c>
      <c r="Z12" s="53" t="s">
        <v>47</v>
      </c>
      <c r="AA12" s="53" t="s">
        <v>55</v>
      </c>
      <c r="AB12" s="120" t="s">
        <v>260</v>
      </c>
      <c r="AC12" s="34"/>
      <c r="AE12" s="22" t="s">
        <v>70</v>
      </c>
      <c r="AG12" s="23"/>
      <c r="AH12" s="22"/>
      <c r="AL12" s="127"/>
      <c r="AP12" s="23" t="s">
        <v>67</v>
      </c>
      <c r="AR12" s="23" t="s">
        <v>124</v>
      </c>
      <c r="AV12" s="128" t="s">
        <v>278</v>
      </c>
      <c r="AX12" s="24">
        <v>180</v>
      </c>
      <c r="AY12" s="25">
        <v>18</v>
      </c>
      <c r="AZ12" s="25">
        <v>181</v>
      </c>
      <c r="BA12" s="26">
        <v>16</v>
      </c>
    </row>
    <row r="13" spans="1:53" x14ac:dyDescent="0.15">
      <c r="A13" s="120" t="s">
        <v>61</v>
      </c>
      <c r="B13" s="120" t="s">
        <v>256</v>
      </c>
      <c r="C13" s="120">
        <v>2019</v>
      </c>
      <c r="D13" s="121" t="s">
        <v>257</v>
      </c>
      <c r="E13" s="120" t="s">
        <v>261</v>
      </c>
      <c r="F13" s="120" t="s">
        <v>262</v>
      </c>
      <c r="G13" s="120" t="s">
        <v>42</v>
      </c>
      <c r="H13" s="53" t="s">
        <v>160</v>
      </c>
      <c r="I13" s="53" t="s">
        <v>159</v>
      </c>
      <c r="J13" s="120" t="s">
        <v>38</v>
      </c>
      <c r="K13" s="53" t="s">
        <v>161</v>
      </c>
      <c r="L13" s="53">
        <v>3</v>
      </c>
      <c r="N13" s="53">
        <v>3</v>
      </c>
      <c r="O13" s="53">
        <v>0.5</v>
      </c>
      <c r="P13" s="53">
        <v>0.5</v>
      </c>
      <c r="Q13" s="74">
        <f t="shared" si="0"/>
        <v>0.5</v>
      </c>
      <c r="R13" s="53">
        <v>18</v>
      </c>
      <c r="S13" s="53">
        <v>143</v>
      </c>
      <c r="T13" s="16">
        <f t="shared" si="1"/>
        <v>22</v>
      </c>
      <c r="U13" s="53">
        <v>458</v>
      </c>
      <c r="V13" s="122">
        <f t="shared" si="2"/>
        <v>3358.6666666666665</v>
      </c>
      <c r="W13" s="53">
        <v>12</v>
      </c>
      <c r="X13" s="120" t="s">
        <v>46</v>
      </c>
      <c r="Y13" s="53" t="s">
        <v>97</v>
      </c>
      <c r="Z13" s="53" t="s">
        <v>47</v>
      </c>
      <c r="AA13" s="53" t="s">
        <v>55</v>
      </c>
      <c r="AB13" s="120" t="s">
        <v>260</v>
      </c>
      <c r="AC13" s="34"/>
      <c r="AE13" s="22" t="s">
        <v>73</v>
      </c>
      <c r="AG13" s="23"/>
      <c r="AH13" s="22"/>
      <c r="AL13" s="129"/>
      <c r="AP13" s="23" t="s">
        <v>71</v>
      </c>
      <c r="AR13" s="23" t="s">
        <v>103</v>
      </c>
      <c r="AV13" s="128" t="s">
        <v>279</v>
      </c>
      <c r="AX13" s="24"/>
      <c r="AY13" s="25"/>
      <c r="AZ13" s="25"/>
      <c r="BA13" s="26"/>
    </row>
    <row r="14" spans="1:53" x14ac:dyDescent="0.15">
      <c r="A14" s="120" t="s">
        <v>61</v>
      </c>
      <c r="B14" s="120" t="s">
        <v>256</v>
      </c>
      <c r="C14" s="120">
        <v>2019</v>
      </c>
      <c r="D14" s="121" t="s">
        <v>257</v>
      </c>
      <c r="E14" s="120" t="s">
        <v>263</v>
      </c>
      <c r="F14" s="120" t="s">
        <v>264</v>
      </c>
      <c r="G14" s="120" t="s">
        <v>42</v>
      </c>
      <c r="H14" s="53" t="s">
        <v>164</v>
      </c>
      <c r="I14" s="53" t="s">
        <v>159</v>
      </c>
      <c r="J14" s="120" t="s">
        <v>38</v>
      </c>
      <c r="K14" s="53" t="s">
        <v>161</v>
      </c>
      <c r="L14" s="53">
        <v>1</v>
      </c>
      <c r="N14" s="53">
        <v>4</v>
      </c>
      <c r="O14" s="53">
        <v>0.75</v>
      </c>
      <c r="P14" s="53">
        <v>0.5</v>
      </c>
      <c r="Q14" s="74">
        <f t="shared" si="0"/>
        <v>0.625</v>
      </c>
      <c r="R14" s="53">
        <v>17.5</v>
      </c>
      <c r="S14" s="53">
        <v>96</v>
      </c>
      <c r="T14" s="16">
        <f t="shared" si="1"/>
        <v>36</v>
      </c>
      <c r="U14" s="53">
        <v>298</v>
      </c>
      <c r="V14" s="122">
        <f t="shared" si="2"/>
        <v>2682</v>
      </c>
      <c r="W14" s="53">
        <v>12</v>
      </c>
      <c r="X14" s="120" t="s">
        <v>46</v>
      </c>
      <c r="Y14" s="53" t="s">
        <v>55</v>
      </c>
      <c r="Z14" s="53" t="s">
        <v>69</v>
      </c>
      <c r="AA14" s="53" t="s">
        <v>90</v>
      </c>
      <c r="AB14" s="120" t="s">
        <v>260</v>
      </c>
      <c r="AC14" s="34"/>
      <c r="AE14" s="22" t="s">
        <v>76</v>
      </c>
      <c r="AG14" s="23"/>
      <c r="AH14" s="22"/>
      <c r="AL14" s="34"/>
      <c r="AP14" s="23" t="s">
        <v>74</v>
      </c>
      <c r="AR14" s="23" t="s">
        <v>125</v>
      </c>
      <c r="AV14" s="128" t="s">
        <v>280</v>
      </c>
      <c r="AX14" s="24"/>
      <c r="AY14" s="25"/>
      <c r="AZ14" s="25"/>
      <c r="BA14" s="26"/>
    </row>
    <row r="15" spans="1:53" x14ac:dyDescent="0.15">
      <c r="A15" s="120" t="s">
        <v>61</v>
      </c>
      <c r="B15" s="120" t="s">
        <v>256</v>
      </c>
      <c r="C15" s="120">
        <v>2019</v>
      </c>
      <c r="D15" s="121" t="s">
        <v>257</v>
      </c>
      <c r="E15" s="120" t="s">
        <v>263</v>
      </c>
      <c r="F15" s="120" t="s">
        <v>264</v>
      </c>
      <c r="G15" s="120" t="s">
        <v>42</v>
      </c>
      <c r="H15" s="53" t="s">
        <v>164</v>
      </c>
      <c r="I15" s="53" t="s">
        <v>159</v>
      </c>
      <c r="J15" s="120" t="s">
        <v>38</v>
      </c>
      <c r="K15" s="53" t="s">
        <v>161</v>
      </c>
      <c r="L15" s="53">
        <v>2</v>
      </c>
      <c r="N15" s="53">
        <v>4</v>
      </c>
      <c r="O15" s="53">
        <v>0.7</v>
      </c>
      <c r="P15" s="53">
        <v>0.75</v>
      </c>
      <c r="Q15" s="74">
        <f t="shared" si="0"/>
        <v>0.72499999999999998</v>
      </c>
      <c r="R15" s="34">
        <v>15.7</v>
      </c>
      <c r="S15" s="53">
        <v>87</v>
      </c>
      <c r="T15" s="16">
        <f t="shared" si="1"/>
        <v>36</v>
      </c>
      <c r="U15" s="53">
        <v>298</v>
      </c>
      <c r="V15" s="122">
        <f t="shared" si="2"/>
        <v>2682</v>
      </c>
      <c r="W15" s="53">
        <v>12</v>
      </c>
      <c r="X15" s="120" t="s">
        <v>46</v>
      </c>
      <c r="Y15" s="53" t="s">
        <v>55</v>
      </c>
      <c r="Z15" s="53" t="s">
        <v>69</v>
      </c>
      <c r="AA15" s="53" t="s">
        <v>90</v>
      </c>
      <c r="AB15" s="120" t="s">
        <v>260</v>
      </c>
      <c r="AC15" s="34"/>
      <c r="AE15" s="22" t="s">
        <v>79</v>
      </c>
      <c r="AG15" s="23"/>
      <c r="AH15" s="23"/>
      <c r="AL15" s="34"/>
      <c r="AP15" s="23" t="s">
        <v>77</v>
      </c>
      <c r="AR15" s="23" t="s">
        <v>94</v>
      </c>
      <c r="AV15" s="128" t="s">
        <v>281</v>
      </c>
      <c r="AX15" s="31"/>
      <c r="AY15" s="32"/>
      <c r="AZ15" s="32"/>
      <c r="BA15" s="33"/>
    </row>
    <row r="16" spans="1:53" x14ac:dyDescent="0.15">
      <c r="A16" s="120" t="s">
        <v>61</v>
      </c>
      <c r="B16" s="120" t="s">
        <v>256</v>
      </c>
      <c r="C16" s="120">
        <v>2019</v>
      </c>
      <c r="D16" s="121" t="s">
        <v>257</v>
      </c>
      <c r="E16" s="120" t="s">
        <v>263</v>
      </c>
      <c r="F16" s="120" t="s">
        <v>264</v>
      </c>
      <c r="G16" s="120" t="s">
        <v>42</v>
      </c>
      <c r="H16" s="53" t="s">
        <v>164</v>
      </c>
      <c r="I16" s="53" t="s">
        <v>159</v>
      </c>
      <c r="J16" s="120" t="s">
        <v>38</v>
      </c>
      <c r="K16" s="53" t="s">
        <v>161</v>
      </c>
      <c r="L16" s="53">
        <v>3</v>
      </c>
      <c r="N16" s="53">
        <v>4</v>
      </c>
      <c r="O16" s="53">
        <v>0.75</v>
      </c>
      <c r="P16" s="53">
        <v>0.9</v>
      </c>
      <c r="Q16" s="74">
        <f t="shared" si="0"/>
        <v>0.82499999999999996</v>
      </c>
      <c r="R16" s="53">
        <v>17.7</v>
      </c>
      <c r="S16" s="53">
        <v>91</v>
      </c>
      <c r="T16" s="16">
        <f t="shared" si="1"/>
        <v>36</v>
      </c>
      <c r="U16" s="53">
        <v>298</v>
      </c>
      <c r="V16" s="122">
        <f t="shared" si="2"/>
        <v>2682</v>
      </c>
      <c r="W16" s="53">
        <v>12</v>
      </c>
      <c r="X16" s="120" t="s">
        <v>46</v>
      </c>
      <c r="Y16" s="53" t="s">
        <v>55</v>
      </c>
      <c r="Z16" s="53" t="s">
        <v>69</v>
      </c>
      <c r="AA16" s="53" t="s">
        <v>90</v>
      </c>
      <c r="AB16" s="120" t="s">
        <v>260</v>
      </c>
      <c r="AC16" s="34"/>
      <c r="AE16" s="22" t="s">
        <v>82</v>
      </c>
      <c r="AG16" s="23"/>
      <c r="AH16" s="23"/>
      <c r="AP16" s="23" t="s">
        <v>80</v>
      </c>
      <c r="AR16" s="23" t="s">
        <v>63</v>
      </c>
      <c r="AV16" s="128" t="s">
        <v>282</v>
      </c>
    </row>
    <row r="17" spans="1:48" x14ac:dyDescent="0.15">
      <c r="A17" s="120" t="s">
        <v>61</v>
      </c>
      <c r="B17" s="120" t="s">
        <v>256</v>
      </c>
      <c r="C17" s="120">
        <v>2019</v>
      </c>
      <c r="D17" s="121" t="s">
        <v>257</v>
      </c>
      <c r="E17" s="120" t="s">
        <v>263</v>
      </c>
      <c r="F17" s="120" t="s">
        <v>264</v>
      </c>
      <c r="G17" s="120" t="s">
        <v>42</v>
      </c>
      <c r="H17" s="53" t="s">
        <v>160</v>
      </c>
      <c r="I17" s="53" t="s">
        <v>159</v>
      </c>
      <c r="J17" s="120" t="s">
        <v>38</v>
      </c>
      <c r="K17" s="53" t="s">
        <v>161</v>
      </c>
      <c r="L17" s="53">
        <v>1</v>
      </c>
      <c r="N17" s="53">
        <v>4</v>
      </c>
      <c r="O17" s="53">
        <v>0.5</v>
      </c>
      <c r="P17" s="53">
        <v>0.5</v>
      </c>
      <c r="Q17" s="74">
        <f t="shared" si="0"/>
        <v>0.5</v>
      </c>
      <c r="R17" s="53">
        <v>17.3</v>
      </c>
      <c r="S17" s="53">
        <v>90</v>
      </c>
      <c r="T17" s="16">
        <f t="shared" si="1"/>
        <v>36</v>
      </c>
      <c r="U17" s="53">
        <v>398</v>
      </c>
      <c r="V17" s="122">
        <f t="shared" si="2"/>
        <v>3582</v>
      </c>
      <c r="W17" s="53">
        <v>12</v>
      </c>
      <c r="X17" s="120" t="s">
        <v>46</v>
      </c>
      <c r="Y17" s="53" t="s">
        <v>55</v>
      </c>
      <c r="Z17" s="53" t="s">
        <v>69</v>
      </c>
      <c r="AA17" s="53" t="s">
        <v>90</v>
      </c>
      <c r="AB17" s="120" t="s">
        <v>260</v>
      </c>
      <c r="AC17" s="34"/>
      <c r="AE17" s="22" t="s">
        <v>85</v>
      </c>
      <c r="AP17" s="27" t="s">
        <v>110</v>
      </c>
      <c r="AR17" s="23" t="s">
        <v>96</v>
      </c>
      <c r="AV17" s="128" t="s">
        <v>283</v>
      </c>
    </row>
    <row r="18" spans="1:48" x14ac:dyDescent="0.15">
      <c r="A18" s="120" t="s">
        <v>61</v>
      </c>
      <c r="B18" s="120" t="s">
        <v>256</v>
      </c>
      <c r="C18" s="120">
        <v>2019</v>
      </c>
      <c r="D18" s="121" t="s">
        <v>257</v>
      </c>
      <c r="E18" s="120" t="s">
        <v>263</v>
      </c>
      <c r="F18" s="120" t="s">
        <v>264</v>
      </c>
      <c r="G18" s="120" t="s">
        <v>42</v>
      </c>
      <c r="H18" s="53" t="s">
        <v>160</v>
      </c>
      <c r="I18" s="53" t="s">
        <v>159</v>
      </c>
      <c r="J18" s="120" t="s">
        <v>38</v>
      </c>
      <c r="K18" s="53" t="s">
        <v>161</v>
      </c>
      <c r="L18" s="53">
        <v>2</v>
      </c>
      <c r="N18" s="53">
        <v>4</v>
      </c>
      <c r="O18" s="53">
        <v>0.5</v>
      </c>
      <c r="P18" s="53">
        <v>0.5</v>
      </c>
      <c r="Q18" s="74">
        <f t="shared" si="0"/>
        <v>0.5</v>
      </c>
      <c r="R18" s="34">
        <v>17.399999999999999</v>
      </c>
      <c r="S18" s="53">
        <v>91</v>
      </c>
      <c r="T18" s="16">
        <f t="shared" si="1"/>
        <v>36</v>
      </c>
      <c r="U18" s="53">
        <v>398</v>
      </c>
      <c r="V18" s="122">
        <f t="shared" si="2"/>
        <v>3582</v>
      </c>
      <c r="W18" s="53">
        <v>12</v>
      </c>
      <c r="X18" s="120" t="s">
        <v>46</v>
      </c>
      <c r="Y18" s="53" t="s">
        <v>55</v>
      </c>
      <c r="Z18" s="53" t="s">
        <v>69</v>
      </c>
      <c r="AA18" s="53" t="s">
        <v>90</v>
      </c>
      <c r="AB18" s="120" t="s">
        <v>260</v>
      </c>
      <c r="AC18" s="34"/>
      <c r="AE18" s="22" t="s">
        <v>87</v>
      </c>
      <c r="AP18" s="27" t="s">
        <v>111</v>
      </c>
      <c r="AR18" s="23" t="s">
        <v>101</v>
      </c>
      <c r="AV18" s="128" t="s">
        <v>135</v>
      </c>
    </row>
    <row r="19" spans="1:48" x14ac:dyDescent="0.15">
      <c r="A19" s="120" t="s">
        <v>61</v>
      </c>
      <c r="B19" s="120" t="s">
        <v>256</v>
      </c>
      <c r="C19" s="120">
        <v>2019</v>
      </c>
      <c r="D19" s="121" t="s">
        <v>257</v>
      </c>
      <c r="E19" s="120" t="s">
        <v>263</v>
      </c>
      <c r="F19" s="120" t="s">
        <v>264</v>
      </c>
      <c r="G19" s="120" t="s">
        <v>42</v>
      </c>
      <c r="H19" s="53" t="s">
        <v>160</v>
      </c>
      <c r="I19" s="53" t="s">
        <v>159</v>
      </c>
      <c r="J19" s="120" t="s">
        <v>38</v>
      </c>
      <c r="K19" s="53" t="s">
        <v>161</v>
      </c>
      <c r="L19" s="53">
        <v>3</v>
      </c>
      <c r="N19" s="53">
        <v>4</v>
      </c>
      <c r="O19" s="34">
        <v>0.5</v>
      </c>
      <c r="P19" s="53">
        <v>0.5</v>
      </c>
      <c r="Q19" s="74">
        <f t="shared" si="0"/>
        <v>0.5</v>
      </c>
      <c r="R19" s="53">
        <v>17.5</v>
      </c>
      <c r="S19" s="53">
        <v>95</v>
      </c>
      <c r="T19" s="16">
        <f t="shared" si="1"/>
        <v>36</v>
      </c>
      <c r="U19" s="53">
        <v>398</v>
      </c>
      <c r="V19" s="122">
        <f t="shared" si="2"/>
        <v>3582</v>
      </c>
      <c r="W19" s="53">
        <v>12</v>
      </c>
      <c r="X19" s="120" t="s">
        <v>46</v>
      </c>
      <c r="Y19" s="53" t="s">
        <v>55</v>
      </c>
      <c r="Z19" s="53" t="s">
        <v>69</v>
      </c>
      <c r="AA19" s="53" t="s">
        <v>90</v>
      </c>
      <c r="AB19" s="120" t="s">
        <v>260</v>
      </c>
      <c r="AC19" s="34"/>
      <c r="AE19" s="35" t="s">
        <v>89</v>
      </c>
      <c r="AP19" s="27" t="s">
        <v>112</v>
      </c>
      <c r="AR19" s="23" t="s">
        <v>126</v>
      </c>
      <c r="AV19" s="128" t="s">
        <v>284</v>
      </c>
    </row>
    <row r="20" spans="1:48" x14ac:dyDescent="0.15">
      <c r="A20" s="120" t="s">
        <v>61</v>
      </c>
      <c r="B20" s="120" t="s">
        <v>256</v>
      </c>
      <c r="C20" s="120">
        <v>2019</v>
      </c>
      <c r="D20" s="121" t="s">
        <v>257</v>
      </c>
      <c r="E20" s="120" t="s">
        <v>265</v>
      </c>
      <c r="F20" s="120" t="s">
        <v>266</v>
      </c>
      <c r="G20" s="120" t="s">
        <v>42</v>
      </c>
      <c r="H20" s="53" t="s">
        <v>164</v>
      </c>
      <c r="I20" s="53" t="s">
        <v>159</v>
      </c>
      <c r="J20" s="120" t="s">
        <v>38</v>
      </c>
      <c r="K20" s="53" t="s">
        <v>161</v>
      </c>
      <c r="L20" s="53">
        <v>1</v>
      </c>
      <c r="N20" s="53">
        <v>5</v>
      </c>
      <c r="O20" s="53">
        <v>0.8</v>
      </c>
      <c r="P20" s="53">
        <v>0.8</v>
      </c>
      <c r="Q20" s="74">
        <f t="shared" si="0"/>
        <v>0.8</v>
      </c>
      <c r="R20" s="53">
        <v>17.100000000000001</v>
      </c>
      <c r="S20" s="53">
        <v>126</v>
      </c>
      <c r="T20" s="16">
        <f t="shared" si="1"/>
        <v>27</v>
      </c>
      <c r="U20" s="53">
        <v>384</v>
      </c>
      <c r="V20" s="122">
        <f t="shared" si="2"/>
        <v>2073.6</v>
      </c>
      <c r="W20" s="53">
        <v>12</v>
      </c>
      <c r="X20" s="120" t="s">
        <v>46</v>
      </c>
      <c r="Y20" s="53" t="s">
        <v>55</v>
      </c>
      <c r="Z20" s="53" t="s">
        <v>97</v>
      </c>
      <c r="AA20" s="53" t="s">
        <v>47</v>
      </c>
      <c r="AB20" s="120" t="s">
        <v>260</v>
      </c>
      <c r="AC20" s="34"/>
      <c r="AE20" s="22"/>
      <c r="AP20" s="27" t="s">
        <v>113</v>
      </c>
      <c r="AR20" s="23" t="s">
        <v>105</v>
      </c>
      <c r="AV20" s="128" t="s">
        <v>285</v>
      </c>
    </row>
    <row r="21" spans="1:48" x14ac:dyDescent="0.15">
      <c r="A21" s="120" t="s">
        <v>61</v>
      </c>
      <c r="B21" s="120" t="s">
        <v>256</v>
      </c>
      <c r="C21" s="120">
        <v>2019</v>
      </c>
      <c r="D21" s="121" t="s">
        <v>257</v>
      </c>
      <c r="E21" s="120" t="s">
        <v>265</v>
      </c>
      <c r="F21" s="120" t="s">
        <v>266</v>
      </c>
      <c r="G21" s="120" t="s">
        <v>42</v>
      </c>
      <c r="H21" s="53" t="s">
        <v>164</v>
      </c>
      <c r="I21" s="53" t="s">
        <v>159</v>
      </c>
      <c r="J21" s="120" t="s">
        <v>38</v>
      </c>
      <c r="K21" s="53" t="s">
        <v>161</v>
      </c>
      <c r="L21" s="53">
        <v>2</v>
      </c>
      <c r="N21" s="53">
        <v>5</v>
      </c>
      <c r="O21" s="53">
        <v>0.95</v>
      </c>
      <c r="P21" s="53">
        <v>1.1000000000000001</v>
      </c>
      <c r="Q21" s="74">
        <f t="shared" si="0"/>
        <v>1.0249999999999999</v>
      </c>
      <c r="R21" s="53">
        <v>17.100000000000001</v>
      </c>
      <c r="S21" s="53">
        <v>128</v>
      </c>
      <c r="T21" s="16">
        <f t="shared" si="1"/>
        <v>27</v>
      </c>
      <c r="U21" s="53">
        <v>384</v>
      </c>
      <c r="V21" s="122">
        <f t="shared" si="2"/>
        <v>2073.6</v>
      </c>
      <c r="W21" s="53">
        <v>12</v>
      </c>
      <c r="X21" s="120" t="s">
        <v>46</v>
      </c>
      <c r="Y21" s="53" t="s">
        <v>55</v>
      </c>
      <c r="Z21" s="53" t="s">
        <v>97</v>
      </c>
      <c r="AA21" s="53" t="s">
        <v>47</v>
      </c>
      <c r="AB21" s="120" t="s">
        <v>260</v>
      </c>
      <c r="AC21" s="34"/>
      <c r="AE21" s="22"/>
      <c r="AP21" s="27" t="s">
        <v>114</v>
      </c>
      <c r="AR21" s="23" t="s">
        <v>68</v>
      </c>
      <c r="AV21" s="128" t="s">
        <v>286</v>
      </c>
    </row>
    <row r="22" spans="1:48" x14ac:dyDescent="0.15">
      <c r="A22" s="120" t="s">
        <v>61</v>
      </c>
      <c r="B22" s="120" t="s">
        <v>256</v>
      </c>
      <c r="C22" s="120">
        <v>2019</v>
      </c>
      <c r="D22" s="121" t="s">
        <v>257</v>
      </c>
      <c r="E22" s="120" t="s">
        <v>265</v>
      </c>
      <c r="F22" s="120" t="s">
        <v>266</v>
      </c>
      <c r="G22" s="120" t="s">
        <v>42</v>
      </c>
      <c r="H22" s="53" t="s">
        <v>164</v>
      </c>
      <c r="I22" s="53" t="s">
        <v>159</v>
      </c>
      <c r="J22" s="120" t="s">
        <v>38</v>
      </c>
      <c r="K22" s="53" t="s">
        <v>161</v>
      </c>
      <c r="L22" s="53">
        <v>3</v>
      </c>
      <c r="N22" s="53">
        <v>5</v>
      </c>
      <c r="O22" s="53">
        <v>0.5</v>
      </c>
      <c r="P22" s="53">
        <v>0.5</v>
      </c>
      <c r="Q22" s="74">
        <f t="shared" si="0"/>
        <v>0.5</v>
      </c>
      <c r="R22" s="53">
        <v>17</v>
      </c>
      <c r="S22" s="53">
        <v>133</v>
      </c>
      <c r="T22" s="16">
        <f t="shared" si="1"/>
        <v>25</v>
      </c>
      <c r="U22" s="53">
        <v>384</v>
      </c>
      <c r="V22" s="122">
        <f t="shared" si="2"/>
        <v>1920</v>
      </c>
      <c r="W22" s="53">
        <v>12</v>
      </c>
      <c r="X22" s="120" t="s">
        <v>46</v>
      </c>
      <c r="Y22" s="53" t="s">
        <v>55</v>
      </c>
      <c r="Z22" s="53" t="s">
        <v>97</v>
      </c>
      <c r="AA22" s="53" t="s">
        <v>47</v>
      </c>
      <c r="AB22" s="120" t="s">
        <v>260</v>
      </c>
      <c r="AC22" s="34"/>
      <c r="AE22" s="35"/>
      <c r="AP22" s="27" t="s">
        <v>115</v>
      </c>
      <c r="AR22" s="23" t="s">
        <v>83</v>
      </c>
      <c r="AV22" s="23"/>
    </row>
    <row r="23" spans="1:48" x14ac:dyDescent="0.15">
      <c r="A23" s="120" t="s">
        <v>61</v>
      </c>
      <c r="B23" s="120" t="s">
        <v>256</v>
      </c>
      <c r="C23" s="120">
        <v>2019</v>
      </c>
      <c r="D23" s="121" t="s">
        <v>257</v>
      </c>
      <c r="E23" s="120" t="s">
        <v>265</v>
      </c>
      <c r="F23" s="120" t="s">
        <v>266</v>
      </c>
      <c r="G23" s="120" t="s">
        <v>42</v>
      </c>
      <c r="H23" s="53" t="s">
        <v>168</v>
      </c>
      <c r="I23" s="53" t="s">
        <v>159</v>
      </c>
      <c r="J23" s="120" t="s">
        <v>38</v>
      </c>
      <c r="K23" s="53" t="s">
        <v>161</v>
      </c>
      <c r="L23" s="53">
        <v>1</v>
      </c>
      <c r="N23" s="53">
        <v>5</v>
      </c>
      <c r="O23" s="53">
        <v>0.5</v>
      </c>
      <c r="P23" s="53">
        <v>0.5</v>
      </c>
      <c r="Q23" s="74">
        <f t="shared" si="0"/>
        <v>0.5</v>
      </c>
      <c r="R23" s="53">
        <v>18.899999999999999</v>
      </c>
      <c r="S23" s="53">
        <v>88</v>
      </c>
      <c r="T23" s="16">
        <f t="shared" si="1"/>
        <v>36</v>
      </c>
      <c r="U23" s="53">
        <v>398</v>
      </c>
      <c r="V23" s="122">
        <f t="shared" si="2"/>
        <v>2865.6</v>
      </c>
      <c r="W23" s="53">
        <v>12</v>
      </c>
      <c r="X23" s="120" t="s">
        <v>46</v>
      </c>
      <c r="Y23" s="53" t="s">
        <v>55</v>
      </c>
      <c r="Z23" s="53" t="s">
        <v>97</v>
      </c>
      <c r="AA23" s="53" t="s">
        <v>47</v>
      </c>
      <c r="AB23" s="120" t="s">
        <v>260</v>
      </c>
      <c r="AC23" s="34"/>
      <c r="AE23" s="22"/>
      <c r="AP23" s="27" t="s">
        <v>113</v>
      </c>
      <c r="AR23" s="23" t="s">
        <v>105</v>
      </c>
      <c r="AV23" s="128" t="s">
        <v>285</v>
      </c>
    </row>
    <row r="24" spans="1:48" x14ac:dyDescent="0.15">
      <c r="A24" s="120" t="s">
        <v>61</v>
      </c>
      <c r="B24" s="120" t="s">
        <v>256</v>
      </c>
      <c r="C24" s="120">
        <v>2019</v>
      </c>
      <c r="D24" s="121" t="s">
        <v>257</v>
      </c>
      <c r="E24" s="120" t="s">
        <v>265</v>
      </c>
      <c r="F24" s="120" t="s">
        <v>266</v>
      </c>
      <c r="G24" s="120" t="s">
        <v>42</v>
      </c>
      <c r="H24" s="53" t="s">
        <v>168</v>
      </c>
      <c r="I24" s="53" t="s">
        <v>159</v>
      </c>
      <c r="J24" s="120" t="s">
        <v>38</v>
      </c>
      <c r="K24" s="53" t="s">
        <v>161</v>
      </c>
      <c r="L24" s="53">
        <v>2</v>
      </c>
      <c r="N24" s="53">
        <v>5</v>
      </c>
      <c r="O24" s="53">
        <v>0.5</v>
      </c>
      <c r="P24" s="53">
        <v>0.5</v>
      </c>
      <c r="Q24" s="74">
        <f t="shared" si="0"/>
        <v>0.5</v>
      </c>
      <c r="R24" s="53">
        <v>18.5</v>
      </c>
      <c r="S24" s="53">
        <v>79</v>
      </c>
      <c r="T24" s="16">
        <f t="shared" si="1"/>
        <v>39</v>
      </c>
      <c r="U24" s="53">
        <v>398</v>
      </c>
      <c r="V24" s="122">
        <f t="shared" si="2"/>
        <v>3104.3999999999996</v>
      </c>
      <c r="W24" s="53">
        <v>12</v>
      </c>
      <c r="X24" s="120" t="s">
        <v>46</v>
      </c>
      <c r="Y24" s="53" t="s">
        <v>55</v>
      </c>
      <c r="Z24" s="53" t="s">
        <v>97</v>
      </c>
      <c r="AA24" s="53" t="s">
        <v>47</v>
      </c>
      <c r="AB24" s="120" t="s">
        <v>260</v>
      </c>
      <c r="AC24" s="34"/>
      <c r="AE24" s="22"/>
      <c r="AP24" s="27" t="s">
        <v>114</v>
      </c>
      <c r="AR24" s="23" t="s">
        <v>68</v>
      </c>
      <c r="AV24" s="128" t="s">
        <v>286</v>
      </c>
    </row>
    <row r="25" spans="1:48" x14ac:dyDescent="0.15">
      <c r="A25" s="120" t="s">
        <v>61</v>
      </c>
      <c r="B25" s="120" t="s">
        <v>256</v>
      </c>
      <c r="C25" s="120">
        <v>2019</v>
      </c>
      <c r="D25" s="121" t="s">
        <v>257</v>
      </c>
      <c r="E25" s="120" t="s">
        <v>265</v>
      </c>
      <c r="F25" s="120" t="s">
        <v>266</v>
      </c>
      <c r="G25" s="120" t="s">
        <v>42</v>
      </c>
      <c r="H25" s="53" t="s">
        <v>168</v>
      </c>
      <c r="I25" s="53" t="s">
        <v>159</v>
      </c>
      <c r="J25" s="120" t="s">
        <v>38</v>
      </c>
      <c r="K25" s="53" t="s">
        <v>161</v>
      </c>
      <c r="L25" s="53">
        <v>3</v>
      </c>
      <c r="N25" s="53">
        <v>5</v>
      </c>
      <c r="O25" s="53">
        <v>0.5</v>
      </c>
      <c r="P25" s="53">
        <v>0.75</v>
      </c>
      <c r="Q25" s="74">
        <f t="shared" si="0"/>
        <v>0.625</v>
      </c>
      <c r="R25" s="53">
        <v>19.100000000000001</v>
      </c>
      <c r="S25" s="53">
        <v>80</v>
      </c>
      <c r="T25" s="16">
        <f t="shared" si="1"/>
        <v>39</v>
      </c>
      <c r="U25" s="53">
        <v>398</v>
      </c>
      <c r="V25" s="122">
        <f t="shared" si="2"/>
        <v>3104.3999999999996</v>
      </c>
      <c r="W25" s="53">
        <v>12</v>
      </c>
      <c r="X25" s="120" t="s">
        <v>46</v>
      </c>
      <c r="Y25" s="53" t="s">
        <v>55</v>
      </c>
      <c r="Z25" s="53" t="s">
        <v>97</v>
      </c>
      <c r="AA25" s="53" t="s">
        <v>47</v>
      </c>
      <c r="AB25" s="120" t="s">
        <v>260</v>
      </c>
      <c r="AC25" s="34"/>
      <c r="AE25" s="35"/>
      <c r="AP25" s="27" t="s">
        <v>115</v>
      </c>
      <c r="AR25" s="23" t="s">
        <v>83</v>
      </c>
      <c r="AV25" s="23"/>
    </row>
    <row r="26" spans="1:48" x14ac:dyDescent="0.15">
      <c r="A26" s="120" t="s">
        <v>61</v>
      </c>
      <c r="B26" s="120" t="s">
        <v>256</v>
      </c>
      <c r="C26" s="120">
        <v>2019</v>
      </c>
      <c r="D26" s="121" t="s">
        <v>257</v>
      </c>
      <c r="E26" s="120" t="s">
        <v>265</v>
      </c>
      <c r="F26" s="120" t="s">
        <v>266</v>
      </c>
      <c r="G26" s="120" t="s">
        <v>42</v>
      </c>
      <c r="H26" s="53" t="s">
        <v>160</v>
      </c>
      <c r="I26" s="53" t="s">
        <v>159</v>
      </c>
      <c r="J26" s="120" t="s">
        <v>38</v>
      </c>
      <c r="K26" s="53" t="s">
        <v>161</v>
      </c>
      <c r="L26" s="53">
        <v>1</v>
      </c>
      <c r="N26" s="53">
        <v>4</v>
      </c>
      <c r="O26" s="53">
        <v>0.65</v>
      </c>
      <c r="P26" s="53">
        <v>0.5</v>
      </c>
      <c r="Q26" s="74">
        <f t="shared" si="0"/>
        <v>0.57499999999999996</v>
      </c>
      <c r="R26" s="53">
        <v>17.899999999999999</v>
      </c>
      <c r="S26" s="53">
        <v>95</v>
      </c>
      <c r="T26" s="16">
        <f t="shared" si="1"/>
        <v>36</v>
      </c>
      <c r="U26" s="53">
        <v>398</v>
      </c>
      <c r="V26" s="122">
        <f t="shared" si="2"/>
        <v>3582</v>
      </c>
      <c r="W26" s="53">
        <v>12</v>
      </c>
      <c r="X26" s="120" t="s">
        <v>46</v>
      </c>
      <c r="Y26" s="53" t="s">
        <v>55</v>
      </c>
      <c r="Z26" s="53" t="s">
        <v>97</v>
      </c>
      <c r="AA26" s="53" t="s">
        <v>47</v>
      </c>
      <c r="AB26" s="120" t="s">
        <v>260</v>
      </c>
      <c r="AC26" s="34"/>
      <c r="AE26" s="22"/>
      <c r="AP26" s="27" t="s">
        <v>137</v>
      </c>
      <c r="AR26" s="23" t="s">
        <v>61</v>
      </c>
    </row>
    <row r="27" spans="1:48" x14ac:dyDescent="0.15">
      <c r="A27" s="120" t="s">
        <v>61</v>
      </c>
      <c r="B27" s="120" t="s">
        <v>256</v>
      </c>
      <c r="C27" s="120">
        <v>2019</v>
      </c>
      <c r="D27" s="121" t="s">
        <v>257</v>
      </c>
      <c r="E27" s="120" t="s">
        <v>265</v>
      </c>
      <c r="F27" s="120" t="s">
        <v>266</v>
      </c>
      <c r="G27" s="120" t="s">
        <v>42</v>
      </c>
      <c r="H27" s="53" t="s">
        <v>160</v>
      </c>
      <c r="I27" s="53" t="s">
        <v>159</v>
      </c>
      <c r="J27" s="120" t="s">
        <v>38</v>
      </c>
      <c r="K27" s="53" t="s">
        <v>161</v>
      </c>
      <c r="L27" s="53">
        <v>2</v>
      </c>
      <c r="N27" s="53">
        <v>4</v>
      </c>
      <c r="O27" s="53">
        <v>0.5</v>
      </c>
      <c r="P27" s="53">
        <v>0.5</v>
      </c>
      <c r="Q27" s="74">
        <f t="shared" si="0"/>
        <v>0.5</v>
      </c>
      <c r="R27" s="53">
        <v>18.8</v>
      </c>
      <c r="S27" s="53">
        <v>96</v>
      </c>
      <c r="T27" s="16">
        <f t="shared" si="1"/>
        <v>36</v>
      </c>
      <c r="U27" s="53">
        <v>398</v>
      </c>
      <c r="V27" s="122">
        <f t="shared" si="2"/>
        <v>3582</v>
      </c>
      <c r="W27" s="53">
        <v>12</v>
      </c>
      <c r="X27" s="120" t="s">
        <v>46</v>
      </c>
      <c r="Y27" s="53" t="s">
        <v>55</v>
      </c>
      <c r="Z27" s="53" t="s">
        <v>97</v>
      </c>
      <c r="AA27" s="53" t="s">
        <v>47</v>
      </c>
      <c r="AB27" s="120" t="s">
        <v>260</v>
      </c>
      <c r="AC27" s="34"/>
      <c r="AE27" s="22"/>
      <c r="AP27" s="27" t="s">
        <v>138</v>
      </c>
      <c r="AR27" s="23" t="s">
        <v>91</v>
      </c>
    </row>
    <row r="28" spans="1:48" x14ac:dyDescent="0.15">
      <c r="A28" s="120" t="s">
        <v>61</v>
      </c>
      <c r="B28" s="120" t="s">
        <v>256</v>
      </c>
      <c r="C28" s="120">
        <v>2019</v>
      </c>
      <c r="D28" s="121" t="s">
        <v>257</v>
      </c>
      <c r="E28" s="120" t="s">
        <v>265</v>
      </c>
      <c r="F28" s="120" t="s">
        <v>266</v>
      </c>
      <c r="G28" s="120" t="s">
        <v>42</v>
      </c>
      <c r="H28" s="53" t="s">
        <v>160</v>
      </c>
      <c r="I28" s="53" t="s">
        <v>159</v>
      </c>
      <c r="J28" s="120" t="s">
        <v>38</v>
      </c>
      <c r="K28" s="53" t="s">
        <v>161</v>
      </c>
      <c r="L28" s="53">
        <v>3</v>
      </c>
      <c r="N28" s="53">
        <v>4</v>
      </c>
      <c r="O28" s="34">
        <v>0.5</v>
      </c>
      <c r="P28" s="53">
        <v>0.5</v>
      </c>
      <c r="Q28" s="74">
        <f t="shared" si="0"/>
        <v>0.5</v>
      </c>
      <c r="R28" s="53">
        <v>19.100000000000001</v>
      </c>
      <c r="S28" s="53">
        <v>98</v>
      </c>
      <c r="T28" s="16">
        <f t="shared" si="1"/>
        <v>36</v>
      </c>
      <c r="U28" s="53">
        <v>398</v>
      </c>
      <c r="V28" s="122">
        <f t="shared" si="2"/>
        <v>3582</v>
      </c>
      <c r="W28" s="53">
        <v>12</v>
      </c>
      <c r="X28" s="120" t="s">
        <v>46</v>
      </c>
      <c r="Y28" s="53" t="s">
        <v>55</v>
      </c>
      <c r="Z28" s="53" t="s">
        <v>97</v>
      </c>
      <c r="AA28" s="53" t="s">
        <v>47</v>
      </c>
      <c r="AB28" s="120" t="s">
        <v>260</v>
      </c>
      <c r="AC28" s="34"/>
      <c r="AE28" s="35"/>
      <c r="AP28" s="27" t="s">
        <v>116</v>
      </c>
      <c r="AR28" s="27" t="s">
        <v>92</v>
      </c>
    </row>
    <row r="29" spans="1:48" x14ac:dyDescent="0.15">
      <c r="A29" s="120" t="s">
        <v>61</v>
      </c>
      <c r="B29" s="120" t="s">
        <v>256</v>
      </c>
      <c r="C29" s="120">
        <v>2019</v>
      </c>
      <c r="D29" s="121" t="s">
        <v>257</v>
      </c>
      <c r="E29" s="120" t="s">
        <v>267</v>
      </c>
      <c r="F29" s="120" t="s">
        <v>268</v>
      </c>
      <c r="G29" s="120" t="s">
        <v>42</v>
      </c>
      <c r="H29" s="53" t="s">
        <v>164</v>
      </c>
      <c r="I29" s="53" t="s">
        <v>159</v>
      </c>
      <c r="J29" s="120" t="s">
        <v>38</v>
      </c>
      <c r="K29" s="53" t="s">
        <v>161</v>
      </c>
      <c r="L29" s="53">
        <v>1</v>
      </c>
      <c r="N29" s="53">
        <v>1</v>
      </c>
      <c r="O29" s="34">
        <v>0.5</v>
      </c>
      <c r="P29" s="53">
        <v>0.8</v>
      </c>
      <c r="Q29" s="74">
        <f t="shared" si="0"/>
        <v>0.65</v>
      </c>
      <c r="R29" s="53">
        <v>17.3</v>
      </c>
      <c r="S29" s="53">
        <v>99</v>
      </c>
      <c r="T29" s="16">
        <f t="shared" si="1"/>
        <v>33</v>
      </c>
      <c r="U29" s="53">
        <v>108</v>
      </c>
      <c r="V29" s="122">
        <f t="shared" si="2"/>
        <v>3564</v>
      </c>
      <c r="W29" s="53">
        <v>14</v>
      </c>
      <c r="X29" s="120" t="s">
        <v>46</v>
      </c>
      <c r="Y29" s="53" t="s">
        <v>55</v>
      </c>
      <c r="Z29" s="53" t="s">
        <v>97</v>
      </c>
      <c r="AA29" s="53" t="s">
        <v>69</v>
      </c>
      <c r="AB29" s="120" t="s">
        <v>260</v>
      </c>
      <c r="AC29" s="34"/>
      <c r="AD29" s="34"/>
      <c r="AE29" s="35"/>
      <c r="AP29" s="27" t="s">
        <v>117</v>
      </c>
      <c r="AR29" s="23" t="s">
        <v>153</v>
      </c>
    </row>
    <row r="30" spans="1:48" x14ac:dyDescent="0.15">
      <c r="A30" s="120" t="s">
        <v>61</v>
      </c>
      <c r="B30" s="120" t="s">
        <v>256</v>
      </c>
      <c r="C30" s="120">
        <v>2019</v>
      </c>
      <c r="D30" s="121" t="s">
        <v>257</v>
      </c>
      <c r="E30" s="120" t="s">
        <v>267</v>
      </c>
      <c r="F30" s="120" t="s">
        <v>268</v>
      </c>
      <c r="G30" s="120" t="s">
        <v>42</v>
      </c>
      <c r="H30" s="53" t="s">
        <v>164</v>
      </c>
      <c r="I30" s="53" t="s">
        <v>159</v>
      </c>
      <c r="J30" s="120" t="s">
        <v>38</v>
      </c>
      <c r="K30" s="53" t="s">
        <v>161</v>
      </c>
      <c r="L30" s="53">
        <v>2</v>
      </c>
      <c r="N30" s="53">
        <v>1</v>
      </c>
      <c r="O30" s="34">
        <v>0.8</v>
      </c>
      <c r="P30" s="53">
        <v>0.7</v>
      </c>
      <c r="Q30" s="74">
        <f t="shared" si="0"/>
        <v>0.75</v>
      </c>
      <c r="R30" s="53">
        <v>17.7</v>
      </c>
      <c r="S30" s="53">
        <v>103</v>
      </c>
      <c r="T30" s="16">
        <f t="shared" si="1"/>
        <v>33</v>
      </c>
      <c r="U30" s="53">
        <v>108</v>
      </c>
      <c r="V30" s="122">
        <f t="shared" si="2"/>
        <v>3564</v>
      </c>
      <c r="W30" s="53">
        <v>14</v>
      </c>
      <c r="X30" s="120" t="s">
        <v>46</v>
      </c>
      <c r="Y30" s="53" t="s">
        <v>55</v>
      </c>
      <c r="Z30" s="53" t="s">
        <v>97</v>
      </c>
      <c r="AA30" s="53" t="s">
        <v>69</v>
      </c>
      <c r="AB30" s="120" t="s">
        <v>260</v>
      </c>
      <c r="AC30" s="34"/>
      <c r="AD30" s="34"/>
      <c r="AE30" s="28"/>
      <c r="AP30" s="27" t="s">
        <v>118</v>
      </c>
      <c r="AR30" s="23"/>
    </row>
    <row r="31" spans="1:48" x14ac:dyDescent="0.15">
      <c r="A31" s="120" t="s">
        <v>61</v>
      </c>
      <c r="B31" s="120" t="s">
        <v>256</v>
      </c>
      <c r="C31" s="120">
        <v>2019</v>
      </c>
      <c r="D31" s="121" t="s">
        <v>257</v>
      </c>
      <c r="E31" s="120" t="s">
        <v>267</v>
      </c>
      <c r="F31" s="120" t="s">
        <v>268</v>
      </c>
      <c r="G31" s="120" t="s">
        <v>42</v>
      </c>
      <c r="H31" s="53" t="s">
        <v>164</v>
      </c>
      <c r="I31" s="53" t="s">
        <v>159</v>
      </c>
      <c r="J31" s="120" t="s">
        <v>38</v>
      </c>
      <c r="K31" s="53" t="s">
        <v>161</v>
      </c>
      <c r="L31" s="53">
        <v>3</v>
      </c>
      <c r="N31" s="53">
        <v>1</v>
      </c>
      <c r="O31" s="34">
        <v>0.5</v>
      </c>
      <c r="P31" s="53">
        <v>0.5</v>
      </c>
      <c r="Q31" s="74">
        <f t="shared" si="0"/>
        <v>0.5</v>
      </c>
      <c r="R31" s="53">
        <v>17.7</v>
      </c>
      <c r="S31" s="53">
        <v>99</v>
      </c>
      <c r="T31" s="16">
        <f t="shared" si="1"/>
        <v>33</v>
      </c>
      <c r="U31" s="53">
        <v>108</v>
      </c>
      <c r="V31" s="122">
        <f t="shared" si="2"/>
        <v>3564</v>
      </c>
      <c r="W31" s="53">
        <v>14</v>
      </c>
      <c r="X31" s="120" t="s">
        <v>46</v>
      </c>
      <c r="Y31" s="53" t="s">
        <v>55</v>
      </c>
      <c r="Z31" s="53" t="s">
        <v>97</v>
      </c>
      <c r="AA31" s="53" t="s">
        <v>69</v>
      </c>
      <c r="AB31" s="120" t="s">
        <v>260</v>
      </c>
      <c r="AC31" s="34"/>
      <c r="AD31" s="34"/>
      <c r="AP31" s="27"/>
      <c r="AR31" s="23"/>
    </row>
    <row r="32" spans="1:48" x14ac:dyDescent="0.15">
      <c r="A32" s="120" t="s">
        <v>61</v>
      </c>
      <c r="B32" s="120" t="s">
        <v>256</v>
      </c>
      <c r="C32" s="120">
        <v>2019</v>
      </c>
      <c r="D32" s="121" t="s">
        <v>257</v>
      </c>
      <c r="E32" s="120" t="s">
        <v>267</v>
      </c>
      <c r="F32" s="120" t="s">
        <v>268</v>
      </c>
      <c r="G32" s="120" t="s">
        <v>42</v>
      </c>
      <c r="H32" s="53" t="s">
        <v>160</v>
      </c>
      <c r="I32" s="53" t="s">
        <v>159</v>
      </c>
      <c r="J32" s="120" t="s">
        <v>38</v>
      </c>
      <c r="K32" s="53" t="s">
        <v>161</v>
      </c>
      <c r="L32" s="53">
        <v>1</v>
      </c>
      <c r="N32" s="53">
        <v>1</v>
      </c>
      <c r="O32" s="34">
        <v>0.95</v>
      </c>
      <c r="P32" s="53">
        <v>1</v>
      </c>
      <c r="Q32" s="74">
        <f t="shared" si="0"/>
        <v>0.97499999999999998</v>
      </c>
      <c r="R32" s="53">
        <v>17.3</v>
      </c>
      <c r="S32" s="53">
        <v>113</v>
      </c>
      <c r="T32" s="16">
        <f t="shared" si="1"/>
        <v>30</v>
      </c>
      <c r="U32" s="53">
        <v>95</v>
      </c>
      <c r="V32" s="122">
        <f t="shared" si="2"/>
        <v>2850</v>
      </c>
      <c r="W32" s="53">
        <v>14</v>
      </c>
      <c r="X32" s="120" t="s">
        <v>46</v>
      </c>
      <c r="Y32" s="53" t="s">
        <v>55</v>
      </c>
      <c r="Z32" s="53" t="s">
        <v>97</v>
      </c>
      <c r="AA32" s="53" t="s">
        <v>69</v>
      </c>
      <c r="AB32" s="120" t="s">
        <v>260</v>
      </c>
      <c r="AC32" s="34"/>
    </row>
    <row r="33" spans="1:29" x14ac:dyDescent="0.15">
      <c r="A33" s="120" t="s">
        <v>61</v>
      </c>
      <c r="B33" s="120" t="s">
        <v>256</v>
      </c>
      <c r="C33" s="120">
        <v>2019</v>
      </c>
      <c r="D33" s="121" t="s">
        <v>257</v>
      </c>
      <c r="E33" s="120" t="s">
        <v>267</v>
      </c>
      <c r="F33" s="120" t="s">
        <v>268</v>
      </c>
      <c r="G33" s="120" t="s">
        <v>42</v>
      </c>
      <c r="H33" s="53" t="s">
        <v>160</v>
      </c>
      <c r="I33" s="53" t="s">
        <v>159</v>
      </c>
      <c r="J33" s="120" t="s">
        <v>38</v>
      </c>
      <c r="K33" s="53" t="s">
        <v>161</v>
      </c>
      <c r="L33" s="53">
        <v>2</v>
      </c>
      <c r="N33" s="53">
        <v>1</v>
      </c>
      <c r="O33" s="34">
        <v>0.9</v>
      </c>
      <c r="P33" s="53">
        <v>0.8</v>
      </c>
      <c r="Q33" s="74">
        <f t="shared" si="0"/>
        <v>0.85000000000000009</v>
      </c>
      <c r="R33" s="53">
        <v>17.5</v>
      </c>
      <c r="S33" s="53">
        <v>121</v>
      </c>
      <c r="T33" s="16">
        <f t="shared" si="1"/>
        <v>27</v>
      </c>
      <c r="U33" s="53">
        <v>95</v>
      </c>
      <c r="V33" s="122">
        <f t="shared" si="2"/>
        <v>2565</v>
      </c>
      <c r="W33" s="53">
        <v>14</v>
      </c>
      <c r="X33" s="120" t="s">
        <v>46</v>
      </c>
      <c r="Y33" s="53" t="s">
        <v>55</v>
      </c>
      <c r="Z33" s="53" t="s">
        <v>97</v>
      </c>
      <c r="AA33" s="53" t="s">
        <v>69</v>
      </c>
      <c r="AB33" s="120" t="s">
        <v>260</v>
      </c>
      <c r="AC33" s="34"/>
    </row>
    <row r="34" spans="1:29" x14ac:dyDescent="0.15">
      <c r="A34" s="120" t="s">
        <v>61</v>
      </c>
      <c r="B34" s="120" t="s">
        <v>256</v>
      </c>
      <c r="C34" s="120">
        <v>2019</v>
      </c>
      <c r="D34" s="121" t="s">
        <v>257</v>
      </c>
      <c r="E34" s="120" t="s">
        <v>267</v>
      </c>
      <c r="F34" s="120" t="s">
        <v>268</v>
      </c>
      <c r="G34" s="120" t="s">
        <v>42</v>
      </c>
      <c r="H34" s="53" t="s">
        <v>160</v>
      </c>
      <c r="I34" s="53" t="s">
        <v>159</v>
      </c>
      <c r="J34" s="120" t="s">
        <v>38</v>
      </c>
      <c r="K34" s="53" t="s">
        <v>161</v>
      </c>
      <c r="L34" s="53">
        <v>3</v>
      </c>
      <c r="N34" s="53">
        <v>1</v>
      </c>
      <c r="O34" s="34">
        <v>0.85</v>
      </c>
      <c r="P34" s="53">
        <v>1</v>
      </c>
      <c r="Q34" s="74">
        <f t="shared" si="0"/>
        <v>0.92500000000000004</v>
      </c>
      <c r="R34" s="53">
        <v>15.7</v>
      </c>
      <c r="S34" s="53">
        <v>116</v>
      </c>
      <c r="T34" s="16">
        <f t="shared" si="1"/>
        <v>30</v>
      </c>
      <c r="U34" s="53">
        <v>95</v>
      </c>
      <c r="V34" s="122">
        <f t="shared" si="2"/>
        <v>2850</v>
      </c>
      <c r="W34" s="53">
        <v>14</v>
      </c>
      <c r="X34" s="120" t="s">
        <v>46</v>
      </c>
      <c r="Y34" s="53" t="s">
        <v>55</v>
      </c>
      <c r="Z34" s="53" t="s">
        <v>97</v>
      </c>
      <c r="AA34" s="53" t="s">
        <v>69</v>
      </c>
      <c r="AB34" s="120" t="s">
        <v>260</v>
      </c>
      <c r="AC34" s="34"/>
    </row>
    <row r="35" spans="1:29" x14ac:dyDescent="0.15">
      <c r="A35" s="120" t="s">
        <v>61</v>
      </c>
      <c r="B35" s="120" t="s">
        <v>256</v>
      </c>
      <c r="C35" s="120">
        <v>2019</v>
      </c>
      <c r="D35" s="121" t="s">
        <v>257</v>
      </c>
      <c r="E35" s="120" t="s">
        <v>267</v>
      </c>
      <c r="F35" s="120" t="s">
        <v>268</v>
      </c>
      <c r="G35" s="120" t="s">
        <v>42</v>
      </c>
      <c r="H35" s="53" t="s">
        <v>160</v>
      </c>
      <c r="I35" s="53" t="s">
        <v>165</v>
      </c>
      <c r="J35" s="120" t="s">
        <v>38</v>
      </c>
      <c r="K35" s="53" t="s">
        <v>161</v>
      </c>
      <c r="L35" s="53">
        <v>1</v>
      </c>
      <c r="N35" s="53">
        <v>1</v>
      </c>
      <c r="O35" s="34">
        <v>0.5</v>
      </c>
      <c r="P35" s="53">
        <v>0.5</v>
      </c>
      <c r="Q35" s="74">
        <f t="shared" si="0"/>
        <v>0.5</v>
      </c>
      <c r="R35" s="53">
        <v>18.100000000000001</v>
      </c>
      <c r="S35" s="53">
        <v>137</v>
      </c>
      <c r="T35" s="16">
        <f t="shared" si="1"/>
        <v>25</v>
      </c>
      <c r="U35" s="53">
        <v>138</v>
      </c>
      <c r="V35" s="122">
        <f t="shared" si="2"/>
        <v>3450</v>
      </c>
      <c r="W35" s="53">
        <v>14</v>
      </c>
      <c r="X35" s="120" t="s">
        <v>46</v>
      </c>
      <c r="Y35" s="53" t="s">
        <v>55</v>
      </c>
      <c r="Z35" s="53" t="s">
        <v>97</v>
      </c>
      <c r="AA35" s="53" t="s">
        <v>69</v>
      </c>
      <c r="AB35" s="120" t="s">
        <v>260</v>
      </c>
      <c r="AC35" s="34"/>
    </row>
    <row r="36" spans="1:29" x14ac:dyDescent="0.15">
      <c r="A36" s="120" t="s">
        <v>61</v>
      </c>
      <c r="B36" s="120" t="s">
        <v>256</v>
      </c>
      <c r="C36" s="120">
        <v>2019</v>
      </c>
      <c r="D36" s="121" t="s">
        <v>257</v>
      </c>
      <c r="E36" s="120" t="s">
        <v>267</v>
      </c>
      <c r="F36" s="120" t="s">
        <v>268</v>
      </c>
      <c r="G36" s="120" t="s">
        <v>42</v>
      </c>
      <c r="H36" s="53" t="s">
        <v>160</v>
      </c>
      <c r="I36" s="53" t="s">
        <v>165</v>
      </c>
      <c r="J36" s="120" t="s">
        <v>38</v>
      </c>
      <c r="K36" s="53" t="s">
        <v>161</v>
      </c>
      <c r="L36" s="53">
        <v>2</v>
      </c>
      <c r="N36" s="53">
        <v>1</v>
      </c>
      <c r="O36" s="34">
        <v>0.6</v>
      </c>
      <c r="P36" s="53">
        <v>0.65</v>
      </c>
      <c r="Q36" s="74">
        <f t="shared" si="0"/>
        <v>0.625</v>
      </c>
      <c r="R36" s="53">
        <v>18.899999999999999</v>
      </c>
      <c r="S36" s="53">
        <v>140</v>
      </c>
      <c r="T36" s="16">
        <f t="shared" si="1"/>
        <v>22</v>
      </c>
      <c r="U36" s="53">
        <v>138</v>
      </c>
      <c r="V36" s="122">
        <f t="shared" si="2"/>
        <v>3036</v>
      </c>
      <c r="W36" s="53">
        <v>14</v>
      </c>
      <c r="X36" s="120" t="s">
        <v>46</v>
      </c>
      <c r="Y36" s="53" t="s">
        <v>55</v>
      </c>
      <c r="Z36" s="53" t="s">
        <v>97</v>
      </c>
      <c r="AA36" s="53" t="s">
        <v>69</v>
      </c>
      <c r="AB36" s="120" t="s">
        <v>260</v>
      </c>
      <c r="AC36" s="34"/>
    </row>
    <row r="37" spans="1:29" x14ac:dyDescent="0.15">
      <c r="A37" s="120" t="s">
        <v>61</v>
      </c>
      <c r="B37" s="120" t="s">
        <v>256</v>
      </c>
      <c r="C37" s="120">
        <v>2019</v>
      </c>
      <c r="D37" s="121" t="s">
        <v>257</v>
      </c>
      <c r="E37" s="120" t="s">
        <v>267</v>
      </c>
      <c r="F37" s="120" t="s">
        <v>268</v>
      </c>
      <c r="G37" s="120" t="s">
        <v>42</v>
      </c>
      <c r="H37" s="53" t="s">
        <v>160</v>
      </c>
      <c r="I37" s="53" t="s">
        <v>165</v>
      </c>
      <c r="J37" s="120" t="s">
        <v>38</v>
      </c>
      <c r="K37" s="53" t="s">
        <v>161</v>
      </c>
      <c r="L37" s="53">
        <v>3</v>
      </c>
      <c r="N37" s="53">
        <v>1</v>
      </c>
      <c r="O37" s="34">
        <v>0.5</v>
      </c>
      <c r="P37" s="53">
        <v>0.7</v>
      </c>
      <c r="Q37" s="74">
        <f t="shared" si="0"/>
        <v>0.6</v>
      </c>
      <c r="R37" s="53">
        <v>18</v>
      </c>
      <c r="S37" s="53">
        <v>139</v>
      </c>
      <c r="T37" s="16">
        <f t="shared" si="1"/>
        <v>22</v>
      </c>
      <c r="U37" s="53">
        <v>138</v>
      </c>
      <c r="V37" s="122">
        <f t="shared" si="2"/>
        <v>3036</v>
      </c>
      <c r="W37" s="53">
        <v>14</v>
      </c>
      <c r="X37" s="120" t="s">
        <v>46</v>
      </c>
      <c r="Y37" s="53" t="s">
        <v>55</v>
      </c>
      <c r="Z37" s="53" t="s">
        <v>97</v>
      </c>
      <c r="AA37" s="53" t="s">
        <v>69</v>
      </c>
      <c r="AB37" s="120" t="s">
        <v>260</v>
      </c>
      <c r="AC37" s="34"/>
    </row>
    <row r="38" spans="1:29" x14ac:dyDescent="0.15">
      <c r="A38" s="120" t="s">
        <v>61</v>
      </c>
      <c r="B38" s="120" t="s">
        <v>256</v>
      </c>
      <c r="C38" s="120">
        <v>2019</v>
      </c>
      <c r="D38" s="121" t="s">
        <v>257</v>
      </c>
      <c r="E38" s="120" t="s">
        <v>269</v>
      </c>
      <c r="F38" s="120" t="s">
        <v>270</v>
      </c>
      <c r="G38" s="120" t="s">
        <v>42</v>
      </c>
      <c r="H38" s="53" t="s">
        <v>160</v>
      </c>
      <c r="I38" s="53" t="s">
        <v>159</v>
      </c>
      <c r="J38" s="120" t="s">
        <v>38</v>
      </c>
      <c r="K38" s="53" t="s">
        <v>161</v>
      </c>
      <c r="L38" s="53">
        <v>1</v>
      </c>
      <c r="N38" s="53">
        <v>1</v>
      </c>
      <c r="O38" s="34">
        <v>0.5</v>
      </c>
      <c r="P38" s="53">
        <v>0.5</v>
      </c>
      <c r="Q38" s="74">
        <f t="shared" si="0"/>
        <v>0.5</v>
      </c>
      <c r="R38" s="53">
        <v>17.399999999999999</v>
      </c>
      <c r="S38" s="53">
        <v>117</v>
      </c>
      <c r="T38" s="16">
        <f t="shared" si="1"/>
        <v>30</v>
      </c>
      <c r="U38" s="53">
        <v>98</v>
      </c>
      <c r="V38" s="122">
        <f t="shared" si="2"/>
        <v>2940</v>
      </c>
      <c r="W38" s="53">
        <v>10</v>
      </c>
      <c r="X38" s="120" t="s">
        <v>46</v>
      </c>
      <c r="Y38" s="53" t="s">
        <v>47</v>
      </c>
      <c r="Z38" s="53" t="s">
        <v>97</v>
      </c>
      <c r="AA38" s="53" t="s">
        <v>55</v>
      </c>
      <c r="AB38" s="120" t="s">
        <v>260</v>
      </c>
      <c r="AC38" s="34"/>
    </row>
    <row r="39" spans="1:29" x14ac:dyDescent="0.15">
      <c r="A39" s="120" t="s">
        <v>61</v>
      </c>
      <c r="B39" s="120" t="s">
        <v>256</v>
      </c>
      <c r="C39" s="120">
        <v>2019</v>
      </c>
      <c r="D39" s="121" t="s">
        <v>257</v>
      </c>
      <c r="E39" s="120" t="s">
        <v>269</v>
      </c>
      <c r="F39" s="120" t="s">
        <v>270</v>
      </c>
      <c r="G39" s="120" t="s">
        <v>42</v>
      </c>
      <c r="H39" s="53" t="s">
        <v>160</v>
      </c>
      <c r="I39" s="53" t="s">
        <v>159</v>
      </c>
      <c r="J39" s="120" t="s">
        <v>38</v>
      </c>
      <c r="K39" s="53" t="s">
        <v>161</v>
      </c>
      <c r="L39" s="53">
        <v>2</v>
      </c>
      <c r="N39" s="53">
        <v>1</v>
      </c>
      <c r="O39" s="34">
        <v>0.75</v>
      </c>
      <c r="P39" s="53">
        <v>0.85</v>
      </c>
      <c r="Q39" s="74">
        <f t="shared" si="0"/>
        <v>0.8</v>
      </c>
      <c r="R39" s="53">
        <v>17.600000000000001</v>
      </c>
      <c r="S39" s="53">
        <v>118</v>
      </c>
      <c r="T39" s="16">
        <f t="shared" si="1"/>
        <v>30</v>
      </c>
      <c r="U39" s="53">
        <v>98</v>
      </c>
      <c r="V39" s="122">
        <f t="shared" si="2"/>
        <v>2940</v>
      </c>
      <c r="W39" s="53">
        <v>10</v>
      </c>
      <c r="X39" s="120" t="s">
        <v>46</v>
      </c>
      <c r="Y39" s="53" t="s">
        <v>47</v>
      </c>
      <c r="Z39" s="53" t="s">
        <v>97</v>
      </c>
      <c r="AA39" s="53" t="s">
        <v>55</v>
      </c>
      <c r="AB39" s="120" t="s">
        <v>260</v>
      </c>
      <c r="AC39" s="34"/>
    </row>
    <row r="40" spans="1:29" x14ac:dyDescent="0.15">
      <c r="A40" s="120" t="s">
        <v>61</v>
      </c>
      <c r="B40" s="120" t="s">
        <v>256</v>
      </c>
      <c r="C40" s="120">
        <v>2019</v>
      </c>
      <c r="D40" s="121" t="s">
        <v>257</v>
      </c>
      <c r="E40" s="120" t="s">
        <v>269</v>
      </c>
      <c r="F40" s="120" t="s">
        <v>270</v>
      </c>
      <c r="G40" s="120" t="s">
        <v>42</v>
      </c>
      <c r="H40" s="53" t="s">
        <v>160</v>
      </c>
      <c r="I40" s="53" t="s">
        <v>159</v>
      </c>
      <c r="J40" s="120" t="s">
        <v>38</v>
      </c>
      <c r="K40" s="53" t="s">
        <v>161</v>
      </c>
      <c r="L40" s="53">
        <v>3</v>
      </c>
      <c r="N40" s="53">
        <v>1</v>
      </c>
      <c r="O40" s="34">
        <v>0.75</v>
      </c>
      <c r="P40" s="53">
        <v>0.5</v>
      </c>
      <c r="Q40" s="74">
        <f t="shared" si="0"/>
        <v>0.625</v>
      </c>
      <c r="R40" s="53">
        <v>17.399999999999999</v>
      </c>
      <c r="S40" s="53">
        <v>117</v>
      </c>
      <c r="T40" s="16">
        <f t="shared" si="1"/>
        <v>30</v>
      </c>
      <c r="U40" s="53">
        <v>98</v>
      </c>
      <c r="V40" s="122">
        <f t="shared" si="2"/>
        <v>2940</v>
      </c>
      <c r="W40" s="53">
        <v>10</v>
      </c>
      <c r="X40" s="120" t="s">
        <v>46</v>
      </c>
      <c r="Y40" s="53" t="s">
        <v>47</v>
      </c>
      <c r="Z40" s="53" t="s">
        <v>97</v>
      </c>
      <c r="AA40" s="53" t="s">
        <v>55</v>
      </c>
      <c r="AB40" s="120" t="s">
        <v>260</v>
      </c>
      <c r="AC40" s="34"/>
    </row>
    <row r="41" spans="1:29" x14ac:dyDescent="0.15">
      <c r="A41" s="120" t="s">
        <v>61</v>
      </c>
      <c r="B41" s="120" t="s">
        <v>256</v>
      </c>
      <c r="C41" s="120">
        <v>2019</v>
      </c>
      <c r="D41" s="121" t="s">
        <v>257</v>
      </c>
      <c r="E41" s="120" t="s">
        <v>269</v>
      </c>
      <c r="F41" s="120" t="s">
        <v>270</v>
      </c>
      <c r="G41" s="120" t="s">
        <v>42</v>
      </c>
      <c r="H41" s="53" t="s">
        <v>160</v>
      </c>
      <c r="I41" s="53" t="s">
        <v>159</v>
      </c>
      <c r="J41" s="120" t="s">
        <v>38</v>
      </c>
      <c r="K41" s="53" t="s">
        <v>161</v>
      </c>
      <c r="L41" s="53">
        <v>1</v>
      </c>
      <c r="N41" s="53">
        <v>1</v>
      </c>
      <c r="O41" s="34">
        <v>0.65</v>
      </c>
      <c r="P41" s="53">
        <v>0.7</v>
      </c>
      <c r="Q41" s="74">
        <f t="shared" si="0"/>
        <v>0.67500000000000004</v>
      </c>
      <c r="R41" s="53">
        <v>17</v>
      </c>
      <c r="S41" s="53">
        <v>110</v>
      </c>
      <c r="T41" s="16">
        <f t="shared" si="1"/>
        <v>33</v>
      </c>
      <c r="U41" s="53">
        <v>128</v>
      </c>
      <c r="V41" s="122">
        <f t="shared" si="2"/>
        <v>4224</v>
      </c>
      <c r="W41" s="53">
        <v>10</v>
      </c>
      <c r="X41" s="120" t="s">
        <v>46</v>
      </c>
      <c r="Y41" s="53" t="s">
        <v>47</v>
      </c>
      <c r="Z41" s="53" t="s">
        <v>97</v>
      </c>
      <c r="AA41" s="53" t="s">
        <v>55</v>
      </c>
      <c r="AB41" s="120" t="s">
        <v>260</v>
      </c>
      <c r="AC41" s="34"/>
    </row>
    <row r="42" spans="1:29" x14ac:dyDescent="0.15">
      <c r="A42" s="120" t="s">
        <v>61</v>
      </c>
      <c r="B42" s="120" t="s">
        <v>256</v>
      </c>
      <c r="C42" s="120">
        <v>2019</v>
      </c>
      <c r="D42" s="121" t="s">
        <v>257</v>
      </c>
      <c r="E42" s="120" t="s">
        <v>269</v>
      </c>
      <c r="F42" s="120" t="s">
        <v>270</v>
      </c>
      <c r="G42" s="120" t="s">
        <v>42</v>
      </c>
      <c r="H42" s="53" t="s">
        <v>160</v>
      </c>
      <c r="I42" s="53" t="s">
        <v>159</v>
      </c>
      <c r="J42" s="120" t="s">
        <v>38</v>
      </c>
      <c r="K42" s="53" t="s">
        <v>161</v>
      </c>
      <c r="L42" s="53">
        <v>2</v>
      </c>
      <c r="N42" s="53">
        <v>1</v>
      </c>
      <c r="O42" s="34">
        <v>0.5</v>
      </c>
      <c r="P42" s="53">
        <v>0.5</v>
      </c>
      <c r="Q42" s="74">
        <f t="shared" si="0"/>
        <v>0.5</v>
      </c>
      <c r="R42" s="53">
        <v>17.399999999999999</v>
      </c>
      <c r="S42" s="53">
        <v>104</v>
      </c>
      <c r="T42" s="16">
        <f t="shared" si="1"/>
        <v>33</v>
      </c>
      <c r="U42" s="53">
        <v>128</v>
      </c>
      <c r="V42" s="122">
        <f t="shared" si="2"/>
        <v>4224</v>
      </c>
      <c r="W42" s="53">
        <v>10</v>
      </c>
      <c r="X42" s="120" t="s">
        <v>46</v>
      </c>
      <c r="Y42" s="53" t="s">
        <v>47</v>
      </c>
      <c r="Z42" s="53" t="s">
        <v>97</v>
      </c>
      <c r="AA42" s="53" t="s">
        <v>55</v>
      </c>
      <c r="AB42" s="120" t="s">
        <v>260</v>
      </c>
      <c r="AC42" s="34"/>
    </row>
    <row r="43" spans="1:29" x14ac:dyDescent="0.15">
      <c r="A43" s="120" t="s">
        <v>61</v>
      </c>
      <c r="B43" s="120" t="s">
        <v>256</v>
      </c>
      <c r="C43" s="120">
        <v>2019</v>
      </c>
      <c r="D43" s="121" t="s">
        <v>257</v>
      </c>
      <c r="E43" s="120" t="s">
        <v>269</v>
      </c>
      <c r="F43" s="120" t="s">
        <v>270</v>
      </c>
      <c r="G43" s="120" t="s">
        <v>42</v>
      </c>
      <c r="H43" s="53" t="s">
        <v>160</v>
      </c>
      <c r="I43" s="53" t="s">
        <v>159</v>
      </c>
      <c r="J43" s="120" t="s">
        <v>38</v>
      </c>
      <c r="K43" s="53" t="s">
        <v>161</v>
      </c>
      <c r="L43" s="53">
        <v>3</v>
      </c>
      <c r="N43" s="53">
        <v>1</v>
      </c>
      <c r="O43" s="53">
        <v>0.5</v>
      </c>
      <c r="P43" s="53">
        <v>0.5</v>
      </c>
      <c r="Q43" s="74">
        <f t="shared" si="0"/>
        <v>0.5</v>
      </c>
      <c r="R43" s="53">
        <v>17.3</v>
      </c>
      <c r="S43" s="53">
        <v>105</v>
      </c>
      <c r="T43" s="16">
        <f t="shared" si="1"/>
        <v>33</v>
      </c>
      <c r="U43" s="53">
        <v>128</v>
      </c>
      <c r="V43" s="122">
        <f t="shared" si="2"/>
        <v>4224</v>
      </c>
      <c r="W43" s="53">
        <v>10</v>
      </c>
      <c r="X43" s="120" t="s">
        <v>46</v>
      </c>
      <c r="Y43" s="53" t="s">
        <v>47</v>
      </c>
      <c r="Z43" s="53" t="s">
        <v>97</v>
      </c>
      <c r="AA43" s="53" t="s">
        <v>55</v>
      </c>
      <c r="AB43" s="120" t="s">
        <v>260</v>
      </c>
      <c r="AC43" s="34"/>
    </row>
    <row r="44" spans="1:29" x14ac:dyDescent="0.15">
      <c r="A44" s="120" t="s">
        <v>61</v>
      </c>
      <c r="B44" s="120" t="s">
        <v>256</v>
      </c>
      <c r="C44" s="120">
        <v>2019</v>
      </c>
      <c r="D44" s="121" t="s">
        <v>257</v>
      </c>
      <c r="E44" s="120" t="s">
        <v>271</v>
      </c>
      <c r="F44" s="120" t="s">
        <v>272</v>
      </c>
      <c r="G44" s="120" t="s">
        <v>42</v>
      </c>
      <c r="H44" s="53" t="s">
        <v>164</v>
      </c>
      <c r="I44" s="53" t="s">
        <v>159</v>
      </c>
      <c r="J44" s="120" t="s">
        <v>38</v>
      </c>
      <c r="K44" s="53" t="s">
        <v>161</v>
      </c>
      <c r="L44" s="53">
        <v>1</v>
      </c>
      <c r="N44" s="53">
        <v>1</v>
      </c>
      <c r="O44" s="34">
        <v>1.2</v>
      </c>
      <c r="P44" s="53">
        <v>1.25</v>
      </c>
      <c r="Q44" s="74">
        <f t="shared" si="0"/>
        <v>1.2250000000000001</v>
      </c>
      <c r="R44" s="53">
        <v>18.3</v>
      </c>
      <c r="S44" s="53">
        <v>139</v>
      </c>
      <c r="T44" s="16">
        <f t="shared" si="1"/>
        <v>22</v>
      </c>
      <c r="U44" s="53">
        <v>138</v>
      </c>
      <c r="V44" s="122">
        <f t="shared" si="2"/>
        <v>3036</v>
      </c>
      <c r="W44" s="53">
        <v>14</v>
      </c>
      <c r="X44" s="120" t="s">
        <v>46</v>
      </c>
      <c r="Y44" s="53" t="s">
        <v>97</v>
      </c>
      <c r="Z44" s="53" t="s">
        <v>55</v>
      </c>
      <c r="AA44" s="53" t="s">
        <v>47</v>
      </c>
      <c r="AB44" s="120" t="s">
        <v>260</v>
      </c>
    </row>
    <row r="45" spans="1:29" x14ac:dyDescent="0.15">
      <c r="A45" s="120" t="s">
        <v>61</v>
      </c>
      <c r="B45" s="120" t="s">
        <v>256</v>
      </c>
      <c r="C45" s="120">
        <v>2020</v>
      </c>
      <c r="D45" s="121" t="s">
        <v>257</v>
      </c>
      <c r="E45" s="120" t="s">
        <v>271</v>
      </c>
      <c r="F45" s="120" t="s">
        <v>272</v>
      </c>
      <c r="G45" s="120" t="s">
        <v>42</v>
      </c>
      <c r="H45" s="53" t="s">
        <v>164</v>
      </c>
      <c r="I45" s="53" t="s">
        <v>159</v>
      </c>
      <c r="J45" s="120" t="s">
        <v>38</v>
      </c>
      <c r="K45" s="53" t="s">
        <v>161</v>
      </c>
      <c r="L45" s="53">
        <v>2</v>
      </c>
      <c r="N45" s="53">
        <v>1</v>
      </c>
      <c r="O45" s="34">
        <v>1.05</v>
      </c>
      <c r="P45" s="53">
        <v>1.25</v>
      </c>
      <c r="Q45" s="74">
        <f t="shared" si="0"/>
        <v>1.1499999999999999</v>
      </c>
      <c r="R45" s="53">
        <v>17.399999999999999</v>
      </c>
      <c r="S45" s="53">
        <v>144</v>
      </c>
      <c r="T45" s="16">
        <f t="shared" si="1"/>
        <v>22</v>
      </c>
      <c r="U45" s="53">
        <v>138</v>
      </c>
      <c r="V45" s="122">
        <f t="shared" si="2"/>
        <v>3036</v>
      </c>
      <c r="W45" s="53">
        <v>14</v>
      </c>
      <c r="X45" s="120" t="s">
        <v>46</v>
      </c>
      <c r="Y45" s="53" t="s">
        <v>97</v>
      </c>
      <c r="Z45" s="53" t="s">
        <v>55</v>
      </c>
      <c r="AA45" s="53" t="s">
        <v>47</v>
      </c>
      <c r="AB45" s="120" t="s">
        <v>260</v>
      </c>
    </row>
    <row r="46" spans="1:29" x14ac:dyDescent="0.15">
      <c r="A46" s="120" t="s">
        <v>61</v>
      </c>
      <c r="B46" s="120" t="s">
        <v>256</v>
      </c>
      <c r="C46" s="120">
        <v>2021</v>
      </c>
      <c r="D46" s="121" t="s">
        <v>257</v>
      </c>
      <c r="E46" s="120" t="s">
        <v>271</v>
      </c>
      <c r="F46" s="120" t="s">
        <v>272</v>
      </c>
      <c r="G46" s="120" t="s">
        <v>42</v>
      </c>
      <c r="H46" s="53" t="s">
        <v>164</v>
      </c>
      <c r="I46" s="53" t="s">
        <v>159</v>
      </c>
      <c r="J46" s="120" t="s">
        <v>38</v>
      </c>
      <c r="K46" s="53" t="s">
        <v>161</v>
      </c>
      <c r="L46" s="53">
        <v>3</v>
      </c>
      <c r="N46" s="53">
        <v>1</v>
      </c>
      <c r="O46" s="34">
        <v>1.2</v>
      </c>
      <c r="P46" s="53">
        <v>1.25</v>
      </c>
      <c r="Q46" s="74">
        <f t="shared" si="0"/>
        <v>1.2250000000000001</v>
      </c>
      <c r="R46" s="53">
        <v>17.2</v>
      </c>
      <c r="S46" s="53">
        <v>136</v>
      </c>
      <c r="T46" s="16">
        <f t="shared" si="1"/>
        <v>25</v>
      </c>
      <c r="U46" s="53">
        <v>138</v>
      </c>
      <c r="V46" s="122">
        <f t="shared" si="2"/>
        <v>3450</v>
      </c>
      <c r="W46" s="53">
        <v>14</v>
      </c>
      <c r="X46" s="120" t="s">
        <v>46</v>
      </c>
      <c r="Y46" s="53" t="s">
        <v>97</v>
      </c>
      <c r="Z46" s="53" t="s">
        <v>55</v>
      </c>
      <c r="AA46" s="53" t="s">
        <v>47</v>
      </c>
      <c r="AB46" s="120" t="s">
        <v>260</v>
      </c>
    </row>
    <row r="47" spans="1:29" x14ac:dyDescent="0.15">
      <c r="A47" s="120" t="s">
        <v>61</v>
      </c>
      <c r="B47" s="120" t="s">
        <v>256</v>
      </c>
      <c r="C47" s="120">
        <v>2019</v>
      </c>
      <c r="D47" s="121" t="s">
        <v>257</v>
      </c>
      <c r="E47" s="120" t="s">
        <v>271</v>
      </c>
      <c r="F47" s="120" t="s">
        <v>272</v>
      </c>
      <c r="G47" s="120" t="s">
        <v>42</v>
      </c>
      <c r="H47" s="53" t="s">
        <v>168</v>
      </c>
      <c r="I47" s="53" t="s">
        <v>159</v>
      </c>
      <c r="J47" s="120" t="s">
        <v>38</v>
      </c>
      <c r="K47" s="53" t="s">
        <v>161</v>
      </c>
      <c r="L47" s="53">
        <v>1</v>
      </c>
      <c r="N47" s="53">
        <v>4</v>
      </c>
      <c r="O47" s="34">
        <v>1.2</v>
      </c>
      <c r="P47" s="53">
        <v>1.25</v>
      </c>
      <c r="Q47" s="74">
        <f t="shared" si="0"/>
        <v>1.2250000000000001</v>
      </c>
      <c r="R47" s="53">
        <v>18.3</v>
      </c>
      <c r="S47" s="53">
        <v>88</v>
      </c>
      <c r="T47" s="16">
        <f t="shared" si="1"/>
        <v>36</v>
      </c>
      <c r="U47" s="53">
        <v>321</v>
      </c>
      <c r="V47" s="122">
        <f t="shared" si="2"/>
        <v>2889</v>
      </c>
      <c r="W47" s="53">
        <v>14</v>
      </c>
      <c r="X47" s="120" t="s">
        <v>46</v>
      </c>
      <c r="Y47" s="53" t="s">
        <v>97</v>
      </c>
      <c r="Z47" s="53" t="s">
        <v>55</v>
      </c>
      <c r="AA47" s="53" t="s">
        <v>47</v>
      </c>
      <c r="AB47" s="120" t="s">
        <v>260</v>
      </c>
    </row>
    <row r="48" spans="1:29" x14ac:dyDescent="0.15">
      <c r="A48" s="120" t="s">
        <v>61</v>
      </c>
      <c r="B48" s="120" t="s">
        <v>256</v>
      </c>
      <c r="C48" s="120">
        <v>2020</v>
      </c>
      <c r="D48" s="121" t="s">
        <v>257</v>
      </c>
      <c r="E48" s="120" t="s">
        <v>271</v>
      </c>
      <c r="F48" s="120" t="s">
        <v>272</v>
      </c>
      <c r="G48" s="120" t="s">
        <v>42</v>
      </c>
      <c r="H48" s="53" t="s">
        <v>168</v>
      </c>
      <c r="I48" s="53" t="s">
        <v>159</v>
      </c>
      <c r="J48" s="120" t="s">
        <v>38</v>
      </c>
      <c r="K48" s="53" t="s">
        <v>161</v>
      </c>
      <c r="L48" s="53">
        <v>2</v>
      </c>
      <c r="N48" s="53">
        <v>4</v>
      </c>
      <c r="O48" s="34">
        <v>1.05</v>
      </c>
      <c r="P48" s="53">
        <v>1.25</v>
      </c>
      <c r="Q48" s="74">
        <f t="shared" si="0"/>
        <v>1.1499999999999999</v>
      </c>
      <c r="R48" s="53">
        <v>17.399999999999999</v>
      </c>
      <c r="S48" s="53">
        <v>90</v>
      </c>
      <c r="T48" s="16">
        <f t="shared" si="1"/>
        <v>36</v>
      </c>
      <c r="U48" s="53">
        <v>321</v>
      </c>
      <c r="V48" s="122">
        <f t="shared" si="2"/>
        <v>2889</v>
      </c>
      <c r="W48" s="53">
        <v>14</v>
      </c>
      <c r="X48" s="120" t="s">
        <v>46</v>
      </c>
      <c r="Y48" s="53" t="s">
        <v>97</v>
      </c>
      <c r="Z48" s="53" t="s">
        <v>55</v>
      </c>
      <c r="AA48" s="53" t="s">
        <v>47</v>
      </c>
      <c r="AB48" s="120" t="s">
        <v>260</v>
      </c>
    </row>
    <row r="49" spans="1:29" x14ac:dyDescent="0.15">
      <c r="A49" s="120" t="s">
        <v>61</v>
      </c>
      <c r="B49" s="120" t="s">
        <v>256</v>
      </c>
      <c r="C49" s="120">
        <v>2021</v>
      </c>
      <c r="D49" s="121" t="s">
        <v>257</v>
      </c>
      <c r="E49" s="120" t="s">
        <v>271</v>
      </c>
      <c r="F49" s="120" t="s">
        <v>272</v>
      </c>
      <c r="G49" s="120" t="s">
        <v>42</v>
      </c>
      <c r="H49" s="53" t="s">
        <v>168</v>
      </c>
      <c r="I49" s="53" t="s">
        <v>159</v>
      </c>
      <c r="J49" s="120" t="s">
        <v>38</v>
      </c>
      <c r="K49" s="53" t="s">
        <v>161</v>
      </c>
      <c r="L49" s="53">
        <v>3</v>
      </c>
      <c r="N49" s="53">
        <v>4</v>
      </c>
      <c r="O49" s="34">
        <v>1.2</v>
      </c>
      <c r="P49" s="53">
        <v>1.25</v>
      </c>
      <c r="Q49" s="74">
        <f t="shared" si="0"/>
        <v>1.2250000000000001</v>
      </c>
      <c r="R49" s="53">
        <v>17.2</v>
      </c>
      <c r="S49" s="53">
        <v>91</v>
      </c>
      <c r="T49" s="16">
        <f t="shared" si="1"/>
        <v>36</v>
      </c>
      <c r="U49" s="53">
        <v>321</v>
      </c>
      <c r="V49" s="122">
        <f t="shared" si="2"/>
        <v>2889</v>
      </c>
      <c r="W49" s="53">
        <v>14</v>
      </c>
      <c r="X49" s="120" t="s">
        <v>46</v>
      </c>
      <c r="Y49" s="53" t="s">
        <v>97</v>
      </c>
      <c r="Z49" s="53" t="s">
        <v>55</v>
      </c>
      <c r="AA49" s="53" t="s">
        <v>47</v>
      </c>
      <c r="AB49" s="120" t="s">
        <v>260</v>
      </c>
    </row>
    <row r="50" spans="1:29" x14ac:dyDescent="0.15">
      <c r="A50" s="120" t="s">
        <v>61</v>
      </c>
      <c r="B50" s="120" t="s">
        <v>256</v>
      </c>
      <c r="C50" s="120">
        <v>2022</v>
      </c>
      <c r="D50" s="121" t="s">
        <v>257</v>
      </c>
      <c r="E50" s="120" t="s">
        <v>271</v>
      </c>
      <c r="F50" s="120" t="s">
        <v>272</v>
      </c>
      <c r="G50" s="120" t="s">
        <v>42</v>
      </c>
      <c r="H50" s="53" t="s">
        <v>160</v>
      </c>
      <c r="I50" s="53" t="s">
        <v>159</v>
      </c>
      <c r="J50" s="120" t="s">
        <v>38</v>
      </c>
      <c r="K50" s="53" t="s">
        <v>161</v>
      </c>
      <c r="L50" s="53">
        <v>1</v>
      </c>
      <c r="N50" s="53">
        <v>1</v>
      </c>
      <c r="O50" s="34">
        <v>0.75</v>
      </c>
      <c r="P50" s="53">
        <v>1.25</v>
      </c>
      <c r="Q50" s="74">
        <f t="shared" si="0"/>
        <v>1</v>
      </c>
      <c r="R50" s="53">
        <v>17</v>
      </c>
      <c r="S50" s="53">
        <v>134</v>
      </c>
      <c r="T50" s="16">
        <f t="shared" si="1"/>
        <v>25</v>
      </c>
      <c r="U50" s="53">
        <v>414</v>
      </c>
      <c r="V50" s="122">
        <f t="shared" si="2"/>
        <v>10350</v>
      </c>
      <c r="W50" s="53">
        <v>14</v>
      </c>
      <c r="X50" s="120" t="s">
        <v>46</v>
      </c>
      <c r="Y50" s="53" t="s">
        <v>97</v>
      </c>
      <c r="Z50" s="53" t="s">
        <v>55</v>
      </c>
      <c r="AA50" s="53" t="s">
        <v>47</v>
      </c>
      <c r="AB50" s="120" t="s">
        <v>260</v>
      </c>
      <c r="AC50" s="34"/>
    </row>
    <row r="51" spans="1:29" x14ac:dyDescent="0.15">
      <c r="A51" s="120" t="s">
        <v>61</v>
      </c>
      <c r="B51" s="120" t="s">
        <v>256</v>
      </c>
      <c r="C51" s="120">
        <v>2023</v>
      </c>
      <c r="D51" s="121" t="s">
        <v>257</v>
      </c>
      <c r="E51" s="120" t="s">
        <v>271</v>
      </c>
      <c r="F51" s="120" t="s">
        <v>272</v>
      </c>
      <c r="G51" s="120" t="s">
        <v>42</v>
      </c>
      <c r="H51" s="53" t="s">
        <v>160</v>
      </c>
      <c r="I51" s="53" t="s">
        <v>159</v>
      </c>
      <c r="J51" s="120" t="s">
        <v>38</v>
      </c>
      <c r="K51" s="53" t="s">
        <v>161</v>
      </c>
      <c r="L51" s="53">
        <v>2</v>
      </c>
      <c r="N51" s="53">
        <v>1</v>
      </c>
      <c r="O51" s="34">
        <v>0.5</v>
      </c>
      <c r="P51" s="53">
        <v>0.5</v>
      </c>
      <c r="Q51" s="74">
        <f t="shared" si="0"/>
        <v>0.5</v>
      </c>
      <c r="R51" s="53">
        <v>17.5</v>
      </c>
      <c r="S51" s="53">
        <v>135</v>
      </c>
      <c r="T51" s="16">
        <f t="shared" si="1"/>
        <v>25</v>
      </c>
      <c r="U51" s="53">
        <v>414</v>
      </c>
      <c r="V51" s="122">
        <f t="shared" si="2"/>
        <v>10350</v>
      </c>
      <c r="W51" s="53">
        <v>14</v>
      </c>
      <c r="X51" s="120" t="s">
        <v>46</v>
      </c>
      <c r="Y51" s="53" t="s">
        <v>97</v>
      </c>
      <c r="Z51" s="53" t="s">
        <v>55</v>
      </c>
      <c r="AA51" s="53" t="s">
        <v>47</v>
      </c>
      <c r="AB51" s="120" t="s">
        <v>260</v>
      </c>
      <c r="AC51" s="34"/>
    </row>
    <row r="52" spans="1:29" x14ac:dyDescent="0.15">
      <c r="A52" s="120" t="s">
        <v>61</v>
      </c>
      <c r="B52" s="120" t="s">
        <v>256</v>
      </c>
      <c r="C52" s="120">
        <v>2024</v>
      </c>
      <c r="D52" s="121" t="s">
        <v>257</v>
      </c>
      <c r="E52" s="120" t="s">
        <v>271</v>
      </c>
      <c r="F52" s="120" t="s">
        <v>272</v>
      </c>
      <c r="G52" s="120" t="s">
        <v>42</v>
      </c>
      <c r="H52" s="53" t="s">
        <v>160</v>
      </c>
      <c r="I52" s="53" t="s">
        <v>159</v>
      </c>
      <c r="J52" s="120" t="s">
        <v>38</v>
      </c>
      <c r="K52" s="53" t="s">
        <v>161</v>
      </c>
      <c r="L52" s="53">
        <v>3</v>
      </c>
      <c r="N52" s="53">
        <v>1</v>
      </c>
      <c r="O52" s="34">
        <v>0.85</v>
      </c>
      <c r="P52" s="53">
        <v>1.2</v>
      </c>
      <c r="Q52" s="74">
        <f t="shared" si="0"/>
        <v>1.0249999999999999</v>
      </c>
      <c r="R52" s="34">
        <v>18.8</v>
      </c>
      <c r="S52" s="53">
        <v>144</v>
      </c>
      <c r="T52" s="16">
        <f t="shared" si="1"/>
        <v>22</v>
      </c>
      <c r="U52" s="53">
        <v>414</v>
      </c>
      <c r="V52" s="122">
        <f t="shared" si="2"/>
        <v>9108</v>
      </c>
      <c r="W52" s="53">
        <v>14</v>
      </c>
      <c r="X52" s="120" t="s">
        <v>46</v>
      </c>
      <c r="Y52" s="53" t="s">
        <v>97</v>
      </c>
      <c r="Z52" s="53" t="s">
        <v>55</v>
      </c>
      <c r="AA52" s="53" t="s">
        <v>47</v>
      </c>
      <c r="AB52" s="120" t="s">
        <v>260</v>
      </c>
      <c r="AC52" s="34"/>
    </row>
    <row r="53" spans="1:29" x14ac:dyDescent="0.15">
      <c r="A53" s="120" t="s">
        <v>61</v>
      </c>
      <c r="B53" s="120" t="s">
        <v>256</v>
      </c>
      <c r="C53" s="120">
        <v>2019</v>
      </c>
      <c r="D53" s="121" t="s">
        <v>257</v>
      </c>
      <c r="E53" s="120" t="s">
        <v>133</v>
      </c>
      <c r="F53" s="120" t="s">
        <v>273</v>
      </c>
      <c r="G53" s="120" t="s">
        <v>42</v>
      </c>
      <c r="H53" s="53" t="s">
        <v>164</v>
      </c>
      <c r="I53" s="53" t="s">
        <v>159</v>
      </c>
      <c r="J53" s="120" t="s">
        <v>38</v>
      </c>
      <c r="K53" s="53" t="s">
        <v>161</v>
      </c>
      <c r="L53" s="53">
        <v>1</v>
      </c>
      <c r="N53" s="53">
        <v>1</v>
      </c>
      <c r="O53" s="53">
        <v>0.5</v>
      </c>
      <c r="P53" s="53">
        <v>0.5</v>
      </c>
      <c r="Q53" s="74">
        <f t="shared" si="0"/>
        <v>0.5</v>
      </c>
      <c r="R53" s="53">
        <v>18.3</v>
      </c>
      <c r="S53" s="53">
        <v>138</v>
      </c>
      <c r="T53" s="16">
        <f t="shared" si="1"/>
        <v>22</v>
      </c>
      <c r="U53" s="53">
        <v>98</v>
      </c>
      <c r="V53" s="122">
        <f t="shared" si="2"/>
        <v>2156</v>
      </c>
      <c r="W53" s="53">
        <v>24</v>
      </c>
      <c r="X53" s="120" t="s">
        <v>46</v>
      </c>
      <c r="Y53" s="53" t="s">
        <v>55</v>
      </c>
      <c r="Z53" s="53" t="s">
        <v>97</v>
      </c>
      <c r="AA53" s="53" t="s">
        <v>69</v>
      </c>
      <c r="AB53" s="120" t="s">
        <v>260</v>
      </c>
      <c r="AC53" s="34"/>
    </row>
    <row r="54" spans="1:29" x14ac:dyDescent="0.15">
      <c r="A54" s="120" t="s">
        <v>61</v>
      </c>
      <c r="B54" s="120" t="s">
        <v>256</v>
      </c>
      <c r="C54" s="120">
        <v>2019</v>
      </c>
      <c r="D54" s="121" t="s">
        <v>257</v>
      </c>
      <c r="E54" s="120" t="s">
        <v>133</v>
      </c>
      <c r="F54" s="120" t="s">
        <v>273</v>
      </c>
      <c r="G54" s="120" t="s">
        <v>42</v>
      </c>
      <c r="H54" s="53" t="s">
        <v>164</v>
      </c>
      <c r="I54" s="53" t="s">
        <v>159</v>
      </c>
      <c r="J54" s="120" t="s">
        <v>38</v>
      </c>
      <c r="K54" s="53" t="s">
        <v>161</v>
      </c>
      <c r="L54" s="53">
        <v>2</v>
      </c>
      <c r="N54" s="53">
        <v>1</v>
      </c>
      <c r="O54" s="53">
        <v>0.5</v>
      </c>
      <c r="P54" s="53">
        <v>0.5</v>
      </c>
      <c r="Q54" s="74">
        <f t="shared" si="0"/>
        <v>0.5</v>
      </c>
      <c r="R54" s="53">
        <v>18.100000000000001</v>
      </c>
      <c r="S54" s="53">
        <v>134</v>
      </c>
      <c r="T54" s="16">
        <f t="shared" si="1"/>
        <v>25</v>
      </c>
      <c r="U54" s="53">
        <v>98</v>
      </c>
      <c r="V54" s="122">
        <f t="shared" si="2"/>
        <v>2450</v>
      </c>
      <c r="W54" s="53">
        <v>24</v>
      </c>
      <c r="X54" s="120" t="s">
        <v>46</v>
      </c>
      <c r="Y54" s="53" t="s">
        <v>55</v>
      </c>
      <c r="Z54" s="53" t="s">
        <v>97</v>
      </c>
      <c r="AA54" s="53" t="s">
        <v>69</v>
      </c>
      <c r="AB54" s="120" t="s">
        <v>260</v>
      </c>
      <c r="AC54" s="34"/>
    </row>
    <row r="55" spans="1:29" x14ac:dyDescent="0.15">
      <c r="A55" s="120" t="s">
        <v>61</v>
      </c>
      <c r="B55" s="120" t="s">
        <v>256</v>
      </c>
      <c r="C55" s="120">
        <v>2019</v>
      </c>
      <c r="D55" s="121" t="s">
        <v>257</v>
      </c>
      <c r="E55" s="120" t="s">
        <v>133</v>
      </c>
      <c r="F55" s="120" t="s">
        <v>273</v>
      </c>
      <c r="G55" s="120" t="s">
        <v>42</v>
      </c>
      <c r="H55" s="53" t="s">
        <v>164</v>
      </c>
      <c r="I55" s="53" t="s">
        <v>159</v>
      </c>
      <c r="J55" s="120" t="s">
        <v>38</v>
      </c>
      <c r="K55" s="53" t="s">
        <v>161</v>
      </c>
      <c r="L55" s="53">
        <v>3</v>
      </c>
      <c r="N55" s="53">
        <v>1</v>
      </c>
      <c r="O55" s="53">
        <v>0.5</v>
      </c>
      <c r="P55" s="53">
        <v>0.5</v>
      </c>
      <c r="Q55" s="74">
        <f t="shared" si="0"/>
        <v>0.5</v>
      </c>
      <c r="R55" s="53">
        <v>18.3</v>
      </c>
      <c r="S55" s="53">
        <v>138</v>
      </c>
      <c r="T55" s="16">
        <f t="shared" si="1"/>
        <v>22</v>
      </c>
      <c r="U55" s="53">
        <v>98</v>
      </c>
      <c r="V55" s="122">
        <f t="shared" si="2"/>
        <v>2156</v>
      </c>
      <c r="W55" s="53">
        <v>24</v>
      </c>
      <c r="X55" s="120" t="s">
        <v>46</v>
      </c>
      <c r="Y55" s="53" t="s">
        <v>55</v>
      </c>
      <c r="Z55" s="53" t="s">
        <v>97</v>
      </c>
      <c r="AA55" s="53" t="s">
        <v>69</v>
      </c>
      <c r="AB55" s="120" t="s">
        <v>260</v>
      </c>
      <c r="AC55" s="34"/>
    </row>
    <row r="56" spans="1:29" x14ac:dyDescent="0.15">
      <c r="A56" s="120" t="s">
        <v>61</v>
      </c>
      <c r="B56" s="120" t="s">
        <v>256</v>
      </c>
      <c r="C56" s="120">
        <v>2019</v>
      </c>
      <c r="D56" s="121" t="s">
        <v>257</v>
      </c>
      <c r="E56" s="120" t="s">
        <v>133</v>
      </c>
      <c r="F56" s="120" t="s">
        <v>273</v>
      </c>
      <c r="G56" s="120" t="s">
        <v>42</v>
      </c>
      <c r="H56" s="53" t="s">
        <v>160</v>
      </c>
      <c r="I56" s="53" t="s">
        <v>159</v>
      </c>
      <c r="J56" s="120" t="s">
        <v>38</v>
      </c>
      <c r="K56" s="53" t="s">
        <v>161</v>
      </c>
      <c r="L56" s="53">
        <v>1</v>
      </c>
      <c r="N56" s="53">
        <v>1</v>
      </c>
      <c r="O56" s="53">
        <v>0.85</v>
      </c>
      <c r="P56" s="53">
        <v>0.8</v>
      </c>
      <c r="Q56" s="74">
        <f t="shared" si="0"/>
        <v>0.82499999999999996</v>
      </c>
      <c r="R56" s="53">
        <v>18.2</v>
      </c>
      <c r="S56" s="53">
        <v>141</v>
      </c>
      <c r="T56" s="16">
        <f t="shared" si="1"/>
        <v>22</v>
      </c>
      <c r="U56" s="53">
        <v>98</v>
      </c>
      <c r="V56" s="122">
        <f t="shared" si="2"/>
        <v>2156</v>
      </c>
      <c r="W56" s="53">
        <v>24</v>
      </c>
      <c r="X56" s="120" t="s">
        <v>46</v>
      </c>
      <c r="Y56" s="53" t="s">
        <v>55</v>
      </c>
      <c r="Z56" s="53" t="s">
        <v>97</v>
      </c>
      <c r="AA56" s="53" t="s">
        <v>69</v>
      </c>
      <c r="AB56" s="120" t="s">
        <v>260</v>
      </c>
      <c r="AC56" s="34"/>
    </row>
    <row r="57" spans="1:29" x14ac:dyDescent="0.15">
      <c r="A57" s="120" t="s">
        <v>61</v>
      </c>
      <c r="B57" s="120" t="s">
        <v>256</v>
      </c>
      <c r="C57" s="120">
        <v>2019</v>
      </c>
      <c r="D57" s="121" t="s">
        <v>257</v>
      </c>
      <c r="E57" s="120" t="s">
        <v>133</v>
      </c>
      <c r="F57" s="120" t="s">
        <v>273</v>
      </c>
      <c r="G57" s="120" t="s">
        <v>42</v>
      </c>
      <c r="H57" s="53" t="s">
        <v>160</v>
      </c>
      <c r="I57" s="53" t="s">
        <v>159</v>
      </c>
      <c r="J57" s="120" t="s">
        <v>38</v>
      </c>
      <c r="K57" s="53" t="s">
        <v>161</v>
      </c>
      <c r="L57" s="53">
        <v>2</v>
      </c>
      <c r="N57" s="53">
        <v>1</v>
      </c>
      <c r="O57" s="53">
        <v>0.5</v>
      </c>
      <c r="P57" s="53">
        <v>1.05</v>
      </c>
      <c r="Q57" s="74">
        <f t="shared" si="0"/>
        <v>0.77500000000000002</v>
      </c>
      <c r="R57" s="53">
        <v>18.8</v>
      </c>
      <c r="S57" s="53">
        <v>110</v>
      </c>
      <c r="T57" s="16">
        <f t="shared" si="1"/>
        <v>33</v>
      </c>
      <c r="U57" s="53">
        <v>98</v>
      </c>
      <c r="V57" s="122">
        <f t="shared" si="2"/>
        <v>3234</v>
      </c>
      <c r="W57" s="53">
        <v>24</v>
      </c>
      <c r="X57" s="120" t="s">
        <v>46</v>
      </c>
      <c r="Y57" s="53" t="s">
        <v>55</v>
      </c>
      <c r="Z57" s="53" t="s">
        <v>97</v>
      </c>
      <c r="AA57" s="53" t="s">
        <v>69</v>
      </c>
      <c r="AB57" s="120" t="s">
        <v>260</v>
      </c>
      <c r="AC57" s="34"/>
    </row>
    <row r="58" spans="1:29" x14ac:dyDescent="0.15">
      <c r="A58" s="120" t="s">
        <v>61</v>
      </c>
      <c r="B58" s="120" t="s">
        <v>256</v>
      </c>
      <c r="C58" s="120">
        <v>2019</v>
      </c>
      <c r="D58" s="121" t="s">
        <v>257</v>
      </c>
      <c r="E58" s="120" t="s">
        <v>133</v>
      </c>
      <c r="F58" s="120" t="s">
        <v>273</v>
      </c>
      <c r="G58" s="120" t="s">
        <v>42</v>
      </c>
      <c r="H58" s="53" t="s">
        <v>160</v>
      </c>
      <c r="I58" s="53" t="s">
        <v>159</v>
      </c>
      <c r="J58" s="120" t="s">
        <v>38</v>
      </c>
      <c r="K58" s="53" t="s">
        <v>161</v>
      </c>
      <c r="L58" s="53">
        <v>3</v>
      </c>
      <c r="N58" s="53">
        <v>1</v>
      </c>
      <c r="O58" s="53">
        <v>0.5</v>
      </c>
      <c r="P58" s="53">
        <v>1.25</v>
      </c>
      <c r="Q58" s="74">
        <f t="shared" si="0"/>
        <v>0.875</v>
      </c>
      <c r="R58" s="53">
        <v>16.2</v>
      </c>
      <c r="S58" s="53">
        <v>108</v>
      </c>
      <c r="T58" s="16">
        <f t="shared" si="1"/>
        <v>33</v>
      </c>
      <c r="U58" s="53">
        <v>98</v>
      </c>
      <c r="V58" s="122">
        <f t="shared" si="2"/>
        <v>3234</v>
      </c>
      <c r="W58" s="53">
        <v>24</v>
      </c>
      <c r="X58" s="120" t="s">
        <v>46</v>
      </c>
      <c r="Y58" s="53" t="s">
        <v>55</v>
      </c>
      <c r="Z58" s="53" t="s">
        <v>97</v>
      </c>
      <c r="AA58" s="53" t="s">
        <v>69</v>
      </c>
      <c r="AB58" s="120" t="s">
        <v>260</v>
      </c>
      <c r="AC58" s="34"/>
    </row>
    <row r="59" spans="1:29" x14ac:dyDescent="0.15">
      <c r="A59" s="120" t="s">
        <v>61</v>
      </c>
      <c r="B59" s="120" t="s">
        <v>256</v>
      </c>
      <c r="C59" s="120">
        <v>2019</v>
      </c>
      <c r="D59" s="121" t="s">
        <v>257</v>
      </c>
      <c r="E59" s="120" t="s">
        <v>274</v>
      </c>
      <c r="F59" s="120" t="s">
        <v>275</v>
      </c>
      <c r="G59" s="120" t="s">
        <v>42</v>
      </c>
      <c r="H59" s="53" t="s">
        <v>164</v>
      </c>
      <c r="I59" s="53" t="s">
        <v>159</v>
      </c>
      <c r="J59" s="120" t="s">
        <v>38</v>
      </c>
      <c r="K59" s="53" t="s">
        <v>161</v>
      </c>
      <c r="L59" s="53">
        <v>1</v>
      </c>
      <c r="N59" s="53">
        <v>4</v>
      </c>
      <c r="O59" s="53">
        <v>1</v>
      </c>
      <c r="P59" s="53">
        <v>0.5</v>
      </c>
      <c r="Q59" s="74">
        <f t="shared" si="0"/>
        <v>0.75</v>
      </c>
      <c r="R59" s="53">
        <v>17.100000000000001</v>
      </c>
      <c r="S59" s="53">
        <v>104</v>
      </c>
      <c r="T59" s="16">
        <f t="shared" si="1"/>
        <v>33</v>
      </c>
      <c r="U59" s="53">
        <v>398</v>
      </c>
      <c r="V59" s="122">
        <f t="shared" si="2"/>
        <v>3283.5</v>
      </c>
      <c r="W59" s="53">
        <v>12</v>
      </c>
      <c r="X59" s="120" t="s">
        <v>46</v>
      </c>
      <c r="Y59" s="53" t="s">
        <v>97</v>
      </c>
      <c r="Z59" s="53" t="s">
        <v>69</v>
      </c>
      <c r="AA59" s="53" t="s">
        <v>78</v>
      </c>
      <c r="AB59" s="120" t="s">
        <v>260</v>
      </c>
    </row>
    <row r="60" spans="1:29" x14ac:dyDescent="0.15">
      <c r="A60" s="120" t="s">
        <v>61</v>
      </c>
      <c r="B60" s="120" t="s">
        <v>256</v>
      </c>
      <c r="C60" s="120">
        <v>2019</v>
      </c>
      <c r="D60" s="121" t="s">
        <v>257</v>
      </c>
      <c r="E60" s="120" t="s">
        <v>274</v>
      </c>
      <c r="F60" s="120" t="s">
        <v>275</v>
      </c>
      <c r="G60" s="120" t="s">
        <v>42</v>
      </c>
      <c r="H60" s="53" t="s">
        <v>164</v>
      </c>
      <c r="I60" s="53" t="s">
        <v>159</v>
      </c>
      <c r="J60" s="120" t="s">
        <v>38</v>
      </c>
      <c r="K60" s="53" t="s">
        <v>161</v>
      </c>
      <c r="L60" s="53">
        <v>2</v>
      </c>
      <c r="N60" s="53">
        <v>4</v>
      </c>
      <c r="O60" s="53">
        <v>0.85</v>
      </c>
      <c r="P60" s="53">
        <v>0.5</v>
      </c>
      <c r="Q60" s="74">
        <f t="shared" si="0"/>
        <v>0.67500000000000004</v>
      </c>
      <c r="R60" s="53">
        <v>16.3</v>
      </c>
      <c r="S60" s="53">
        <v>118</v>
      </c>
      <c r="T60" s="16">
        <f t="shared" si="1"/>
        <v>30</v>
      </c>
      <c r="U60" s="53">
        <v>398</v>
      </c>
      <c r="V60" s="122">
        <f t="shared" si="2"/>
        <v>2985</v>
      </c>
      <c r="W60" s="53">
        <v>12</v>
      </c>
      <c r="X60" s="120" t="s">
        <v>46</v>
      </c>
      <c r="Y60" s="53" t="s">
        <v>97</v>
      </c>
      <c r="Z60" s="53" t="s">
        <v>69</v>
      </c>
      <c r="AA60" s="53" t="s">
        <v>78</v>
      </c>
      <c r="AB60" s="120" t="s">
        <v>260</v>
      </c>
    </row>
    <row r="61" spans="1:29" x14ac:dyDescent="0.15">
      <c r="A61" s="120" t="s">
        <v>61</v>
      </c>
      <c r="B61" s="120" t="s">
        <v>256</v>
      </c>
      <c r="C61" s="120">
        <v>2019</v>
      </c>
      <c r="D61" s="121" t="s">
        <v>257</v>
      </c>
      <c r="E61" s="120" t="s">
        <v>274</v>
      </c>
      <c r="F61" s="120" t="s">
        <v>275</v>
      </c>
      <c r="G61" s="120" t="s">
        <v>42</v>
      </c>
      <c r="H61" s="53" t="s">
        <v>164</v>
      </c>
      <c r="I61" s="53" t="s">
        <v>159</v>
      </c>
      <c r="J61" s="120" t="s">
        <v>38</v>
      </c>
      <c r="K61" s="53" t="s">
        <v>161</v>
      </c>
      <c r="L61" s="53">
        <v>3</v>
      </c>
      <c r="N61" s="53">
        <v>4</v>
      </c>
      <c r="O61" s="53">
        <v>1.05</v>
      </c>
      <c r="P61" s="53">
        <v>0.5</v>
      </c>
      <c r="Q61" s="74">
        <f t="shared" si="0"/>
        <v>0.77500000000000002</v>
      </c>
      <c r="R61" s="53">
        <v>18.100000000000001</v>
      </c>
      <c r="S61" s="53">
        <v>112</v>
      </c>
      <c r="T61" s="16">
        <f t="shared" si="1"/>
        <v>33</v>
      </c>
      <c r="U61" s="53">
        <v>398</v>
      </c>
      <c r="V61" s="122">
        <f t="shared" si="2"/>
        <v>3283.5</v>
      </c>
      <c r="W61" s="53">
        <v>12</v>
      </c>
      <c r="X61" s="120" t="s">
        <v>46</v>
      </c>
      <c r="Y61" s="53" t="s">
        <v>97</v>
      </c>
      <c r="Z61" s="53" t="s">
        <v>69</v>
      </c>
      <c r="AA61" s="53" t="s">
        <v>78</v>
      </c>
      <c r="AB61" s="120" t="s">
        <v>260</v>
      </c>
    </row>
    <row r="62" spans="1:29" x14ac:dyDescent="0.15">
      <c r="A62" s="120" t="s">
        <v>61</v>
      </c>
      <c r="B62" s="120" t="s">
        <v>256</v>
      </c>
      <c r="C62" s="120">
        <v>2019</v>
      </c>
      <c r="D62" s="121" t="s">
        <v>257</v>
      </c>
      <c r="E62" s="120" t="s">
        <v>274</v>
      </c>
      <c r="F62" s="120" t="s">
        <v>275</v>
      </c>
      <c r="G62" s="120" t="s">
        <v>42</v>
      </c>
      <c r="H62" s="53" t="s">
        <v>168</v>
      </c>
      <c r="I62" s="53" t="s">
        <v>159</v>
      </c>
      <c r="J62" s="120" t="s">
        <v>38</v>
      </c>
      <c r="K62" s="53" t="s">
        <v>161</v>
      </c>
      <c r="L62" s="53">
        <v>1</v>
      </c>
      <c r="N62" s="53">
        <v>5</v>
      </c>
      <c r="O62" s="53">
        <v>1.25</v>
      </c>
      <c r="P62" s="53">
        <v>0.75</v>
      </c>
      <c r="Q62" s="74">
        <f t="shared" si="0"/>
        <v>1</v>
      </c>
      <c r="R62" s="53">
        <v>18.399999999999999</v>
      </c>
      <c r="S62" s="53">
        <v>111</v>
      </c>
      <c r="T62" s="16">
        <f t="shared" si="1"/>
        <v>33</v>
      </c>
      <c r="U62" s="53">
        <v>398</v>
      </c>
      <c r="V62" s="122">
        <f t="shared" si="2"/>
        <v>2626.7999999999997</v>
      </c>
      <c r="W62" s="53">
        <v>12</v>
      </c>
      <c r="X62" s="120" t="s">
        <v>46</v>
      </c>
      <c r="Y62" s="53" t="s">
        <v>97</v>
      </c>
      <c r="Z62" s="53" t="s">
        <v>69</v>
      </c>
      <c r="AA62" s="53" t="s">
        <v>78</v>
      </c>
      <c r="AB62" s="120" t="s">
        <v>260</v>
      </c>
    </row>
    <row r="63" spans="1:29" x14ac:dyDescent="0.15">
      <c r="A63" s="120" t="s">
        <v>61</v>
      </c>
      <c r="B63" s="120" t="s">
        <v>256</v>
      </c>
      <c r="C63" s="120">
        <v>2019</v>
      </c>
      <c r="D63" s="121" t="s">
        <v>257</v>
      </c>
      <c r="E63" s="120" t="s">
        <v>274</v>
      </c>
      <c r="F63" s="120" t="s">
        <v>275</v>
      </c>
      <c r="G63" s="120" t="s">
        <v>42</v>
      </c>
      <c r="H63" s="53" t="s">
        <v>168</v>
      </c>
      <c r="I63" s="53" t="s">
        <v>159</v>
      </c>
      <c r="J63" s="120" t="s">
        <v>38</v>
      </c>
      <c r="K63" s="53" t="s">
        <v>161</v>
      </c>
      <c r="L63" s="53">
        <v>2</v>
      </c>
      <c r="N63" s="53">
        <v>5</v>
      </c>
      <c r="O63" s="53">
        <v>0.5</v>
      </c>
      <c r="P63" s="53">
        <v>0.65</v>
      </c>
      <c r="Q63" s="74">
        <f t="shared" si="0"/>
        <v>0.57499999999999996</v>
      </c>
      <c r="R63" s="53">
        <v>17.399999999999999</v>
      </c>
      <c r="S63" s="53">
        <v>102</v>
      </c>
      <c r="T63" s="16">
        <f t="shared" si="1"/>
        <v>33</v>
      </c>
      <c r="U63" s="53">
        <v>398</v>
      </c>
      <c r="V63" s="122">
        <f t="shared" si="2"/>
        <v>2626.7999999999997</v>
      </c>
      <c r="W63" s="53">
        <v>12</v>
      </c>
      <c r="X63" s="120" t="s">
        <v>46</v>
      </c>
      <c r="Y63" s="53" t="s">
        <v>97</v>
      </c>
      <c r="Z63" s="53" t="s">
        <v>69</v>
      </c>
      <c r="AA63" s="53" t="s">
        <v>78</v>
      </c>
      <c r="AB63" s="120" t="s">
        <v>260</v>
      </c>
    </row>
    <row r="64" spans="1:29" x14ac:dyDescent="0.15">
      <c r="A64" s="120" t="s">
        <v>61</v>
      </c>
      <c r="B64" s="120" t="s">
        <v>256</v>
      </c>
      <c r="C64" s="120">
        <v>2019</v>
      </c>
      <c r="D64" s="121" t="s">
        <v>257</v>
      </c>
      <c r="E64" s="120" t="s">
        <v>274</v>
      </c>
      <c r="F64" s="120" t="s">
        <v>275</v>
      </c>
      <c r="G64" s="120" t="s">
        <v>42</v>
      </c>
      <c r="H64" s="53" t="s">
        <v>168</v>
      </c>
      <c r="I64" s="53" t="s">
        <v>159</v>
      </c>
      <c r="J64" s="120" t="s">
        <v>38</v>
      </c>
      <c r="K64" s="53" t="s">
        <v>161</v>
      </c>
      <c r="L64" s="53">
        <v>3</v>
      </c>
      <c r="N64" s="53">
        <v>5</v>
      </c>
      <c r="O64" s="53">
        <v>0.5</v>
      </c>
      <c r="P64" s="53">
        <v>1.05</v>
      </c>
      <c r="Q64" s="74">
        <f t="shared" si="0"/>
        <v>0.77500000000000002</v>
      </c>
      <c r="R64" s="53">
        <v>17.8</v>
      </c>
      <c r="S64" s="53">
        <v>95</v>
      </c>
      <c r="T64" s="16">
        <f t="shared" si="1"/>
        <v>36</v>
      </c>
      <c r="U64" s="53">
        <v>398</v>
      </c>
      <c r="V64" s="122">
        <f t="shared" si="2"/>
        <v>2865.6</v>
      </c>
      <c r="W64" s="53">
        <v>12</v>
      </c>
      <c r="X64" s="120" t="s">
        <v>46</v>
      </c>
      <c r="Y64" s="53" t="s">
        <v>97</v>
      </c>
      <c r="Z64" s="53" t="s">
        <v>69</v>
      </c>
      <c r="AA64" s="53" t="s">
        <v>78</v>
      </c>
      <c r="AB64" s="120" t="s">
        <v>260</v>
      </c>
    </row>
    <row r="65" spans="1:29" x14ac:dyDescent="0.15">
      <c r="A65" s="120" t="s">
        <v>61</v>
      </c>
      <c r="B65" s="120" t="s">
        <v>256</v>
      </c>
      <c r="C65" s="120">
        <v>2019</v>
      </c>
      <c r="D65" s="121" t="s">
        <v>257</v>
      </c>
      <c r="E65" s="120" t="s">
        <v>274</v>
      </c>
      <c r="F65" s="120" t="s">
        <v>275</v>
      </c>
      <c r="G65" s="120" t="s">
        <v>42</v>
      </c>
      <c r="H65" s="53" t="s">
        <v>160</v>
      </c>
      <c r="I65" s="53" t="s">
        <v>159</v>
      </c>
      <c r="J65" s="120" t="s">
        <v>38</v>
      </c>
      <c r="K65" s="53" t="s">
        <v>161</v>
      </c>
      <c r="L65" s="53">
        <v>1</v>
      </c>
      <c r="N65" s="53">
        <v>1</v>
      </c>
      <c r="O65" s="53">
        <v>0.5</v>
      </c>
      <c r="P65" s="53">
        <v>0.5</v>
      </c>
      <c r="Q65" s="74">
        <f t="shared" si="0"/>
        <v>0.5</v>
      </c>
      <c r="R65" s="53">
        <v>17.399999999999999</v>
      </c>
      <c r="S65" s="53">
        <v>103</v>
      </c>
      <c r="T65" s="16">
        <f t="shared" si="1"/>
        <v>33</v>
      </c>
      <c r="U65" s="53">
        <v>128</v>
      </c>
      <c r="V65" s="122">
        <f t="shared" si="2"/>
        <v>4224</v>
      </c>
      <c r="W65" s="53">
        <v>12</v>
      </c>
      <c r="X65" s="120" t="s">
        <v>46</v>
      </c>
      <c r="Y65" s="53" t="s">
        <v>97</v>
      </c>
      <c r="Z65" s="53" t="s">
        <v>69</v>
      </c>
      <c r="AA65" s="53" t="s">
        <v>78</v>
      </c>
      <c r="AB65" s="120" t="s">
        <v>260</v>
      </c>
      <c r="AC65" s="34"/>
    </row>
    <row r="66" spans="1:29" x14ac:dyDescent="0.15">
      <c r="A66" s="120" t="s">
        <v>61</v>
      </c>
      <c r="B66" s="120" t="s">
        <v>256</v>
      </c>
      <c r="C66" s="120">
        <v>2019</v>
      </c>
      <c r="D66" s="121" t="s">
        <v>257</v>
      </c>
      <c r="E66" s="120" t="s">
        <v>274</v>
      </c>
      <c r="F66" s="120" t="s">
        <v>275</v>
      </c>
      <c r="G66" s="120" t="s">
        <v>42</v>
      </c>
      <c r="H66" s="53" t="s">
        <v>160</v>
      </c>
      <c r="I66" s="53" t="s">
        <v>159</v>
      </c>
      <c r="J66" s="120" t="s">
        <v>38</v>
      </c>
      <c r="K66" s="53" t="s">
        <v>161</v>
      </c>
      <c r="L66" s="53">
        <v>2</v>
      </c>
      <c r="N66" s="53">
        <v>1</v>
      </c>
      <c r="O66" s="53">
        <v>1</v>
      </c>
      <c r="P66" s="53">
        <v>0.5</v>
      </c>
      <c r="Q66" s="74">
        <f t="shared" ref="Q66:Q104" si="3">IF(OR(O66="",P66=""),"",AVERAGE(O66,P66))</f>
        <v>0.75</v>
      </c>
      <c r="R66" s="53">
        <v>17.5</v>
      </c>
      <c r="S66" s="53">
        <v>83</v>
      </c>
      <c r="T66" s="16">
        <f t="shared" ref="T66:T103" si="4">IF(H66="","",IF(OR(H66="GREEN",H66="GK"),IF(S66&gt;=$AX$2,VLOOKUP(S66,$AX$2:$AY$15,2,1),""),IF(S66&gt;=$AZ$2,VLOOKUP(S66,$AZ$2:$BA$15,2,1),"")))</f>
        <v>39</v>
      </c>
      <c r="U66" s="53">
        <v>128</v>
      </c>
      <c r="V66" s="122">
        <f t="shared" ref="V66:V104" si="5">IF(OR(N66="",U66="",T66=""),"",U66/N66*T66)</f>
        <v>4992</v>
      </c>
      <c r="W66" s="53">
        <v>12</v>
      </c>
      <c r="X66" s="120" t="s">
        <v>46</v>
      </c>
      <c r="Y66" s="53" t="s">
        <v>97</v>
      </c>
      <c r="Z66" s="53" t="s">
        <v>69</v>
      </c>
      <c r="AA66" s="53" t="s">
        <v>78</v>
      </c>
      <c r="AB66" s="120" t="s">
        <v>260</v>
      </c>
      <c r="AC66" s="34"/>
    </row>
    <row r="67" spans="1:29" x14ac:dyDescent="0.15">
      <c r="A67" s="120" t="s">
        <v>61</v>
      </c>
      <c r="B67" s="120" t="s">
        <v>256</v>
      </c>
      <c r="C67" s="120">
        <v>2019</v>
      </c>
      <c r="D67" s="121" t="s">
        <v>257</v>
      </c>
      <c r="E67" s="120" t="s">
        <v>274</v>
      </c>
      <c r="F67" s="120" t="s">
        <v>275</v>
      </c>
      <c r="G67" s="120" t="s">
        <v>42</v>
      </c>
      <c r="H67" s="53" t="s">
        <v>160</v>
      </c>
      <c r="I67" s="53" t="s">
        <v>159</v>
      </c>
      <c r="J67" s="120" t="s">
        <v>38</v>
      </c>
      <c r="K67" s="53" t="s">
        <v>161</v>
      </c>
      <c r="L67" s="53">
        <v>3</v>
      </c>
      <c r="N67" s="53">
        <v>1</v>
      </c>
      <c r="O67" s="53">
        <v>0.85</v>
      </c>
      <c r="P67" s="53">
        <v>0.85</v>
      </c>
      <c r="Q67" s="74">
        <f t="shared" si="3"/>
        <v>0.85</v>
      </c>
      <c r="R67" s="53">
        <v>19</v>
      </c>
      <c r="S67" s="53">
        <v>85</v>
      </c>
      <c r="T67" s="16">
        <f t="shared" si="4"/>
        <v>36</v>
      </c>
      <c r="U67" s="53">
        <v>128</v>
      </c>
      <c r="V67" s="122">
        <f t="shared" si="5"/>
        <v>4608</v>
      </c>
      <c r="W67" s="53">
        <v>12</v>
      </c>
      <c r="X67" s="120" t="s">
        <v>46</v>
      </c>
      <c r="Y67" s="53" t="s">
        <v>97</v>
      </c>
      <c r="Z67" s="53" t="s">
        <v>69</v>
      </c>
      <c r="AA67" s="53" t="s">
        <v>78</v>
      </c>
      <c r="AB67" s="120" t="s">
        <v>260</v>
      </c>
      <c r="AC67" s="34"/>
    </row>
    <row r="68" spans="1:29" x14ac:dyDescent="0.15">
      <c r="A68" s="120" t="s">
        <v>61</v>
      </c>
      <c r="B68" s="120" t="s">
        <v>256</v>
      </c>
      <c r="C68" s="120">
        <v>2019</v>
      </c>
      <c r="D68" s="121" t="s">
        <v>257</v>
      </c>
      <c r="E68" s="120" t="s">
        <v>276</v>
      </c>
      <c r="F68" s="120" t="s">
        <v>275</v>
      </c>
      <c r="G68" s="120" t="s">
        <v>42</v>
      </c>
      <c r="H68" s="53" t="s">
        <v>164</v>
      </c>
      <c r="I68" s="53" t="s">
        <v>159</v>
      </c>
      <c r="J68" s="120" t="s">
        <v>38</v>
      </c>
      <c r="K68" s="53" t="s">
        <v>161</v>
      </c>
      <c r="L68" s="53">
        <v>1</v>
      </c>
      <c r="N68" s="53">
        <v>4</v>
      </c>
      <c r="O68" s="53">
        <v>0.75</v>
      </c>
      <c r="P68" s="53">
        <v>0.8</v>
      </c>
      <c r="Q68" s="74">
        <f t="shared" si="3"/>
        <v>0.77500000000000002</v>
      </c>
      <c r="R68" s="53">
        <v>19.100000000000001</v>
      </c>
      <c r="S68" s="53">
        <v>87</v>
      </c>
      <c r="T68" s="16">
        <f t="shared" si="4"/>
        <v>36</v>
      </c>
      <c r="U68" s="53">
        <v>321</v>
      </c>
      <c r="V68" s="122">
        <f t="shared" si="5"/>
        <v>2889</v>
      </c>
      <c r="W68" s="53">
        <v>26</v>
      </c>
      <c r="X68" s="120" t="s">
        <v>46</v>
      </c>
      <c r="Y68" s="53" t="s">
        <v>55</v>
      </c>
      <c r="Z68" s="53" t="s">
        <v>97</v>
      </c>
      <c r="AA68" s="53" t="s">
        <v>69</v>
      </c>
      <c r="AB68" s="120" t="s">
        <v>260</v>
      </c>
      <c r="AC68" s="34"/>
    </row>
    <row r="69" spans="1:29" x14ac:dyDescent="0.15">
      <c r="A69" s="120" t="s">
        <v>61</v>
      </c>
      <c r="B69" s="120" t="s">
        <v>256</v>
      </c>
      <c r="C69" s="120">
        <v>2019</v>
      </c>
      <c r="D69" s="121" t="s">
        <v>257</v>
      </c>
      <c r="E69" s="120" t="s">
        <v>276</v>
      </c>
      <c r="F69" s="120" t="s">
        <v>275</v>
      </c>
      <c r="G69" s="120" t="s">
        <v>42</v>
      </c>
      <c r="H69" s="53" t="s">
        <v>164</v>
      </c>
      <c r="I69" s="53" t="s">
        <v>159</v>
      </c>
      <c r="J69" s="120" t="s">
        <v>38</v>
      </c>
      <c r="K69" s="53" t="s">
        <v>161</v>
      </c>
      <c r="L69" s="53">
        <v>2</v>
      </c>
      <c r="N69" s="53">
        <v>4</v>
      </c>
      <c r="O69" s="53">
        <v>0.85</v>
      </c>
      <c r="P69" s="53">
        <v>0.65</v>
      </c>
      <c r="Q69" s="74">
        <f t="shared" si="3"/>
        <v>0.75</v>
      </c>
      <c r="R69" s="53">
        <v>18.7</v>
      </c>
      <c r="S69" s="53">
        <v>142</v>
      </c>
      <c r="T69" s="16">
        <f t="shared" si="4"/>
        <v>22</v>
      </c>
      <c r="U69" s="53">
        <v>321</v>
      </c>
      <c r="V69" s="122">
        <f t="shared" si="5"/>
        <v>1765.5</v>
      </c>
      <c r="W69" s="53">
        <v>26</v>
      </c>
      <c r="X69" s="120" t="s">
        <v>46</v>
      </c>
      <c r="Y69" s="53" t="s">
        <v>55</v>
      </c>
      <c r="Z69" s="53" t="s">
        <v>97</v>
      </c>
      <c r="AA69" s="53" t="s">
        <v>69</v>
      </c>
      <c r="AB69" s="120" t="s">
        <v>260</v>
      </c>
      <c r="AC69" s="34"/>
    </row>
    <row r="70" spans="1:29" x14ac:dyDescent="0.15">
      <c r="A70" s="120" t="s">
        <v>61</v>
      </c>
      <c r="B70" s="120" t="s">
        <v>256</v>
      </c>
      <c r="C70" s="120">
        <v>2019</v>
      </c>
      <c r="D70" s="121" t="s">
        <v>257</v>
      </c>
      <c r="E70" s="120" t="s">
        <v>276</v>
      </c>
      <c r="F70" s="120" t="s">
        <v>275</v>
      </c>
      <c r="G70" s="120" t="s">
        <v>42</v>
      </c>
      <c r="H70" s="53" t="s">
        <v>164</v>
      </c>
      <c r="I70" s="53" t="s">
        <v>159</v>
      </c>
      <c r="J70" s="120" t="s">
        <v>38</v>
      </c>
      <c r="K70" s="53" t="s">
        <v>161</v>
      </c>
      <c r="L70" s="53">
        <v>3</v>
      </c>
      <c r="N70" s="53">
        <v>4</v>
      </c>
      <c r="O70" s="53">
        <v>0.5</v>
      </c>
      <c r="P70" s="53">
        <v>0.85</v>
      </c>
      <c r="Q70" s="74">
        <f t="shared" si="3"/>
        <v>0.67500000000000004</v>
      </c>
      <c r="R70" s="53">
        <v>17.3</v>
      </c>
      <c r="S70" s="53">
        <v>141</v>
      </c>
      <c r="T70" s="16">
        <f t="shared" si="4"/>
        <v>22</v>
      </c>
      <c r="U70" s="53">
        <v>321</v>
      </c>
      <c r="V70" s="122">
        <f t="shared" si="5"/>
        <v>1765.5</v>
      </c>
      <c r="W70" s="53">
        <v>26</v>
      </c>
      <c r="X70" s="120" t="s">
        <v>46</v>
      </c>
      <c r="Y70" s="53" t="s">
        <v>55</v>
      </c>
      <c r="Z70" s="53" t="s">
        <v>97</v>
      </c>
      <c r="AA70" s="53" t="s">
        <v>69</v>
      </c>
      <c r="AB70" s="120" t="s">
        <v>260</v>
      </c>
      <c r="AC70" s="34"/>
    </row>
    <row r="71" spans="1:29" x14ac:dyDescent="0.15">
      <c r="A71" s="120" t="s">
        <v>61</v>
      </c>
      <c r="B71" s="120" t="s">
        <v>256</v>
      </c>
      <c r="C71" s="120">
        <v>2019</v>
      </c>
      <c r="D71" s="121" t="s">
        <v>257</v>
      </c>
      <c r="E71" s="120" t="s">
        <v>276</v>
      </c>
      <c r="F71" s="120" t="s">
        <v>275</v>
      </c>
      <c r="G71" s="120" t="s">
        <v>42</v>
      </c>
      <c r="H71" s="53" t="s">
        <v>168</v>
      </c>
      <c r="I71" s="53" t="s">
        <v>159</v>
      </c>
      <c r="J71" s="120" t="s">
        <v>38</v>
      </c>
      <c r="K71" s="53" t="s">
        <v>161</v>
      </c>
      <c r="L71" s="53">
        <v>1</v>
      </c>
      <c r="N71" s="53">
        <v>4</v>
      </c>
      <c r="O71" s="53">
        <v>0.75</v>
      </c>
      <c r="P71" s="53">
        <v>0.8</v>
      </c>
      <c r="Q71" s="74">
        <f t="shared" si="3"/>
        <v>0.77500000000000002</v>
      </c>
      <c r="R71" s="53">
        <v>17.3</v>
      </c>
      <c r="S71" s="53">
        <v>97</v>
      </c>
      <c r="T71" s="16">
        <f t="shared" si="4"/>
        <v>36</v>
      </c>
      <c r="U71" s="53">
        <v>321</v>
      </c>
      <c r="V71" s="122">
        <f t="shared" si="5"/>
        <v>2889</v>
      </c>
      <c r="W71" s="53">
        <v>26</v>
      </c>
      <c r="X71" s="120" t="s">
        <v>46</v>
      </c>
      <c r="Y71" s="53" t="s">
        <v>55</v>
      </c>
      <c r="Z71" s="53" t="s">
        <v>97</v>
      </c>
      <c r="AA71" s="53" t="s">
        <v>69</v>
      </c>
      <c r="AB71" s="120" t="s">
        <v>260</v>
      </c>
      <c r="AC71" s="34"/>
    </row>
    <row r="72" spans="1:29" x14ac:dyDescent="0.15">
      <c r="A72" s="120" t="s">
        <v>61</v>
      </c>
      <c r="B72" s="120" t="s">
        <v>256</v>
      </c>
      <c r="C72" s="120">
        <v>2019</v>
      </c>
      <c r="D72" s="121" t="s">
        <v>257</v>
      </c>
      <c r="E72" s="120" t="s">
        <v>276</v>
      </c>
      <c r="F72" s="120" t="s">
        <v>275</v>
      </c>
      <c r="G72" s="120" t="s">
        <v>42</v>
      </c>
      <c r="H72" s="53" t="s">
        <v>168</v>
      </c>
      <c r="I72" s="53" t="s">
        <v>159</v>
      </c>
      <c r="J72" s="120" t="s">
        <v>38</v>
      </c>
      <c r="K72" s="53" t="s">
        <v>161</v>
      </c>
      <c r="L72" s="53">
        <v>2</v>
      </c>
      <c r="N72" s="53">
        <v>4</v>
      </c>
      <c r="O72" s="53">
        <v>0.75</v>
      </c>
      <c r="P72" s="53">
        <v>1</v>
      </c>
      <c r="Q72" s="74">
        <f t="shared" si="3"/>
        <v>0.875</v>
      </c>
      <c r="R72" s="53">
        <v>17.600000000000001</v>
      </c>
      <c r="S72" s="53">
        <v>99</v>
      </c>
      <c r="T72" s="16">
        <f t="shared" si="4"/>
        <v>33</v>
      </c>
      <c r="U72" s="53">
        <v>321</v>
      </c>
      <c r="V72" s="122">
        <f t="shared" si="5"/>
        <v>2648.25</v>
      </c>
      <c r="W72" s="53">
        <v>26</v>
      </c>
      <c r="X72" s="120" t="s">
        <v>46</v>
      </c>
      <c r="Y72" s="53" t="s">
        <v>55</v>
      </c>
      <c r="Z72" s="53" t="s">
        <v>97</v>
      </c>
      <c r="AA72" s="53" t="s">
        <v>69</v>
      </c>
      <c r="AB72" s="120" t="s">
        <v>260</v>
      </c>
      <c r="AC72" s="34"/>
    </row>
    <row r="73" spans="1:29" x14ac:dyDescent="0.15">
      <c r="A73" s="120" t="s">
        <v>61</v>
      </c>
      <c r="B73" s="120" t="s">
        <v>256</v>
      </c>
      <c r="C73" s="120">
        <v>2019</v>
      </c>
      <c r="D73" s="121" t="s">
        <v>257</v>
      </c>
      <c r="E73" s="120" t="s">
        <v>276</v>
      </c>
      <c r="F73" s="120" t="s">
        <v>275</v>
      </c>
      <c r="G73" s="120" t="s">
        <v>42</v>
      </c>
      <c r="H73" s="53" t="s">
        <v>168</v>
      </c>
      <c r="I73" s="53" t="s">
        <v>159</v>
      </c>
      <c r="J73" s="120" t="s">
        <v>38</v>
      </c>
      <c r="K73" s="53" t="s">
        <v>161</v>
      </c>
      <c r="L73" s="53">
        <v>3</v>
      </c>
      <c r="N73" s="53">
        <v>4</v>
      </c>
      <c r="O73" s="53">
        <v>0.5</v>
      </c>
      <c r="P73" s="53">
        <v>1</v>
      </c>
      <c r="Q73" s="74">
        <f t="shared" si="3"/>
        <v>0.75</v>
      </c>
      <c r="R73" s="53">
        <v>10.5</v>
      </c>
      <c r="S73" s="53">
        <v>99</v>
      </c>
      <c r="T73" s="16">
        <f t="shared" si="4"/>
        <v>33</v>
      </c>
      <c r="U73" s="53">
        <v>321</v>
      </c>
      <c r="V73" s="122">
        <f t="shared" si="5"/>
        <v>2648.25</v>
      </c>
      <c r="W73" s="53">
        <v>26</v>
      </c>
      <c r="X73" s="120" t="s">
        <v>46</v>
      </c>
      <c r="Y73" s="53" t="s">
        <v>55</v>
      </c>
      <c r="Z73" s="53" t="s">
        <v>97</v>
      </c>
      <c r="AA73" s="53" t="s">
        <v>69</v>
      </c>
      <c r="AB73" s="120" t="s">
        <v>260</v>
      </c>
      <c r="AC73" s="34"/>
    </row>
    <row r="74" spans="1:29" x14ac:dyDescent="0.15">
      <c r="A74" s="120" t="s">
        <v>61</v>
      </c>
      <c r="B74" s="120" t="s">
        <v>256</v>
      </c>
      <c r="C74" s="120">
        <v>2019</v>
      </c>
      <c r="D74" s="121" t="s">
        <v>257</v>
      </c>
      <c r="E74" s="120" t="s">
        <v>276</v>
      </c>
      <c r="F74" s="120" t="s">
        <v>275</v>
      </c>
      <c r="G74" s="120" t="s">
        <v>42</v>
      </c>
      <c r="H74" s="53" t="s">
        <v>160</v>
      </c>
      <c r="I74" s="53" t="s">
        <v>159</v>
      </c>
      <c r="J74" s="120" t="s">
        <v>38</v>
      </c>
      <c r="K74" s="53" t="s">
        <v>161</v>
      </c>
      <c r="L74" s="53">
        <v>1</v>
      </c>
      <c r="N74" s="53">
        <v>1</v>
      </c>
      <c r="O74" s="53">
        <v>1</v>
      </c>
      <c r="P74" s="53">
        <v>0.75</v>
      </c>
      <c r="Q74" s="74">
        <f t="shared" si="3"/>
        <v>0.875</v>
      </c>
      <c r="R74" s="53">
        <v>15.6</v>
      </c>
      <c r="S74" s="53">
        <v>149</v>
      </c>
      <c r="T74" s="16">
        <f t="shared" si="4"/>
        <v>22</v>
      </c>
      <c r="U74" s="53">
        <v>414</v>
      </c>
      <c r="V74" s="122">
        <f t="shared" si="5"/>
        <v>9108</v>
      </c>
      <c r="W74" s="53">
        <v>26</v>
      </c>
      <c r="X74" s="120" t="s">
        <v>46</v>
      </c>
      <c r="Y74" s="53" t="s">
        <v>55</v>
      </c>
      <c r="Z74" s="53" t="s">
        <v>97</v>
      </c>
      <c r="AA74" s="53" t="s">
        <v>69</v>
      </c>
      <c r="AB74" s="120" t="s">
        <v>260</v>
      </c>
    </row>
    <row r="75" spans="1:29" x14ac:dyDescent="0.15">
      <c r="A75" s="120" t="s">
        <v>61</v>
      </c>
      <c r="B75" s="120" t="s">
        <v>256</v>
      </c>
      <c r="C75" s="120">
        <v>2019</v>
      </c>
      <c r="D75" s="121" t="s">
        <v>257</v>
      </c>
      <c r="E75" s="120" t="s">
        <v>276</v>
      </c>
      <c r="F75" s="120" t="s">
        <v>275</v>
      </c>
      <c r="G75" s="120" t="s">
        <v>42</v>
      </c>
      <c r="H75" s="53" t="s">
        <v>160</v>
      </c>
      <c r="I75" s="53" t="s">
        <v>159</v>
      </c>
      <c r="J75" s="120" t="s">
        <v>38</v>
      </c>
      <c r="K75" s="53" t="s">
        <v>161</v>
      </c>
      <c r="L75" s="53">
        <v>2</v>
      </c>
      <c r="N75" s="53">
        <v>1</v>
      </c>
      <c r="O75" s="53">
        <v>1</v>
      </c>
      <c r="P75" s="53">
        <v>0.8</v>
      </c>
      <c r="Q75" s="74">
        <f t="shared" si="3"/>
        <v>0.9</v>
      </c>
      <c r="R75" s="53">
        <v>14.4</v>
      </c>
      <c r="S75" s="53">
        <v>138</v>
      </c>
      <c r="T75" s="16">
        <f t="shared" si="4"/>
        <v>22</v>
      </c>
      <c r="U75" s="53">
        <v>414</v>
      </c>
      <c r="V75" s="122">
        <f t="shared" si="5"/>
        <v>9108</v>
      </c>
      <c r="W75" s="53">
        <v>26</v>
      </c>
      <c r="X75" s="120" t="s">
        <v>46</v>
      </c>
      <c r="Y75" s="53" t="s">
        <v>55</v>
      </c>
      <c r="Z75" s="53" t="s">
        <v>97</v>
      </c>
      <c r="AA75" s="53" t="s">
        <v>69</v>
      </c>
      <c r="AB75" s="120" t="s">
        <v>260</v>
      </c>
    </row>
    <row r="76" spans="1:29" x14ac:dyDescent="0.15">
      <c r="A76" s="120" t="s">
        <v>61</v>
      </c>
      <c r="B76" s="120" t="s">
        <v>256</v>
      </c>
      <c r="C76" s="120">
        <v>2019</v>
      </c>
      <c r="D76" s="121" t="s">
        <v>257</v>
      </c>
      <c r="E76" s="120" t="s">
        <v>276</v>
      </c>
      <c r="F76" s="120" t="s">
        <v>275</v>
      </c>
      <c r="G76" s="120" t="s">
        <v>42</v>
      </c>
      <c r="H76" s="53" t="s">
        <v>160</v>
      </c>
      <c r="I76" s="53" t="s">
        <v>159</v>
      </c>
      <c r="J76" s="120" t="s">
        <v>38</v>
      </c>
      <c r="K76" s="53" t="s">
        <v>161</v>
      </c>
      <c r="L76" s="53">
        <v>3</v>
      </c>
      <c r="N76" s="53">
        <v>1</v>
      </c>
      <c r="O76" s="53">
        <v>1</v>
      </c>
      <c r="P76" s="53">
        <v>0.85</v>
      </c>
      <c r="Q76" s="74">
        <f t="shared" si="3"/>
        <v>0.92500000000000004</v>
      </c>
      <c r="R76" s="53">
        <v>19.100000000000001</v>
      </c>
      <c r="S76" s="53">
        <v>142</v>
      </c>
      <c r="T76" s="16">
        <f t="shared" si="4"/>
        <v>22</v>
      </c>
      <c r="U76" s="53">
        <v>414</v>
      </c>
      <c r="V76" s="122">
        <f t="shared" si="5"/>
        <v>9108</v>
      </c>
      <c r="W76" s="53">
        <v>26</v>
      </c>
      <c r="X76" s="120" t="s">
        <v>46</v>
      </c>
      <c r="Y76" s="53" t="s">
        <v>55</v>
      </c>
      <c r="Z76" s="53" t="s">
        <v>97</v>
      </c>
      <c r="AA76" s="53" t="s">
        <v>69</v>
      </c>
      <c r="AB76" s="120" t="s">
        <v>260</v>
      </c>
    </row>
    <row r="77" spans="1:29" x14ac:dyDescent="0.15">
      <c r="A77" s="120"/>
      <c r="B77" s="120"/>
      <c r="C77" s="120"/>
      <c r="D77" s="121"/>
      <c r="E77" s="120"/>
      <c r="F77" s="120"/>
      <c r="G77" s="120"/>
      <c r="J77" s="120"/>
      <c r="Q77" s="74" t="str">
        <f t="shared" si="3"/>
        <v/>
      </c>
      <c r="T77" s="16" t="str">
        <f t="shared" si="4"/>
        <v/>
      </c>
      <c r="V77" s="122" t="str">
        <f t="shared" si="5"/>
        <v/>
      </c>
      <c r="X77" s="120"/>
      <c r="AB77" s="120"/>
      <c r="AC77" s="34"/>
    </row>
    <row r="78" spans="1:29" x14ac:dyDescent="0.15">
      <c r="A78" s="120"/>
      <c r="B78" s="120"/>
      <c r="C78" s="120"/>
      <c r="D78" s="121"/>
      <c r="E78" s="120"/>
      <c r="F78" s="120"/>
      <c r="G78" s="120"/>
      <c r="J78" s="120"/>
      <c r="Q78" s="74" t="str">
        <f t="shared" si="3"/>
        <v/>
      </c>
      <c r="R78" s="34"/>
      <c r="T78" s="16" t="str">
        <f t="shared" si="4"/>
        <v/>
      </c>
      <c r="V78" s="122" t="str">
        <f t="shared" si="5"/>
        <v/>
      </c>
      <c r="X78" s="120"/>
      <c r="AB78" s="120"/>
      <c r="AC78" s="34"/>
    </row>
    <row r="79" spans="1:29" x14ac:dyDescent="0.15">
      <c r="A79" s="120"/>
      <c r="B79" s="120"/>
      <c r="C79" s="120"/>
      <c r="D79" s="121"/>
      <c r="F79" s="120"/>
      <c r="G79" s="120"/>
      <c r="J79" s="120"/>
      <c r="Q79" s="74" t="str">
        <f t="shared" si="3"/>
        <v/>
      </c>
      <c r="R79" s="34"/>
      <c r="T79" s="16" t="str">
        <f t="shared" si="4"/>
        <v/>
      </c>
      <c r="V79" s="122" t="str">
        <f t="shared" si="5"/>
        <v/>
      </c>
      <c r="X79" s="120"/>
      <c r="AB79" s="120"/>
      <c r="AC79" s="34"/>
    </row>
    <row r="80" spans="1:29" x14ac:dyDescent="0.15">
      <c r="A80" s="120"/>
      <c r="B80" s="120"/>
      <c r="C80" s="120"/>
      <c r="D80" s="121"/>
      <c r="F80" s="120"/>
      <c r="G80" s="120"/>
      <c r="J80" s="120"/>
      <c r="Q80" s="74" t="str">
        <f t="shared" si="3"/>
        <v/>
      </c>
      <c r="T80" s="16" t="str">
        <f t="shared" si="4"/>
        <v/>
      </c>
      <c r="V80" s="122" t="str">
        <f t="shared" si="5"/>
        <v/>
      </c>
      <c r="X80" s="120"/>
      <c r="AB80" s="120"/>
      <c r="AC80" s="34"/>
    </row>
    <row r="81" spans="1:29" x14ac:dyDescent="0.15">
      <c r="A81" s="120"/>
      <c r="B81" s="120"/>
      <c r="C81" s="120"/>
      <c r="D81" s="121"/>
      <c r="F81" s="120"/>
      <c r="G81" s="120"/>
      <c r="J81" s="120"/>
      <c r="Q81" s="74" t="str">
        <f t="shared" si="3"/>
        <v/>
      </c>
      <c r="T81" s="16" t="str">
        <f t="shared" si="4"/>
        <v/>
      </c>
      <c r="V81" s="122" t="str">
        <f t="shared" si="5"/>
        <v/>
      </c>
      <c r="X81" s="120"/>
      <c r="AB81" s="120"/>
      <c r="AC81" s="34"/>
    </row>
    <row r="82" spans="1:29" x14ac:dyDescent="0.15">
      <c r="A82" s="120"/>
      <c r="B82" s="120"/>
      <c r="C82" s="120"/>
      <c r="D82" s="121"/>
      <c r="G82" s="120"/>
      <c r="J82" s="120"/>
      <c r="Q82" s="74" t="str">
        <f t="shared" si="3"/>
        <v/>
      </c>
      <c r="T82" s="16" t="str">
        <f t="shared" si="4"/>
        <v/>
      </c>
      <c r="V82" s="122" t="str">
        <f t="shared" si="5"/>
        <v/>
      </c>
      <c r="X82" s="120"/>
      <c r="AB82" s="120"/>
      <c r="AC82" s="34"/>
    </row>
    <row r="83" spans="1:29" x14ac:dyDescent="0.15">
      <c r="A83" s="120"/>
      <c r="B83" s="120"/>
      <c r="C83" s="120"/>
      <c r="D83" s="121"/>
      <c r="G83" s="120"/>
      <c r="J83" s="120"/>
      <c r="Q83" s="74"/>
      <c r="V83" s="122"/>
      <c r="X83" s="120"/>
      <c r="AB83" s="120"/>
    </row>
    <row r="84" spans="1:29" x14ac:dyDescent="0.15">
      <c r="A84" s="120"/>
      <c r="B84" s="120"/>
      <c r="C84" s="120"/>
      <c r="D84" s="121"/>
      <c r="G84" s="120"/>
      <c r="J84" s="120"/>
      <c r="Q84" s="74"/>
      <c r="V84" s="122"/>
      <c r="X84" s="120"/>
      <c r="AB84" s="120"/>
    </row>
    <row r="85" spans="1:29" x14ac:dyDescent="0.15">
      <c r="A85" s="120"/>
      <c r="B85" s="120"/>
      <c r="C85" s="120"/>
      <c r="D85" s="121"/>
      <c r="G85" s="120"/>
      <c r="J85" s="120"/>
      <c r="Q85" s="74"/>
      <c r="V85" s="122"/>
      <c r="X85" s="120"/>
      <c r="AB85" s="120"/>
    </row>
    <row r="86" spans="1:29" x14ac:dyDescent="0.15">
      <c r="A86" s="120"/>
      <c r="B86" s="120"/>
      <c r="C86" s="120"/>
      <c r="D86" s="121"/>
      <c r="G86" s="120"/>
      <c r="J86" s="120"/>
      <c r="Q86" s="74" t="str">
        <f t="shared" ref="Q86:Q88" si="6">IF(OR(O86="",P86=""),"",AVERAGE(O86,P86))</f>
        <v/>
      </c>
      <c r="T86" s="16" t="str">
        <f>IF(H86="","",IF(OR(H86="GREEN",H86="GK"),IF(S86&gt;=$AX$2,VLOOKUP(S86,$AX$2:$AY$15,2,1),""),IF(S86&gt;=$AZ$2,VLOOKUP(S86,$AZ$2:$BA$15,2,1),"")))</f>
        <v/>
      </c>
      <c r="V86" s="122" t="str">
        <f t="shared" ref="V86:V88" si="7">IF(OR(N86="",U86="",T86=""),"",U86/N86*T86)</f>
        <v/>
      </c>
      <c r="X86" s="120"/>
      <c r="AB86" s="120"/>
    </row>
    <row r="87" spans="1:29" x14ac:dyDescent="0.15">
      <c r="A87" s="120"/>
      <c r="B87" s="120"/>
      <c r="C87" s="120"/>
      <c r="D87" s="121"/>
      <c r="G87" s="120"/>
      <c r="J87" s="120"/>
      <c r="Q87" s="74" t="str">
        <f t="shared" si="6"/>
        <v/>
      </c>
      <c r="T87" s="16" t="str">
        <f>IF(H87="","",IF(OR(H87="GREEN",H87="GK"),IF(S87&gt;=$AX$2,VLOOKUP(S87,$AX$2:$AY$15,2,1),""),IF(S87&gt;=$AZ$2,VLOOKUP(S87,$AZ$2:$BA$15,2,1),"")))</f>
        <v/>
      </c>
      <c r="V87" s="122" t="str">
        <f t="shared" si="7"/>
        <v/>
      </c>
      <c r="X87" s="120"/>
      <c r="AB87" s="120"/>
    </row>
    <row r="88" spans="1:29" x14ac:dyDescent="0.15">
      <c r="A88" s="120"/>
      <c r="B88" s="120"/>
      <c r="C88" s="120"/>
      <c r="D88" s="121"/>
      <c r="G88" s="120"/>
      <c r="J88" s="120"/>
      <c r="Q88" s="74" t="str">
        <f t="shared" si="6"/>
        <v/>
      </c>
      <c r="T88" s="16" t="str">
        <f>IF(H88="","",IF(OR(H88="GREEN",H88="GK"),IF(S88&gt;=$AX$2,VLOOKUP(S88,$AX$2:$AY$15,2,1),""),IF(S88&gt;=$AZ$2,VLOOKUP(S88,$AZ$2:$BA$15,2,1),"")))</f>
        <v/>
      </c>
      <c r="V88" s="122" t="str">
        <f t="shared" si="7"/>
        <v/>
      </c>
      <c r="X88" s="120"/>
      <c r="AB88" s="120"/>
    </row>
    <row r="89" spans="1:29" x14ac:dyDescent="0.15">
      <c r="A89" s="120"/>
      <c r="B89" s="120"/>
      <c r="C89" s="120"/>
      <c r="D89" s="121"/>
      <c r="G89" s="120"/>
      <c r="J89" s="120"/>
      <c r="Q89" s="74"/>
      <c r="V89" s="122"/>
      <c r="X89" s="120"/>
      <c r="AB89" s="120"/>
    </row>
    <row r="90" spans="1:29" x14ac:dyDescent="0.15">
      <c r="A90" s="120"/>
      <c r="B90" s="120"/>
      <c r="C90" s="120"/>
      <c r="D90" s="121"/>
      <c r="G90" s="120"/>
      <c r="J90" s="120"/>
      <c r="Q90" s="74"/>
      <c r="V90" s="122"/>
      <c r="X90" s="120"/>
      <c r="AB90" s="120"/>
    </row>
    <row r="91" spans="1:29" x14ac:dyDescent="0.15">
      <c r="A91" s="120"/>
      <c r="B91" s="120"/>
      <c r="C91" s="120"/>
      <c r="D91" s="121"/>
      <c r="G91" s="120"/>
      <c r="J91" s="120"/>
      <c r="Q91" s="74"/>
      <c r="V91" s="122"/>
      <c r="X91" s="120"/>
      <c r="AB91" s="120"/>
    </row>
    <row r="92" spans="1:29" x14ac:dyDescent="0.15">
      <c r="A92" s="120"/>
      <c r="B92" s="120"/>
      <c r="C92" s="120"/>
      <c r="D92" s="121"/>
      <c r="G92" s="120"/>
      <c r="J92" s="120"/>
      <c r="Q92" s="74"/>
      <c r="V92" s="122"/>
      <c r="X92" s="120"/>
      <c r="AB92" s="120"/>
    </row>
    <row r="93" spans="1:29" x14ac:dyDescent="0.15">
      <c r="A93" s="120"/>
      <c r="B93" s="120"/>
      <c r="C93" s="120"/>
      <c r="D93" s="121"/>
      <c r="G93" s="120"/>
      <c r="J93" s="120"/>
      <c r="Q93" s="74"/>
      <c r="V93" s="122"/>
      <c r="X93" s="120"/>
      <c r="AB93" s="120"/>
    </row>
    <row r="94" spans="1:29" x14ac:dyDescent="0.15">
      <c r="A94" s="120"/>
      <c r="B94" s="120"/>
      <c r="C94" s="120"/>
      <c r="D94" s="121"/>
      <c r="G94" s="120"/>
      <c r="J94" s="120"/>
      <c r="Q94" s="74"/>
      <c r="V94" s="122"/>
      <c r="X94" s="120"/>
      <c r="AB94" s="120"/>
    </row>
    <row r="95" spans="1:29" x14ac:dyDescent="0.15">
      <c r="A95" s="120"/>
      <c r="B95" s="120"/>
      <c r="C95" s="120"/>
      <c r="D95" s="121"/>
      <c r="G95" s="120"/>
      <c r="J95" s="120"/>
      <c r="Q95" s="74"/>
      <c r="V95" s="122"/>
      <c r="X95" s="120"/>
      <c r="AB95" s="120"/>
    </row>
    <row r="96" spans="1:29" x14ac:dyDescent="0.15">
      <c r="A96" s="120"/>
      <c r="B96" s="120"/>
      <c r="C96" s="120"/>
      <c r="D96" s="121"/>
      <c r="G96" s="120"/>
      <c r="J96" s="120"/>
      <c r="Q96" s="74"/>
      <c r="V96" s="122"/>
      <c r="X96" s="120"/>
      <c r="AB96" s="120"/>
    </row>
    <row r="97" spans="1:28" x14ac:dyDescent="0.15">
      <c r="A97" s="120"/>
      <c r="B97" s="120"/>
      <c r="C97" s="120"/>
      <c r="D97" s="121"/>
      <c r="G97" s="120"/>
      <c r="J97" s="120"/>
      <c r="Q97" s="74"/>
      <c r="V97" s="122"/>
      <c r="X97" s="120"/>
      <c r="AB97" s="120"/>
    </row>
    <row r="98" spans="1:28" x14ac:dyDescent="0.15">
      <c r="A98" s="120"/>
      <c r="B98" s="120"/>
      <c r="C98" s="120"/>
      <c r="D98" s="121"/>
      <c r="G98" s="120"/>
      <c r="J98" s="120"/>
      <c r="Q98" s="74"/>
      <c r="V98" s="122"/>
      <c r="X98" s="120"/>
      <c r="AB98" s="120"/>
    </row>
    <row r="99" spans="1:28" x14ac:dyDescent="0.15">
      <c r="A99" s="120"/>
      <c r="B99" s="120"/>
      <c r="C99" s="120"/>
      <c r="D99" s="121"/>
      <c r="G99" s="120"/>
      <c r="J99" s="120"/>
      <c r="Q99" s="74"/>
      <c r="V99" s="122"/>
      <c r="X99" s="120"/>
      <c r="AB99" s="120"/>
    </row>
    <row r="100" spans="1:28" x14ac:dyDescent="0.15">
      <c r="A100" s="120"/>
      <c r="B100" s="120"/>
      <c r="C100" s="120"/>
      <c r="D100" s="121"/>
      <c r="G100" s="120"/>
      <c r="J100" s="120"/>
      <c r="Q100" s="74"/>
      <c r="V100" s="122"/>
      <c r="X100" s="120"/>
      <c r="AB100" s="120"/>
    </row>
    <row r="101" spans="1:28" x14ac:dyDescent="0.15">
      <c r="A101" s="120"/>
      <c r="B101" s="120"/>
      <c r="C101" s="120"/>
      <c r="D101" s="121"/>
      <c r="G101" s="120"/>
      <c r="J101" s="120"/>
      <c r="Q101" s="74"/>
      <c r="V101" s="122"/>
      <c r="X101" s="120"/>
      <c r="AB101" s="120"/>
    </row>
    <row r="102" spans="1:28" x14ac:dyDescent="0.15">
      <c r="A102" s="120"/>
      <c r="B102" s="120"/>
      <c r="C102" s="120"/>
      <c r="D102" s="121"/>
      <c r="G102" s="120"/>
      <c r="J102" s="120"/>
      <c r="Q102" s="74"/>
      <c r="V102" s="122"/>
      <c r="X102" s="120"/>
      <c r="AB102" s="120"/>
    </row>
    <row r="103" spans="1:28" x14ac:dyDescent="0.15">
      <c r="A103" s="120"/>
      <c r="B103" s="120"/>
      <c r="C103" s="120"/>
      <c r="D103" s="121"/>
      <c r="G103" s="120"/>
      <c r="J103" s="120"/>
      <c r="Q103" s="74"/>
      <c r="V103" s="122"/>
      <c r="X103" s="120"/>
      <c r="AB103" s="120"/>
    </row>
    <row r="104" spans="1:28" x14ac:dyDescent="0.15">
      <c r="D104" s="121"/>
    </row>
    <row r="105" spans="1:28" x14ac:dyDescent="0.15">
      <c r="A105" s="120"/>
      <c r="B105" s="120"/>
      <c r="C105" s="120"/>
      <c r="D105" s="121"/>
      <c r="G105" s="120"/>
      <c r="J105" s="120"/>
      <c r="Q105" s="74"/>
      <c r="V105" s="122"/>
      <c r="X105" s="120"/>
      <c r="AB105" s="120"/>
    </row>
    <row r="106" spans="1:28" x14ac:dyDescent="0.15">
      <c r="A106" s="120"/>
      <c r="B106" s="120"/>
      <c r="C106" s="120"/>
      <c r="G106" s="120"/>
      <c r="J106" s="120"/>
      <c r="Q106" s="74"/>
      <c r="V106" s="122"/>
      <c r="X106" s="120"/>
      <c r="AB106" s="120"/>
    </row>
    <row r="107" spans="1:28" x14ac:dyDescent="0.15">
      <c r="A107" s="120"/>
      <c r="B107" s="120"/>
      <c r="C107" s="120"/>
      <c r="D107" s="121"/>
      <c r="G107" s="120"/>
      <c r="J107" s="120"/>
      <c r="Q107" s="74"/>
      <c r="V107" s="122"/>
      <c r="X107" s="120"/>
      <c r="AB107" s="120"/>
    </row>
    <row r="108" spans="1:28" x14ac:dyDescent="0.15">
      <c r="A108" s="120"/>
      <c r="B108" s="120"/>
      <c r="C108" s="120"/>
      <c r="D108" s="121"/>
      <c r="G108" s="120"/>
      <c r="J108" s="120"/>
      <c r="Q108" s="74"/>
      <c r="V108" s="122"/>
      <c r="X108" s="120"/>
      <c r="AB108" s="120"/>
    </row>
    <row r="109" spans="1:28" x14ac:dyDescent="0.15">
      <c r="A109" s="120"/>
      <c r="B109" s="120"/>
      <c r="C109" s="120"/>
      <c r="D109" s="121"/>
      <c r="G109" s="120"/>
      <c r="J109" s="120"/>
      <c r="Q109" s="74"/>
      <c r="V109" s="122"/>
      <c r="X109" s="120"/>
      <c r="AB109" s="120"/>
    </row>
    <row r="110" spans="1:28" x14ac:dyDescent="0.15">
      <c r="A110" s="120"/>
      <c r="B110" s="120"/>
      <c r="C110" s="120"/>
      <c r="D110" s="121"/>
      <c r="G110" s="120"/>
      <c r="J110" s="120"/>
      <c r="Q110" s="74"/>
      <c r="V110" s="122"/>
      <c r="X110" s="120"/>
      <c r="AB110" s="120"/>
    </row>
    <row r="111" spans="1:28" x14ac:dyDescent="0.15">
      <c r="A111" s="120"/>
      <c r="B111" s="120"/>
      <c r="C111" s="120"/>
      <c r="D111" s="121"/>
      <c r="G111" s="120"/>
      <c r="J111" s="120"/>
      <c r="Q111" s="74"/>
      <c r="V111" s="122"/>
      <c r="X111" s="120"/>
      <c r="AB111" s="120"/>
    </row>
    <row r="112" spans="1:28" x14ac:dyDescent="0.15">
      <c r="A112" s="120"/>
      <c r="B112" s="120"/>
      <c r="C112" s="120"/>
      <c r="D112" s="121"/>
      <c r="G112" s="120"/>
      <c r="J112" s="120"/>
      <c r="Q112" s="74"/>
      <c r="V112" s="122"/>
      <c r="X112" s="120"/>
      <c r="AB112" s="120"/>
    </row>
    <row r="113" spans="1:28" x14ac:dyDescent="0.15">
      <c r="A113" s="120"/>
      <c r="B113" s="120"/>
      <c r="C113" s="120"/>
      <c r="D113" s="121"/>
      <c r="G113" s="120"/>
      <c r="J113" s="120"/>
      <c r="Q113" s="74"/>
      <c r="V113" s="122"/>
      <c r="X113" s="120"/>
      <c r="AB113" s="120"/>
    </row>
    <row r="114" spans="1:28" x14ac:dyDescent="0.15">
      <c r="A114" s="120"/>
      <c r="B114" s="120"/>
      <c r="C114" s="120"/>
      <c r="D114" s="121"/>
      <c r="G114" s="120"/>
      <c r="J114" s="120"/>
      <c r="Q114" s="74"/>
      <c r="V114" s="122"/>
      <c r="X114" s="120"/>
      <c r="AB114" s="120"/>
    </row>
    <row r="115" spans="1:28" x14ac:dyDescent="0.15">
      <c r="A115" s="120"/>
      <c r="B115" s="120"/>
      <c r="C115" s="120"/>
      <c r="D115" s="121"/>
      <c r="G115" s="120"/>
      <c r="J115" s="120"/>
      <c r="Q115" s="74"/>
      <c r="V115" s="122"/>
      <c r="X115" s="120"/>
      <c r="AB115" s="120"/>
    </row>
    <row r="116" spans="1:28" x14ac:dyDescent="0.15">
      <c r="A116" s="120"/>
      <c r="B116" s="120"/>
      <c r="C116" s="120"/>
      <c r="D116" s="121"/>
      <c r="G116" s="120"/>
      <c r="J116" s="120"/>
      <c r="Q116" s="74"/>
      <c r="V116" s="122"/>
      <c r="X116" s="120"/>
      <c r="AB116" s="120"/>
    </row>
    <row r="117" spans="1:28" x14ac:dyDescent="0.15">
      <c r="A117" s="120"/>
      <c r="B117" s="120"/>
      <c r="C117" s="120"/>
      <c r="D117" s="121"/>
      <c r="G117" s="120"/>
      <c r="J117" s="120"/>
      <c r="Q117" s="74"/>
      <c r="V117" s="122"/>
      <c r="X117" s="120"/>
      <c r="AB117" s="120"/>
    </row>
    <row r="118" spans="1:28" x14ac:dyDescent="0.15">
      <c r="A118" s="120"/>
      <c r="B118" s="120"/>
      <c r="C118" s="120"/>
      <c r="D118" s="121"/>
      <c r="G118" s="120"/>
      <c r="J118" s="120"/>
      <c r="Q118" s="74"/>
      <c r="V118" s="122"/>
      <c r="X118" s="120"/>
      <c r="AB118" s="120"/>
    </row>
    <row r="119" spans="1:28" x14ac:dyDescent="0.15">
      <c r="A119" s="120"/>
      <c r="B119" s="120"/>
      <c r="C119" s="120"/>
      <c r="D119" s="121"/>
      <c r="G119" s="120"/>
      <c r="J119" s="120"/>
      <c r="Q119" s="74"/>
      <c r="V119" s="122"/>
      <c r="X119" s="120"/>
      <c r="AB119" s="120"/>
    </row>
    <row r="120" spans="1:28" x14ac:dyDescent="0.15">
      <c r="A120" s="120"/>
      <c r="B120" s="120"/>
      <c r="C120" s="120"/>
      <c r="D120" s="121"/>
      <c r="G120" s="120"/>
      <c r="J120" s="120"/>
      <c r="Q120" s="74"/>
      <c r="V120" s="122"/>
      <c r="X120" s="120"/>
      <c r="AB120" s="120"/>
    </row>
    <row r="121" spans="1:28" x14ac:dyDescent="0.15">
      <c r="A121" s="120"/>
      <c r="B121" s="120"/>
      <c r="C121" s="120"/>
      <c r="D121" s="121"/>
      <c r="G121" s="120"/>
      <c r="J121" s="120"/>
      <c r="Q121" s="74"/>
      <c r="V121" s="122"/>
      <c r="X121" s="120"/>
      <c r="AB121" s="120"/>
    </row>
    <row r="122" spans="1:28" x14ac:dyDescent="0.15">
      <c r="D122" s="121"/>
    </row>
    <row r="123" spans="1:28" x14ac:dyDescent="0.15">
      <c r="D123" s="121"/>
    </row>
  </sheetData>
  <autoFilter ref="A1:BA1" xr:uid="{00000000-0009-0000-0000-000004000000}"/>
  <phoneticPr fontId="3"/>
  <dataValidations count="21">
    <dataValidation type="list" allowBlank="1" showInputMessage="1" showErrorMessage="1" sqref="K2:K129" xr:uid="{A2FD3FE2-EB23-47A7-8E7F-9C21901DBE70}">
      <formula1>$AR$2:$AR$29</formula1>
    </dataValidation>
    <dataValidation type="list" allowBlank="1" showInputMessage="1" showErrorMessage="1" sqref="I64415:I64420 WVQ981898:WVQ981903 WLU981898:WLU981903 WBY981898:WBY981903 VSC981898:VSC981903 VIG981898:VIG981903 UYK981898:UYK981903 UOO981898:UOO981903 UES981898:UES981903 TUW981898:TUW981903 TLA981898:TLA981903 TBE981898:TBE981903 SRI981898:SRI981903 SHM981898:SHM981903 RXQ981898:RXQ981903 RNU981898:RNU981903 RDY981898:RDY981903 QUC981898:QUC981903 QKG981898:QKG981903 QAK981898:QAK981903 PQO981898:PQO981903 PGS981898:PGS981903 OWW981898:OWW981903 ONA981898:ONA981903 ODE981898:ODE981903 NTI981898:NTI981903 NJM981898:NJM981903 MZQ981898:MZQ981903 MPU981898:MPU981903 MFY981898:MFY981903 LWC981898:LWC981903 LMG981898:LMG981903 LCK981898:LCK981903 KSO981898:KSO981903 KIS981898:KIS981903 JYW981898:JYW981903 JPA981898:JPA981903 JFE981898:JFE981903 IVI981898:IVI981903 ILM981898:ILM981903 IBQ981898:IBQ981903 HRU981898:HRU981903 HHY981898:HHY981903 GYC981898:GYC981903 GOG981898:GOG981903 GEK981898:GEK981903 FUO981898:FUO981903 FKS981898:FKS981903 FAW981898:FAW981903 ERA981898:ERA981903 EHE981898:EHE981903 DXI981898:DXI981903 DNM981898:DNM981903 DDQ981898:DDQ981903 CTU981898:CTU981903 CJY981898:CJY981903 CAC981898:CAC981903 BQG981898:BQG981903 BGK981898:BGK981903 AWO981898:AWO981903 AMS981898:AMS981903 ACW981898:ACW981903 TA981898:TA981903 JE981898:JE981903 I981919:I981924 WVQ916362:WVQ916367 WLU916362:WLU916367 WBY916362:WBY916367 VSC916362:VSC916367 VIG916362:VIG916367 UYK916362:UYK916367 UOO916362:UOO916367 UES916362:UES916367 TUW916362:TUW916367 TLA916362:TLA916367 TBE916362:TBE916367 SRI916362:SRI916367 SHM916362:SHM916367 RXQ916362:RXQ916367 RNU916362:RNU916367 RDY916362:RDY916367 QUC916362:QUC916367 QKG916362:QKG916367 QAK916362:QAK916367 PQO916362:PQO916367 PGS916362:PGS916367 OWW916362:OWW916367 ONA916362:ONA916367 ODE916362:ODE916367 NTI916362:NTI916367 NJM916362:NJM916367 MZQ916362:MZQ916367 MPU916362:MPU916367 MFY916362:MFY916367 LWC916362:LWC916367 LMG916362:LMG916367 LCK916362:LCK916367 KSO916362:KSO916367 KIS916362:KIS916367 JYW916362:JYW916367 JPA916362:JPA916367 JFE916362:JFE916367 IVI916362:IVI916367 ILM916362:ILM916367 IBQ916362:IBQ916367 HRU916362:HRU916367 HHY916362:HHY916367 GYC916362:GYC916367 GOG916362:GOG916367 GEK916362:GEK916367 FUO916362:FUO916367 FKS916362:FKS916367 FAW916362:FAW916367 ERA916362:ERA916367 EHE916362:EHE916367 DXI916362:DXI916367 DNM916362:DNM916367 DDQ916362:DDQ916367 CTU916362:CTU916367 CJY916362:CJY916367 CAC916362:CAC916367 BQG916362:BQG916367 BGK916362:BGK916367 AWO916362:AWO916367 AMS916362:AMS916367 ACW916362:ACW916367 TA916362:TA916367 JE916362:JE916367 I916383:I916388 WVQ850826:WVQ850831 WLU850826:WLU850831 WBY850826:WBY850831 VSC850826:VSC850831 VIG850826:VIG850831 UYK850826:UYK850831 UOO850826:UOO850831 UES850826:UES850831 TUW850826:TUW850831 TLA850826:TLA850831 TBE850826:TBE850831 SRI850826:SRI850831 SHM850826:SHM850831 RXQ850826:RXQ850831 RNU850826:RNU850831 RDY850826:RDY850831 QUC850826:QUC850831 QKG850826:QKG850831 QAK850826:QAK850831 PQO850826:PQO850831 PGS850826:PGS850831 OWW850826:OWW850831 ONA850826:ONA850831 ODE850826:ODE850831 NTI850826:NTI850831 NJM850826:NJM850831 MZQ850826:MZQ850831 MPU850826:MPU850831 MFY850826:MFY850831 LWC850826:LWC850831 LMG850826:LMG850831 LCK850826:LCK850831 KSO850826:KSO850831 KIS850826:KIS850831 JYW850826:JYW850831 JPA850826:JPA850831 JFE850826:JFE850831 IVI850826:IVI850831 ILM850826:ILM850831 IBQ850826:IBQ850831 HRU850826:HRU850831 HHY850826:HHY850831 GYC850826:GYC850831 GOG850826:GOG850831 GEK850826:GEK850831 FUO850826:FUO850831 FKS850826:FKS850831 FAW850826:FAW850831 ERA850826:ERA850831 EHE850826:EHE850831 DXI850826:DXI850831 DNM850826:DNM850831 DDQ850826:DDQ850831 CTU850826:CTU850831 CJY850826:CJY850831 CAC850826:CAC850831 BQG850826:BQG850831 BGK850826:BGK850831 AWO850826:AWO850831 AMS850826:AMS850831 ACW850826:ACW850831 TA850826:TA850831 JE850826:JE850831 I850847:I850852 WVQ785290:WVQ785295 WLU785290:WLU785295 WBY785290:WBY785295 VSC785290:VSC785295 VIG785290:VIG785295 UYK785290:UYK785295 UOO785290:UOO785295 UES785290:UES785295 TUW785290:TUW785295 TLA785290:TLA785295 TBE785290:TBE785295 SRI785290:SRI785295 SHM785290:SHM785295 RXQ785290:RXQ785295 RNU785290:RNU785295 RDY785290:RDY785295 QUC785290:QUC785295 QKG785290:QKG785295 QAK785290:QAK785295 PQO785290:PQO785295 PGS785290:PGS785295 OWW785290:OWW785295 ONA785290:ONA785295 ODE785290:ODE785295 NTI785290:NTI785295 NJM785290:NJM785295 MZQ785290:MZQ785295 MPU785290:MPU785295 MFY785290:MFY785295 LWC785290:LWC785295 LMG785290:LMG785295 LCK785290:LCK785295 KSO785290:KSO785295 KIS785290:KIS785295 JYW785290:JYW785295 JPA785290:JPA785295 JFE785290:JFE785295 IVI785290:IVI785295 ILM785290:ILM785295 IBQ785290:IBQ785295 HRU785290:HRU785295 HHY785290:HHY785295 GYC785290:GYC785295 GOG785290:GOG785295 GEK785290:GEK785295 FUO785290:FUO785295 FKS785290:FKS785295 FAW785290:FAW785295 ERA785290:ERA785295 EHE785290:EHE785295 DXI785290:DXI785295 DNM785290:DNM785295 DDQ785290:DDQ785295 CTU785290:CTU785295 CJY785290:CJY785295 CAC785290:CAC785295 BQG785290:BQG785295 BGK785290:BGK785295 AWO785290:AWO785295 AMS785290:AMS785295 ACW785290:ACW785295 TA785290:TA785295 JE785290:JE785295 I785311:I785316 WVQ719754:WVQ719759 WLU719754:WLU719759 WBY719754:WBY719759 VSC719754:VSC719759 VIG719754:VIG719759 UYK719754:UYK719759 UOO719754:UOO719759 UES719754:UES719759 TUW719754:TUW719759 TLA719754:TLA719759 TBE719754:TBE719759 SRI719754:SRI719759 SHM719754:SHM719759 RXQ719754:RXQ719759 RNU719754:RNU719759 RDY719754:RDY719759 QUC719754:QUC719759 QKG719754:QKG719759 QAK719754:QAK719759 PQO719754:PQO719759 PGS719754:PGS719759 OWW719754:OWW719759 ONA719754:ONA719759 ODE719754:ODE719759 NTI719754:NTI719759 NJM719754:NJM719759 MZQ719754:MZQ719759 MPU719754:MPU719759 MFY719754:MFY719759 LWC719754:LWC719759 LMG719754:LMG719759 LCK719754:LCK719759 KSO719754:KSO719759 KIS719754:KIS719759 JYW719754:JYW719759 JPA719754:JPA719759 JFE719754:JFE719759 IVI719754:IVI719759 ILM719754:ILM719759 IBQ719754:IBQ719759 HRU719754:HRU719759 HHY719754:HHY719759 GYC719754:GYC719759 GOG719754:GOG719759 GEK719754:GEK719759 FUO719754:FUO719759 FKS719754:FKS719759 FAW719754:FAW719759 ERA719754:ERA719759 EHE719754:EHE719759 DXI719754:DXI719759 DNM719754:DNM719759 DDQ719754:DDQ719759 CTU719754:CTU719759 CJY719754:CJY719759 CAC719754:CAC719759 BQG719754:BQG719759 BGK719754:BGK719759 AWO719754:AWO719759 AMS719754:AMS719759 ACW719754:ACW719759 TA719754:TA719759 JE719754:JE719759 I719775:I719780 WVQ654218:WVQ654223 WLU654218:WLU654223 WBY654218:WBY654223 VSC654218:VSC654223 VIG654218:VIG654223 UYK654218:UYK654223 UOO654218:UOO654223 UES654218:UES654223 TUW654218:TUW654223 TLA654218:TLA654223 TBE654218:TBE654223 SRI654218:SRI654223 SHM654218:SHM654223 RXQ654218:RXQ654223 RNU654218:RNU654223 RDY654218:RDY654223 QUC654218:QUC654223 QKG654218:QKG654223 QAK654218:QAK654223 PQO654218:PQO654223 PGS654218:PGS654223 OWW654218:OWW654223 ONA654218:ONA654223 ODE654218:ODE654223 NTI654218:NTI654223 NJM654218:NJM654223 MZQ654218:MZQ654223 MPU654218:MPU654223 MFY654218:MFY654223 LWC654218:LWC654223 LMG654218:LMG654223 LCK654218:LCK654223 KSO654218:KSO654223 KIS654218:KIS654223 JYW654218:JYW654223 JPA654218:JPA654223 JFE654218:JFE654223 IVI654218:IVI654223 ILM654218:ILM654223 IBQ654218:IBQ654223 HRU654218:HRU654223 HHY654218:HHY654223 GYC654218:GYC654223 GOG654218:GOG654223 GEK654218:GEK654223 FUO654218:FUO654223 FKS654218:FKS654223 FAW654218:FAW654223 ERA654218:ERA654223 EHE654218:EHE654223 DXI654218:DXI654223 DNM654218:DNM654223 DDQ654218:DDQ654223 CTU654218:CTU654223 CJY654218:CJY654223 CAC654218:CAC654223 BQG654218:BQG654223 BGK654218:BGK654223 AWO654218:AWO654223 AMS654218:AMS654223 ACW654218:ACW654223 TA654218:TA654223 JE654218:JE654223 I654239:I654244 WVQ588682:WVQ588687 WLU588682:WLU588687 WBY588682:WBY588687 VSC588682:VSC588687 VIG588682:VIG588687 UYK588682:UYK588687 UOO588682:UOO588687 UES588682:UES588687 TUW588682:TUW588687 TLA588682:TLA588687 TBE588682:TBE588687 SRI588682:SRI588687 SHM588682:SHM588687 RXQ588682:RXQ588687 RNU588682:RNU588687 RDY588682:RDY588687 QUC588682:QUC588687 QKG588682:QKG588687 QAK588682:QAK588687 PQO588682:PQO588687 PGS588682:PGS588687 OWW588682:OWW588687 ONA588682:ONA588687 ODE588682:ODE588687 NTI588682:NTI588687 NJM588682:NJM588687 MZQ588682:MZQ588687 MPU588682:MPU588687 MFY588682:MFY588687 LWC588682:LWC588687 LMG588682:LMG588687 LCK588682:LCK588687 KSO588682:KSO588687 KIS588682:KIS588687 JYW588682:JYW588687 JPA588682:JPA588687 JFE588682:JFE588687 IVI588682:IVI588687 ILM588682:ILM588687 IBQ588682:IBQ588687 HRU588682:HRU588687 HHY588682:HHY588687 GYC588682:GYC588687 GOG588682:GOG588687 GEK588682:GEK588687 FUO588682:FUO588687 FKS588682:FKS588687 FAW588682:FAW588687 ERA588682:ERA588687 EHE588682:EHE588687 DXI588682:DXI588687 DNM588682:DNM588687 DDQ588682:DDQ588687 CTU588682:CTU588687 CJY588682:CJY588687 CAC588682:CAC588687 BQG588682:BQG588687 BGK588682:BGK588687 AWO588682:AWO588687 AMS588682:AMS588687 ACW588682:ACW588687 TA588682:TA588687 JE588682:JE588687 I588703:I588708 WVQ523146:WVQ523151 WLU523146:WLU523151 WBY523146:WBY523151 VSC523146:VSC523151 VIG523146:VIG523151 UYK523146:UYK523151 UOO523146:UOO523151 UES523146:UES523151 TUW523146:TUW523151 TLA523146:TLA523151 TBE523146:TBE523151 SRI523146:SRI523151 SHM523146:SHM523151 RXQ523146:RXQ523151 RNU523146:RNU523151 RDY523146:RDY523151 QUC523146:QUC523151 QKG523146:QKG523151 QAK523146:QAK523151 PQO523146:PQO523151 PGS523146:PGS523151 OWW523146:OWW523151 ONA523146:ONA523151 ODE523146:ODE523151 NTI523146:NTI523151 NJM523146:NJM523151 MZQ523146:MZQ523151 MPU523146:MPU523151 MFY523146:MFY523151 LWC523146:LWC523151 LMG523146:LMG523151 LCK523146:LCK523151 KSO523146:KSO523151 KIS523146:KIS523151 JYW523146:JYW523151 JPA523146:JPA523151 JFE523146:JFE523151 IVI523146:IVI523151 ILM523146:ILM523151 IBQ523146:IBQ523151 HRU523146:HRU523151 HHY523146:HHY523151 GYC523146:GYC523151 GOG523146:GOG523151 GEK523146:GEK523151 FUO523146:FUO523151 FKS523146:FKS523151 FAW523146:FAW523151 ERA523146:ERA523151 EHE523146:EHE523151 DXI523146:DXI523151 DNM523146:DNM523151 DDQ523146:DDQ523151 CTU523146:CTU523151 CJY523146:CJY523151 CAC523146:CAC523151 BQG523146:BQG523151 BGK523146:BGK523151 AWO523146:AWO523151 AMS523146:AMS523151 ACW523146:ACW523151 TA523146:TA523151 JE523146:JE523151 I523167:I523172 WVQ457610:WVQ457615 WLU457610:WLU457615 WBY457610:WBY457615 VSC457610:VSC457615 VIG457610:VIG457615 UYK457610:UYK457615 UOO457610:UOO457615 UES457610:UES457615 TUW457610:TUW457615 TLA457610:TLA457615 TBE457610:TBE457615 SRI457610:SRI457615 SHM457610:SHM457615 RXQ457610:RXQ457615 RNU457610:RNU457615 RDY457610:RDY457615 QUC457610:QUC457615 QKG457610:QKG457615 QAK457610:QAK457615 PQO457610:PQO457615 PGS457610:PGS457615 OWW457610:OWW457615 ONA457610:ONA457615 ODE457610:ODE457615 NTI457610:NTI457615 NJM457610:NJM457615 MZQ457610:MZQ457615 MPU457610:MPU457615 MFY457610:MFY457615 LWC457610:LWC457615 LMG457610:LMG457615 LCK457610:LCK457615 KSO457610:KSO457615 KIS457610:KIS457615 JYW457610:JYW457615 JPA457610:JPA457615 JFE457610:JFE457615 IVI457610:IVI457615 ILM457610:ILM457615 IBQ457610:IBQ457615 HRU457610:HRU457615 HHY457610:HHY457615 GYC457610:GYC457615 GOG457610:GOG457615 GEK457610:GEK457615 FUO457610:FUO457615 FKS457610:FKS457615 FAW457610:FAW457615 ERA457610:ERA457615 EHE457610:EHE457615 DXI457610:DXI457615 DNM457610:DNM457615 DDQ457610:DDQ457615 CTU457610:CTU457615 CJY457610:CJY457615 CAC457610:CAC457615 BQG457610:BQG457615 BGK457610:BGK457615 AWO457610:AWO457615 AMS457610:AMS457615 ACW457610:ACW457615 TA457610:TA457615 JE457610:JE457615 I457631:I457636 WVQ392074:WVQ392079 WLU392074:WLU392079 WBY392074:WBY392079 VSC392074:VSC392079 VIG392074:VIG392079 UYK392074:UYK392079 UOO392074:UOO392079 UES392074:UES392079 TUW392074:TUW392079 TLA392074:TLA392079 TBE392074:TBE392079 SRI392074:SRI392079 SHM392074:SHM392079 RXQ392074:RXQ392079 RNU392074:RNU392079 RDY392074:RDY392079 QUC392074:QUC392079 QKG392074:QKG392079 QAK392074:QAK392079 PQO392074:PQO392079 PGS392074:PGS392079 OWW392074:OWW392079 ONA392074:ONA392079 ODE392074:ODE392079 NTI392074:NTI392079 NJM392074:NJM392079 MZQ392074:MZQ392079 MPU392074:MPU392079 MFY392074:MFY392079 LWC392074:LWC392079 LMG392074:LMG392079 LCK392074:LCK392079 KSO392074:KSO392079 KIS392074:KIS392079 JYW392074:JYW392079 JPA392074:JPA392079 JFE392074:JFE392079 IVI392074:IVI392079 ILM392074:ILM392079 IBQ392074:IBQ392079 HRU392074:HRU392079 HHY392074:HHY392079 GYC392074:GYC392079 GOG392074:GOG392079 GEK392074:GEK392079 FUO392074:FUO392079 FKS392074:FKS392079 FAW392074:FAW392079 ERA392074:ERA392079 EHE392074:EHE392079 DXI392074:DXI392079 DNM392074:DNM392079 DDQ392074:DDQ392079 CTU392074:CTU392079 CJY392074:CJY392079 CAC392074:CAC392079 BQG392074:BQG392079 BGK392074:BGK392079 AWO392074:AWO392079 AMS392074:AMS392079 ACW392074:ACW392079 TA392074:TA392079 JE392074:JE392079 I392095:I392100 WVQ326538:WVQ326543 WLU326538:WLU326543 WBY326538:WBY326543 VSC326538:VSC326543 VIG326538:VIG326543 UYK326538:UYK326543 UOO326538:UOO326543 UES326538:UES326543 TUW326538:TUW326543 TLA326538:TLA326543 TBE326538:TBE326543 SRI326538:SRI326543 SHM326538:SHM326543 RXQ326538:RXQ326543 RNU326538:RNU326543 RDY326538:RDY326543 QUC326538:QUC326543 QKG326538:QKG326543 QAK326538:QAK326543 PQO326538:PQO326543 PGS326538:PGS326543 OWW326538:OWW326543 ONA326538:ONA326543 ODE326538:ODE326543 NTI326538:NTI326543 NJM326538:NJM326543 MZQ326538:MZQ326543 MPU326538:MPU326543 MFY326538:MFY326543 LWC326538:LWC326543 LMG326538:LMG326543 LCK326538:LCK326543 KSO326538:KSO326543 KIS326538:KIS326543 JYW326538:JYW326543 JPA326538:JPA326543 JFE326538:JFE326543 IVI326538:IVI326543 ILM326538:ILM326543 IBQ326538:IBQ326543 HRU326538:HRU326543 HHY326538:HHY326543 GYC326538:GYC326543 GOG326538:GOG326543 GEK326538:GEK326543 FUO326538:FUO326543 FKS326538:FKS326543 FAW326538:FAW326543 ERA326538:ERA326543 EHE326538:EHE326543 DXI326538:DXI326543 DNM326538:DNM326543 DDQ326538:DDQ326543 CTU326538:CTU326543 CJY326538:CJY326543 CAC326538:CAC326543 BQG326538:BQG326543 BGK326538:BGK326543 AWO326538:AWO326543 AMS326538:AMS326543 ACW326538:ACW326543 TA326538:TA326543 JE326538:JE326543 I326559:I326564 WVQ261002:WVQ261007 WLU261002:WLU261007 WBY261002:WBY261007 VSC261002:VSC261007 VIG261002:VIG261007 UYK261002:UYK261007 UOO261002:UOO261007 UES261002:UES261007 TUW261002:TUW261007 TLA261002:TLA261007 TBE261002:TBE261007 SRI261002:SRI261007 SHM261002:SHM261007 RXQ261002:RXQ261007 RNU261002:RNU261007 RDY261002:RDY261007 QUC261002:QUC261007 QKG261002:QKG261007 QAK261002:QAK261007 PQO261002:PQO261007 PGS261002:PGS261007 OWW261002:OWW261007 ONA261002:ONA261007 ODE261002:ODE261007 NTI261002:NTI261007 NJM261002:NJM261007 MZQ261002:MZQ261007 MPU261002:MPU261007 MFY261002:MFY261007 LWC261002:LWC261007 LMG261002:LMG261007 LCK261002:LCK261007 KSO261002:KSO261007 KIS261002:KIS261007 JYW261002:JYW261007 JPA261002:JPA261007 JFE261002:JFE261007 IVI261002:IVI261007 ILM261002:ILM261007 IBQ261002:IBQ261007 HRU261002:HRU261007 HHY261002:HHY261007 GYC261002:GYC261007 GOG261002:GOG261007 GEK261002:GEK261007 FUO261002:FUO261007 FKS261002:FKS261007 FAW261002:FAW261007 ERA261002:ERA261007 EHE261002:EHE261007 DXI261002:DXI261007 DNM261002:DNM261007 DDQ261002:DDQ261007 CTU261002:CTU261007 CJY261002:CJY261007 CAC261002:CAC261007 BQG261002:BQG261007 BGK261002:BGK261007 AWO261002:AWO261007 AMS261002:AMS261007 ACW261002:ACW261007 TA261002:TA261007 JE261002:JE261007 I261023:I261028 WVQ195466:WVQ195471 WLU195466:WLU195471 WBY195466:WBY195471 VSC195466:VSC195471 VIG195466:VIG195471 UYK195466:UYK195471 UOO195466:UOO195471 UES195466:UES195471 TUW195466:TUW195471 TLA195466:TLA195471 TBE195466:TBE195471 SRI195466:SRI195471 SHM195466:SHM195471 RXQ195466:RXQ195471 RNU195466:RNU195471 RDY195466:RDY195471 QUC195466:QUC195471 QKG195466:QKG195471 QAK195466:QAK195471 PQO195466:PQO195471 PGS195466:PGS195471 OWW195466:OWW195471 ONA195466:ONA195471 ODE195466:ODE195471 NTI195466:NTI195471 NJM195466:NJM195471 MZQ195466:MZQ195471 MPU195466:MPU195471 MFY195466:MFY195471 LWC195466:LWC195471 LMG195466:LMG195471 LCK195466:LCK195471 KSO195466:KSO195471 KIS195466:KIS195471 JYW195466:JYW195471 JPA195466:JPA195471 JFE195466:JFE195471 IVI195466:IVI195471 ILM195466:ILM195471 IBQ195466:IBQ195471 HRU195466:HRU195471 HHY195466:HHY195471 GYC195466:GYC195471 GOG195466:GOG195471 GEK195466:GEK195471 FUO195466:FUO195471 FKS195466:FKS195471 FAW195466:FAW195471 ERA195466:ERA195471 EHE195466:EHE195471 DXI195466:DXI195471 DNM195466:DNM195471 DDQ195466:DDQ195471 CTU195466:CTU195471 CJY195466:CJY195471 CAC195466:CAC195471 BQG195466:BQG195471 BGK195466:BGK195471 AWO195466:AWO195471 AMS195466:AMS195471 ACW195466:ACW195471 TA195466:TA195471 JE195466:JE195471 I195487:I195492 WVQ129930:WVQ129935 WLU129930:WLU129935 WBY129930:WBY129935 VSC129930:VSC129935 VIG129930:VIG129935 UYK129930:UYK129935 UOO129930:UOO129935 UES129930:UES129935 TUW129930:TUW129935 TLA129930:TLA129935 TBE129930:TBE129935 SRI129930:SRI129935 SHM129930:SHM129935 RXQ129930:RXQ129935 RNU129930:RNU129935 RDY129930:RDY129935 QUC129930:QUC129935 QKG129930:QKG129935 QAK129930:QAK129935 PQO129930:PQO129935 PGS129930:PGS129935 OWW129930:OWW129935 ONA129930:ONA129935 ODE129930:ODE129935 NTI129930:NTI129935 NJM129930:NJM129935 MZQ129930:MZQ129935 MPU129930:MPU129935 MFY129930:MFY129935 LWC129930:LWC129935 LMG129930:LMG129935 LCK129930:LCK129935 KSO129930:KSO129935 KIS129930:KIS129935 JYW129930:JYW129935 JPA129930:JPA129935 JFE129930:JFE129935 IVI129930:IVI129935 ILM129930:ILM129935 IBQ129930:IBQ129935 HRU129930:HRU129935 HHY129930:HHY129935 GYC129930:GYC129935 GOG129930:GOG129935 GEK129930:GEK129935 FUO129930:FUO129935 FKS129930:FKS129935 FAW129930:FAW129935 ERA129930:ERA129935 EHE129930:EHE129935 DXI129930:DXI129935 DNM129930:DNM129935 DDQ129930:DDQ129935 CTU129930:CTU129935 CJY129930:CJY129935 CAC129930:CAC129935 BQG129930:BQG129935 BGK129930:BGK129935 AWO129930:AWO129935 AMS129930:AMS129935 ACW129930:ACW129935 TA129930:TA129935 JE129930:JE129935 I129951:I129956 WVQ64394:WVQ64399 WLU64394:WLU64399 WBY64394:WBY64399 VSC64394:VSC64399 VIG64394:VIG64399 UYK64394:UYK64399 UOO64394:UOO64399 UES64394:UES64399 TUW64394:TUW64399 TLA64394:TLA64399 TBE64394:TBE64399 SRI64394:SRI64399 SHM64394:SHM64399 RXQ64394:RXQ64399 RNU64394:RNU64399 RDY64394:RDY64399 QUC64394:QUC64399 QKG64394:QKG64399 QAK64394:QAK64399 PQO64394:PQO64399 PGS64394:PGS64399 OWW64394:OWW64399 ONA64394:ONA64399 ODE64394:ODE64399 NTI64394:NTI64399 NJM64394:NJM64399 MZQ64394:MZQ64399 MPU64394:MPU64399 MFY64394:MFY64399 LWC64394:LWC64399 LMG64394:LMG64399 LCK64394:LCK64399 KSO64394:KSO64399 KIS64394:KIS64399 JYW64394:JYW64399 JPA64394:JPA64399 JFE64394:JFE64399 IVI64394:IVI64399 ILM64394:ILM64399 IBQ64394:IBQ64399 HRU64394:HRU64399 HHY64394:HHY64399 GYC64394:GYC64399 GOG64394:GOG64399 GEK64394:GEK64399 FUO64394:FUO64399 FKS64394:FKS64399 FAW64394:FAW64399 ERA64394:ERA64399 EHE64394:EHE64399 DXI64394:DXI64399 DNM64394:DNM64399 DDQ64394:DDQ64399 CTU64394:CTU64399 CJY64394:CJY64399 CAC64394:CAC64399 BQG64394:BQG64399 BGK64394:BGK64399 AWO64394:AWO64399 AMS64394:AMS64399 ACW64394:ACW64399 TA64394:TA64399 JE64394:JE64399" xr:uid="{489D4111-B0E6-45FE-8B79-FCDB6D9001A3}">
      <formula1>$AN$8:$AN$9</formula1>
    </dataValidation>
    <dataValidation type="list" allowBlank="1" showInputMessage="1" showErrorMessage="1" sqref="WVS981814:WVS981903 WLW981814:WLW981903 K64319:K64408 JG64310:JG64399 TC64310:TC64399 ACY64310:ACY64399 AMU64310:AMU64399 AWQ64310:AWQ64399 BGM64310:BGM64399 BQI64310:BQI64399 CAE64310:CAE64399 CKA64310:CKA64399 CTW64310:CTW64399 DDS64310:DDS64399 DNO64310:DNO64399 DXK64310:DXK64399 EHG64310:EHG64399 ERC64310:ERC64399 FAY64310:FAY64399 FKU64310:FKU64399 FUQ64310:FUQ64399 GEM64310:GEM64399 GOI64310:GOI64399 GYE64310:GYE64399 HIA64310:HIA64399 HRW64310:HRW64399 IBS64310:IBS64399 ILO64310:ILO64399 IVK64310:IVK64399 JFG64310:JFG64399 JPC64310:JPC64399 JYY64310:JYY64399 KIU64310:KIU64399 KSQ64310:KSQ64399 LCM64310:LCM64399 LMI64310:LMI64399 LWE64310:LWE64399 MGA64310:MGA64399 MPW64310:MPW64399 MZS64310:MZS64399 NJO64310:NJO64399 NTK64310:NTK64399 ODG64310:ODG64399 ONC64310:ONC64399 OWY64310:OWY64399 PGU64310:PGU64399 PQQ64310:PQQ64399 QAM64310:QAM64399 QKI64310:QKI64399 QUE64310:QUE64399 REA64310:REA64399 RNW64310:RNW64399 RXS64310:RXS64399 SHO64310:SHO64399 SRK64310:SRK64399 TBG64310:TBG64399 TLC64310:TLC64399 TUY64310:TUY64399 UEU64310:UEU64399 UOQ64310:UOQ64399 UYM64310:UYM64399 VII64310:VII64399 VSE64310:VSE64399 WCA64310:WCA64399 WLW64310:WLW64399 WVS64310:WVS64399 K129855:K129944 JG129846:JG129935 TC129846:TC129935 ACY129846:ACY129935 AMU129846:AMU129935 AWQ129846:AWQ129935 BGM129846:BGM129935 BQI129846:BQI129935 CAE129846:CAE129935 CKA129846:CKA129935 CTW129846:CTW129935 DDS129846:DDS129935 DNO129846:DNO129935 DXK129846:DXK129935 EHG129846:EHG129935 ERC129846:ERC129935 FAY129846:FAY129935 FKU129846:FKU129935 FUQ129846:FUQ129935 GEM129846:GEM129935 GOI129846:GOI129935 GYE129846:GYE129935 HIA129846:HIA129935 HRW129846:HRW129935 IBS129846:IBS129935 ILO129846:ILO129935 IVK129846:IVK129935 JFG129846:JFG129935 JPC129846:JPC129935 JYY129846:JYY129935 KIU129846:KIU129935 KSQ129846:KSQ129935 LCM129846:LCM129935 LMI129846:LMI129935 LWE129846:LWE129935 MGA129846:MGA129935 MPW129846:MPW129935 MZS129846:MZS129935 NJO129846:NJO129935 NTK129846:NTK129935 ODG129846:ODG129935 ONC129846:ONC129935 OWY129846:OWY129935 PGU129846:PGU129935 PQQ129846:PQQ129935 QAM129846:QAM129935 QKI129846:QKI129935 QUE129846:QUE129935 REA129846:REA129935 RNW129846:RNW129935 RXS129846:RXS129935 SHO129846:SHO129935 SRK129846:SRK129935 TBG129846:TBG129935 TLC129846:TLC129935 TUY129846:TUY129935 UEU129846:UEU129935 UOQ129846:UOQ129935 UYM129846:UYM129935 VII129846:VII129935 VSE129846:VSE129935 WCA129846:WCA129935 WLW129846:WLW129935 WVS129846:WVS129935 K195391:K195480 JG195382:JG195471 TC195382:TC195471 ACY195382:ACY195471 AMU195382:AMU195471 AWQ195382:AWQ195471 BGM195382:BGM195471 BQI195382:BQI195471 CAE195382:CAE195471 CKA195382:CKA195471 CTW195382:CTW195471 DDS195382:DDS195471 DNO195382:DNO195471 DXK195382:DXK195471 EHG195382:EHG195471 ERC195382:ERC195471 FAY195382:FAY195471 FKU195382:FKU195471 FUQ195382:FUQ195471 GEM195382:GEM195471 GOI195382:GOI195471 GYE195382:GYE195471 HIA195382:HIA195471 HRW195382:HRW195471 IBS195382:IBS195471 ILO195382:ILO195471 IVK195382:IVK195471 JFG195382:JFG195471 JPC195382:JPC195471 JYY195382:JYY195471 KIU195382:KIU195471 KSQ195382:KSQ195471 LCM195382:LCM195471 LMI195382:LMI195471 LWE195382:LWE195471 MGA195382:MGA195471 MPW195382:MPW195471 MZS195382:MZS195471 NJO195382:NJO195471 NTK195382:NTK195471 ODG195382:ODG195471 ONC195382:ONC195471 OWY195382:OWY195471 PGU195382:PGU195471 PQQ195382:PQQ195471 QAM195382:QAM195471 QKI195382:QKI195471 QUE195382:QUE195471 REA195382:REA195471 RNW195382:RNW195471 RXS195382:RXS195471 SHO195382:SHO195471 SRK195382:SRK195471 TBG195382:TBG195471 TLC195382:TLC195471 TUY195382:TUY195471 UEU195382:UEU195471 UOQ195382:UOQ195471 UYM195382:UYM195471 VII195382:VII195471 VSE195382:VSE195471 WCA195382:WCA195471 WLW195382:WLW195471 WVS195382:WVS195471 K260927:K261016 JG260918:JG261007 TC260918:TC261007 ACY260918:ACY261007 AMU260918:AMU261007 AWQ260918:AWQ261007 BGM260918:BGM261007 BQI260918:BQI261007 CAE260918:CAE261007 CKA260918:CKA261007 CTW260918:CTW261007 DDS260918:DDS261007 DNO260918:DNO261007 DXK260918:DXK261007 EHG260918:EHG261007 ERC260918:ERC261007 FAY260918:FAY261007 FKU260918:FKU261007 FUQ260918:FUQ261007 GEM260918:GEM261007 GOI260918:GOI261007 GYE260918:GYE261007 HIA260918:HIA261007 HRW260918:HRW261007 IBS260918:IBS261007 ILO260918:ILO261007 IVK260918:IVK261007 JFG260918:JFG261007 JPC260918:JPC261007 JYY260918:JYY261007 KIU260918:KIU261007 KSQ260918:KSQ261007 LCM260918:LCM261007 LMI260918:LMI261007 LWE260918:LWE261007 MGA260918:MGA261007 MPW260918:MPW261007 MZS260918:MZS261007 NJO260918:NJO261007 NTK260918:NTK261007 ODG260918:ODG261007 ONC260918:ONC261007 OWY260918:OWY261007 PGU260918:PGU261007 PQQ260918:PQQ261007 QAM260918:QAM261007 QKI260918:QKI261007 QUE260918:QUE261007 REA260918:REA261007 RNW260918:RNW261007 RXS260918:RXS261007 SHO260918:SHO261007 SRK260918:SRK261007 TBG260918:TBG261007 TLC260918:TLC261007 TUY260918:TUY261007 UEU260918:UEU261007 UOQ260918:UOQ261007 UYM260918:UYM261007 VII260918:VII261007 VSE260918:VSE261007 WCA260918:WCA261007 WLW260918:WLW261007 WVS260918:WVS261007 K326463:K326552 JG326454:JG326543 TC326454:TC326543 ACY326454:ACY326543 AMU326454:AMU326543 AWQ326454:AWQ326543 BGM326454:BGM326543 BQI326454:BQI326543 CAE326454:CAE326543 CKA326454:CKA326543 CTW326454:CTW326543 DDS326454:DDS326543 DNO326454:DNO326543 DXK326454:DXK326543 EHG326454:EHG326543 ERC326454:ERC326543 FAY326454:FAY326543 FKU326454:FKU326543 FUQ326454:FUQ326543 GEM326454:GEM326543 GOI326454:GOI326543 GYE326454:GYE326543 HIA326454:HIA326543 HRW326454:HRW326543 IBS326454:IBS326543 ILO326454:ILO326543 IVK326454:IVK326543 JFG326454:JFG326543 JPC326454:JPC326543 JYY326454:JYY326543 KIU326454:KIU326543 KSQ326454:KSQ326543 LCM326454:LCM326543 LMI326454:LMI326543 LWE326454:LWE326543 MGA326454:MGA326543 MPW326454:MPW326543 MZS326454:MZS326543 NJO326454:NJO326543 NTK326454:NTK326543 ODG326454:ODG326543 ONC326454:ONC326543 OWY326454:OWY326543 PGU326454:PGU326543 PQQ326454:PQQ326543 QAM326454:QAM326543 QKI326454:QKI326543 QUE326454:QUE326543 REA326454:REA326543 RNW326454:RNW326543 RXS326454:RXS326543 SHO326454:SHO326543 SRK326454:SRK326543 TBG326454:TBG326543 TLC326454:TLC326543 TUY326454:TUY326543 UEU326454:UEU326543 UOQ326454:UOQ326543 UYM326454:UYM326543 VII326454:VII326543 VSE326454:VSE326543 WCA326454:WCA326543 WLW326454:WLW326543 WVS326454:WVS326543 K391999:K392088 JG391990:JG392079 TC391990:TC392079 ACY391990:ACY392079 AMU391990:AMU392079 AWQ391990:AWQ392079 BGM391990:BGM392079 BQI391990:BQI392079 CAE391990:CAE392079 CKA391990:CKA392079 CTW391990:CTW392079 DDS391990:DDS392079 DNO391990:DNO392079 DXK391990:DXK392079 EHG391990:EHG392079 ERC391990:ERC392079 FAY391990:FAY392079 FKU391990:FKU392079 FUQ391990:FUQ392079 GEM391990:GEM392079 GOI391990:GOI392079 GYE391990:GYE392079 HIA391990:HIA392079 HRW391990:HRW392079 IBS391990:IBS392079 ILO391990:ILO392079 IVK391990:IVK392079 JFG391990:JFG392079 JPC391990:JPC392079 JYY391990:JYY392079 KIU391990:KIU392079 KSQ391990:KSQ392079 LCM391990:LCM392079 LMI391990:LMI392079 LWE391990:LWE392079 MGA391990:MGA392079 MPW391990:MPW392079 MZS391990:MZS392079 NJO391990:NJO392079 NTK391990:NTK392079 ODG391990:ODG392079 ONC391990:ONC392079 OWY391990:OWY392079 PGU391990:PGU392079 PQQ391990:PQQ392079 QAM391990:QAM392079 QKI391990:QKI392079 QUE391990:QUE392079 REA391990:REA392079 RNW391990:RNW392079 RXS391990:RXS392079 SHO391990:SHO392079 SRK391990:SRK392079 TBG391990:TBG392079 TLC391990:TLC392079 TUY391990:TUY392079 UEU391990:UEU392079 UOQ391990:UOQ392079 UYM391990:UYM392079 VII391990:VII392079 VSE391990:VSE392079 WCA391990:WCA392079 WLW391990:WLW392079 WVS391990:WVS392079 K457535:K457624 JG457526:JG457615 TC457526:TC457615 ACY457526:ACY457615 AMU457526:AMU457615 AWQ457526:AWQ457615 BGM457526:BGM457615 BQI457526:BQI457615 CAE457526:CAE457615 CKA457526:CKA457615 CTW457526:CTW457615 DDS457526:DDS457615 DNO457526:DNO457615 DXK457526:DXK457615 EHG457526:EHG457615 ERC457526:ERC457615 FAY457526:FAY457615 FKU457526:FKU457615 FUQ457526:FUQ457615 GEM457526:GEM457615 GOI457526:GOI457615 GYE457526:GYE457615 HIA457526:HIA457615 HRW457526:HRW457615 IBS457526:IBS457615 ILO457526:ILO457615 IVK457526:IVK457615 JFG457526:JFG457615 JPC457526:JPC457615 JYY457526:JYY457615 KIU457526:KIU457615 KSQ457526:KSQ457615 LCM457526:LCM457615 LMI457526:LMI457615 LWE457526:LWE457615 MGA457526:MGA457615 MPW457526:MPW457615 MZS457526:MZS457615 NJO457526:NJO457615 NTK457526:NTK457615 ODG457526:ODG457615 ONC457526:ONC457615 OWY457526:OWY457615 PGU457526:PGU457615 PQQ457526:PQQ457615 QAM457526:QAM457615 QKI457526:QKI457615 QUE457526:QUE457615 REA457526:REA457615 RNW457526:RNW457615 RXS457526:RXS457615 SHO457526:SHO457615 SRK457526:SRK457615 TBG457526:TBG457615 TLC457526:TLC457615 TUY457526:TUY457615 UEU457526:UEU457615 UOQ457526:UOQ457615 UYM457526:UYM457615 VII457526:VII457615 VSE457526:VSE457615 WCA457526:WCA457615 WLW457526:WLW457615 WVS457526:WVS457615 K523071:K523160 JG523062:JG523151 TC523062:TC523151 ACY523062:ACY523151 AMU523062:AMU523151 AWQ523062:AWQ523151 BGM523062:BGM523151 BQI523062:BQI523151 CAE523062:CAE523151 CKA523062:CKA523151 CTW523062:CTW523151 DDS523062:DDS523151 DNO523062:DNO523151 DXK523062:DXK523151 EHG523062:EHG523151 ERC523062:ERC523151 FAY523062:FAY523151 FKU523062:FKU523151 FUQ523062:FUQ523151 GEM523062:GEM523151 GOI523062:GOI523151 GYE523062:GYE523151 HIA523062:HIA523151 HRW523062:HRW523151 IBS523062:IBS523151 ILO523062:ILO523151 IVK523062:IVK523151 JFG523062:JFG523151 JPC523062:JPC523151 JYY523062:JYY523151 KIU523062:KIU523151 KSQ523062:KSQ523151 LCM523062:LCM523151 LMI523062:LMI523151 LWE523062:LWE523151 MGA523062:MGA523151 MPW523062:MPW523151 MZS523062:MZS523151 NJO523062:NJO523151 NTK523062:NTK523151 ODG523062:ODG523151 ONC523062:ONC523151 OWY523062:OWY523151 PGU523062:PGU523151 PQQ523062:PQQ523151 QAM523062:QAM523151 QKI523062:QKI523151 QUE523062:QUE523151 REA523062:REA523151 RNW523062:RNW523151 RXS523062:RXS523151 SHO523062:SHO523151 SRK523062:SRK523151 TBG523062:TBG523151 TLC523062:TLC523151 TUY523062:TUY523151 UEU523062:UEU523151 UOQ523062:UOQ523151 UYM523062:UYM523151 VII523062:VII523151 VSE523062:VSE523151 WCA523062:WCA523151 WLW523062:WLW523151 WVS523062:WVS523151 K588607:K588696 JG588598:JG588687 TC588598:TC588687 ACY588598:ACY588687 AMU588598:AMU588687 AWQ588598:AWQ588687 BGM588598:BGM588687 BQI588598:BQI588687 CAE588598:CAE588687 CKA588598:CKA588687 CTW588598:CTW588687 DDS588598:DDS588687 DNO588598:DNO588687 DXK588598:DXK588687 EHG588598:EHG588687 ERC588598:ERC588687 FAY588598:FAY588687 FKU588598:FKU588687 FUQ588598:FUQ588687 GEM588598:GEM588687 GOI588598:GOI588687 GYE588598:GYE588687 HIA588598:HIA588687 HRW588598:HRW588687 IBS588598:IBS588687 ILO588598:ILO588687 IVK588598:IVK588687 JFG588598:JFG588687 JPC588598:JPC588687 JYY588598:JYY588687 KIU588598:KIU588687 KSQ588598:KSQ588687 LCM588598:LCM588687 LMI588598:LMI588687 LWE588598:LWE588687 MGA588598:MGA588687 MPW588598:MPW588687 MZS588598:MZS588687 NJO588598:NJO588687 NTK588598:NTK588687 ODG588598:ODG588687 ONC588598:ONC588687 OWY588598:OWY588687 PGU588598:PGU588687 PQQ588598:PQQ588687 QAM588598:QAM588687 QKI588598:QKI588687 QUE588598:QUE588687 REA588598:REA588687 RNW588598:RNW588687 RXS588598:RXS588687 SHO588598:SHO588687 SRK588598:SRK588687 TBG588598:TBG588687 TLC588598:TLC588687 TUY588598:TUY588687 UEU588598:UEU588687 UOQ588598:UOQ588687 UYM588598:UYM588687 VII588598:VII588687 VSE588598:VSE588687 WCA588598:WCA588687 WLW588598:WLW588687 WVS588598:WVS588687 K654143:K654232 JG654134:JG654223 TC654134:TC654223 ACY654134:ACY654223 AMU654134:AMU654223 AWQ654134:AWQ654223 BGM654134:BGM654223 BQI654134:BQI654223 CAE654134:CAE654223 CKA654134:CKA654223 CTW654134:CTW654223 DDS654134:DDS654223 DNO654134:DNO654223 DXK654134:DXK654223 EHG654134:EHG654223 ERC654134:ERC654223 FAY654134:FAY654223 FKU654134:FKU654223 FUQ654134:FUQ654223 GEM654134:GEM654223 GOI654134:GOI654223 GYE654134:GYE654223 HIA654134:HIA654223 HRW654134:HRW654223 IBS654134:IBS654223 ILO654134:ILO654223 IVK654134:IVK654223 JFG654134:JFG654223 JPC654134:JPC654223 JYY654134:JYY654223 KIU654134:KIU654223 KSQ654134:KSQ654223 LCM654134:LCM654223 LMI654134:LMI654223 LWE654134:LWE654223 MGA654134:MGA654223 MPW654134:MPW654223 MZS654134:MZS654223 NJO654134:NJO654223 NTK654134:NTK654223 ODG654134:ODG654223 ONC654134:ONC654223 OWY654134:OWY654223 PGU654134:PGU654223 PQQ654134:PQQ654223 QAM654134:QAM654223 QKI654134:QKI654223 QUE654134:QUE654223 REA654134:REA654223 RNW654134:RNW654223 RXS654134:RXS654223 SHO654134:SHO654223 SRK654134:SRK654223 TBG654134:TBG654223 TLC654134:TLC654223 TUY654134:TUY654223 UEU654134:UEU654223 UOQ654134:UOQ654223 UYM654134:UYM654223 VII654134:VII654223 VSE654134:VSE654223 WCA654134:WCA654223 WLW654134:WLW654223 WVS654134:WVS654223 K719679:K719768 JG719670:JG719759 TC719670:TC719759 ACY719670:ACY719759 AMU719670:AMU719759 AWQ719670:AWQ719759 BGM719670:BGM719759 BQI719670:BQI719759 CAE719670:CAE719759 CKA719670:CKA719759 CTW719670:CTW719759 DDS719670:DDS719759 DNO719670:DNO719759 DXK719670:DXK719759 EHG719670:EHG719759 ERC719670:ERC719759 FAY719670:FAY719759 FKU719670:FKU719759 FUQ719670:FUQ719759 GEM719670:GEM719759 GOI719670:GOI719759 GYE719670:GYE719759 HIA719670:HIA719759 HRW719670:HRW719759 IBS719670:IBS719759 ILO719670:ILO719759 IVK719670:IVK719759 JFG719670:JFG719759 JPC719670:JPC719759 JYY719670:JYY719759 KIU719670:KIU719759 KSQ719670:KSQ719759 LCM719670:LCM719759 LMI719670:LMI719759 LWE719670:LWE719759 MGA719670:MGA719759 MPW719670:MPW719759 MZS719670:MZS719759 NJO719670:NJO719759 NTK719670:NTK719759 ODG719670:ODG719759 ONC719670:ONC719759 OWY719670:OWY719759 PGU719670:PGU719759 PQQ719670:PQQ719759 QAM719670:QAM719759 QKI719670:QKI719759 QUE719670:QUE719759 REA719670:REA719759 RNW719670:RNW719759 RXS719670:RXS719759 SHO719670:SHO719759 SRK719670:SRK719759 TBG719670:TBG719759 TLC719670:TLC719759 TUY719670:TUY719759 UEU719670:UEU719759 UOQ719670:UOQ719759 UYM719670:UYM719759 VII719670:VII719759 VSE719670:VSE719759 WCA719670:WCA719759 WLW719670:WLW719759 WVS719670:WVS719759 K785215:K785304 JG785206:JG785295 TC785206:TC785295 ACY785206:ACY785295 AMU785206:AMU785295 AWQ785206:AWQ785295 BGM785206:BGM785295 BQI785206:BQI785295 CAE785206:CAE785295 CKA785206:CKA785295 CTW785206:CTW785295 DDS785206:DDS785295 DNO785206:DNO785295 DXK785206:DXK785295 EHG785206:EHG785295 ERC785206:ERC785295 FAY785206:FAY785295 FKU785206:FKU785295 FUQ785206:FUQ785295 GEM785206:GEM785295 GOI785206:GOI785295 GYE785206:GYE785295 HIA785206:HIA785295 HRW785206:HRW785295 IBS785206:IBS785295 ILO785206:ILO785295 IVK785206:IVK785295 JFG785206:JFG785295 JPC785206:JPC785295 JYY785206:JYY785295 KIU785206:KIU785295 KSQ785206:KSQ785295 LCM785206:LCM785295 LMI785206:LMI785295 LWE785206:LWE785295 MGA785206:MGA785295 MPW785206:MPW785295 MZS785206:MZS785295 NJO785206:NJO785295 NTK785206:NTK785295 ODG785206:ODG785295 ONC785206:ONC785295 OWY785206:OWY785295 PGU785206:PGU785295 PQQ785206:PQQ785295 QAM785206:QAM785295 QKI785206:QKI785295 QUE785206:QUE785295 REA785206:REA785295 RNW785206:RNW785295 RXS785206:RXS785295 SHO785206:SHO785295 SRK785206:SRK785295 TBG785206:TBG785295 TLC785206:TLC785295 TUY785206:TUY785295 UEU785206:UEU785295 UOQ785206:UOQ785295 UYM785206:UYM785295 VII785206:VII785295 VSE785206:VSE785295 WCA785206:WCA785295 WLW785206:WLW785295 WVS785206:WVS785295 K850751:K850840 JG850742:JG850831 TC850742:TC850831 ACY850742:ACY850831 AMU850742:AMU850831 AWQ850742:AWQ850831 BGM850742:BGM850831 BQI850742:BQI850831 CAE850742:CAE850831 CKA850742:CKA850831 CTW850742:CTW850831 DDS850742:DDS850831 DNO850742:DNO850831 DXK850742:DXK850831 EHG850742:EHG850831 ERC850742:ERC850831 FAY850742:FAY850831 FKU850742:FKU850831 FUQ850742:FUQ850831 GEM850742:GEM850831 GOI850742:GOI850831 GYE850742:GYE850831 HIA850742:HIA850831 HRW850742:HRW850831 IBS850742:IBS850831 ILO850742:ILO850831 IVK850742:IVK850831 JFG850742:JFG850831 JPC850742:JPC850831 JYY850742:JYY850831 KIU850742:KIU850831 KSQ850742:KSQ850831 LCM850742:LCM850831 LMI850742:LMI850831 LWE850742:LWE850831 MGA850742:MGA850831 MPW850742:MPW850831 MZS850742:MZS850831 NJO850742:NJO850831 NTK850742:NTK850831 ODG850742:ODG850831 ONC850742:ONC850831 OWY850742:OWY850831 PGU850742:PGU850831 PQQ850742:PQQ850831 QAM850742:QAM850831 QKI850742:QKI850831 QUE850742:QUE850831 REA850742:REA850831 RNW850742:RNW850831 RXS850742:RXS850831 SHO850742:SHO850831 SRK850742:SRK850831 TBG850742:TBG850831 TLC850742:TLC850831 TUY850742:TUY850831 UEU850742:UEU850831 UOQ850742:UOQ850831 UYM850742:UYM850831 VII850742:VII850831 VSE850742:VSE850831 WCA850742:WCA850831 WLW850742:WLW850831 WVS850742:WVS850831 K916287:K916376 JG916278:JG916367 TC916278:TC916367 ACY916278:ACY916367 AMU916278:AMU916367 AWQ916278:AWQ916367 BGM916278:BGM916367 BQI916278:BQI916367 CAE916278:CAE916367 CKA916278:CKA916367 CTW916278:CTW916367 DDS916278:DDS916367 DNO916278:DNO916367 DXK916278:DXK916367 EHG916278:EHG916367 ERC916278:ERC916367 FAY916278:FAY916367 FKU916278:FKU916367 FUQ916278:FUQ916367 GEM916278:GEM916367 GOI916278:GOI916367 GYE916278:GYE916367 HIA916278:HIA916367 HRW916278:HRW916367 IBS916278:IBS916367 ILO916278:ILO916367 IVK916278:IVK916367 JFG916278:JFG916367 JPC916278:JPC916367 JYY916278:JYY916367 KIU916278:KIU916367 KSQ916278:KSQ916367 LCM916278:LCM916367 LMI916278:LMI916367 LWE916278:LWE916367 MGA916278:MGA916367 MPW916278:MPW916367 MZS916278:MZS916367 NJO916278:NJO916367 NTK916278:NTK916367 ODG916278:ODG916367 ONC916278:ONC916367 OWY916278:OWY916367 PGU916278:PGU916367 PQQ916278:PQQ916367 QAM916278:QAM916367 QKI916278:QKI916367 QUE916278:QUE916367 REA916278:REA916367 RNW916278:RNW916367 RXS916278:RXS916367 SHO916278:SHO916367 SRK916278:SRK916367 TBG916278:TBG916367 TLC916278:TLC916367 TUY916278:TUY916367 UEU916278:UEU916367 UOQ916278:UOQ916367 UYM916278:UYM916367 VII916278:VII916367 VSE916278:VSE916367 WCA916278:WCA916367 WLW916278:WLW916367 WVS916278:WVS916367 K981823:K981912 JG981814:JG981903 TC981814:TC981903 ACY981814:ACY981903 AMU981814:AMU981903 AWQ981814:AWQ981903 BGM981814:BGM981903 BQI981814:BQI981903 CAE981814:CAE981903 CKA981814:CKA981903 CTW981814:CTW981903 DDS981814:DDS981903 DNO981814:DNO981903 DXK981814:DXK981903 EHG981814:EHG981903 ERC981814:ERC981903 FAY981814:FAY981903 FKU981814:FKU981903 FUQ981814:FUQ981903 GEM981814:GEM981903 GOI981814:GOI981903 GYE981814:GYE981903 HIA981814:HIA981903 HRW981814:HRW981903 IBS981814:IBS981903 ILO981814:ILO981903 IVK981814:IVK981903 JFG981814:JFG981903 JPC981814:JPC981903 JYY981814:JYY981903 KIU981814:KIU981903 KSQ981814:KSQ981903 LCM981814:LCM981903 LMI981814:LMI981903 LWE981814:LWE981903 MGA981814:MGA981903 MPW981814:MPW981903 MZS981814:MZS981903 NJO981814:NJO981903 NTK981814:NTK981903 ODG981814:ODG981903 ONC981814:ONC981903 OWY981814:OWY981903 PGU981814:PGU981903 PQQ981814:PQQ981903 QAM981814:QAM981903 QKI981814:QKI981903 QUE981814:QUE981903 REA981814:REA981903 RNW981814:RNW981903 RXS981814:RXS981903 SHO981814:SHO981903 SRK981814:SRK981903 TBG981814:TBG981903 TLC981814:TLC981903 TUY981814:TUY981903 UEU981814:UEU981903 UOQ981814:UOQ981903 UYM981814:UYM981903 VII981814:VII981903 VSE981814:VSE981903 WCA981814:WCA981903 JG2:JG82 TC2:TC82 ACY2:ACY82 AMU2:AMU82 AWQ2:AWQ82 BGM2:BGM82 BQI2:BQI82 CAE2:CAE82 CKA2:CKA82 CTW2:CTW82 DDS2:DDS82 DNO2:DNO82 DXK2:DXK82 EHG2:EHG82 ERC2:ERC82 FAY2:FAY82 FKU2:FKU82 FUQ2:FUQ82 GEM2:GEM82 GOI2:GOI82 GYE2:GYE82 HIA2:HIA82 HRW2:HRW82 IBS2:IBS82 ILO2:ILO82 IVK2:IVK82 JFG2:JFG82 JPC2:JPC82 JYY2:JYY82 KIU2:KIU82 KSQ2:KSQ82 LCM2:LCM82 LMI2:LMI82 LWE2:LWE82 MGA2:MGA82 MPW2:MPW82 MZS2:MZS82 NJO2:NJO82 NTK2:NTK82 ODG2:ODG82 ONC2:ONC82 OWY2:OWY82 PGU2:PGU82 PQQ2:PQQ82 QAM2:QAM82 QKI2:QKI82 QUE2:QUE82 REA2:REA82 RNW2:RNW82 RXS2:RXS82 SHO2:SHO82 SRK2:SRK82 TBG2:TBG82 TLC2:TLC82 TUY2:TUY82 UEU2:UEU82 UOQ2:UOQ82 UYM2:UYM82 VII2:VII82 VSE2:VSE82 WCA2:WCA82 WLW2:WLW82 WVS2:WVS82" xr:uid="{B8D7D1C4-6E45-4AA3-9980-8D310944BB61}">
      <formula1>$AR$2:$AR$27</formula1>
    </dataValidation>
    <dataValidation type="list" allowBlank="1" showInputMessage="1" showErrorMessage="1" sqref="WVR981814:WVR981903 WLV981814:WLV981903 WBZ981814:WBZ981903 VSD981814:VSD981903 VIH981814:VIH981903 UYL981814:UYL981903 UOP981814:UOP981903 UET981814:UET981903 TUX981814:TUX981903 TLB981814:TLB981903 TBF981814:TBF981903 SRJ981814:SRJ981903 SHN981814:SHN981903 RXR981814:RXR981903 RNV981814:RNV981903 RDZ981814:RDZ981903 QUD981814:QUD981903 QKH981814:QKH981903 QAL981814:QAL981903 PQP981814:PQP981903 PGT981814:PGT981903 OWX981814:OWX981903 ONB981814:ONB981903 ODF981814:ODF981903 NTJ981814:NTJ981903 NJN981814:NJN981903 MZR981814:MZR981903 MPV981814:MPV981903 MFZ981814:MFZ981903 LWD981814:LWD981903 LMH981814:LMH981903 LCL981814:LCL981903 KSP981814:KSP981903 KIT981814:KIT981903 JYX981814:JYX981903 JPB981814:JPB981903 JFF981814:JFF981903 IVJ981814:IVJ981903 ILN981814:ILN981903 IBR981814:IBR981903 HRV981814:HRV981903 HHZ981814:HHZ981903 GYD981814:GYD981903 GOH981814:GOH981903 GEL981814:GEL981903 FUP981814:FUP981903 FKT981814:FKT981903 FAX981814:FAX981903 ERB981814:ERB981903 EHF981814:EHF981903 DXJ981814:DXJ981903 DNN981814:DNN981903 DDR981814:DDR981903 CTV981814:CTV981903 CJZ981814:CJZ981903 CAD981814:CAD981903 BQH981814:BQH981903 BGL981814:BGL981903 AWP981814:AWP981903 AMT981814:AMT981903 ACX981814:ACX981903 TB981814:TB981903 JF981814:JF981903 J981823:J981912 WVR916278:WVR916367 WLV916278:WLV916367 WBZ916278:WBZ916367 VSD916278:VSD916367 VIH916278:VIH916367 UYL916278:UYL916367 UOP916278:UOP916367 UET916278:UET916367 TUX916278:TUX916367 TLB916278:TLB916367 TBF916278:TBF916367 SRJ916278:SRJ916367 SHN916278:SHN916367 RXR916278:RXR916367 RNV916278:RNV916367 RDZ916278:RDZ916367 QUD916278:QUD916367 QKH916278:QKH916367 QAL916278:QAL916367 PQP916278:PQP916367 PGT916278:PGT916367 OWX916278:OWX916367 ONB916278:ONB916367 ODF916278:ODF916367 NTJ916278:NTJ916367 NJN916278:NJN916367 MZR916278:MZR916367 MPV916278:MPV916367 MFZ916278:MFZ916367 LWD916278:LWD916367 LMH916278:LMH916367 LCL916278:LCL916367 KSP916278:KSP916367 KIT916278:KIT916367 JYX916278:JYX916367 JPB916278:JPB916367 JFF916278:JFF916367 IVJ916278:IVJ916367 ILN916278:ILN916367 IBR916278:IBR916367 HRV916278:HRV916367 HHZ916278:HHZ916367 GYD916278:GYD916367 GOH916278:GOH916367 GEL916278:GEL916367 FUP916278:FUP916367 FKT916278:FKT916367 FAX916278:FAX916367 ERB916278:ERB916367 EHF916278:EHF916367 DXJ916278:DXJ916367 DNN916278:DNN916367 DDR916278:DDR916367 CTV916278:CTV916367 CJZ916278:CJZ916367 CAD916278:CAD916367 BQH916278:BQH916367 BGL916278:BGL916367 AWP916278:AWP916367 AMT916278:AMT916367 ACX916278:ACX916367 TB916278:TB916367 JF916278:JF916367 J916287:J916376 WVR850742:WVR850831 WLV850742:WLV850831 WBZ850742:WBZ850831 VSD850742:VSD850831 VIH850742:VIH850831 UYL850742:UYL850831 UOP850742:UOP850831 UET850742:UET850831 TUX850742:TUX850831 TLB850742:TLB850831 TBF850742:TBF850831 SRJ850742:SRJ850831 SHN850742:SHN850831 RXR850742:RXR850831 RNV850742:RNV850831 RDZ850742:RDZ850831 QUD850742:QUD850831 QKH850742:QKH850831 QAL850742:QAL850831 PQP850742:PQP850831 PGT850742:PGT850831 OWX850742:OWX850831 ONB850742:ONB850831 ODF850742:ODF850831 NTJ850742:NTJ850831 NJN850742:NJN850831 MZR850742:MZR850831 MPV850742:MPV850831 MFZ850742:MFZ850831 LWD850742:LWD850831 LMH850742:LMH850831 LCL850742:LCL850831 KSP850742:KSP850831 KIT850742:KIT850831 JYX850742:JYX850831 JPB850742:JPB850831 JFF850742:JFF850831 IVJ850742:IVJ850831 ILN850742:ILN850831 IBR850742:IBR850831 HRV850742:HRV850831 HHZ850742:HHZ850831 GYD850742:GYD850831 GOH850742:GOH850831 GEL850742:GEL850831 FUP850742:FUP850831 FKT850742:FKT850831 FAX850742:FAX850831 ERB850742:ERB850831 EHF850742:EHF850831 DXJ850742:DXJ850831 DNN850742:DNN850831 DDR850742:DDR850831 CTV850742:CTV850831 CJZ850742:CJZ850831 CAD850742:CAD850831 BQH850742:BQH850831 BGL850742:BGL850831 AWP850742:AWP850831 AMT850742:AMT850831 ACX850742:ACX850831 TB850742:TB850831 JF850742:JF850831 J850751:J850840 WVR785206:WVR785295 WLV785206:WLV785295 WBZ785206:WBZ785295 VSD785206:VSD785295 VIH785206:VIH785295 UYL785206:UYL785295 UOP785206:UOP785295 UET785206:UET785295 TUX785206:TUX785295 TLB785206:TLB785295 TBF785206:TBF785295 SRJ785206:SRJ785295 SHN785206:SHN785295 RXR785206:RXR785295 RNV785206:RNV785295 RDZ785206:RDZ785295 QUD785206:QUD785295 QKH785206:QKH785295 QAL785206:QAL785295 PQP785206:PQP785295 PGT785206:PGT785295 OWX785206:OWX785295 ONB785206:ONB785295 ODF785206:ODF785295 NTJ785206:NTJ785295 NJN785206:NJN785295 MZR785206:MZR785295 MPV785206:MPV785295 MFZ785206:MFZ785295 LWD785206:LWD785295 LMH785206:LMH785295 LCL785206:LCL785295 KSP785206:KSP785295 KIT785206:KIT785295 JYX785206:JYX785295 JPB785206:JPB785295 JFF785206:JFF785295 IVJ785206:IVJ785295 ILN785206:ILN785295 IBR785206:IBR785295 HRV785206:HRV785295 HHZ785206:HHZ785295 GYD785206:GYD785295 GOH785206:GOH785295 GEL785206:GEL785295 FUP785206:FUP785295 FKT785206:FKT785295 FAX785206:FAX785295 ERB785206:ERB785295 EHF785206:EHF785295 DXJ785206:DXJ785295 DNN785206:DNN785295 DDR785206:DDR785295 CTV785206:CTV785295 CJZ785206:CJZ785295 CAD785206:CAD785295 BQH785206:BQH785295 BGL785206:BGL785295 AWP785206:AWP785295 AMT785206:AMT785295 ACX785206:ACX785295 TB785206:TB785295 JF785206:JF785295 J785215:J785304 WVR719670:WVR719759 WLV719670:WLV719759 WBZ719670:WBZ719759 VSD719670:VSD719759 VIH719670:VIH719759 UYL719670:UYL719759 UOP719670:UOP719759 UET719670:UET719759 TUX719670:TUX719759 TLB719670:TLB719759 TBF719670:TBF719759 SRJ719670:SRJ719759 SHN719670:SHN719759 RXR719670:RXR719759 RNV719670:RNV719759 RDZ719670:RDZ719759 QUD719670:QUD719759 QKH719670:QKH719759 QAL719670:QAL719759 PQP719670:PQP719759 PGT719670:PGT719759 OWX719670:OWX719759 ONB719670:ONB719759 ODF719670:ODF719759 NTJ719670:NTJ719759 NJN719670:NJN719759 MZR719670:MZR719759 MPV719670:MPV719759 MFZ719670:MFZ719759 LWD719670:LWD719759 LMH719670:LMH719759 LCL719670:LCL719759 KSP719670:KSP719759 KIT719670:KIT719759 JYX719670:JYX719759 JPB719670:JPB719759 JFF719670:JFF719759 IVJ719670:IVJ719759 ILN719670:ILN719759 IBR719670:IBR719759 HRV719670:HRV719759 HHZ719670:HHZ719759 GYD719670:GYD719759 GOH719670:GOH719759 GEL719670:GEL719759 FUP719670:FUP719759 FKT719670:FKT719759 FAX719670:FAX719759 ERB719670:ERB719759 EHF719670:EHF719759 DXJ719670:DXJ719759 DNN719670:DNN719759 DDR719670:DDR719759 CTV719670:CTV719759 CJZ719670:CJZ719759 CAD719670:CAD719759 BQH719670:BQH719759 BGL719670:BGL719759 AWP719670:AWP719759 AMT719670:AMT719759 ACX719670:ACX719759 TB719670:TB719759 JF719670:JF719759 J719679:J719768 WVR654134:WVR654223 WLV654134:WLV654223 WBZ654134:WBZ654223 VSD654134:VSD654223 VIH654134:VIH654223 UYL654134:UYL654223 UOP654134:UOP654223 UET654134:UET654223 TUX654134:TUX654223 TLB654134:TLB654223 TBF654134:TBF654223 SRJ654134:SRJ654223 SHN654134:SHN654223 RXR654134:RXR654223 RNV654134:RNV654223 RDZ654134:RDZ654223 QUD654134:QUD654223 QKH654134:QKH654223 QAL654134:QAL654223 PQP654134:PQP654223 PGT654134:PGT654223 OWX654134:OWX654223 ONB654134:ONB654223 ODF654134:ODF654223 NTJ654134:NTJ654223 NJN654134:NJN654223 MZR654134:MZR654223 MPV654134:MPV654223 MFZ654134:MFZ654223 LWD654134:LWD654223 LMH654134:LMH654223 LCL654134:LCL654223 KSP654134:KSP654223 KIT654134:KIT654223 JYX654134:JYX654223 JPB654134:JPB654223 JFF654134:JFF654223 IVJ654134:IVJ654223 ILN654134:ILN654223 IBR654134:IBR654223 HRV654134:HRV654223 HHZ654134:HHZ654223 GYD654134:GYD654223 GOH654134:GOH654223 GEL654134:GEL654223 FUP654134:FUP654223 FKT654134:FKT654223 FAX654134:FAX654223 ERB654134:ERB654223 EHF654134:EHF654223 DXJ654134:DXJ654223 DNN654134:DNN654223 DDR654134:DDR654223 CTV654134:CTV654223 CJZ654134:CJZ654223 CAD654134:CAD654223 BQH654134:BQH654223 BGL654134:BGL654223 AWP654134:AWP654223 AMT654134:AMT654223 ACX654134:ACX654223 TB654134:TB654223 JF654134:JF654223 J654143:J654232 WVR588598:WVR588687 WLV588598:WLV588687 WBZ588598:WBZ588687 VSD588598:VSD588687 VIH588598:VIH588687 UYL588598:UYL588687 UOP588598:UOP588687 UET588598:UET588687 TUX588598:TUX588687 TLB588598:TLB588687 TBF588598:TBF588687 SRJ588598:SRJ588687 SHN588598:SHN588687 RXR588598:RXR588687 RNV588598:RNV588687 RDZ588598:RDZ588687 QUD588598:QUD588687 QKH588598:QKH588687 QAL588598:QAL588687 PQP588598:PQP588687 PGT588598:PGT588687 OWX588598:OWX588687 ONB588598:ONB588687 ODF588598:ODF588687 NTJ588598:NTJ588687 NJN588598:NJN588687 MZR588598:MZR588687 MPV588598:MPV588687 MFZ588598:MFZ588687 LWD588598:LWD588687 LMH588598:LMH588687 LCL588598:LCL588687 KSP588598:KSP588687 KIT588598:KIT588687 JYX588598:JYX588687 JPB588598:JPB588687 JFF588598:JFF588687 IVJ588598:IVJ588687 ILN588598:ILN588687 IBR588598:IBR588687 HRV588598:HRV588687 HHZ588598:HHZ588687 GYD588598:GYD588687 GOH588598:GOH588687 GEL588598:GEL588687 FUP588598:FUP588687 FKT588598:FKT588687 FAX588598:FAX588687 ERB588598:ERB588687 EHF588598:EHF588687 DXJ588598:DXJ588687 DNN588598:DNN588687 DDR588598:DDR588687 CTV588598:CTV588687 CJZ588598:CJZ588687 CAD588598:CAD588687 BQH588598:BQH588687 BGL588598:BGL588687 AWP588598:AWP588687 AMT588598:AMT588687 ACX588598:ACX588687 TB588598:TB588687 JF588598:JF588687 J588607:J588696 WVR523062:WVR523151 WLV523062:WLV523151 WBZ523062:WBZ523151 VSD523062:VSD523151 VIH523062:VIH523151 UYL523062:UYL523151 UOP523062:UOP523151 UET523062:UET523151 TUX523062:TUX523151 TLB523062:TLB523151 TBF523062:TBF523151 SRJ523062:SRJ523151 SHN523062:SHN523151 RXR523062:RXR523151 RNV523062:RNV523151 RDZ523062:RDZ523151 QUD523062:QUD523151 QKH523062:QKH523151 QAL523062:QAL523151 PQP523062:PQP523151 PGT523062:PGT523151 OWX523062:OWX523151 ONB523062:ONB523151 ODF523062:ODF523151 NTJ523062:NTJ523151 NJN523062:NJN523151 MZR523062:MZR523151 MPV523062:MPV523151 MFZ523062:MFZ523151 LWD523062:LWD523151 LMH523062:LMH523151 LCL523062:LCL523151 KSP523062:KSP523151 KIT523062:KIT523151 JYX523062:JYX523151 JPB523062:JPB523151 JFF523062:JFF523151 IVJ523062:IVJ523151 ILN523062:ILN523151 IBR523062:IBR523151 HRV523062:HRV523151 HHZ523062:HHZ523151 GYD523062:GYD523151 GOH523062:GOH523151 GEL523062:GEL523151 FUP523062:FUP523151 FKT523062:FKT523151 FAX523062:FAX523151 ERB523062:ERB523151 EHF523062:EHF523151 DXJ523062:DXJ523151 DNN523062:DNN523151 DDR523062:DDR523151 CTV523062:CTV523151 CJZ523062:CJZ523151 CAD523062:CAD523151 BQH523062:BQH523151 BGL523062:BGL523151 AWP523062:AWP523151 AMT523062:AMT523151 ACX523062:ACX523151 TB523062:TB523151 JF523062:JF523151 J523071:J523160 WVR457526:WVR457615 WLV457526:WLV457615 WBZ457526:WBZ457615 VSD457526:VSD457615 VIH457526:VIH457615 UYL457526:UYL457615 UOP457526:UOP457615 UET457526:UET457615 TUX457526:TUX457615 TLB457526:TLB457615 TBF457526:TBF457615 SRJ457526:SRJ457615 SHN457526:SHN457615 RXR457526:RXR457615 RNV457526:RNV457615 RDZ457526:RDZ457615 QUD457526:QUD457615 QKH457526:QKH457615 QAL457526:QAL457615 PQP457526:PQP457615 PGT457526:PGT457615 OWX457526:OWX457615 ONB457526:ONB457615 ODF457526:ODF457615 NTJ457526:NTJ457615 NJN457526:NJN457615 MZR457526:MZR457615 MPV457526:MPV457615 MFZ457526:MFZ457615 LWD457526:LWD457615 LMH457526:LMH457615 LCL457526:LCL457615 KSP457526:KSP457615 KIT457526:KIT457615 JYX457526:JYX457615 JPB457526:JPB457615 JFF457526:JFF457615 IVJ457526:IVJ457615 ILN457526:ILN457615 IBR457526:IBR457615 HRV457526:HRV457615 HHZ457526:HHZ457615 GYD457526:GYD457615 GOH457526:GOH457615 GEL457526:GEL457615 FUP457526:FUP457615 FKT457526:FKT457615 FAX457526:FAX457615 ERB457526:ERB457615 EHF457526:EHF457615 DXJ457526:DXJ457615 DNN457526:DNN457615 DDR457526:DDR457615 CTV457526:CTV457615 CJZ457526:CJZ457615 CAD457526:CAD457615 BQH457526:BQH457615 BGL457526:BGL457615 AWP457526:AWP457615 AMT457526:AMT457615 ACX457526:ACX457615 TB457526:TB457615 JF457526:JF457615 J457535:J457624 WVR391990:WVR392079 WLV391990:WLV392079 WBZ391990:WBZ392079 VSD391990:VSD392079 VIH391990:VIH392079 UYL391990:UYL392079 UOP391990:UOP392079 UET391990:UET392079 TUX391990:TUX392079 TLB391990:TLB392079 TBF391990:TBF392079 SRJ391990:SRJ392079 SHN391990:SHN392079 RXR391990:RXR392079 RNV391990:RNV392079 RDZ391990:RDZ392079 QUD391990:QUD392079 QKH391990:QKH392079 QAL391990:QAL392079 PQP391990:PQP392079 PGT391990:PGT392079 OWX391990:OWX392079 ONB391990:ONB392079 ODF391990:ODF392079 NTJ391990:NTJ392079 NJN391990:NJN392079 MZR391990:MZR392079 MPV391990:MPV392079 MFZ391990:MFZ392079 LWD391990:LWD392079 LMH391990:LMH392079 LCL391990:LCL392079 KSP391990:KSP392079 KIT391990:KIT392079 JYX391990:JYX392079 JPB391990:JPB392079 JFF391990:JFF392079 IVJ391990:IVJ392079 ILN391990:ILN392079 IBR391990:IBR392079 HRV391990:HRV392079 HHZ391990:HHZ392079 GYD391990:GYD392079 GOH391990:GOH392079 GEL391990:GEL392079 FUP391990:FUP392079 FKT391990:FKT392079 FAX391990:FAX392079 ERB391990:ERB392079 EHF391990:EHF392079 DXJ391990:DXJ392079 DNN391990:DNN392079 DDR391990:DDR392079 CTV391990:CTV392079 CJZ391990:CJZ392079 CAD391990:CAD392079 BQH391990:BQH392079 BGL391990:BGL392079 AWP391990:AWP392079 AMT391990:AMT392079 ACX391990:ACX392079 TB391990:TB392079 JF391990:JF392079 J391999:J392088 WVR326454:WVR326543 WLV326454:WLV326543 WBZ326454:WBZ326543 VSD326454:VSD326543 VIH326454:VIH326543 UYL326454:UYL326543 UOP326454:UOP326543 UET326454:UET326543 TUX326454:TUX326543 TLB326454:TLB326543 TBF326454:TBF326543 SRJ326454:SRJ326543 SHN326454:SHN326543 RXR326454:RXR326543 RNV326454:RNV326543 RDZ326454:RDZ326543 QUD326454:QUD326543 QKH326454:QKH326543 QAL326454:QAL326543 PQP326454:PQP326543 PGT326454:PGT326543 OWX326454:OWX326543 ONB326454:ONB326543 ODF326454:ODF326543 NTJ326454:NTJ326543 NJN326454:NJN326543 MZR326454:MZR326543 MPV326454:MPV326543 MFZ326454:MFZ326543 LWD326454:LWD326543 LMH326454:LMH326543 LCL326454:LCL326543 KSP326454:KSP326543 KIT326454:KIT326543 JYX326454:JYX326543 JPB326454:JPB326543 JFF326454:JFF326543 IVJ326454:IVJ326543 ILN326454:ILN326543 IBR326454:IBR326543 HRV326454:HRV326543 HHZ326454:HHZ326543 GYD326454:GYD326543 GOH326454:GOH326543 GEL326454:GEL326543 FUP326454:FUP326543 FKT326454:FKT326543 FAX326454:FAX326543 ERB326454:ERB326543 EHF326454:EHF326543 DXJ326454:DXJ326543 DNN326454:DNN326543 DDR326454:DDR326543 CTV326454:CTV326543 CJZ326454:CJZ326543 CAD326454:CAD326543 BQH326454:BQH326543 BGL326454:BGL326543 AWP326454:AWP326543 AMT326454:AMT326543 ACX326454:ACX326543 TB326454:TB326543 JF326454:JF326543 J326463:J326552 WVR260918:WVR261007 WLV260918:WLV261007 WBZ260918:WBZ261007 VSD260918:VSD261007 VIH260918:VIH261007 UYL260918:UYL261007 UOP260918:UOP261007 UET260918:UET261007 TUX260918:TUX261007 TLB260918:TLB261007 TBF260918:TBF261007 SRJ260918:SRJ261007 SHN260918:SHN261007 RXR260918:RXR261007 RNV260918:RNV261007 RDZ260918:RDZ261007 QUD260918:QUD261007 QKH260918:QKH261007 QAL260918:QAL261007 PQP260918:PQP261007 PGT260918:PGT261007 OWX260918:OWX261007 ONB260918:ONB261007 ODF260918:ODF261007 NTJ260918:NTJ261007 NJN260918:NJN261007 MZR260918:MZR261007 MPV260918:MPV261007 MFZ260918:MFZ261007 LWD260918:LWD261007 LMH260918:LMH261007 LCL260918:LCL261007 KSP260918:KSP261007 KIT260918:KIT261007 JYX260918:JYX261007 JPB260918:JPB261007 JFF260918:JFF261007 IVJ260918:IVJ261007 ILN260918:ILN261007 IBR260918:IBR261007 HRV260918:HRV261007 HHZ260918:HHZ261007 GYD260918:GYD261007 GOH260918:GOH261007 GEL260918:GEL261007 FUP260918:FUP261007 FKT260918:FKT261007 FAX260918:FAX261007 ERB260918:ERB261007 EHF260918:EHF261007 DXJ260918:DXJ261007 DNN260918:DNN261007 DDR260918:DDR261007 CTV260918:CTV261007 CJZ260918:CJZ261007 CAD260918:CAD261007 BQH260918:BQH261007 BGL260918:BGL261007 AWP260918:AWP261007 AMT260918:AMT261007 ACX260918:ACX261007 TB260918:TB261007 JF260918:JF261007 J260927:J261016 WVR195382:WVR195471 WLV195382:WLV195471 WBZ195382:WBZ195471 VSD195382:VSD195471 VIH195382:VIH195471 UYL195382:UYL195471 UOP195382:UOP195471 UET195382:UET195471 TUX195382:TUX195471 TLB195382:TLB195471 TBF195382:TBF195471 SRJ195382:SRJ195471 SHN195382:SHN195471 RXR195382:RXR195471 RNV195382:RNV195471 RDZ195382:RDZ195471 QUD195382:QUD195471 QKH195382:QKH195471 QAL195382:QAL195471 PQP195382:PQP195471 PGT195382:PGT195471 OWX195382:OWX195471 ONB195382:ONB195471 ODF195382:ODF195471 NTJ195382:NTJ195471 NJN195382:NJN195471 MZR195382:MZR195471 MPV195382:MPV195471 MFZ195382:MFZ195471 LWD195382:LWD195471 LMH195382:LMH195471 LCL195382:LCL195471 KSP195382:KSP195471 KIT195382:KIT195471 JYX195382:JYX195471 JPB195382:JPB195471 JFF195382:JFF195471 IVJ195382:IVJ195471 ILN195382:ILN195471 IBR195382:IBR195471 HRV195382:HRV195471 HHZ195382:HHZ195471 GYD195382:GYD195471 GOH195382:GOH195471 GEL195382:GEL195471 FUP195382:FUP195471 FKT195382:FKT195471 FAX195382:FAX195471 ERB195382:ERB195471 EHF195382:EHF195471 DXJ195382:DXJ195471 DNN195382:DNN195471 DDR195382:DDR195471 CTV195382:CTV195471 CJZ195382:CJZ195471 CAD195382:CAD195471 BQH195382:BQH195471 BGL195382:BGL195471 AWP195382:AWP195471 AMT195382:AMT195471 ACX195382:ACX195471 TB195382:TB195471 JF195382:JF195471 J195391:J195480 WVR129846:WVR129935 WLV129846:WLV129935 WBZ129846:WBZ129935 VSD129846:VSD129935 VIH129846:VIH129935 UYL129846:UYL129935 UOP129846:UOP129935 UET129846:UET129935 TUX129846:TUX129935 TLB129846:TLB129935 TBF129846:TBF129935 SRJ129846:SRJ129935 SHN129846:SHN129935 RXR129846:RXR129935 RNV129846:RNV129935 RDZ129846:RDZ129935 QUD129846:QUD129935 QKH129846:QKH129935 QAL129846:QAL129935 PQP129846:PQP129935 PGT129846:PGT129935 OWX129846:OWX129935 ONB129846:ONB129935 ODF129846:ODF129935 NTJ129846:NTJ129935 NJN129846:NJN129935 MZR129846:MZR129935 MPV129846:MPV129935 MFZ129846:MFZ129935 LWD129846:LWD129935 LMH129846:LMH129935 LCL129846:LCL129935 KSP129846:KSP129935 KIT129846:KIT129935 JYX129846:JYX129935 JPB129846:JPB129935 JFF129846:JFF129935 IVJ129846:IVJ129935 ILN129846:ILN129935 IBR129846:IBR129935 HRV129846:HRV129935 HHZ129846:HHZ129935 GYD129846:GYD129935 GOH129846:GOH129935 GEL129846:GEL129935 FUP129846:FUP129935 FKT129846:FKT129935 FAX129846:FAX129935 ERB129846:ERB129935 EHF129846:EHF129935 DXJ129846:DXJ129935 DNN129846:DNN129935 DDR129846:DDR129935 CTV129846:CTV129935 CJZ129846:CJZ129935 CAD129846:CAD129935 BQH129846:BQH129935 BGL129846:BGL129935 AWP129846:AWP129935 AMT129846:AMT129935 ACX129846:ACX129935 TB129846:TB129935 JF129846:JF129935 J129855:J129944 WVR64310:WVR64399 WLV64310:WLV64399 WBZ64310:WBZ64399 VSD64310:VSD64399 VIH64310:VIH64399 UYL64310:UYL64399 UOP64310:UOP64399 UET64310:UET64399 TUX64310:TUX64399 TLB64310:TLB64399 TBF64310:TBF64399 SRJ64310:SRJ64399 SHN64310:SHN64399 RXR64310:RXR64399 RNV64310:RNV64399 RDZ64310:RDZ64399 QUD64310:QUD64399 QKH64310:QKH64399 QAL64310:QAL64399 PQP64310:PQP64399 PGT64310:PGT64399 OWX64310:OWX64399 ONB64310:ONB64399 ODF64310:ODF64399 NTJ64310:NTJ64399 NJN64310:NJN64399 MZR64310:MZR64399 MPV64310:MPV64399 MFZ64310:MFZ64399 LWD64310:LWD64399 LMH64310:LMH64399 LCL64310:LCL64399 KSP64310:KSP64399 KIT64310:KIT64399 JYX64310:JYX64399 JPB64310:JPB64399 JFF64310:JFF64399 IVJ64310:IVJ64399 ILN64310:ILN64399 IBR64310:IBR64399 HRV64310:HRV64399 HHZ64310:HHZ64399 GYD64310:GYD64399 GOH64310:GOH64399 GEL64310:GEL64399 FUP64310:FUP64399 FKT64310:FKT64399 FAX64310:FAX64399 ERB64310:ERB64399 EHF64310:EHF64399 DXJ64310:DXJ64399 DNN64310:DNN64399 DDR64310:DDR64399 CTV64310:CTV64399 CJZ64310:CJZ64399 CAD64310:CAD64399 BQH64310:BQH64399 BGL64310:BGL64399 AWP64310:AWP64399 AMT64310:AMT64399 ACX64310:ACX64399 TB64310:TB64399 JF64310:JF64399 J64319:J64408 WVR2:WVR82 WLV2:WLV82 WBZ2:WBZ82 VSD2:VSD82 VIH2:VIH82 UYL2:UYL82 UOP2:UOP82 UET2:UET82 TUX2:TUX82 TLB2:TLB82 TBF2:TBF82 SRJ2:SRJ82 SHN2:SHN82 RXR2:RXR82 RNV2:RNV82 RDZ2:RDZ82 QUD2:QUD82 QKH2:QKH82 QAL2:QAL82 PQP2:PQP82 PGT2:PGT82 OWX2:OWX82 ONB2:ONB82 ODF2:ODF82 NTJ2:NTJ82 NJN2:NJN82 MZR2:MZR82 MPV2:MPV82 MFZ2:MFZ82 LWD2:LWD82 LMH2:LMH82 LCL2:LCL82 KSP2:KSP82 KIT2:KIT82 JYX2:JYX82 JPB2:JPB82 JFF2:JFF82 IVJ2:IVJ82 ILN2:ILN82 IBR2:IBR82 HRV2:HRV82 HHZ2:HHZ82 GYD2:GYD82 GOH2:GOH82 GEL2:GEL82 FUP2:FUP82 FKT2:FKT82 FAX2:FAX82 ERB2:ERB82 EHF2:EHF82 DXJ2:DXJ82 DNN2:DNN82 DDR2:DDR82 CTV2:CTV82 CJZ2:CJZ82 CAD2:CAD82 BQH2:BQH82 BGL2:BGL82 AWP2:AWP82 AMT2:AMT82 ACX2:ACX82 TB2:TB82 JF2:JF82" xr:uid="{404BB58F-8A9B-4B64-9174-8DF1D597AB16}">
      <formula1>$AP$2:$AP$15</formula1>
    </dataValidation>
    <dataValidation type="list" allowBlank="1" showInputMessage="1" showErrorMessage="1" sqref="WVN981814:WVN981903 WLR981814:WLR981903 WBV981814:WBV981903 VRZ981814:VRZ981903 VID981814:VID981903 UYH981814:UYH981903 UOL981814:UOL981903 UEP981814:UEP981903 TUT981814:TUT981903 TKX981814:TKX981903 TBB981814:TBB981903 SRF981814:SRF981903 SHJ981814:SHJ981903 RXN981814:RXN981903 RNR981814:RNR981903 RDV981814:RDV981903 QTZ981814:QTZ981903 QKD981814:QKD981903 QAH981814:QAH981903 PQL981814:PQL981903 PGP981814:PGP981903 OWT981814:OWT981903 OMX981814:OMX981903 ODB981814:ODB981903 NTF981814:NTF981903 NJJ981814:NJJ981903 MZN981814:MZN981903 MPR981814:MPR981903 MFV981814:MFV981903 LVZ981814:LVZ981903 LMD981814:LMD981903 LCH981814:LCH981903 KSL981814:KSL981903 KIP981814:KIP981903 JYT981814:JYT981903 JOX981814:JOX981903 JFB981814:JFB981903 IVF981814:IVF981903 ILJ981814:ILJ981903 IBN981814:IBN981903 HRR981814:HRR981903 HHV981814:HHV981903 GXZ981814:GXZ981903 GOD981814:GOD981903 GEH981814:GEH981903 FUL981814:FUL981903 FKP981814:FKP981903 FAT981814:FAT981903 EQX981814:EQX981903 EHB981814:EHB981903 DXF981814:DXF981903 DNJ981814:DNJ981903 DDN981814:DDN981903 CTR981814:CTR981903 CJV981814:CJV981903 BZZ981814:BZZ981903 BQD981814:BQD981903 BGH981814:BGH981903 AWL981814:AWL981903 AMP981814:AMP981903 ACT981814:ACT981903 SX981814:SX981903 JB981814:JB981903 F981825:F981914 WVN916278:WVN916367 WLR916278:WLR916367 WBV916278:WBV916367 VRZ916278:VRZ916367 VID916278:VID916367 UYH916278:UYH916367 UOL916278:UOL916367 UEP916278:UEP916367 TUT916278:TUT916367 TKX916278:TKX916367 TBB916278:TBB916367 SRF916278:SRF916367 SHJ916278:SHJ916367 RXN916278:RXN916367 RNR916278:RNR916367 RDV916278:RDV916367 QTZ916278:QTZ916367 QKD916278:QKD916367 QAH916278:QAH916367 PQL916278:PQL916367 PGP916278:PGP916367 OWT916278:OWT916367 OMX916278:OMX916367 ODB916278:ODB916367 NTF916278:NTF916367 NJJ916278:NJJ916367 MZN916278:MZN916367 MPR916278:MPR916367 MFV916278:MFV916367 LVZ916278:LVZ916367 LMD916278:LMD916367 LCH916278:LCH916367 KSL916278:KSL916367 KIP916278:KIP916367 JYT916278:JYT916367 JOX916278:JOX916367 JFB916278:JFB916367 IVF916278:IVF916367 ILJ916278:ILJ916367 IBN916278:IBN916367 HRR916278:HRR916367 HHV916278:HHV916367 GXZ916278:GXZ916367 GOD916278:GOD916367 GEH916278:GEH916367 FUL916278:FUL916367 FKP916278:FKP916367 FAT916278:FAT916367 EQX916278:EQX916367 EHB916278:EHB916367 DXF916278:DXF916367 DNJ916278:DNJ916367 DDN916278:DDN916367 CTR916278:CTR916367 CJV916278:CJV916367 BZZ916278:BZZ916367 BQD916278:BQD916367 BGH916278:BGH916367 AWL916278:AWL916367 AMP916278:AMP916367 ACT916278:ACT916367 SX916278:SX916367 JB916278:JB916367 F916289:F916378 WVN850742:WVN850831 WLR850742:WLR850831 WBV850742:WBV850831 VRZ850742:VRZ850831 VID850742:VID850831 UYH850742:UYH850831 UOL850742:UOL850831 UEP850742:UEP850831 TUT850742:TUT850831 TKX850742:TKX850831 TBB850742:TBB850831 SRF850742:SRF850831 SHJ850742:SHJ850831 RXN850742:RXN850831 RNR850742:RNR850831 RDV850742:RDV850831 QTZ850742:QTZ850831 QKD850742:QKD850831 QAH850742:QAH850831 PQL850742:PQL850831 PGP850742:PGP850831 OWT850742:OWT850831 OMX850742:OMX850831 ODB850742:ODB850831 NTF850742:NTF850831 NJJ850742:NJJ850831 MZN850742:MZN850831 MPR850742:MPR850831 MFV850742:MFV850831 LVZ850742:LVZ850831 LMD850742:LMD850831 LCH850742:LCH850831 KSL850742:KSL850831 KIP850742:KIP850831 JYT850742:JYT850831 JOX850742:JOX850831 JFB850742:JFB850831 IVF850742:IVF850831 ILJ850742:ILJ850831 IBN850742:IBN850831 HRR850742:HRR850831 HHV850742:HHV850831 GXZ850742:GXZ850831 GOD850742:GOD850831 GEH850742:GEH850831 FUL850742:FUL850831 FKP850742:FKP850831 FAT850742:FAT850831 EQX850742:EQX850831 EHB850742:EHB850831 DXF850742:DXF850831 DNJ850742:DNJ850831 DDN850742:DDN850831 CTR850742:CTR850831 CJV850742:CJV850831 BZZ850742:BZZ850831 BQD850742:BQD850831 BGH850742:BGH850831 AWL850742:AWL850831 AMP850742:AMP850831 ACT850742:ACT850831 SX850742:SX850831 JB850742:JB850831 F850753:F850842 WVN785206:WVN785295 WLR785206:WLR785295 WBV785206:WBV785295 VRZ785206:VRZ785295 VID785206:VID785295 UYH785206:UYH785295 UOL785206:UOL785295 UEP785206:UEP785295 TUT785206:TUT785295 TKX785206:TKX785295 TBB785206:TBB785295 SRF785206:SRF785295 SHJ785206:SHJ785295 RXN785206:RXN785295 RNR785206:RNR785295 RDV785206:RDV785295 QTZ785206:QTZ785295 QKD785206:QKD785295 QAH785206:QAH785295 PQL785206:PQL785295 PGP785206:PGP785295 OWT785206:OWT785295 OMX785206:OMX785295 ODB785206:ODB785295 NTF785206:NTF785295 NJJ785206:NJJ785295 MZN785206:MZN785295 MPR785206:MPR785295 MFV785206:MFV785295 LVZ785206:LVZ785295 LMD785206:LMD785295 LCH785206:LCH785295 KSL785206:KSL785295 KIP785206:KIP785295 JYT785206:JYT785295 JOX785206:JOX785295 JFB785206:JFB785295 IVF785206:IVF785295 ILJ785206:ILJ785295 IBN785206:IBN785295 HRR785206:HRR785295 HHV785206:HHV785295 GXZ785206:GXZ785295 GOD785206:GOD785295 GEH785206:GEH785295 FUL785206:FUL785295 FKP785206:FKP785295 FAT785206:FAT785295 EQX785206:EQX785295 EHB785206:EHB785295 DXF785206:DXF785295 DNJ785206:DNJ785295 DDN785206:DDN785295 CTR785206:CTR785295 CJV785206:CJV785295 BZZ785206:BZZ785295 BQD785206:BQD785295 BGH785206:BGH785295 AWL785206:AWL785295 AMP785206:AMP785295 ACT785206:ACT785295 SX785206:SX785295 JB785206:JB785295 F785217:F785306 WVN719670:WVN719759 WLR719670:WLR719759 WBV719670:WBV719759 VRZ719670:VRZ719759 VID719670:VID719759 UYH719670:UYH719759 UOL719670:UOL719759 UEP719670:UEP719759 TUT719670:TUT719759 TKX719670:TKX719759 TBB719670:TBB719759 SRF719670:SRF719759 SHJ719670:SHJ719759 RXN719670:RXN719759 RNR719670:RNR719759 RDV719670:RDV719759 QTZ719670:QTZ719759 QKD719670:QKD719759 QAH719670:QAH719759 PQL719670:PQL719759 PGP719670:PGP719759 OWT719670:OWT719759 OMX719670:OMX719759 ODB719670:ODB719759 NTF719670:NTF719759 NJJ719670:NJJ719759 MZN719670:MZN719759 MPR719670:MPR719759 MFV719670:MFV719759 LVZ719670:LVZ719759 LMD719670:LMD719759 LCH719670:LCH719759 KSL719670:KSL719759 KIP719670:KIP719759 JYT719670:JYT719759 JOX719670:JOX719759 JFB719670:JFB719759 IVF719670:IVF719759 ILJ719670:ILJ719759 IBN719670:IBN719759 HRR719670:HRR719759 HHV719670:HHV719759 GXZ719670:GXZ719759 GOD719670:GOD719759 GEH719670:GEH719759 FUL719670:FUL719759 FKP719670:FKP719759 FAT719670:FAT719759 EQX719670:EQX719759 EHB719670:EHB719759 DXF719670:DXF719759 DNJ719670:DNJ719759 DDN719670:DDN719759 CTR719670:CTR719759 CJV719670:CJV719759 BZZ719670:BZZ719759 BQD719670:BQD719759 BGH719670:BGH719759 AWL719670:AWL719759 AMP719670:AMP719759 ACT719670:ACT719759 SX719670:SX719759 JB719670:JB719759 F719681:F719770 WVN654134:WVN654223 WLR654134:WLR654223 WBV654134:WBV654223 VRZ654134:VRZ654223 VID654134:VID654223 UYH654134:UYH654223 UOL654134:UOL654223 UEP654134:UEP654223 TUT654134:TUT654223 TKX654134:TKX654223 TBB654134:TBB654223 SRF654134:SRF654223 SHJ654134:SHJ654223 RXN654134:RXN654223 RNR654134:RNR654223 RDV654134:RDV654223 QTZ654134:QTZ654223 QKD654134:QKD654223 QAH654134:QAH654223 PQL654134:PQL654223 PGP654134:PGP654223 OWT654134:OWT654223 OMX654134:OMX654223 ODB654134:ODB654223 NTF654134:NTF654223 NJJ654134:NJJ654223 MZN654134:MZN654223 MPR654134:MPR654223 MFV654134:MFV654223 LVZ654134:LVZ654223 LMD654134:LMD654223 LCH654134:LCH654223 KSL654134:KSL654223 KIP654134:KIP654223 JYT654134:JYT654223 JOX654134:JOX654223 JFB654134:JFB654223 IVF654134:IVF654223 ILJ654134:ILJ654223 IBN654134:IBN654223 HRR654134:HRR654223 HHV654134:HHV654223 GXZ654134:GXZ654223 GOD654134:GOD654223 GEH654134:GEH654223 FUL654134:FUL654223 FKP654134:FKP654223 FAT654134:FAT654223 EQX654134:EQX654223 EHB654134:EHB654223 DXF654134:DXF654223 DNJ654134:DNJ654223 DDN654134:DDN654223 CTR654134:CTR654223 CJV654134:CJV654223 BZZ654134:BZZ654223 BQD654134:BQD654223 BGH654134:BGH654223 AWL654134:AWL654223 AMP654134:AMP654223 ACT654134:ACT654223 SX654134:SX654223 JB654134:JB654223 F654145:F654234 WVN588598:WVN588687 WLR588598:WLR588687 WBV588598:WBV588687 VRZ588598:VRZ588687 VID588598:VID588687 UYH588598:UYH588687 UOL588598:UOL588687 UEP588598:UEP588687 TUT588598:TUT588687 TKX588598:TKX588687 TBB588598:TBB588687 SRF588598:SRF588687 SHJ588598:SHJ588687 RXN588598:RXN588687 RNR588598:RNR588687 RDV588598:RDV588687 QTZ588598:QTZ588687 QKD588598:QKD588687 QAH588598:QAH588687 PQL588598:PQL588687 PGP588598:PGP588687 OWT588598:OWT588687 OMX588598:OMX588687 ODB588598:ODB588687 NTF588598:NTF588687 NJJ588598:NJJ588687 MZN588598:MZN588687 MPR588598:MPR588687 MFV588598:MFV588687 LVZ588598:LVZ588687 LMD588598:LMD588687 LCH588598:LCH588687 KSL588598:KSL588687 KIP588598:KIP588687 JYT588598:JYT588687 JOX588598:JOX588687 JFB588598:JFB588687 IVF588598:IVF588687 ILJ588598:ILJ588687 IBN588598:IBN588687 HRR588598:HRR588687 HHV588598:HHV588687 GXZ588598:GXZ588687 GOD588598:GOD588687 GEH588598:GEH588687 FUL588598:FUL588687 FKP588598:FKP588687 FAT588598:FAT588687 EQX588598:EQX588687 EHB588598:EHB588687 DXF588598:DXF588687 DNJ588598:DNJ588687 DDN588598:DDN588687 CTR588598:CTR588687 CJV588598:CJV588687 BZZ588598:BZZ588687 BQD588598:BQD588687 BGH588598:BGH588687 AWL588598:AWL588687 AMP588598:AMP588687 ACT588598:ACT588687 SX588598:SX588687 JB588598:JB588687 F588609:F588698 WVN523062:WVN523151 WLR523062:WLR523151 WBV523062:WBV523151 VRZ523062:VRZ523151 VID523062:VID523151 UYH523062:UYH523151 UOL523062:UOL523151 UEP523062:UEP523151 TUT523062:TUT523151 TKX523062:TKX523151 TBB523062:TBB523151 SRF523062:SRF523151 SHJ523062:SHJ523151 RXN523062:RXN523151 RNR523062:RNR523151 RDV523062:RDV523151 QTZ523062:QTZ523151 QKD523062:QKD523151 QAH523062:QAH523151 PQL523062:PQL523151 PGP523062:PGP523151 OWT523062:OWT523151 OMX523062:OMX523151 ODB523062:ODB523151 NTF523062:NTF523151 NJJ523062:NJJ523151 MZN523062:MZN523151 MPR523062:MPR523151 MFV523062:MFV523151 LVZ523062:LVZ523151 LMD523062:LMD523151 LCH523062:LCH523151 KSL523062:KSL523151 KIP523062:KIP523151 JYT523062:JYT523151 JOX523062:JOX523151 JFB523062:JFB523151 IVF523062:IVF523151 ILJ523062:ILJ523151 IBN523062:IBN523151 HRR523062:HRR523151 HHV523062:HHV523151 GXZ523062:GXZ523151 GOD523062:GOD523151 GEH523062:GEH523151 FUL523062:FUL523151 FKP523062:FKP523151 FAT523062:FAT523151 EQX523062:EQX523151 EHB523062:EHB523151 DXF523062:DXF523151 DNJ523062:DNJ523151 DDN523062:DDN523151 CTR523062:CTR523151 CJV523062:CJV523151 BZZ523062:BZZ523151 BQD523062:BQD523151 BGH523062:BGH523151 AWL523062:AWL523151 AMP523062:AMP523151 ACT523062:ACT523151 SX523062:SX523151 JB523062:JB523151 F523073:F523162 WVN457526:WVN457615 WLR457526:WLR457615 WBV457526:WBV457615 VRZ457526:VRZ457615 VID457526:VID457615 UYH457526:UYH457615 UOL457526:UOL457615 UEP457526:UEP457615 TUT457526:TUT457615 TKX457526:TKX457615 TBB457526:TBB457615 SRF457526:SRF457615 SHJ457526:SHJ457615 RXN457526:RXN457615 RNR457526:RNR457615 RDV457526:RDV457615 QTZ457526:QTZ457615 QKD457526:QKD457615 QAH457526:QAH457615 PQL457526:PQL457615 PGP457526:PGP457615 OWT457526:OWT457615 OMX457526:OMX457615 ODB457526:ODB457615 NTF457526:NTF457615 NJJ457526:NJJ457615 MZN457526:MZN457615 MPR457526:MPR457615 MFV457526:MFV457615 LVZ457526:LVZ457615 LMD457526:LMD457615 LCH457526:LCH457615 KSL457526:KSL457615 KIP457526:KIP457615 JYT457526:JYT457615 JOX457526:JOX457615 JFB457526:JFB457615 IVF457526:IVF457615 ILJ457526:ILJ457615 IBN457526:IBN457615 HRR457526:HRR457615 HHV457526:HHV457615 GXZ457526:GXZ457615 GOD457526:GOD457615 GEH457526:GEH457615 FUL457526:FUL457615 FKP457526:FKP457615 FAT457526:FAT457615 EQX457526:EQX457615 EHB457526:EHB457615 DXF457526:DXF457615 DNJ457526:DNJ457615 DDN457526:DDN457615 CTR457526:CTR457615 CJV457526:CJV457615 BZZ457526:BZZ457615 BQD457526:BQD457615 BGH457526:BGH457615 AWL457526:AWL457615 AMP457526:AMP457615 ACT457526:ACT457615 SX457526:SX457615 JB457526:JB457615 F457537:F457626 WVN391990:WVN392079 WLR391990:WLR392079 WBV391990:WBV392079 VRZ391990:VRZ392079 VID391990:VID392079 UYH391990:UYH392079 UOL391990:UOL392079 UEP391990:UEP392079 TUT391990:TUT392079 TKX391990:TKX392079 TBB391990:TBB392079 SRF391990:SRF392079 SHJ391990:SHJ392079 RXN391990:RXN392079 RNR391990:RNR392079 RDV391990:RDV392079 QTZ391990:QTZ392079 QKD391990:QKD392079 QAH391990:QAH392079 PQL391990:PQL392079 PGP391990:PGP392079 OWT391990:OWT392079 OMX391990:OMX392079 ODB391990:ODB392079 NTF391990:NTF392079 NJJ391990:NJJ392079 MZN391990:MZN392079 MPR391990:MPR392079 MFV391990:MFV392079 LVZ391990:LVZ392079 LMD391990:LMD392079 LCH391990:LCH392079 KSL391990:KSL392079 KIP391990:KIP392079 JYT391990:JYT392079 JOX391990:JOX392079 JFB391990:JFB392079 IVF391990:IVF392079 ILJ391990:ILJ392079 IBN391990:IBN392079 HRR391990:HRR392079 HHV391990:HHV392079 GXZ391990:GXZ392079 GOD391990:GOD392079 GEH391990:GEH392079 FUL391990:FUL392079 FKP391990:FKP392079 FAT391990:FAT392079 EQX391990:EQX392079 EHB391990:EHB392079 DXF391990:DXF392079 DNJ391990:DNJ392079 DDN391990:DDN392079 CTR391990:CTR392079 CJV391990:CJV392079 BZZ391990:BZZ392079 BQD391990:BQD392079 BGH391990:BGH392079 AWL391990:AWL392079 AMP391990:AMP392079 ACT391990:ACT392079 SX391990:SX392079 JB391990:JB392079 F392001:F392090 WVN326454:WVN326543 WLR326454:WLR326543 WBV326454:WBV326543 VRZ326454:VRZ326543 VID326454:VID326543 UYH326454:UYH326543 UOL326454:UOL326543 UEP326454:UEP326543 TUT326454:TUT326543 TKX326454:TKX326543 TBB326454:TBB326543 SRF326454:SRF326543 SHJ326454:SHJ326543 RXN326454:RXN326543 RNR326454:RNR326543 RDV326454:RDV326543 QTZ326454:QTZ326543 QKD326454:QKD326543 QAH326454:QAH326543 PQL326454:PQL326543 PGP326454:PGP326543 OWT326454:OWT326543 OMX326454:OMX326543 ODB326454:ODB326543 NTF326454:NTF326543 NJJ326454:NJJ326543 MZN326454:MZN326543 MPR326454:MPR326543 MFV326454:MFV326543 LVZ326454:LVZ326543 LMD326454:LMD326543 LCH326454:LCH326543 KSL326454:KSL326543 KIP326454:KIP326543 JYT326454:JYT326543 JOX326454:JOX326543 JFB326454:JFB326543 IVF326454:IVF326543 ILJ326454:ILJ326543 IBN326454:IBN326543 HRR326454:HRR326543 HHV326454:HHV326543 GXZ326454:GXZ326543 GOD326454:GOD326543 GEH326454:GEH326543 FUL326454:FUL326543 FKP326454:FKP326543 FAT326454:FAT326543 EQX326454:EQX326543 EHB326454:EHB326543 DXF326454:DXF326543 DNJ326454:DNJ326543 DDN326454:DDN326543 CTR326454:CTR326543 CJV326454:CJV326543 BZZ326454:BZZ326543 BQD326454:BQD326543 BGH326454:BGH326543 AWL326454:AWL326543 AMP326454:AMP326543 ACT326454:ACT326543 SX326454:SX326543 JB326454:JB326543 F326465:F326554 WVN260918:WVN261007 WLR260918:WLR261007 WBV260918:WBV261007 VRZ260918:VRZ261007 VID260918:VID261007 UYH260918:UYH261007 UOL260918:UOL261007 UEP260918:UEP261007 TUT260918:TUT261007 TKX260918:TKX261007 TBB260918:TBB261007 SRF260918:SRF261007 SHJ260918:SHJ261007 RXN260918:RXN261007 RNR260918:RNR261007 RDV260918:RDV261007 QTZ260918:QTZ261007 QKD260918:QKD261007 QAH260918:QAH261007 PQL260918:PQL261007 PGP260918:PGP261007 OWT260918:OWT261007 OMX260918:OMX261007 ODB260918:ODB261007 NTF260918:NTF261007 NJJ260918:NJJ261007 MZN260918:MZN261007 MPR260918:MPR261007 MFV260918:MFV261007 LVZ260918:LVZ261007 LMD260918:LMD261007 LCH260918:LCH261007 KSL260918:KSL261007 KIP260918:KIP261007 JYT260918:JYT261007 JOX260918:JOX261007 JFB260918:JFB261007 IVF260918:IVF261007 ILJ260918:ILJ261007 IBN260918:IBN261007 HRR260918:HRR261007 HHV260918:HHV261007 GXZ260918:GXZ261007 GOD260918:GOD261007 GEH260918:GEH261007 FUL260918:FUL261007 FKP260918:FKP261007 FAT260918:FAT261007 EQX260918:EQX261007 EHB260918:EHB261007 DXF260918:DXF261007 DNJ260918:DNJ261007 DDN260918:DDN261007 CTR260918:CTR261007 CJV260918:CJV261007 BZZ260918:BZZ261007 BQD260918:BQD261007 BGH260918:BGH261007 AWL260918:AWL261007 AMP260918:AMP261007 ACT260918:ACT261007 SX260918:SX261007 JB260918:JB261007 F260929:F261018 WVN195382:WVN195471 WLR195382:WLR195471 WBV195382:WBV195471 VRZ195382:VRZ195471 VID195382:VID195471 UYH195382:UYH195471 UOL195382:UOL195471 UEP195382:UEP195471 TUT195382:TUT195471 TKX195382:TKX195471 TBB195382:TBB195471 SRF195382:SRF195471 SHJ195382:SHJ195471 RXN195382:RXN195471 RNR195382:RNR195471 RDV195382:RDV195471 QTZ195382:QTZ195471 QKD195382:QKD195471 QAH195382:QAH195471 PQL195382:PQL195471 PGP195382:PGP195471 OWT195382:OWT195471 OMX195382:OMX195471 ODB195382:ODB195471 NTF195382:NTF195471 NJJ195382:NJJ195471 MZN195382:MZN195471 MPR195382:MPR195471 MFV195382:MFV195471 LVZ195382:LVZ195471 LMD195382:LMD195471 LCH195382:LCH195471 KSL195382:KSL195471 KIP195382:KIP195471 JYT195382:JYT195471 JOX195382:JOX195471 JFB195382:JFB195471 IVF195382:IVF195471 ILJ195382:ILJ195471 IBN195382:IBN195471 HRR195382:HRR195471 HHV195382:HHV195471 GXZ195382:GXZ195471 GOD195382:GOD195471 GEH195382:GEH195471 FUL195382:FUL195471 FKP195382:FKP195471 FAT195382:FAT195471 EQX195382:EQX195471 EHB195382:EHB195471 DXF195382:DXF195471 DNJ195382:DNJ195471 DDN195382:DDN195471 CTR195382:CTR195471 CJV195382:CJV195471 BZZ195382:BZZ195471 BQD195382:BQD195471 BGH195382:BGH195471 AWL195382:AWL195471 AMP195382:AMP195471 ACT195382:ACT195471 SX195382:SX195471 JB195382:JB195471 F195393:F195482 WVN129846:WVN129935 WLR129846:WLR129935 WBV129846:WBV129935 VRZ129846:VRZ129935 VID129846:VID129935 UYH129846:UYH129935 UOL129846:UOL129935 UEP129846:UEP129935 TUT129846:TUT129935 TKX129846:TKX129935 TBB129846:TBB129935 SRF129846:SRF129935 SHJ129846:SHJ129935 RXN129846:RXN129935 RNR129846:RNR129935 RDV129846:RDV129935 QTZ129846:QTZ129935 QKD129846:QKD129935 QAH129846:QAH129935 PQL129846:PQL129935 PGP129846:PGP129935 OWT129846:OWT129935 OMX129846:OMX129935 ODB129846:ODB129935 NTF129846:NTF129935 NJJ129846:NJJ129935 MZN129846:MZN129935 MPR129846:MPR129935 MFV129846:MFV129935 LVZ129846:LVZ129935 LMD129846:LMD129935 LCH129846:LCH129935 KSL129846:KSL129935 KIP129846:KIP129935 JYT129846:JYT129935 JOX129846:JOX129935 JFB129846:JFB129935 IVF129846:IVF129935 ILJ129846:ILJ129935 IBN129846:IBN129935 HRR129846:HRR129935 HHV129846:HHV129935 GXZ129846:GXZ129935 GOD129846:GOD129935 GEH129846:GEH129935 FUL129846:FUL129935 FKP129846:FKP129935 FAT129846:FAT129935 EQX129846:EQX129935 EHB129846:EHB129935 DXF129846:DXF129935 DNJ129846:DNJ129935 DDN129846:DDN129935 CTR129846:CTR129935 CJV129846:CJV129935 BZZ129846:BZZ129935 BQD129846:BQD129935 BGH129846:BGH129935 AWL129846:AWL129935 AMP129846:AMP129935 ACT129846:ACT129935 SX129846:SX129935 JB129846:JB129935 F129857:F129946 WVN64310:WVN64399 WLR64310:WLR64399 WBV64310:WBV64399 VRZ64310:VRZ64399 VID64310:VID64399 UYH64310:UYH64399 UOL64310:UOL64399 UEP64310:UEP64399 TUT64310:TUT64399 TKX64310:TKX64399 TBB64310:TBB64399 SRF64310:SRF64399 SHJ64310:SHJ64399 RXN64310:RXN64399 RNR64310:RNR64399 RDV64310:RDV64399 QTZ64310:QTZ64399 QKD64310:QKD64399 QAH64310:QAH64399 PQL64310:PQL64399 PGP64310:PGP64399 OWT64310:OWT64399 OMX64310:OMX64399 ODB64310:ODB64399 NTF64310:NTF64399 NJJ64310:NJJ64399 MZN64310:MZN64399 MPR64310:MPR64399 MFV64310:MFV64399 LVZ64310:LVZ64399 LMD64310:LMD64399 LCH64310:LCH64399 KSL64310:KSL64399 KIP64310:KIP64399 JYT64310:JYT64399 JOX64310:JOX64399 JFB64310:JFB64399 IVF64310:IVF64399 ILJ64310:ILJ64399 IBN64310:IBN64399 HRR64310:HRR64399 HHV64310:HHV64399 GXZ64310:GXZ64399 GOD64310:GOD64399 GEH64310:GEH64399 FUL64310:FUL64399 FKP64310:FKP64399 FAT64310:FAT64399 EQX64310:EQX64399 EHB64310:EHB64399 DXF64310:DXF64399 DNJ64310:DNJ64399 DDN64310:DDN64399 CTR64310:CTR64399 CJV64310:CJV64399 BZZ64310:BZZ64399 BQD64310:BQD64399 BGH64310:BGH64399 AWL64310:AWL64399 AMP64310:AMP64399 ACT64310:ACT64399 SX64310:SX64399 JB64310:JB64399 F64321:F64410 JB2:JB82 SX2:SX82 ACT2:ACT82 AMP2:AMP82 AWL2:AWL82 BGH2:BGH82 BQD2:BQD82 BZZ2:BZZ82 CJV2:CJV82 CTR2:CTR82 DDN2:DDN82 DNJ2:DNJ82 DXF2:DXF82 EHB2:EHB82 EQX2:EQX82 FAT2:FAT82 FKP2:FKP82 FUL2:FUL82 GEH2:GEH82 GOD2:GOD82 GXZ2:GXZ82 HHV2:HHV82 HRR2:HRR82 IBN2:IBN82 ILJ2:ILJ82 IVF2:IVF82 JFB2:JFB82 JOX2:JOX82 JYT2:JYT82 KIP2:KIP82 KSL2:KSL82 LCH2:LCH82 LMD2:LMD82 LVZ2:LVZ82 MFV2:MFV82 MPR2:MPR82 MZN2:MZN82 NJJ2:NJJ82 NTF2:NTF82 ODB2:ODB82 OMX2:OMX82 OWT2:OWT82 PGP2:PGP82 PQL2:PQL82 QAH2:QAH82 QKD2:QKD82 QTZ2:QTZ82 RDV2:RDV82 RNR2:RNR82 RXN2:RXN82 SHJ2:SHJ82 SRF2:SRF82 TBB2:TBB82 TKX2:TKX82 TUT2:TUT82 UEP2:UEP82 UOL2:UOL82 UYH2:UYH82 VID2:VID82 VRZ2:VRZ82 WBV2:WBV82 WLR2:WLR82 WVN2:WVN82" xr:uid="{843D48FB-0527-483A-B42D-FDC2291DEEC4}">
      <formula1>$AH$2:$AH$13</formula1>
    </dataValidation>
    <dataValidation type="list" allowBlank="1" showInputMessage="1" showErrorMessage="1" sqref="WVM981814:WVM981903 WLQ981814:WLQ981903 WBU981814:WBU981903 VRY981814:VRY981903 VIC981814:VIC981903 UYG981814:UYG981903 UOK981814:UOK981903 UEO981814:UEO981903 TUS981814:TUS981903 TKW981814:TKW981903 TBA981814:TBA981903 SRE981814:SRE981903 SHI981814:SHI981903 RXM981814:RXM981903 RNQ981814:RNQ981903 RDU981814:RDU981903 QTY981814:QTY981903 QKC981814:QKC981903 QAG981814:QAG981903 PQK981814:PQK981903 PGO981814:PGO981903 OWS981814:OWS981903 OMW981814:OMW981903 ODA981814:ODA981903 NTE981814:NTE981903 NJI981814:NJI981903 MZM981814:MZM981903 MPQ981814:MPQ981903 MFU981814:MFU981903 LVY981814:LVY981903 LMC981814:LMC981903 LCG981814:LCG981903 KSK981814:KSK981903 KIO981814:KIO981903 JYS981814:JYS981903 JOW981814:JOW981903 JFA981814:JFA981903 IVE981814:IVE981903 ILI981814:ILI981903 IBM981814:IBM981903 HRQ981814:HRQ981903 HHU981814:HHU981903 GXY981814:GXY981903 GOC981814:GOC981903 GEG981814:GEG981903 FUK981814:FUK981903 FKO981814:FKO981903 FAS981814:FAS981903 EQW981814:EQW981903 EHA981814:EHA981903 DXE981814:DXE981903 DNI981814:DNI981903 DDM981814:DDM981903 CTQ981814:CTQ981903 CJU981814:CJU981903 BZY981814:BZY981903 BQC981814:BQC981903 BGG981814:BGG981903 AWK981814:AWK981903 AMO981814:AMO981903 ACS981814:ACS981903 SW981814:SW981903 JA981814:JA981903 E981825:E981914 WVM916278:WVM916367 WLQ916278:WLQ916367 WBU916278:WBU916367 VRY916278:VRY916367 VIC916278:VIC916367 UYG916278:UYG916367 UOK916278:UOK916367 UEO916278:UEO916367 TUS916278:TUS916367 TKW916278:TKW916367 TBA916278:TBA916367 SRE916278:SRE916367 SHI916278:SHI916367 RXM916278:RXM916367 RNQ916278:RNQ916367 RDU916278:RDU916367 QTY916278:QTY916367 QKC916278:QKC916367 QAG916278:QAG916367 PQK916278:PQK916367 PGO916278:PGO916367 OWS916278:OWS916367 OMW916278:OMW916367 ODA916278:ODA916367 NTE916278:NTE916367 NJI916278:NJI916367 MZM916278:MZM916367 MPQ916278:MPQ916367 MFU916278:MFU916367 LVY916278:LVY916367 LMC916278:LMC916367 LCG916278:LCG916367 KSK916278:KSK916367 KIO916278:KIO916367 JYS916278:JYS916367 JOW916278:JOW916367 JFA916278:JFA916367 IVE916278:IVE916367 ILI916278:ILI916367 IBM916278:IBM916367 HRQ916278:HRQ916367 HHU916278:HHU916367 GXY916278:GXY916367 GOC916278:GOC916367 GEG916278:GEG916367 FUK916278:FUK916367 FKO916278:FKO916367 FAS916278:FAS916367 EQW916278:EQW916367 EHA916278:EHA916367 DXE916278:DXE916367 DNI916278:DNI916367 DDM916278:DDM916367 CTQ916278:CTQ916367 CJU916278:CJU916367 BZY916278:BZY916367 BQC916278:BQC916367 BGG916278:BGG916367 AWK916278:AWK916367 AMO916278:AMO916367 ACS916278:ACS916367 SW916278:SW916367 JA916278:JA916367 E916289:E916378 WVM850742:WVM850831 WLQ850742:WLQ850831 WBU850742:WBU850831 VRY850742:VRY850831 VIC850742:VIC850831 UYG850742:UYG850831 UOK850742:UOK850831 UEO850742:UEO850831 TUS850742:TUS850831 TKW850742:TKW850831 TBA850742:TBA850831 SRE850742:SRE850831 SHI850742:SHI850831 RXM850742:RXM850831 RNQ850742:RNQ850831 RDU850742:RDU850831 QTY850742:QTY850831 QKC850742:QKC850831 QAG850742:QAG850831 PQK850742:PQK850831 PGO850742:PGO850831 OWS850742:OWS850831 OMW850742:OMW850831 ODA850742:ODA850831 NTE850742:NTE850831 NJI850742:NJI850831 MZM850742:MZM850831 MPQ850742:MPQ850831 MFU850742:MFU850831 LVY850742:LVY850831 LMC850742:LMC850831 LCG850742:LCG850831 KSK850742:KSK850831 KIO850742:KIO850831 JYS850742:JYS850831 JOW850742:JOW850831 JFA850742:JFA850831 IVE850742:IVE850831 ILI850742:ILI850831 IBM850742:IBM850831 HRQ850742:HRQ850831 HHU850742:HHU850831 GXY850742:GXY850831 GOC850742:GOC850831 GEG850742:GEG850831 FUK850742:FUK850831 FKO850742:FKO850831 FAS850742:FAS850831 EQW850742:EQW850831 EHA850742:EHA850831 DXE850742:DXE850831 DNI850742:DNI850831 DDM850742:DDM850831 CTQ850742:CTQ850831 CJU850742:CJU850831 BZY850742:BZY850831 BQC850742:BQC850831 BGG850742:BGG850831 AWK850742:AWK850831 AMO850742:AMO850831 ACS850742:ACS850831 SW850742:SW850831 JA850742:JA850831 E850753:E850842 WVM785206:WVM785295 WLQ785206:WLQ785295 WBU785206:WBU785295 VRY785206:VRY785295 VIC785206:VIC785295 UYG785206:UYG785295 UOK785206:UOK785295 UEO785206:UEO785295 TUS785206:TUS785295 TKW785206:TKW785295 TBA785206:TBA785295 SRE785206:SRE785295 SHI785206:SHI785295 RXM785206:RXM785295 RNQ785206:RNQ785295 RDU785206:RDU785295 QTY785206:QTY785295 QKC785206:QKC785295 QAG785206:QAG785295 PQK785206:PQK785295 PGO785206:PGO785295 OWS785206:OWS785295 OMW785206:OMW785295 ODA785206:ODA785295 NTE785206:NTE785295 NJI785206:NJI785295 MZM785206:MZM785295 MPQ785206:MPQ785295 MFU785206:MFU785295 LVY785206:LVY785295 LMC785206:LMC785295 LCG785206:LCG785295 KSK785206:KSK785295 KIO785206:KIO785295 JYS785206:JYS785295 JOW785206:JOW785295 JFA785206:JFA785295 IVE785206:IVE785295 ILI785206:ILI785295 IBM785206:IBM785295 HRQ785206:HRQ785295 HHU785206:HHU785295 GXY785206:GXY785295 GOC785206:GOC785295 GEG785206:GEG785295 FUK785206:FUK785295 FKO785206:FKO785295 FAS785206:FAS785295 EQW785206:EQW785295 EHA785206:EHA785295 DXE785206:DXE785295 DNI785206:DNI785295 DDM785206:DDM785295 CTQ785206:CTQ785295 CJU785206:CJU785295 BZY785206:BZY785295 BQC785206:BQC785295 BGG785206:BGG785295 AWK785206:AWK785295 AMO785206:AMO785295 ACS785206:ACS785295 SW785206:SW785295 JA785206:JA785295 E785217:E785306 WVM719670:WVM719759 WLQ719670:WLQ719759 WBU719670:WBU719759 VRY719670:VRY719759 VIC719670:VIC719759 UYG719670:UYG719759 UOK719670:UOK719759 UEO719670:UEO719759 TUS719670:TUS719759 TKW719670:TKW719759 TBA719670:TBA719759 SRE719670:SRE719759 SHI719670:SHI719759 RXM719670:RXM719759 RNQ719670:RNQ719759 RDU719670:RDU719759 QTY719670:QTY719759 QKC719670:QKC719759 QAG719670:QAG719759 PQK719670:PQK719759 PGO719670:PGO719759 OWS719670:OWS719759 OMW719670:OMW719759 ODA719670:ODA719759 NTE719670:NTE719759 NJI719670:NJI719759 MZM719670:MZM719759 MPQ719670:MPQ719759 MFU719670:MFU719759 LVY719670:LVY719759 LMC719670:LMC719759 LCG719670:LCG719759 KSK719670:KSK719759 KIO719670:KIO719759 JYS719670:JYS719759 JOW719670:JOW719759 JFA719670:JFA719759 IVE719670:IVE719759 ILI719670:ILI719759 IBM719670:IBM719759 HRQ719670:HRQ719759 HHU719670:HHU719759 GXY719670:GXY719759 GOC719670:GOC719759 GEG719670:GEG719759 FUK719670:FUK719759 FKO719670:FKO719759 FAS719670:FAS719759 EQW719670:EQW719759 EHA719670:EHA719759 DXE719670:DXE719759 DNI719670:DNI719759 DDM719670:DDM719759 CTQ719670:CTQ719759 CJU719670:CJU719759 BZY719670:BZY719759 BQC719670:BQC719759 BGG719670:BGG719759 AWK719670:AWK719759 AMO719670:AMO719759 ACS719670:ACS719759 SW719670:SW719759 JA719670:JA719759 E719681:E719770 WVM654134:WVM654223 WLQ654134:WLQ654223 WBU654134:WBU654223 VRY654134:VRY654223 VIC654134:VIC654223 UYG654134:UYG654223 UOK654134:UOK654223 UEO654134:UEO654223 TUS654134:TUS654223 TKW654134:TKW654223 TBA654134:TBA654223 SRE654134:SRE654223 SHI654134:SHI654223 RXM654134:RXM654223 RNQ654134:RNQ654223 RDU654134:RDU654223 QTY654134:QTY654223 QKC654134:QKC654223 QAG654134:QAG654223 PQK654134:PQK654223 PGO654134:PGO654223 OWS654134:OWS654223 OMW654134:OMW654223 ODA654134:ODA654223 NTE654134:NTE654223 NJI654134:NJI654223 MZM654134:MZM654223 MPQ654134:MPQ654223 MFU654134:MFU654223 LVY654134:LVY654223 LMC654134:LMC654223 LCG654134:LCG654223 KSK654134:KSK654223 KIO654134:KIO654223 JYS654134:JYS654223 JOW654134:JOW654223 JFA654134:JFA654223 IVE654134:IVE654223 ILI654134:ILI654223 IBM654134:IBM654223 HRQ654134:HRQ654223 HHU654134:HHU654223 GXY654134:GXY654223 GOC654134:GOC654223 GEG654134:GEG654223 FUK654134:FUK654223 FKO654134:FKO654223 FAS654134:FAS654223 EQW654134:EQW654223 EHA654134:EHA654223 DXE654134:DXE654223 DNI654134:DNI654223 DDM654134:DDM654223 CTQ654134:CTQ654223 CJU654134:CJU654223 BZY654134:BZY654223 BQC654134:BQC654223 BGG654134:BGG654223 AWK654134:AWK654223 AMO654134:AMO654223 ACS654134:ACS654223 SW654134:SW654223 JA654134:JA654223 E654145:E654234 WVM588598:WVM588687 WLQ588598:WLQ588687 WBU588598:WBU588687 VRY588598:VRY588687 VIC588598:VIC588687 UYG588598:UYG588687 UOK588598:UOK588687 UEO588598:UEO588687 TUS588598:TUS588687 TKW588598:TKW588687 TBA588598:TBA588687 SRE588598:SRE588687 SHI588598:SHI588687 RXM588598:RXM588687 RNQ588598:RNQ588687 RDU588598:RDU588687 QTY588598:QTY588687 QKC588598:QKC588687 QAG588598:QAG588687 PQK588598:PQK588687 PGO588598:PGO588687 OWS588598:OWS588687 OMW588598:OMW588687 ODA588598:ODA588687 NTE588598:NTE588687 NJI588598:NJI588687 MZM588598:MZM588687 MPQ588598:MPQ588687 MFU588598:MFU588687 LVY588598:LVY588687 LMC588598:LMC588687 LCG588598:LCG588687 KSK588598:KSK588687 KIO588598:KIO588687 JYS588598:JYS588687 JOW588598:JOW588687 JFA588598:JFA588687 IVE588598:IVE588687 ILI588598:ILI588687 IBM588598:IBM588687 HRQ588598:HRQ588687 HHU588598:HHU588687 GXY588598:GXY588687 GOC588598:GOC588687 GEG588598:GEG588687 FUK588598:FUK588687 FKO588598:FKO588687 FAS588598:FAS588687 EQW588598:EQW588687 EHA588598:EHA588687 DXE588598:DXE588687 DNI588598:DNI588687 DDM588598:DDM588687 CTQ588598:CTQ588687 CJU588598:CJU588687 BZY588598:BZY588687 BQC588598:BQC588687 BGG588598:BGG588687 AWK588598:AWK588687 AMO588598:AMO588687 ACS588598:ACS588687 SW588598:SW588687 JA588598:JA588687 E588609:E588698 WVM523062:WVM523151 WLQ523062:WLQ523151 WBU523062:WBU523151 VRY523062:VRY523151 VIC523062:VIC523151 UYG523062:UYG523151 UOK523062:UOK523151 UEO523062:UEO523151 TUS523062:TUS523151 TKW523062:TKW523151 TBA523062:TBA523151 SRE523062:SRE523151 SHI523062:SHI523151 RXM523062:RXM523151 RNQ523062:RNQ523151 RDU523062:RDU523151 QTY523062:QTY523151 QKC523062:QKC523151 QAG523062:QAG523151 PQK523062:PQK523151 PGO523062:PGO523151 OWS523062:OWS523151 OMW523062:OMW523151 ODA523062:ODA523151 NTE523062:NTE523151 NJI523062:NJI523151 MZM523062:MZM523151 MPQ523062:MPQ523151 MFU523062:MFU523151 LVY523062:LVY523151 LMC523062:LMC523151 LCG523062:LCG523151 KSK523062:KSK523151 KIO523062:KIO523151 JYS523062:JYS523151 JOW523062:JOW523151 JFA523062:JFA523151 IVE523062:IVE523151 ILI523062:ILI523151 IBM523062:IBM523151 HRQ523062:HRQ523151 HHU523062:HHU523151 GXY523062:GXY523151 GOC523062:GOC523151 GEG523062:GEG523151 FUK523062:FUK523151 FKO523062:FKO523151 FAS523062:FAS523151 EQW523062:EQW523151 EHA523062:EHA523151 DXE523062:DXE523151 DNI523062:DNI523151 DDM523062:DDM523151 CTQ523062:CTQ523151 CJU523062:CJU523151 BZY523062:BZY523151 BQC523062:BQC523151 BGG523062:BGG523151 AWK523062:AWK523151 AMO523062:AMO523151 ACS523062:ACS523151 SW523062:SW523151 JA523062:JA523151 E523073:E523162 WVM457526:WVM457615 WLQ457526:WLQ457615 WBU457526:WBU457615 VRY457526:VRY457615 VIC457526:VIC457615 UYG457526:UYG457615 UOK457526:UOK457615 UEO457526:UEO457615 TUS457526:TUS457615 TKW457526:TKW457615 TBA457526:TBA457615 SRE457526:SRE457615 SHI457526:SHI457615 RXM457526:RXM457615 RNQ457526:RNQ457615 RDU457526:RDU457615 QTY457526:QTY457615 QKC457526:QKC457615 QAG457526:QAG457615 PQK457526:PQK457615 PGO457526:PGO457615 OWS457526:OWS457615 OMW457526:OMW457615 ODA457526:ODA457615 NTE457526:NTE457615 NJI457526:NJI457615 MZM457526:MZM457615 MPQ457526:MPQ457615 MFU457526:MFU457615 LVY457526:LVY457615 LMC457526:LMC457615 LCG457526:LCG457615 KSK457526:KSK457615 KIO457526:KIO457615 JYS457526:JYS457615 JOW457526:JOW457615 JFA457526:JFA457615 IVE457526:IVE457615 ILI457526:ILI457615 IBM457526:IBM457615 HRQ457526:HRQ457615 HHU457526:HHU457615 GXY457526:GXY457615 GOC457526:GOC457615 GEG457526:GEG457615 FUK457526:FUK457615 FKO457526:FKO457615 FAS457526:FAS457615 EQW457526:EQW457615 EHA457526:EHA457615 DXE457526:DXE457615 DNI457526:DNI457615 DDM457526:DDM457615 CTQ457526:CTQ457615 CJU457526:CJU457615 BZY457526:BZY457615 BQC457526:BQC457615 BGG457526:BGG457615 AWK457526:AWK457615 AMO457526:AMO457615 ACS457526:ACS457615 SW457526:SW457615 JA457526:JA457615 E457537:E457626 WVM391990:WVM392079 WLQ391990:WLQ392079 WBU391990:WBU392079 VRY391990:VRY392079 VIC391990:VIC392079 UYG391990:UYG392079 UOK391990:UOK392079 UEO391990:UEO392079 TUS391990:TUS392079 TKW391990:TKW392079 TBA391990:TBA392079 SRE391990:SRE392079 SHI391990:SHI392079 RXM391990:RXM392079 RNQ391990:RNQ392079 RDU391990:RDU392079 QTY391990:QTY392079 QKC391990:QKC392079 QAG391990:QAG392079 PQK391990:PQK392079 PGO391990:PGO392079 OWS391990:OWS392079 OMW391990:OMW392079 ODA391990:ODA392079 NTE391990:NTE392079 NJI391990:NJI392079 MZM391990:MZM392079 MPQ391990:MPQ392079 MFU391990:MFU392079 LVY391990:LVY392079 LMC391990:LMC392079 LCG391990:LCG392079 KSK391990:KSK392079 KIO391990:KIO392079 JYS391990:JYS392079 JOW391990:JOW392079 JFA391990:JFA392079 IVE391990:IVE392079 ILI391990:ILI392079 IBM391990:IBM392079 HRQ391990:HRQ392079 HHU391990:HHU392079 GXY391990:GXY392079 GOC391990:GOC392079 GEG391990:GEG392079 FUK391990:FUK392079 FKO391990:FKO392079 FAS391990:FAS392079 EQW391990:EQW392079 EHA391990:EHA392079 DXE391990:DXE392079 DNI391990:DNI392079 DDM391990:DDM392079 CTQ391990:CTQ392079 CJU391990:CJU392079 BZY391990:BZY392079 BQC391990:BQC392079 BGG391990:BGG392079 AWK391990:AWK392079 AMO391990:AMO392079 ACS391990:ACS392079 SW391990:SW392079 JA391990:JA392079 E392001:E392090 WVM326454:WVM326543 WLQ326454:WLQ326543 WBU326454:WBU326543 VRY326454:VRY326543 VIC326454:VIC326543 UYG326454:UYG326543 UOK326454:UOK326543 UEO326454:UEO326543 TUS326454:TUS326543 TKW326454:TKW326543 TBA326454:TBA326543 SRE326454:SRE326543 SHI326454:SHI326543 RXM326454:RXM326543 RNQ326454:RNQ326543 RDU326454:RDU326543 QTY326454:QTY326543 QKC326454:QKC326543 QAG326454:QAG326543 PQK326454:PQK326543 PGO326454:PGO326543 OWS326454:OWS326543 OMW326454:OMW326543 ODA326454:ODA326543 NTE326454:NTE326543 NJI326454:NJI326543 MZM326454:MZM326543 MPQ326454:MPQ326543 MFU326454:MFU326543 LVY326454:LVY326543 LMC326454:LMC326543 LCG326454:LCG326543 KSK326454:KSK326543 KIO326454:KIO326543 JYS326454:JYS326543 JOW326454:JOW326543 JFA326454:JFA326543 IVE326454:IVE326543 ILI326454:ILI326543 IBM326454:IBM326543 HRQ326454:HRQ326543 HHU326454:HHU326543 GXY326454:GXY326543 GOC326454:GOC326543 GEG326454:GEG326543 FUK326454:FUK326543 FKO326454:FKO326543 FAS326454:FAS326543 EQW326454:EQW326543 EHA326454:EHA326543 DXE326454:DXE326543 DNI326454:DNI326543 DDM326454:DDM326543 CTQ326454:CTQ326543 CJU326454:CJU326543 BZY326454:BZY326543 BQC326454:BQC326543 BGG326454:BGG326543 AWK326454:AWK326543 AMO326454:AMO326543 ACS326454:ACS326543 SW326454:SW326543 JA326454:JA326543 E326465:E326554 WVM260918:WVM261007 WLQ260918:WLQ261007 WBU260918:WBU261007 VRY260918:VRY261007 VIC260918:VIC261007 UYG260918:UYG261007 UOK260918:UOK261007 UEO260918:UEO261007 TUS260918:TUS261007 TKW260918:TKW261007 TBA260918:TBA261007 SRE260918:SRE261007 SHI260918:SHI261007 RXM260918:RXM261007 RNQ260918:RNQ261007 RDU260918:RDU261007 QTY260918:QTY261007 QKC260918:QKC261007 QAG260918:QAG261007 PQK260918:PQK261007 PGO260918:PGO261007 OWS260918:OWS261007 OMW260918:OMW261007 ODA260918:ODA261007 NTE260918:NTE261007 NJI260918:NJI261007 MZM260918:MZM261007 MPQ260918:MPQ261007 MFU260918:MFU261007 LVY260918:LVY261007 LMC260918:LMC261007 LCG260918:LCG261007 KSK260918:KSK261007 KIO260918:KIO261007 JYS260918:JYS261007 JOW260918:JOW261007 JFA260918:JFA261007 IVE260918:IVE261007 ILI260918:ILI261007 IBM260918:IBM261007 HRQ260918:HRQ261007 HHU260918:HHU261007 GXY260918:GXY261007 GOC260918:GOC261007 GEG260918:GEG261007 FUK260918:FUK261007 FKO260918:FKO261007 FAS260918:FAS261007 EQW260918:EQW261007 EHA260918:EHA261007 DXE260918:DXE261007 DNI260918:DNI261007 DDM260918:DDM261007 CTQ260918:CTQ261007 CJU260918:CJU261007 BZY260918:BZY261007 BQC260918:BQC261007 BGG260918:BGG261007 AWK260918:AWK261007 AMO260918:AMO261007 ACS260918:ACS261007 SW260918:SW261007 JA260918:JA261007 E260929:E261018 WVM195382:WVM195471 WLQ195382:WLQ195471 WBU195382:WBU195471 VRY195382:VRY195471 VIC195382:VIC195471 UYG195382:UYG195471 UOK195382:UOK195471 UEO195382:UEO195471 TUS195382:TUS195471 TKW195382:TKW195471 TBA195382:TBA195471 SRE195382:SRE195471 SHI195382:SHI195471 RXM195382:RXM195471 RNQ195382:RNQ195471 RDU195382:RDU195471 QTY195382:QTY195471 QKC195382:QKC195471 QAG195382:QAG195471 PQK195382:PQK195471 PGO195382:PGO195471 OWS195382:OWS195471 OMW195382:OMW195471 ODA195382:ODA195471 NTE195382:NTE195471 NJI195382:NJI195471 MZM195382:MZM195471 MPQ195382:MPQ195471 MFU195382:MFU195471 LVY195382:LVY195471 LMC195382:LMC195471 LCG195382:LCG195471 KSK195382:KSK195471 KIO195382:KIO195471 JYS195382:JYS195471 JOW195382:JOW195471 JFA195382:JFA195471 IVE195382:IVE195471 ILI195382:ILI195471 IBM195382:IBM195471 HRQ195382:HRQ195471 HHU195382:HHU195471 GXY195382:GXY195471 GOC195382:GOC195471 GEG195382:GEG195471 FUK195382:FUK195471 FKO195382:FKO195471 FAS195382:FAS195471 EQW195382:EQW195471 EHA195382:EHA195471 DXE195382:DXE195471 DNI195382:DNI195471 DDM195382:DDM195471 CTQ195382:CTQ195471 CJU195382:CJU195471 BZY195382:BZY195471 BQC195382:BQC195471 BGG195382:BGG195471 AWK195382:AWK195471 AMO195382:AMO195471 ACS195382:ACS195471 SW195382:SW195471 JA195382:JA195471 E195393:E195482 WVM129846:WVM129935 WLQ129846:WLQ129935 WBU129846:WBU129935 VRY129846:VRY129935 VIC129846:VIC129935 UYG129846:UYG129935 UOK129846:UOK129935 UEO129846:UEO129935 TUS129846:TUS129935 TKW129846:TKW129935 TBA129846:TBA129935 SRE129846:SRE129935 SHI129846:SHI129935 RXM129846:RXM129935 RNQ129846:RNQ129935 RDU129846:RDU129935 QTY129846:QTY129935 QKC129846:QKC129935 QAG129846:QAG129935 PQK129846:PQK129935 PGO129846:PGO129935 OWS129846:OWS129935 OMW129846:OMW129935 ODA129846:ODA129935 NTE129846:NTE129935 NJI129846:NJI129935 MZM129846:MZM129935 MPQ129846:MPQ129935 MFU129846:MFU129935 LVY129846:LVY129935 LMC129846:LMC129935 LCG129846:LCG129935 KSK129846:KSK129935 KIO129846:KIO129935 JYS129846:JYS129935 JOW129846:JOW129935 JFA129846:JFA129935 IVE129846:IVE129935 ILI129846:ILI129935 IBM129846:IBM129935 HRQ129846:HRQ129935 HHU129846:HHU129935 GXY129846:GXY129935 GOC129846:GOC129935 GEG129846:GEG129935 FUK129846:FUK129935 FKO129846:FKO129935 FAS129846:FAS129935 EQW129846:EQW129935 EHA129846:EHA129935 DXE129846:DXE129935 DNI129846:DNI129935 DDM129846:DDM129935 CTQ129846:CTQ129935 CJU129846:CJU129935 BZY129846:BZY129935 BQC129846:BQC129935 BGG129846:BGG129935 AWK129846:AWK129935 AMO129846:AMO129935 ACS129846:ACS129935 SW129846:SW129935 JA129846:JA129935 E129857:E129946 WVM64310:WVM64399 WLQ64310:WLQ64399 WBU64310:WBU64399 VRY64310:VRY64399 VIC64310:VIC64399 UYG64310:UYG64399 UOK64310:UOK64399 UEO64310:UEO64399 TUS64310:TUS64399 TKW64310:TKW64399 TBA64310:TBA64399 SRE64310:SRE64399 SHI64310:SHI64399 RXM64310:RXM64399 RNQ64310:RNQ64399 RDU64310:RDU64399 QTY64310:QTY64399 QKC64310:QKC64399 QAG64310:QAG64399 PQK64310:PQK64399 PGO64310:PGO64399 OWS64310:OWS64399 OMW64310:OMW64399 ODA64310:ODA64399 NTE64310:NTE64399 NJI64310:NJI64399 MZM64310:MZM64399 MPQ64310:MPQ64399 MFU64310:MFU64399 LVY64310:LVY64399 LMC64310:LMC64399 LCG64310:LCG64399 KSK64310:KSK64399 KIO64310:KIO64399 JYS64310:JYS64399 JOW64310:JOW64399 JFA64310:JFA64399 IVE64310:IVE64399 ILI64310:ILI64399 IBM64310:IBM64399 HRQ64310:HRQ64399 HHU64310:HHU64399 GXY64310:GXY64399 GOC64310:GOC64399 GEG64310:GEG64399 FUK64310:FUK64399 FKO64310:FKO64399 FAS64310:FAS64399 EQW64310:EQW64399 EHA64310:EHA64399 DXE64310:DXE64399 DNI64310:DNI64399 DDM64310:DDM64399 CTQ64310:CTQ64399 CJU64310:CJU64399 BZY64310:BZY64399 BQC64310:BQC64399 BGG64310:BGG64399 AWK64310:AWK64399 AMO64310:AMO64399 ACS64310:ACS64399 SW64310:SW64399 JA64310:JA64399 E64321:E64410 JA2:JA82 SW2:SW82 ACS2:ACS82 AMO2:AMO82 AWK2:AWK82 BGG2:BGG82 BQC2:BQC82 BZY2:BZY82 CJU2:CJU82 CTQ2:CTQ82 DDM2:DDM82 DNI2:DNI82 DXE2:DXE82 EHA2:EHA82 EQW2:EQW82 FAS2:FAS82 FKO2:FKO82 FUK2:FUK82 GEG2:GEG82 GOC2:GOC82 GXY2:GXY82 HHU2:HHU82 HRQ2:HRQ82 IBM2:IBM82 ILI2:ILI82 IVE2:IVE82 JFA2:JFA82 JOW2:JOW82 JYS2:JYS82 KIO2:KIO82 KSK2:KSK82 LCG2:LCG82 LMC2:LMC82 LVY2:LVY82 MFU2:MFU82 MPQ2:MPQ82 MZM2:MZM82 NJI2:NJI82 NTE2:NTE82 ODA2:ODA82 OMW2:OMW82 OWS2:OWS82 PGO2:PGO82 PQK2:PQK82 QAG2:QAG82 QKC2:QKC82 QTY2:QTY82 RDU2:RDU82 RNQ2:RNQ82 RXM2:RXM82 SHI2:SHI82 SRE2:SRE82 TBA2:TBA82 TKW2:TKW82 TUS2:TUS82 UEO2:UEO82 UOK2:UOK82 UYG2:UYG82 VIC2:VIC82 VRY2:VRY82 WBU2:WBU82 WLQ2:WLQ82 WVM2:WVM82" xr:uid="{151CF99A-7EFC-4891-968D-6CEC62C86BBE}">
      <formula1>$AG$2:$AG$13</formula1>
    </dataValidation>
    <dataValidation type="list" allowBlank="1" showInputMessage="1" showErrorMessage="1" sqref="WWF981814:WWF981897 WMJ981814:WMJ981897 WCN981814:WCN981897 VSR981814:VSR981897 VIV981814:VIV981897 UYZ981814:UYZ981897 UPD981814:UPD981897 UFH981814:UFH981897 TVL981814:TVL981897 TLP981814:TLP981897 TBT981814:TBT981897 SRX981814:SRX981897 SIB981814:SIB981897 RYF981814:RYF981897 ROJ981814:ROJ981897 REN981814:REN981897 QUR981814:QUR981897 QKV981814:QKV981897 QAZ981814:QAZ981897 PRD981814:PRD981897 PHH981814:PHH981897 OXL981814:OXL981897 ONP981814:ONP981897 ODT981814:ODT981897 NTX981814:NTX981897 NKB981814:NKB981897 NAF981814:NAF981897 MQJ981814:MQJ981897 MGN981814:MGN981897 LWR981814:LWR981897 LMV981814:LMV981897 LCZ981814:LCZ981897 KTD981814:KTD981897 KJH981814:KJH981897 JZL981814:JZL981897 JPP981814:JPP981897 JFT981814:JFT981897 IVX981814:IVX981897 IMB981814:IMB981897 ICF981814:ICF981897 HSJ981814:HSJ981897 HIN981814:HIN981897 GYR981814:GYR981897 GOV981814:GOV981897 GEZ981814:GEZ981897 FVD981814:FVD981897 FLH981814:FLH981897 FBL981814:FBL981897 ERP981814:ERP981897 EHT981814:EHT981897 DXX981814:DXX981897 DOB981814:DOB981897 DEF981814:DEF981897 CUJ981814:CUJ981897 CKN981814:CKN981897 CAR981814:CAR981897 BQV981814:BQV981897 BGZ981814:BGZ981897 AXD981814:AXD981897 ANH981814:ANH981897 ADL981814:ADL981897 TP981814:TP981897 JT981814:JT981897 X981814:X981897 WWF916278:WWF916361 WMJ916278:WMJ916361 WCN916278:WCN916361 VSR916278:VSR916361 VIV916278:VIV916361 UYZ916278:UYZ916361 UPD916278:UPD916361 UFH916278:UFH916361 TVL916278:TVL916361 TLP916278:TLP916361 TBT916278:TBT916361 SRX916278:SRX916361 SIB916278:SIB916361 RYF916278:RYF916361 ROJ916278:ROJ916361 REN916278:REN916361 QUR916278:QUR916361 QKV916278:QKV916361 QAZ916278:QAZ916361 PRD916278:PRD916361 PHH916278:PHH916361 OXL916278:OXL916361 ONP916278:ONP916361 ODT916278:ODT916361 NTX916278:NTX916361 NKB916278:NKB916361 NAF916278:NAF916361 MQJ916278:MQJ916361 MGN916278:MGN916361 LWR916278:LWR916361 LMV916278:LMV916361 LCZ916278:LCZ916361 KTD916278:KTD916361 KJH916278:KJH916361 JZL916278:JZL916361 JPP916278:JPP916361 JFT916278:JFT916361 IVX916278:IVX916361 IMB916278:IMB916361 ICF916278:ICF916361 HSJ916278:HSJ916361 HIN916278:HIN916361 GYR916278:GYR916361 GOV916278:GOV916361 GEZ916278:GEZ916361 FVD916278:FVD916361 FLH916278:FLH916361 FBL916278:FBL916361 ERP916278:ERP916361 EHT916278:EHT916361 DXX916278:DXX916361 DOB916278:DOB916361 DEF916278:DEF916361 CUJ916278:CUJ916361 CKN916278:CKN916361 CAR916278:CAR916361 BQV916278:BQV916361 BGZ916278:BGZ916361 AXD916278:AXD916361 ANH916278:ANH916361 ADL916278:ADL916361 TP916278:TP916361 JT916278:JT916361 X916278:X916361 WWF850742:WWF850825 WMJ850742:WMJ850825 WCN850742:WCN850825 VSR850742:VSR850825 VIV850742:VIV850825 UYZ850742:UYZ850825 UPD850742:UPD850825 UFH850742:UFH850825 TVL850742:TVL850825 TLP850742:TLP850825 TBT850742:TBT850825 SRX850742:SRX850825 SIB850742:SIB850825 RYF850742:RYF850825 ROJ850742:ROJ850825 REN850742:REN850825 QUR850742:QUR850825 QKV850742:QKV850825 QAZ850742:QAZ850825 PRD850742:PRD850825 PHH850742:PHH850825 OXL850742:OXL850825 ONP850742:ONP850825 ODT850742:ODT850825 NTX850742:NTX850825 NKB850742:NKB850825 NAF850742:NAF850825 MQJ850742:MQJ850825 MGN850742:MGN850825 LWR850742:LWR850825 LMV850742:LMV850825 LCZ850742:LCZ850825 KTD850742:KTD850825 KJH850742:KJH850825 JZL850742:JZL850825 JPP850742:JPP850825 JFT850742:JFT850825 IVX850742:IVX850825 IMB850742:IMB850825 ICF850742:ICF850825 HSJ850742:HSJ850825 HIN850742:HIN850825 GYR850742:GYR850825 GOV850742:GOV850825 GEZ850742:GEZ850825 FVD850742:FVD850825 FLH850742:FLH850825 FBL850742:FBL850825 ERP850742:ERP850825 EHT850742:EHT850825 DXX850742:DXX850825 DOB850742:DOB850825 DEF850742:DEF850825 CUJ850742:CUJ850825 CKN850742:CKN850825 CAR850742:CAR850825 BQV850742:BQV850825 BGZ850742:BGZ850825 AXD850742:AXD850825 ANH850742:ANH850825 ADL850742:ADL850825 TP850742:TP850825 JT850742:JT850825 X850742:X850825 WWF785206:WWF785289 WMJ785206:WMJ785289 WCN785206:WCN785289 VSR785206:VSR785289 VIV785206:VIV785289 UYZ785206:UYZ785289 UPD785206:UPD785289 UFH785206:UFH785289 TVL785206:TVL785289 TLP785206:TLP785289 TBT785206:TBT785289 SRX785206:SRX785289 SIB785206:SIB785289 RYF785206:RYF785289 ROJ785206:ROJ785289 REN785206:REN785289 QUR785206:QUR785289 QKV785206:QKV785289 QAZ785206:QAZ785289 PRD785206:PRD785289 PHH785206:PHH785289 OXL785206:OXL785289 ONP785206:ONP785289 ODT785206:ODT785289 NTX785206:NTX785289 NKB785206:NKB785289 NAF785206:NAF785289 MQJ785206:MQJ785289 MGN785206:MGN785289 LWR785206:LWR785289 LMV785206:LMV785289 LCZ785206:LCZ785289 KTD785206:KTD785289 KJH785206:KJH785289 JZL785206:JZL785289 JPP785206:JPP785289 JFT785206:JFT785289 IVX785206:IVX785289 IMB785206:IMB785289 ICF785206:ICF785289 HSJ785206:HSJ785289 HIN785206:HIN785289 GYR785206:GYR785289 GOV785206:GOV785289 GEZ785206:GEZ785289 FVD785206:FVD785289 FLH785206:FLH785289 FBL785206:FBL785289 ERP785206:ERP785289 EHT785206:EHT785289 DXX785206:DXX785289 DOB785206:DOB785289 DEF785206:DEF785289 CUJ785206:CUJ785289 CKN785206:CKN785289 CAR785206:CAR785289 BQV785206:BQV785289 BGZ785206:BGZ785289 AXD785206:AXD785289 ANH785206:ANH785289 ADL785206:ADL785289 TP785206:TP785289 JT785206:JT785289 X785206:X785289 WWF719670:WWF719753 WMJ719670:WMJ719753 WCN719670:WCN719753 VSR719670:VSR719753 VIV719670:VIV719753 UYZ719670:UYZ719753 UPD719670:UPD719753 UFH719670:UFH719753 TVL719670:TVL719753 TLP719670:TLP719753 TBT719670:TBT719753 SRX719670:SRX719753 SIB719670:SIB719753 RYF719670:RYF719753 ROJ719670:ROJ719753 REN719670:REN719753 QUR719670:QUR719753 QKV719670:QKV719753 QAZ719670:QAZ719753 PRD719670:PRD719753 PHH719670:PHH719753 OXL719670:OXL719753 ONP719670:ONP719753 ODT719670:ODT719753 NTX719670:NTX719753 NKB719670:NKB719753 NAF719670:NAF719753 MQJ719670:MQJ719753 MGN719670:MGN719753 LWR719670:LWR719753 LMV719670:LMV719753 LCZ719670:LCZ719753 KTD719670:KTD719753 KJH719670:KJH719753 JZL719670:JZL719753 JPP719670:JPP719753 JFT719670:JFT719753 IVX719670:IVX719753 IMB719670:IMB719753 ICF719670:ICF719753 HSJ719670:HSJ719753 HIN719670:HIN719753 GYR719670:GYR719753 GOV719670:GOV719753 GEZ719670:GEZ719753 FVD719670:FVD719753 FLH719670:FLH719753 FBL719670:FBL719753 ERP719670:ERP719753 EHT719670:EHT719753 DXX719670:DXX719753 DOB719670:DOB719753 DEF719670:DEF719753 CUJ719670:CUJ719753 CKN719670:CKN719753 CAR719670:CAR719753 BQV719670:BQV719753 BGZ719670:BGZ719753 AXD719670:AXD719753 ANH719670:ANH719753 ADL719670:ADL719753 TP719670:TP719753 JT719670:JT719753 X719670:X719753 WWF654134:WWF654217 WMJ654134:WMJ654217 WCN654134:WCN654217 VSR654134:VSR654217 VIV654134:VIV654217 UYZ654134:UYZ654217 UPD654134:UPD654217 UFH654134:UFH654217 TVL654134:TVL654217 TLP654134:TLP654217 TBT654134:TBT654217 SRX654134:SRX654217 SIB654134:SIB654217 RYF654134:RYF654217 ROJ654134:ROJ654217 REN654134:REN654217 QUR654134:QUR654217 QKV654134:QKV654217 QAZ654134:QAZ654217 PRD654134:PRD654217 PHH654134:PHH654217 OXL654134:OXL654217 ONP654134:ONP654217 ODT654134:ODT654217 NTX654134:NTX654217 NKB654134:NKB654217 NAF654134:NAF654217 MQJ654134:MQJ654217 MGN654134:MGN654217 LWR654134:LWR654217 LMV654134:LMV654217 LCZ654134:LCZ654217 KTD654134:KTD654217 KJH654134:KJH654217 JZL654134:JZL654217 JPP654134:JPP654217 JFT654134:JFT654217 IVX654134:IVX654217 IMB654134:IMB654217 ICF654134:ICF654217 HSJ654134:HSJ654217 HIN654134:HIN654217 GYR654134:GYR654217 GOV654134:GOV654217 GEZ654134:GEZ654217 FVD654134:FVD654217 FLH654134:FLH654217 FBL654134:FBL654217 ERP654134:ERP654217 EHT654134:EHT654217 DXX654134:DXX654217 DOB654134:DOB654217 DEF654134:DEF654217 CUJ654134:CUJ654217 CKN654134:CKN654217 CAR654134:CAR654217 BQV654134:BQV654217 BGZ654134:BGZ654217 AXD654134:AXD654217 ANH654134:ANH654217 ADL654134:ADL654217 TP654134:TP654217 JT654134:JT654217 X654134:X654217 WWF588598:WWF588681 WMJ588598:WMJ588681 WCN588598:WCN588681 VSR588598:VSR588681 VIV588598:VIV588681 UYZ588598:UYZ588681 UPD588598:UPD588681 UFH588598:UFH588681 TVL588598:TVL588681 TLP588598:TLP588681 TBT588598:TBT588681 SRX588598:SRX588681 SIB588598:SIB588681 RYF588598:RYF588681 ROJ588598:ROJ588681 REN588598:REN588681 QUR588598:QUR588681 QKV588598:QKV588681 QAZ588598:QAZ588681 PRD588598:PRD588681 PHH588598:PHH588681 OXL588598:OXL588681 ONP588598:ONP588681 ODT588598:ODT588681 NTX588598:NTX588681 NKB588598:NKB588681 NAF588598:NAF588681 MQJ588598:MQJ588681 MGN588598:MGN588681 LWR588598:LWR588681 LMV588598:LMV588681 LCZ588598:LCZ588681 KTD588598:KTD588681 KJH588598:KJH588681 JZL588598:JZL588681 JPP588598:JPP588681 JFT588598:JFT588681 IVX588598:IVX588681 IMB588598:IMB588681 ICF588598:ICF588681 HSJ588598:HSJ588681 HIN588598:HIN588681 GYR588598:GYR588681 GOV588598:GOV588681 GEZ588598:GEZ588681 FVD588598:FVD588681 FLH588598:FLH588681 FBL588598:FBL588681 ERP588598:ERP588681 EHT588598:EHT588681 DXX588598:DXX588681 DOB588598:DOB588681 DEF588598:DEF588681 CUJ588598:CUJ588681 CKN588598:CKN588681 CAR588598:CAR588681 BQV588598:BQV588681 BGZ588598:BGZ588681 AXD588598:AXD588681 ANH588598:ANH588681 ADL588598:ADL588681 TP588598:TP588681 JT588598:JT588681 X588598:X588681 WWF523062:WWF523145 WMJ523062:WMJ523145 WCN523062:WCN523145 VSR523062:VSR523145 VIV523062:VIV523145 UYZ523062:UYZ523145 UPD523062:UPD523145 UFH523062:UFH523145 TVL523062:TVL523145 TLP523062:TLP523145 TBT523062:TBT523145 SRX523062:SRX523145 SIB523062:SIB523145 RYF523062:RYF523145 ROJ523062:ROJ523145 REN523062:REN523145 QUR523062:QUR523145 QKV523062:QKV523145 QAZ523062:QAZ523145 PRD523062:PRD523145 PHH523062:PHH523145 OXL523062:OXL523145 ONP523062:ONP523145 ODT523062:ODT523145 NTX523062:NTX523145 NKB523062:NKB523145 NAF523062:NAF523145 MQJ523062:MQJ523145 MGN523062:MGN523145 LWR523062:LWR523145 LMV523062:LMV523145 LCZ523062:LCZ523145 KTD523062:KTD523145 KJH523062:KJH523145 JZL523062:JZL523145 JPP523062:JPP523145 JFT523062:JFT523145 IVX523062:IVX523145 IMB523062:IMB523145 ICF523062:ICF523145 HSJ523062:HSJ523145 HIN523062:HIN523145 GYR523062:GYR523145 GOV523062:GOV523145 GEZ523062:GEZ523145 FVD523062:FVD523145 FLH523062:FLH523145 FBL523062:FBL523145 ERP523062:ERP523145 EHT523062:EHT523145 DXX523062:DXX523145 DOB523062:DOB523145 DEF523062:DEF523145 CUJ523062:CUJ523145 CKN523062:CKN523145 CAR523062:CAR523145 BQV523062:BQV523145 BGZ523062:BGZ523145 AXD523062:AXD523145 ANH523062:ANH523145 ADL523062:ADL523145 TP523062:TP523145 JT523062:JT523145 X523062:X523145 WWF457526:WWF457609 WMJ457526:WMJ457609 WCN457526:WCN457609 VSR457526:VSR457609 VIV457526:VIV457609 UYZ457526:UYZ457609 UPD457526:UPD457609 UFH457526:UFH457609 TVL457526:TVL457609 TLP457526:TLP457609 TBT457526:TBT457609 SRX457526:SRX457609 SIB457526:SIB457609 RYF457526:RYF457609 ROJ457526:ROJ457609 REN457526:REN457609 QUR457526:QUR457609 QKV457526:QKV457609 QAZ457526:QAZ457609 PRD457526:PRD457609 PHH457526:PHH457609 OXL457526:OXL457609 ONP457526:ONP457609 ODT457526:ODT457609 NTX457526:NTX457609 NKB457526:NKB457609 NAF457526:NAF457609 MQJ457526:MQJ457609 MGN457526:MGN457609 LWR457526:LWR457609 LMV457526:LMV457609 LCZ457526:LCZ457609 KTD457526:KTD457609 KJH457526:KJH457609 JZL457526:JZL457609 JPP457526:JPP457609 JFT457526:JFT457609 IVX457526:IVX457609 IMB457526:IMB457609 ICF457526:ICF457609 HSJ457526:HSJ457609 HIN457526:HIN457609 GYR457526:GYR457609 GOV457526:GOV457609 GEZ457526:GEZ457609 FVD457526:FVD457609 FLH457526:FLH457609 FBL457526:FBL457609 ERP457526:ERP457609 EHT457526:EHT457609 DXX457526:DXX457609 DOB457526:DOB457609 DEF457526:DEF457609 CUJ457526:CUJ457609 CKN457526:CKN457609 CAR457526:CAR457609 BQV457526:BQV457609 BGZ457526:BGZ457609 AXD457526:AXD457609 ANH457526:ANH457609 ADL457526:ADL457609 TP457526:TP457609 JT457526:JT457609 X457526:X457609 WWF391990:WWF392073 WMJ391990:WMJ392073 WCN391990:WCN392073 VSR391990:VSR392073 VIV391990:VIV392073 UYZ391990:UYZ392073 UPD391990:UPD392073 UFH391990:UFH392073 TVL391990:TVL392073 TLP391990:TLP392073 TBT391990:TBT392073 SRX391990:SRX392073 SIB391990:SIB392073 RYF391990:RYF392073 ROJ391990:ROJ392073 REN391990:REN392073 QUR391990:QUR392073 QKV391990:QKV392073 QAZ391990:QAZ392073 PRD391990:PRD392073 PHH391990:PHH392073 OXL391990:OXL392073 ONP391990:ONP392073 ODT391990:ODT392073 NTX391990:NTX392073 NKB391990:NKB392073 NAF391990:NAF392073 MQJ391990:MQJ392073 MGN391990:MGN392073 LWR391990:LWR392073 LMV391990:LMV392073 LCZ391990:LCZ392073 KTD391990:KTD392073 KJH391990:KJH392073 JZL391990:JZL392073 JPP391990:JPP392073 JFT391990:JFT392073 IVX391990:IVX392073 IMB391990:IMB392073 ICF391990:ICF392073 HSJ391990:HSJ392073 HIN391990:HIN392073 GYR391990:GYR392073 GOV391990:GOV392073 GEZ391990:GEZ392073 FVD391990:FVD392073 FLH391990:FLH392073 FBL391990:FBL392073 ERP391990:ERP392073 EHT391990:EHT392073 DXX391990:DXX392073 DOB391990:DOB392073 DEF391990:DEF392073 CUJ391990:CUJ392073 CKN391990:CKN392073 CAR391990:CAR392073 BQV391990:BQV392073 BGZ391990:BGZ392073 AXD391990:AXD392073 ANH391990:ANH392073 ADL391990:ADL392073 TP391990:TP392073 JT391990:JT392073 X391990:X392073 WWF326454:WWF326537 WMJ326454:WMJ326537 WCN326454:WCN326537 VSR326454:VSR326537 VIV326454:VIV326537 UYZ326454:UYZ326537 UPD326454:UPD326537 UFH326454:UFH326537 TVL326454:TVL326537 TLP326454:TLP326537 TBT326454:TBT326537 SRX326454:SRX326537 SIB326454:SIB326537 RYF326454:RYF326537 ROJ326454:ROJ326537 REN326454:REN326537 QUR326454:QUR326537 QKV326454:QKV326537 QAZ326454:QAZ326537 PRD326454:PRD326537 PHH326454:PHH326537 OXL326454:OXL326537 ONP326454:ONP326537 ODT326454:ODT326537 NTX326454:NTX326537 NKB326454:NKB326537 NAF326454:NAF326537 MQJ326454:MQJ326537 MGN326454:MGN326537 LWR326454:LWR326537 LMV326454:LMV326537 LCZ326454:LCZ326537 KTD326454:KTD326537 KJH326454:KJH326537 JZL326454:JZL326537 JPP326454:JPP326537 JFT326454:JFT326537 IVX326454:IVX326537 IMB326454:IMB326537 ICF326454:ICF326537 HSJ326454:HSJ326537 HIN326454:HIN326537 GYR326454:GYR326537 GOV326454:GOV326537 GEZ326454:GEZ326537 FVD326454:FVD326537 FLH326454:FLH326537 FBL326454:FBL326537 ERP326454:ERP326537 EHT326454:EHT326537 DXX326454:DXX326537 DOB326454:DOB326537 DEF326454:DEF326537 CUJ326454:CUJ326537 CKN326454:CKN326537 CAR326454:CAR326537 BQV326454:BQV326537 BGZ326454:BGZ326537 AXD326454:AXD326537 ANH326454:ANH326537 ADL326454:ADL326537 TP326454:TP326537 JT326454:JT326537 X326454:X326537 WWF260918:WWF261001 WMJ260918:WMJ261001 WCN260918:WCN261001 VSR260918:VSR261001 VIV260918:VIV261001 UYZ260918:UYZ261001 UPD260918:UPD261001 UFH260918:UFH261001 TVL260918:TVL261001 TLP260918:TLP261001 TBT260918:TBT261001 SRX260918:SRX261001 SIB260918:SIB261001 RYF260918:RYF261001 ROJ260918:ROJ261001 REN260918:REN261001 QUR260918:QUR261001 QKV260918:QKV261001 QAZ260918:QAZ261001 PRD260918:PRD261001 PHH260918:PHH261001 OXL260918:OXL261001 ONP260918:ONP261001 ODT260918:ODT261001 NTX260918:NTX261001 NKB260918:NKB261001 NAF260918:NAF261001 MQJ260918:MQJ261001 MGN260918:MGN261001 LWR260918:LWR261001 LMV260918:LMV261001 LCZ260918:LCZ261001 KTD260918:KTD261001 KJH260918:KJH261001 JZL260918:JZL261001 JPP260918:JPP261001 JFT260918:JFT261001 IVX260918:IVX261001 IMB260918:IMB261001 ICF260918:ICF261001 HSJ260918:HSJ261001 HIN260918:HIN261001 GYR260918:GYR261001 GOV260918:GOV261001 GEZ260918:GEZ261001 FVD260918:FVD261001 FLH260918:FLH261001 FBL260918:FBL261001 ERP260918:ERP261001 EHT260918:EHT261001 DXX260918:DXX261001 DOB260918:DOB261001 DEF260918:DEF261001 CUJ260918:CUJ261001 CKN260918:CKN261001 CAR260918:CAR261001 BQV260918:BQV261001 BGZ260918:BGZ261001 AXD260918:AXD261001 ANH260918:ANH261001 ADL260918:ADL261001 TP260918:TP261001 JT260918:JT261001 X260918:X261001 WWF195382:WWF195465 WMJ195382:WMJ195465 WCN195382:WCN195465 VSR195382:VSR195465 VIV195382:VIV195465 UYZ195382:UYZ195465 UPD195382:UPD195465 UFH195382:UFH195465 TVL195382:TVL195465 TLP195382:TLP195465 TBT195382:TBT195465 SRX195382:SRX195465 SIB195382:SIB195465 RYF195382:RYF195465 ROJ195382:ROJ195465 REN195382:REN195465 QUR195382:QUR195465 QKV195382:QKV195465 QAZ195382:QAZ195465 PRD195382:PRD195465 PHH195382:PHH195465 OXL195382:OXL195465 ONP195382:ONP195465 ODT195382:ODT195465 NTX195382:NTX195465 NKB195382:NKB195465 NAF195382:NAF195465 MQJ195382:MQJ195465 MGN195382:MGN195465 LWR195382:LWR195465 LMV195382:LMV195465 LCZ195382:LCZ195465 KTD195382:KTD195465 KJH195382:KJH195465 JZL195382:JZL195465 JPP195382:JPP195465 JFT195382:JFT195465 IVX195382:IVX195465 IMB195382:IMB195465 ICF195382:ICF195465 HSJ195382:HSJ195465 HIN195382:HIN195465 GYR195382:GYR195465 GOV195382:GOV195465 GEZ195382:GEZ195465 FVD195382:FVD195465 FLH195382:FLH195465 FBL195382:FBL195465 ERP195382:ERP195465 EHT195382:EHT195465 DXX195382:DXX195465 DOB195382:DOB195465 DEF195382:DEF195465 CUJ195382:CUJ195465 CKN195382:CKN195465 CAR195382:CAR195465 BQV195382:BQV195465 BGZ195382:BGZ195465 AXD195382:AXD195465 ANH195382:ANH195465 ADL195382:ADL195465 TP195382:TP195465 JT195382:JT195465 X195382:X195465 WWF129846:WWF129929 WMJ129846:WMJ129929 WCN129846:WCN129929 VSR129846:VSR129929 VIV129846:VIV129929 UYZ129846:UYZ129929 UPD129846:UPD129929 UFH129846:UFH129929 TVL129846:TVL129929 TLP129846:TLP129929 TBT129846:TBT129929 SRX129846:SRX129929 SIB129846:SIB129929 RYF129846:RYF129929 ROJ129846:ROJ129929 REN129846:REN129929 QUR129846:QUR129929 QKV129846:QKV129929 QAZ129846:QAZ129929 PRD129846:PRD129929 PHH129846:PHH129929 OXL129846:OXL129929 ONP129846:ONP129929 ODT129846:ODT129929 NTX129846:NTX129929 NKB129846:NKB129929 NAF129846:NAF129929 MQJ129846:MQJ129929 MGN129846:MGN129929 LWR129846:LWR129929 LMV129846:LMV129929 LCZ129846:LCZ129929 KTD129846:KTD129929 KJH129846:KJH129929 JZL129846:JZL129929 JPP129846:JPP129929 JFT129846:JFT129929 IVX129846:IVX129929 IMB129846:IMB129929 ICF129846:ICF129929 HSJ129846:HSJ129929 HIN129846:HIN129929 GYR129846:GYR129929 GOV129846:GOV129929 GEZ129846:GEZ129929 FVD129846:FVD129929 FLH129846:FLH129929 FBL129846:FBL129929 ERP129846:ERP129929 EHT129846:EHT129929 DXX129846:DXX129929 DOB129846:DOB129929 DEF129846:DEF129929 CUJ129846:CUJ129929 CKN129846:CKN129929 CAR129846:CAR129929 BQV129846:BQV129929 BGZ129846:BGZ129929 AXD129846:AXD129929 ANH129846:ANH129929 ADL129846:ADL129929 TP129846:TP129929 JT129846:JT129929 X129846:X129929 WWF64310:WWF64393 WMJ64310:WMJ64393 WCN64310:WCN64393 VSR64310:VSR64393 VIV64310:VIV64393 UYZ64310:UYZ64393 UPD64310:UPD64393 UFH64310:UFH64393 TVL64310:TVL64393 TLP64310:TLP64393 TBT64310:TBT64393 SRX64310:SRX64393 SIB64310:SIB64393 RYF64310:RYF64393 ROJ64310:ROJ64393 REN64310:REN64393 QUR64310:QUR64393 QKV64310:QKV64393 QAZ64310:QAZ64393 PRD64310:PRD64393 PHH64310:PHH64393 OXL64310:OXL64393 ONP64310:ONP64393 ODT64310:ODT64393 NTX64310:NTX64393 NKB64310:NKB64393 NAF64310:NAF64393 MQJ64310:MQJ64393 MGN64310:MGN64393 LWR64310:LWR64393 LMV64310:LMV64393 LCZ64310:LCZ64393 KTD64310:KTD64393 KJH64310:KJH64393 JZL64310:JZL64393 JPP64310:JPP64393 JFT64310:JFT64393 IVX64310:IVX64393 IMB64310:IMB64393 ICF64310:ICF64393 HSJ64310:HSJ64393 HIN64310:HIN64393 GYR64310:GYR64393 GOV64310:GOV64393 GEZ64310:GEZ64393 FVD64310:FVD64393 FLH64310:FLH64393 FBL64310:FBL64393 ERP64310:ERP64393 EHT64310:EHT64393 DXX64310:DXX64393 DOB64310:DOB64393 DEF64310:DEF64393 CUJ64310:CUJ64393 CKN64310:CKN64393 CAR64310:CAR64393 BQV64310:BQV64393 BGZ64310:BGZ64393 AXD64310:AXD64393 ANH64310:ANH64393 ADL64310:ADL64393 TP64310:TP64393 JT64310:JT64393 X64310:X64393 X105:X509 X2:X103 TP2:TP82 ADL2:ADL82 ANH2:ANH82 AXD2:AXD82 BGZ2:BGZ82 BQV2:BQV82 CAR2:CAR82 CKN2:CKN82 CUJ2:CUJ82 DEF2:DEF82 DOB2:DOB82 DXX2:DXX82 EHT2:EHT82 ERP2:ERP82 FBL2:FBL82 FLH2:FLH82 FVD2:FVD82 GEZ2:GEZ82 GOV2:GOV82 GYR2:GYR82 HIN2:HIN82 HSJ2:HSJ82 ICF2:ICF82 IMB2:IMB82 IVX2:IVX82 JFT2:JFT82 JPP2:JPP82 JZL2:JZL82 KJH2:KJH82 KTD2:KTD82 LCZ2:LCZ82 LMV2:LMV82 LWR2:LWR82 MGN2:MGN82 MQJ2:MQJ82 NAF2:NAF82 NKB2:NKB82 NTX2:NTX82 ODT2:ODT82 ONP2:ONP82 OXL2:OXL82 PHH2:PHH82 PRD2:PRD82 QAZ2:QAZ82 QKV2:QKV82 QUR2:QUR82 REN2:REN82 ROJ2:ROJ82 RYF2:RYF82 SIB2:SIB82 SRX2:SRX82 TBT2:TBT82 TLP2:TLP82 TVL2:TVL82 UFH2:UFH82 UPD2:UPD82 UYZ2:UYZ82 VIV2:VIV82 VSR2:VSR82 WCN2:WCN82 WMJ2:WMJ82 WWF2:WWF82 JT2:JT82" xr:uid="{E93B01F4-BBE0-4CAE-89AC-C1D3FC229207}">
      <formula1>$AT$2:$AT$3</formula1>
    </dataValidation>
    <dataValidation operator="equal" allowBlank="1" showInputMessage="1" showErrorMessage="1" sqref="WVJ981814:WVJ981903 WLN981814:WLN981903 WBR981814:WBR981903 VRV981814:VRV981903 VHZ981814:VHZ981903 UYD981814:UYD981903 UOH981814:UOH981903 UEL981814:UEL981903 TUP981814:TUP981903 TKT981814:TKT981903 TAX981814:TAX981903 SRB981814:SRB981903 SHF981814:SHF981903 RXJ981814:RXJ981903 RNN981814:RNN981903 RDR981814:RDR981903 QTV981814:QTV981903 QJZ981814:QJZ981903 QAD981814:QAD981903 PQH981814:PQH981903 PGL981814:PGL981903 OWP981814:OWP981903 OMT981814:OMT981903 OCX981814:OCX981903 NTB981814:NTB981903 NJF981814:NJF981903 MZJ981814:MZJ981903 MPN981814:MPN981903 MFR981814:MFR981903 LVV981814:LVV981903 LLZ981814:LLZ981903 LCD981814:LCD981903 KSH981814:KSH981903 KIL981814:KIL981903 JYP981814:JYP981903 JOT981814:JOT981903 JEX981814:JEX981903 IVB981814:IVB981903 ILF981814:ILF981903 IBJ981814:IBJ981903 HRN981814:HRN981903 HHR981814:HHR981903 GXV981814:GXV981903 GNZ981814:GNZ981903 GED981814:GED981903 FUH981814:FUH981903 FKL981814:FKL981903 FAP981814:FAP981903 EQT981814:EQT981903 EGX981814:EGX981903 DXB981814:DXB981903 DNF981814:DNF981903 DDJ981814:DDJ981903 CTN981814:CTN981903 CJR981814:CJR981903 BZV981814:BZV981903 BPZ981814:BPZ981903 BGD981814:BGD981903 AWH981814:AWH981903 AML981814:AML981903 ACP981814:ACP981903 ST981814:ST981903 IX981814:IX981903 B981820:B981909 WVJ916278:WVJ916367 WLN916278:WLN916367 WBR916278:WBR916367 VRV916278:VRV916367 VHZ916278:VHZ916367 UYD916278:UYD916367 UOH916278:UOH916367 UEL916278:UEL916367 TUP916278:TUP916367 TKT916278:TKT916367 TAX916278:TAX916367 SRB916278:SRB916367 SHF916278:SHF916367 RXJ916278:RXJ916367 RNN916278:RNN916367 RDR916278:RDR916367 QTV916278:QTV916367 QJZ916278:QJZ916367 QAD916278:QAD916367 PQH916278:PQH916367 PGL916278:PGL916367 OWP916278:OWP916367 OMT916278:OMT916367 OCX916278:OCX916367 NTB916278:NTB916367 NJF916278:NJF916367 MZJ916278:MZJ916367 MPN916278:MPN916367 MFR916278:MFR916367 LVV916278:LVV916367 LLZ916278:LLZ916367 LCD916278:LCD916367 KSH916278:KSH916367 KIL916278:KIL916367 JYP916278:JYP916367 JOT916278:JOT916367 JEX916278:JEX916367 IVB916278:IVB916367 ILF916278:ILF916367 IBJ916278:IBJ916367 HRN916278:HRN916367 HHR916278:HHR916367 GXV916278:GXV916367 GNZ916278:GNZ916367 GED916278:GED916367 FUH916278:FUH916367 FKL916278:FKL916367 FAP916278:FAP916367 EQT916278:EQT916367 EGX916278:EGX916367 DXB916278:DXB916367 DNF916278:DNF916367 DDJ916278:DDJ916367 CTN916278:CTN916367 CJR916278:CJR916367 BZV916278:BZV916367 BPZ916278:BPZ916367 BGD916278:BGD916367 AWH916278:AWH916367 AML916278:AML916367 ACP916278:ACP916367 ST916278:ST916367 IX916278:IX916367 B916284:B916373 WVJ850742:WVJ850831 WLN850742:WLN850831 WBR850742:WBR850831 VRV850742:VRV850831 VHZ850742:VHZ850831 UYD850742:UYD850831 UOH850742:UOH850831 UEL850742:UEL850831 TUP850742:TUP850831 TKT850742:TKT850831 TAX850742:TAX850831 SRB850742:SRB850831 SHF850742:SHF850831 RXJ850742:RXJ850831 RNN850742:RNN850831 RDR850742:RDR850831 QTV850742:QTV850831 QJZ850742:QJZ850831 QAD850742:QAD850831 PQH850742:PQH850831 PGL850742:PGL850831 OWP850742:OWP850831 OMT850742:OMT850831 OCX850742:OCX850831 NTB850742:NTB850831 NJF850742:NJF850831 MZJ850742:MZJ850831 MPN850742:MPN850831 MFR850742:MFR850831 LVV850742:LVV850831 LLZ850742:LLZ850831 LCD850742:LCD850831 KSH850742:KSH850831 KIL850742:KIL850831 JYP850742:JYP850831 JOT850742:JOT850831 JEX850742:JEX850831 IVB850742:IVB850831 ILF850742:ILF850831 IBJ850742:IBJ850831 HRN850742:HRN850831 HHR850742:HHR850831 GXV850742:GXV850831 GNZ850742:GNZ850831 GED850742:GED850831 FUH850742:FUH850831 FKL850742:FKL850831 FAP850742:FAP850831 EQT850742:EQT850831 EGX850742:EGX850831 DXB850742:DXB850831 DNF850742:DNF850831 DDJ850742:DDJ850831 CTN850742:CTN850831 CJR850742:CJR850831 BZV850742:BZV850831 BPZ850742:BPZ850831 BGD850742:BGD850831 AWH850742:AWH850831 AML850742:AML850831 ACP850742:ACP850831 ST850742:ST850831 IX850742:IX850831 B850748:B850837 WVJ785206:WVJ785295 WLN785206:WLN785295 WBR785206:WBR785295 VRV785206:VRV785295 VHZ785206:VHZ785295 UYD785206:UYD785295 UOH785206:UOH785295 UEL785206:UEL785295 TUP785206:TUP785295 TKT785206:TKT785295 TAX785206:TAX785295 SRB785206:SRB785295 SHF785206:SHF785295 RXJ785206:RXJ785295 RNN785206:RNN785295 RDR785206:RDR785295 QTV785206:QTV785295 QJZ785206:QJZ785295 QAD785206:QAD785295 PQH785206:PQH785295 PGL785206:PGL785295 OWP785206:OWP785295 OMT785206:OMT785295 OCX785206:OCX785295 NTB785206:NTB785295 NJF785206:NJF785295 MZJ785206:MZJ785295 MPN785206:MPN785295 MFR785206:MFR785295 LVV785206:LVV785295 LLZ785206:LLZ785295 LCD785206:LCD785295 KSH785206:KSH785295 KIL785206:KIL785295 JYP785206:JYP785295 JOT785206:JOT785295 JEX785206:JEX785295 IVB785206:IVB785295 ILF785206:ILF785295 IBJ785206:IBJ785295 HRN785206:HRN785295 HHR785206:HHR785295 GXV785206:GXV785295 GNZ785206:GNZ785295 GED785206:GED785295 FUH785206:FUH785295 FKL785206:FKL785295 FAP785206:FAP785295 EQT785206:EQT785295 EGX785206:EGX785295 DXB785206:DXB785295 DNF785206:DNF785295 DDJ785206:DDJ785295 CTN785206:CTN785295 CJR785206:CJR785295 BZV785206:BZV785295 BPZ785206:BPZ785295 BGD785206:BGD785295 AWH785206:AWH785295 AML785206:AML785295 ACP785206:ACP785295 ST785206:ST785295 IX785206:IX785295 B785212:B785301 WVJ719670:WVJ719759 WLN719670:WLN719759 WBR719670:WBR719759 VRV719670:VRV719759 VHZ719670:VHZ719759 UYD719670:UYD719759 UOH719670:UOH719759 UEL719670:UEL719759 TUP719670:TUP719759 TKT719670:TKT719759 TAX719670:TAX719759 SRB719670:SRB719759 SHF719670:SHF719759 RXJ719670:RXJ719759 RNN719670:RNN719759 RDR719670:RDR719759 QTV719670:QTV719759 QJZ719670:QJZ719759 QAD719670:QAD719759 PQH719670:PQH719759 PGL719670:PGL719759 OWP719670:OWP719759 OMT719670:OMT719759 OCX719670:OCX719759 NTB719670:NTB719759 NJF719670:NJF719759 MZJ719670:MZJ719759 MPN719670:MPN719759 MFR719670:MFR719759 LVV719670:LVV719759 LLZ719670:LLZ719759 LCD719670:LCD719759 KSH719670:KSH719759 KIL719670:KIL719759 JYP719670:JYP719759 JOT719670:JOT719759 JEX719670:JEX719759 IVB719670:IVB719759 ILF719670:ILF719759 IBJ719670:IBJ719759 HRN719670:HRN719759 HHR719670:HHR719759 GXV719670:GXV719759 GNZ719670:GNZ719759 GED719670:GED719759 FUH719670:FUH719759 FKL719670:FKL719759 FAP719670:FAP719759 EQT719670:EQT719759 EGX719670:EGX719759 DXB719670:DXB719759 DNF719670:DNF719759 DDJ719670:DDJ719759 CTN719670:CTN719759 CJR719670:CJR719759 BZV719670:BZV719759 BPZ719670:BPZ719759 BGD719670:BGD719759 AWH719670:AWH719759 AML719670:AML719759 ACP719670:ACP719759 ST719670:ST719759 IX719670:IX719759 B719676:B719765 WVJ654134:WVJ654223 WLN654134:WLN654223 WBR654134:WBR654223 VRV654134:VRV654223 VHZ654134:VHZ654223 UYD654134:UYD654223 UOH654134:UOH654223 UEL654134:UEL654223 TUP654134:TUP654223 TKT654134:TKT654223 TAX654134:TAX654223 SRB654134:SRB654223 SHF654134:SHF654223 RXJ654134:RXJ654223 RNN654134:RNN654223 RDR654134:RDR654223 QTV654134:QTV654223 QJZ654134:QJZ654223 QAD654134:QAD654223 PQH654134:PQH654223 PGL654134:PGL654223 OWP654134:OWP654223 OMT654134:OMT654223 OCX654134:OCX654223 NTB654134:NTB654223 NJF654134:NJF654223 MZJ654134:MZJ654223 MPN654134:MPN654223 MFR654134:MFR654223 LVV654134:LVV654223 LLZ654134:LLZ654223 LCD654134:LCD654223 KSH654134:KSH654223 KIL654134:KIL654223 JYP654134:JYP654223 JOT654134:JOT654223 JEX654134:JEX654223 IVB654134:IVB654223 ILF654134:ILF654223 IBJ654134:IBJ654223 HRN654134:HRN654223 HHR654134:HHR654223 GXV654134:GXV654223 GNZ654134:GNZ654223 GED654134:GED654223 FUH654134:FUH654223 FKL654134:FKL654223 FAP654134:FAP654223 EQT654134:EQT654223 EGX654134:EGX654223 DXB654134:DXB654223 DNF654134:DNF654223 DDJ654134:DDJ654223 CTN654134:CTN654223 CJR654134:CJR654223 BZV654134:BZV654223 BPZ654134:BPZ654223 BGD654134:BGD654223 AWH654134:AWH654223 AML654134:AML654223 ACP654134:ACP654223 ST654134:ST654223 IX654134:IX654223 B654140:B654229 WVJ588598:WVJ588687 WLN588598:WLN588687 WBR588598:WBR588687 VRV588598:VRV588687 VHZ588598:VHZ588687 UYD588598:UYD588687 UOH588598:UOH588687 UEL588598:UEL588687 TUP588598:TUP588687 TKT588598:TKT588687 TAX588598:TAX588687 SRB588598:SRB588687 SHF588598:SHF588687 RXJ588598:RXJ588687 RNN588598:RNN588687 RDR588598:RDR588687 QTV588598:QTV588687 QJZ588598:QJZ588687 QAD588598:QAD588687 PQH588598:PQH588687 PGL588598:PGL588687 OWP588598:OWP588687 OMT588598:OMT588687 OCX588598:OCX588687 NTB588598:NTB588687 NJF588598:NJF588687 MZJ588598:MZJ588687 MPN588598:MPN588687 MFR588598:MFR588687 LVV588598:LVV588687 LLZ588598:LLZ588687 LCD588598:LCD588687 KSH588598:KSH588687 KIL588598:KIL588687 JYP588598:JYP588687 JOT588598:JOT588687 JEX588598:JEX588687 IVB588598:IVB588687 ILF588598:ILF588687 IBJ588598:IBJ588687 HRN588598:HRN588687 HHR588598:HHR588687 GXV588598:GXV588687 GNZ588598:GNZ588687 GED588598:GED588687 FUH588598:FUH588687 FKL588598:FKL588687 FAP588598:FAP588687 EQT588598:EQT588687 EGX588598:EGX588687 DXB588598:DXB588687 DNF588598:DNF588687 DDJ588598:DDJ588687 CTN588598:CTN588687 CJR588598:CJR588687 BZV588598:BZV588687 BPZ588598:BPZ588687 BGD588598:BGD588687 AWH588598:AWH588687 AML588598:AML588687 ACP588598:ACP588687 ST588598:ST588687 IX588598:IX588687 B588604:B588693 WVJ523062:WVJ523151 WLN523062:WLN523151 WBR523062:WBR523151 VRV523062:VRV523151 VHZ523062:VHZ523151 UYD523062:UYD523151 UOH523062:UOH523151 UEL523062:UEL523151 TUP523062:TUP523151 TKT523062:TKT523151 TAX523062:TAX523151 SRB523062:SRB523151 SHF523062:SHF523151 RXJ523062:RXJ523151 RNN523062:RNN523151 RDR523062:RDR523151 QTV523062:QTV523151 QJZ523062:QJZ523151 QAD523062:QAD523151 PQH523062:PQH523151 PGL523062:PGL523151 OWP523062:OWP523151 OMT523062:OMT523151 OCX523062:OCX523151 NTB523062:NTB523151 NJF523062:NJF523151 MZJ523062:MZJ523151 MPN523062:MPN523151 MFR523062:MFR523151 LVV523062:LVV523151 LLZ523062:LLZ523151 LCD523062:LCD523151 KSH523062:KSH523151 KIL523062:KIL523151 JYP523062:JYP523151 JOT523062:JOT523151 JEX523062:JEX523151 IVB523062:IVB523151 ILF523062:ILF523151 IBJ523062:IBJ523151 HRN523062:HRN523151 HHR523062:HHR523151 GXV523062:GXV523151 GNZ523062:GNZ523151 GED523062:GED523151 FUH523062:FUH523151 FKL523062:FKL523151 FAP523062:FAP523151 EQT523062:EQT523151 EGX523062:EGX523151 DXB523062:DXB523151 DNF523062:DNF523151 DDJ523062:DDJ523151 CTN523062:CTN523151 CJR523062:CJR523151 BZV523062:BZV523151 BPZ523062:BPZ523151 BGD523062:BGD523151 AWH523062:AWH523151 AML523062:AML523151 ACP523062:ACP523151 ST523062:ST523151 IX523062:IX523151 B523068:B523157 WVJ457526:WVJ457615 WLN457526:WLN457615 WBR457526:WBR457615 VRV457526:VRV457615 VHZ457526:VHZ457615 UYD457526:UYD457615 UOH457526:UOH457615 UEL457526:UEL457615 TUP457526:TUP457615 TKT457526:TKT457615 TAX457526:TAX457615 SRB457526:SRB457615 SHF457526:SHF457615 RXJ457526:RXJ457615 RNN457526:RNN457615 RDR457526:RDR457615 QTV457526:QTV457615 QJZ457526:QJZ457615 QAD457526:QAD457615 PQH457526:PQH457615 PGL457526:PGL457615 OWP457526:OWP457615 OMT457526:OMT457615 OCX457526:OCX457615 NTB457526:NTB457615 NJF457526:NJF457615 MZJ457526:MZJ457615 MPN457526:MPN457615 MFR457526:MFR457615 LVV457526:LVV457615 LLZ457526:LLZ457615 LCD457526:LCD457615 KSH457526:KSH457615 KIL457526:KIL457615 JYP457526:JYP457615 JOT457526:JOT457615 JEX457526:JEX457615 IVB457526:IVB457615 ILF457526:ILF457615 IBJ457526:IBJ457615 HRN457526:HRN457615 HHR457526:HHR457615 GXV457526:GXV457615 GNZ457526:GNZ457615 GED457526:GED457615 FUH457526:FUH457615 FKL457526:FKL457615 FAP457526:FAP457615 EQT457526:EQT457615 EGX457526:EGX457615 DXB457526:DXB457615 DNF457526:DNF457615 DDJ457526:DDJ457615 CTN457526:CTN457615 CJR457526:CJR457615 BZV457526:BZV457615 BPZ457526:BPZ457615 BGD457526:BGD457615 AWH457526:AWH457615 AML457526:AML457615 ACP457526:ACP457615 ST457526:ST457615 IX457526:IX457615 B457532:B457621 WVJ391990:WVJ392079 WLN391990:WLN392079 WBR391990:WBR392079 VRV391990:VRV392079 VHZ391990:VHZ392079 UYD391990:UYD392079 UOH391990:UOH392079 UEL391990:UEL392079 TUP391990:TUP392079 TKT391990:TKT392079 TAX391990:TAX392079 SRB391990:SRB392079 SHF391990:SHF392079 RXJ391990:RXJ392079 RNN391990:RNN392079 RDR391990:RDR392079 QTV391990:QTV392079 QJZ391990:QJZ392079 QAD391990:QAD392079 PQH391990:PQH392079 PGL391990:PGL392079 OWP391990:OWP392079 OMT391990:OMT392079 OCX391990:OCX392079 NTB391990:NTB392079 NJF391990:NJF392079 MZJ391990:MZJ392079 MPN391990:MPN392079 MFR391990:MFR392079 LVV391990:LVV392079 LLZ391990:LLZ392079 LCD391990:LCD392079 KSH391990:KSH392079 KIL391990:KIL392079 JYP391990:JYP392079 JOT391990:JOT392079 JEX391990:JEX392079 IVB391990:IVB392079 ILF391990:ILF392079 IBJ391990:IBJ392079 HRN391990:HRN392079 HHR391990:HHR392079 GXV391990:GXV392079 GNZ391990:GNZ392079 GED391990:GED392079 FUH391990:FUH392079 FKL391990:FKL392079 FAP391990:FAP392079 EQT391990:EQT392079 EGX391990:EGX392079 DXB391990:DXB392079 DNF391990:DNF392079 DDJ391990:DDJ392079 CTN391990:CTN392079 CJR391990:CJR392079 BZV391990:BZV392079 BPZ391990:BPZ392079 BGD391990:BGD392079 AWH391990:AWH392079 AML391990:AML392079 ACP391990:ACP392079 ST391990:ST392079 IX391990:IX392079 B391996:B392085 WVJ326454:WVJ326543 WLN326454:WLN326543 WBR326454:WBR326543 VRV326454:VRV326543 VHZ326454:VHZ326543 UYD326454:UYD326543 UOH326454:UOH326543 UEL326454:UEL326543 TUP326454:TUP326543 TKT326454:TKT326543 TAX326454:TAX326543 SRB326454:SRB326543 SHF326454:SHF326543 RXJ326454:RXJ326543 RNN326454:RNN326543 RDR326454:RDR326543 QTV326454:QTV326543 QJZ326454:QJZ326543 QAD326454:QAD326543 PQH326454:PQH326543 PGL326454:PGL326543 OWP326454:OWP326543 OMT326454:OMT326543 OCX326454:OCX326543 NTB326454:NTB326543 NJF326454:NJF326543 MZJ326454:MZJ326543 MPN326454:MPN326543 MFR326454:MFR326543 LVV326454:LVV326543 LLZ326454:LLZ326543 LCD326454:LCD326543 KSH326454:KSH326543 KIL326454:KIL326543 JYP326454:JYP326543 JOT326454:JOT326543 JEX326454:JEX326543 IVB326454:IVB326543 ILF326454:ILF326543 IBJ326454:IBJ326543 HRN326454:HRN326543 HHR326454:HHR326543 GXV326454:GXV326543 GNZ326454:GNZ326543 GED326454:GED326543 FUH326454:FUH326543 FKL326454:FKL326543 FAP326454:FAP326543 EQT326454:EQT326543 EGX326454:EGX326543 DXB326454:DXB326543 DNF326454:DNF326543 DDJ326454:DDJ326543 CTN326454:CTN326543 CJR326454:CJR326543 BZV326454:BZV326543 BPZ326454:BPZ326543 BGD326454:BGD326543 AWH326454:AWH326543 AML326454:AML326543 ACP326454:ACP326543 ST326454:ST326543 IX326454:IX326543 B326460:B326549 WVJ260918:WVJ261007 WLN260918:WLN261007 WBR260918:WBR261007 VRV260918:VRV261007 VHZ260918:VHZ261007 UYD260918:UYD261007 UOH260918:UOH261007 UEL260918:UEL261007 TUP260918:TUP261007 TKT260918:TKT261007 TAX260918:TAX261007 SRB260918:SRB261007 SHF260918:SHF261007 RXJ260918:RXJ261007 RNN260918:RNN261007 RDR260918:RDR261007 QTV260918:QTV261007 QJZ260918:QJZ261007 QAD260918:QAD261007 PQH260918:PQH261007 PGL260918:PGL261007 OWP260918:OWP261007 OMT260918:OMT261007 OCX260918:OCX261007 NTB260918:NTB261007 NJF260918:NJF261007 MZJ260918:MZJ261007 MPN260918:MPN261007 MFR260918:MFR261007 LVV260918:LVV261007 LLZ260918:LLZ261007 LCD260918:LCD261007 KSH260918:KSH261007 KIL260918:KIL261007 JYP260918:JYP261007 JOT260918:JOT261007 JEX260918:JEX261007 IVB260918:IVB261007 ILF260918:ILF261007 IBJ260918:IBJ261007 HRN260918:HRN261007 HHR260918:HHR261007 GXV260918:GXV261007 GNZ260918:GNZ261007 GED260918:GED261007 FUH260918:FUH261007 FKL260918:FKL261007 FAP260918:FAP261007 EQT260918:EQT261007 EGX260918:EGX261007 DXB260918:DXB261007 DNF260918:DNF261007 DDJ260918:DDJ261007 CTN260918:CTN261007 CJR260918:CJR261007 BZV260918:BZV261007 BPZ260918:BPZ261007 BGD260918:BGD261007 AWH260918:AWH261007 AML260918:AML261007 ACP260918:ACP261007 ST260918:ST261007 IX260918:IX261007 B260924:B261013 WVJ195382:WVJ195471 WLN195382:WLN195471 WBR195382:WBR195471 VRV195382:VRV195471 VHZ195382:VHZ195471 UYD195382:UYD195471 UOH195382:UOH195471 UEL195382:UEL195471 TUP195382:TUP195471 TKT195382:TKT195471 TAX195382:TAX195471 SRB195382:SRB195471 SHF195382:SHF195471 RXJ195382:RXJ195471 RNN195382:RNN195471 RDR195382:RDR195471 QTV195382:QTV195471 QJZ195382:QJZ195471 QAD195382:QAD195471 PQH195382:PQH195471 PGL195382:PGL195471 OWP195382:OWP195471 OMT195382:OMT195471 OCX195382:OCX195471 NTB195382:NTB195471 NJF195382:NJF195471 MZJ195382:MZJ195471 MPN195382:MPN195471 MFR195382:MFR195471 LVV195382:LVV195471 LLZ195382:LLZ195471 LCD195382:LCD195471 KSH195382:KSH195471 KIL195382:KIL195471 JYP195382:JYP195471 JOT195382:JOT195471 JEX195382:JEX195471 IVB195382:IVB195471 ILF195382:ILF195471 IBJ195382:IBJ195471 HRN195382:HRN195471 HHR195382:HHR195471 GXV195382:GXV195471 GNZ195382:GNZ195471 GED195382:GED195471 FUH195382:FUH195471 FKL195382:FKL195471 FAP195382:FAP195471 EQT195382:EQT195471 EGX195382:EGX195471 DXB195382:DXB195471 DNF195382:DNF195471 DDJ195382:DDJ195471 CTN195382:CTN195471 CJR195382:CJR195471 BZV195382:BZV195471 BPZ195382:BPZ195471 BGD195382:BGD195471 AWH195382:AWH195471 AML195382:AML195471 ACP195382:ACP195471 ST195382:ST195471 IX195382:IX195471 B195388:B195477 WVJ129846:WVJ129935 WLN129846:WLN129935 WBR129846:WBR129935 VRV129846:VRV129935 VHZ129846:VHZ129935 UYD129846:UYD129935 UOH129846:UOH129935 UEL129846:UEL129935 TUP129846:TUP129935 TKT129846:TKT129935 TAX129846:TAX129935 SRB129846:SRB129935 SHF129846:SHF129935 RXJ129846:RXJ129935 RNN129846:RNN129935 RDR129846:RDR129935 QTV129846:QTV129935 QJZ129846:QJZ129935 QAD129846:QAD129935 PQH129846:PQH129935 PGL129846:PGL129935 OWP129846:OWP129935 OMT129846:OMT129935 OCX129846:OCX129935 NTB129846:NTB129935 NJF129846:NJF129935 MZJ129846:MZJ129935 MPN129846:MPN129935 MFR129846:MFR129935 LVV129846:LVV129935 LLZ129846:LLZ129935 LCD129846:LCD129935 KSH129846:KSH129935 KIL129846:KIL129935 JYP129846:JYP129935 JOT129846:JOT129935 JEX129846:JEX129935 IVB129846:IVB129935 ILF129846:ILF129935 IBJ129846:IBJ129935 HRN129846:HRN129935 HHR129846:HHR129935 GXV129846:GXV129935 GNZ129846:GNZ129935 GED129846:GED129935 FUH129846:FUH129935 FKL129846:FKL129935 FAP129846:FAP129935 EQT129846:EQT129935 EGX129846:EGX129935 DXB129846:DXB129935 DNF129846:DNF129935 DDJ129846:DDJ129935 CTN129846:CTN129935 CJR129846:CJR129935 BZV129846:BZV129935 BPZ129846:BPZ129935 BGD129846:BGD129935 AWH129846:AWH129935 AML129846:AML129935 ACP129846:ACP129935 ST129846:ST129935 IX129846:IX129935 B129852:B129941 WVJ64310:WVJ64399 WLN64310:WLN64399 WBR64310:WBR64399 VRV64310:VRV64399 VHZ64310:VHZ64399 UYD64310:UYD64399 UOH64310:UOH64399 UEL64310:UEL64399 TUP64310:TUP64399 TKT64310:TKT64399 TAX64310:TAX64399 SRB64310:SRB64399 SHF64310:SHF64399 RXJ64310:RXJ64399 RNN64310:RNN64399 RDR64310:RDR64399 QTV64310:QTV64399 QJZ64310:QJZ64399 QAD64310:QAD64399 PQH64310:PQH64399 PGL64310:PGL64399 OWP64310:OWP64399 OMT64310:OMT64399 OCX64310:OCX64399 NTB64310:NTB64399 NJF64310:NJF64399 MZJ64310:MZJ64399 MPN64310:MPN64399 MFR64310:MFR64399 LVV64310:LVV64399 LLZ64310:LLZ64399 LCD64310:LCD64399 KSH64310:KSH64399 KIL64310:KIL64399 JYP64310:JYP64399 JOT64310:JOT64399 JEX64310:JEX64399 IVB64310:IVB64399 ILF64310:ILF64399 IBJ64310:IBJ64399 HRN64310:HRN64399 HHR64310:HHR64399 GXV64310:GXV64399 GNZ64310:GNZ64399 GED64310:GED64399 FUH64310:FUH64399 FKL64310:FKL64399 FAP64310:FAP64399 EQT64310:EQT64399 EGX64310:EGX64399 DXB64310:DXB64399 DNF64310:DNF64399 DDJ64310:DDJ64399 CTN64310:CTN64399 CJR64310:CJR64399 BZV64310:BZV64399 BPZ64310:BPZ64399 BGD64310:BGD64399 AWH64310:AWH64399 AML64310:AML64399 ACP64310:ACP64399 ST64310:ST64399 IX64310:IX64399 B64316:B64405 B105:B121 B2:B103 ST2:ST82 ACP2:ACP82 AML2:AML82 AWH2:AWH82 BGD2:BGD82 BPZ2:BPZ82 BZV2:BZV82 CJR2:CJR82 CTN2:CTN82 DDJ2:DDJ82 DNF2:DNF82 DXB2:DXB82 EGX2:EGX82 EQT2:EQT82 FAP2:FAP82 FKL2:FKL82 FUH2:FUH82 GED2:GED82 GNZ2:GNZ82 GXV2:GXV82 HHR2:HHR82 HRN2:HRN82 IBJ2:IBJ82 ILF2:ILF82 IVB2:IVB82 JEX2:JEX82 JOT2:JOT82 JYP2:JYP82 KIL2:KIL82 KSH2:KSH82 LCD2:LCD82 LLZ2:LLZ82 LVV2:LVV82 MFR2:MFR82 MPN2:MPN82 MZJ2:MZJ82 NJF2:NJF82 NTB2:NTB82 OCX2:OCX82 OMT2:OMT82 OWP2:OWP82 PGL2:PGL82 PQH2:PQH82 QAD2:QAD82 QJZ2:QJZ82 QTV2:QTV82 RDR2:RDR82 RNN2:RNN82 RXJ2:RXJ82 SHF2:SHF82 SRB2:SRB82 TAX2:TAX82 TKT2:TKT82 TUP2:TUP82 UEL2:UEL82 UOH2:UOH82 UYD2:UYD82 VHZ2:VHZ82 VRV2:VRV82 WBR2:WBR82 WLN2:WLN82 WVJ2:WVJ82 IX2:IX82" xr:uid="{860E680C-F2E1-4D6E-8CBC-526AAA5B92CB}"/>
    <dataValidation type="list" allowBlank="1" showInputMessage="1" showErrorMessage="1" sqref="WVI981814:WVI981903 WLM981814:WLM981903 WBQ981814:WBQ981903 VRU981814:VRU981903 VHY981814:VHY981903 UYC981814:UYC981903 UOG981814:UOG981903 UEK981814:UEK981903 TUO981814:TUO981903 TKS981814:TKS981903 TAW981814:TAW981903 SRA981814:SRA981903 SHE981814:SHE981903 RXI981814:RXI981903 RNM981814:RNM981903 RDQ981814:RDQ981903 QTU981814:QTU981903 QJY981814:QJY981903 QAC981814:QAC981903 PQG981814:PQG981903 PGK981814:PGK981903 OWO981814:OWO981903 OMS981814:OMS981903 OCW981814:OCW981903 NTA981814:NTA981903 NJE981814:NJE981903 MZI981814:MZI981903 MPM981814:MPM981903 MFQ981814:MFQ981903 LVU981814:LVU981903 LLY981814:LLY981903 LCC981814:LCC981903 KSG981814:KSG981903 KIK981814:KIK981903 JYO981814:JYO981903 JOS981814:JOS981903 JEW981814:JEW981903 IVA981814:IVA981903 ILE981814:ILE981903 IBI981814:IBI981903 HRM981814:HRM981903 HHQ981814:HHQ981903 GXU981814:GXU981903 GNY981814:GNY981903 GEC981814:GEC981903 FUG981814:FUG981903 FKK981814:FKK981903 FAO981814:FAO981903 EQS981814:EQS981903 EGW981814:EGW981903 DXA981814:DXA981903 DNE981814:DNE981903 DDI981814:DDI981903 CTM981814:CTM981903 CJQ981814:CJQ981903 BZU981814:BZU981903 BPY981814:BPY981903 BGC981814:BGC981903 AWG981814:AWG981903 AMK981814:AMK981903 ACO981814:ACO981903 SS981814:SS981903 IW981814:IW981903 A981820:A981909 WVI916278:WVI916367 WLM916278:WLM916367 WBQ916278:WBQ916367 VRU916278:VRU916367 VHY916278:VHY916367 UYC916278:UYC916367 UOG916278:UOG916367 UEK916278:UEK916367 TUO916278:TUO916367 TKS916278:TKS916367 TAW916278:TAW916367 SRA916278:SRA916367 SHE916278:SHE916367 RXI916278:RXI916367 RNM916278:RNM916367 RDQ916278:RDQ916367 QTU916278:QTU916367 QJY916278:QJY916367 QAC916278:QAC916367 PQG916278:PQG916367 PGK916278:PGK916367 OWO916278:OWO916367 OMS916278:OMS916367 OCW916278:OCW916367 NTA916278:NTA916367 NJE916278:NJE916367 MZI916278:MZI916367 MPM916278:MPM916367 MFQ916278:MFQ916367 LVU916278:LVU916367 LLY916278:LLY916367 LCC916278:LCC916367 KSG916278:KSG916367 KIK916278:KIK916367 JYO916278:JYO916367 JOS916278:JOS916367 JEW916278:JEW916367 IVA916278:IVA916367 ILE916278:ILE916367 IBI916278:IBI916367 HRM916278:HRM916367 HHQ916278:HHQ916367 GXU916278:GXU916367 GNY916278:GNY916367 GEC916278:GEC916367 FUG916278:FUG916367 FKK916278:FKK916367 FAO916278:FAO916367 EQS916278:EQS916367 EGW916278:EGW916367 DXA916278:DXA916367 DNE916278:DNE916367 DDI916278:DDI916367 CTM916278:CTM916367 CJQ916278:CJQ916367 BZU916278:BZU916367 BPY916278:BPY916367 BGC916278:BGC916367 AWG916278:AWG916367 AMK916278:AMK916367 ACO916278:ACO916367 SS916278:SS916367 IW916278:IW916367 A916284:A916373 WVI850742:WVI850831 WLM850742:WLM850831 WBQ850742:WBQ850831 VRU850742:VRU850831 VHY850742:VHY850831 UYC850742:UYC850831 UOG850742:UOG850831 UEK850742:UEK850831 TUO850742:TUO850831 TKS850742:TKS850831 TAW850742:TAW850831 SRA850742:SRA850831 SHE850742:SHE850831 RXI850742:RXI850831 RNM850742:RNM850831 RDQ850742:RDQ850831 QTU850742:QTU850831 QJY850742:QJY850831 QAC850742:QAC850831 PQG850742:PQG850831 PGK850742:PGK850831 OWO850742:OWO850831 OMS850742:OMS850831 OCW850742:OCW850831 NTA850742:NTA850831 NJE850742:NJE850831 MZI850742:MZI850831 MPM850742:MPM850831 MFQ850742:MFQ850831 LVU850742:LVU850831 LLY850742:LLY850831 LCC850742:LCC850831 KSG850742:KSG850831 KIK850742:KIK850831 JYO850742:JYO850831 JOS850742:JOS850831 JEW850742:JEW850831 IVA850742:IVA850831 ILE850742:ILE850831 IBI850742:IBI850831 HRM850742:HRM850831 HHQ850742:HHQ850831 GXU850742:GXU850831 GNY850742:GNY850831 GEC850742:GEC850831 FUG850742:FUG850831 FKK850742:FKK850831 FAO850742:FAO850831 EQS850742:EQS850831 EGW850742:EGW850831 DXA850742:DXA850831 DNE850742:DNE850831 DDI850742:DDI850831 CTM850742:CTM850831 CJQ850742:CJQ850831 BZU850742:BZU850831 BPY850742:BPY850831 BGC850742:BGC850831 AWG850742:AWG850831 AMK850742:AMK850831 ACO850742:ACO850831 SS850742:SS850831 IW850742:IW850831 A850748:A850837 WVI785206:WVI785295 WLM785206:WLM785295 WBQ785206:WBQ785295 VRU785206:VRU785295 VHY785206:VHY785295 UYC785206:UYC785295 UOG785206:UOG785295 UEK785206:UEK785295 TUO785206:TUO785295 TKS785206:TKS785295 TAW785206:TAW785295 SRA785206:SRA785295 SHE785206:SHE785295 RXI785206:RXI785295 RNM785206:RNM785295 RDQ785206:RDQ785295 QTU785206:QTU785295 QJY785206:QJY785295 QAC785206:QAC785295 PQG785206:PQG785295 PGK785206:PGK785295 OWO785206:OWO785295 OMS785206:OMS785295 OCW785206:OCW785295 NTA785206:NTA785295 NJE785206:NJE785295 MZI785206:MZI785295 MPM785206:MPM785295 MFQ785206:MFQ785295 LVU785206:LVU785295 LLY785206:LLY785295 LCC785206:LCC785295 KSG785206:KSG785295 KIK785206:KIK785295 JYO785206:JYO785295 JOS785206:JOS785295 JEW785206:JEW785295 IVA785206:IVA785295 ILE785206:ILE785295 IBI785206:IBI785295 HRM785206:HRM785295 HHQ785206:HHQ785295 GXU785206:GXU785295 GNY785206:GNY785295 GEC785206:GEC785295 FUG785206:FUG785295 FKK785206:FKK785295 FAO785206:FAO785295 EQS785206:EQS785295 EGW785206:EGW785295 DXA785206:DXA785295 DNE785206:DNE785295 DDI785206:DDI785295 CTM785206:CTM785295 CJQ785206:CJQ785295 BZU785206:BZU785295 BPY785206:BPY785295 BGC785206:BGC785295 AWG785206:AWG785295 AMK785206:AMK785295 ACO785206:ACO785295 SS785206:SS785295 IW785206:IW785295 A785212:A785301 WVI719670:WVI719759 WLM719670:WLM719759 WBQ719670:WBQ719759 VRU719670:VRU719759 VHY719670:VHY719759 UYC719670:UYC719759 UOG719670:UOG719759 UEK719670:UEK719759 TUO719670:TUO719759 TKS719670:TKS719759 TAW719670:TAW719759 SRA719670:SRA719759 SHE719670:SHE719759 RXI719670:RXI719759 RNM719670:RNM719759 RDQ719670:RDQ719759 QTU719670:QTU719759 QJY719670:QJY719759 QAC719670:QAC719759 PQG719670:PQG719759 PGK719670:PGK719759 OWO719670:OWO719759 OMS719670:OMS719759 OCW719670:OCW719759 NTA719670:NTA719759 NJE719670:NJE719759 MZI719670:MZI719759 MPM719670:MPM719759 MFQ719670:MFQ719759 LVU719670:LVU719759 LLY719670:LLY719759 LCC719670:LCC719759 KSG719670:KSG719759 KIK719670:KIK719759 JYO719670:JYO719759 JOS719670:JOS719759 JEW719670:JEW719759 IVA719670:IVA719759 ILE719670:ILE719759 IBI719670:IBI719759 HRM719670:HRM719759 HHQ719670:HHQ719759 GXU719670:GXU719759 GNY719670:GNY719759 GEC719670:GEC719759 FUG719670:FUG719759 FKK719670:FKK719759 FAO719670:FAO719759 EQS719670:EQS719759 EGW719670:EGW719759 DXA719670:DXA719759 DNE719670:DNE719759 DDI719670:DDI719759 CTM719670:CTM719759 CJQ719670:CJQ719759 BZU719670:BZU719759 BPY719670:BPY719759 BGC719670:BGC719759 AWG719670:AWG719759 AMK719670:AMK719759 ACO719670:ACO719759 SS719670:SS719759 IW719670:IW719759 A719676:A719765 WVI654134:WVI654223 WLM654134:WLM654223 WBQ654134:WBQ654223 VRU654134:VRU654223 VHY654134:VHY654223 UYC654134:UYC654223 UOG654134:UOG654223 UEK654134:UEK654223 TUO654134:TUO654223 TKS654134:TKS654223 TAW654134:TAW654223 SRA654134:SRA654223 SHE654134:SHE654223 RXI654134:RXI654223 RNM654134:RNM654223 RDQ654134:RDQ654223 QTU654134:QTU654223 QJY654134:QJY654223 QAC654134:QAC654223 PQG654134:PQG654223 PGK654134:PGK654223 OWO654134:OWO654223 OMS654134:OMS654223 OCW654134:OCW654223 NTA654134:NTA654223 NJE654134:NJE654223 MZI654134:MZI654223 MPM654134:MPM654223 MFQ654134:MFQ654223 LVU654134:LVU654223 LLY654134:LLY654223 LCC654134:LCC654223 KSG654134:KSG654223 KIK654134:KIK654223 JYO654134:JYO654223 JOS654134:JOS654223 JEW654134:JEW654223 IVA654134:IVA654223 ILE654134:ILE654223 IBI654134:IBI654223 HRM654134:HRM654223 HHQ654134:HHQ654223 GXU654134:GXU654223 GNY654134:GNY654223 GEC654134:GEC654223 FUG654134:FUG654223 FKK654134:FKK654223 FAO654134:FAO654223 EQS654134:EQS654223 EGW654134:EGW654223 DXA654134:DXA654223 DNE654134:DNE654223 DDI654134:DDI654223 CTM654134:CTM654223 CJQ654134:CJQ654223 BZU654134:BZU654223 BPY654134:BPY654223 BGC654134:BGC654223 AWG654134:AWG654223 AMK654134:AMK654223 ACO654134:ACO654223 SS654134:SS654223 IW654134:IW654223 A654140:A654229 WVI588598:WVI588687 WLM588598:WLM588687 WBQ588598:WBQ588687 VRU588598:VRU588687 VHY588598:VHY588687 UYC588598:UYC588687 UOG588598:UOG588687 UEK588598:UEK588687 TUO588598:TUO588687 TKS588598:TKS588687 TAW588598:TAW588687 SRA588598:SRA588687 SHE588598:SHE588687 RXI588598:RXI588687 RNM588598:RNM588687 RDQ588598:RDQ588687 QTU588598:QTU588687 QJY588598:QJY588687 QAC588598:QAC588687 PQG588598:PQG588687 PGK588598:PGK588687 OWO588598:OWO588687 OMS588598:OMS588687 OCW588598:OCW588687 NTA588598:NTA588687 NJE588598:NJE588687 MZI588598:MZI588687 MPM588598:MPM588687 MFQ588598:MFQ588687 LVU588598:LVU588687 LLY588598:LLY588687 LCC588598:LCC588687 KSG588598:KSG588687 KIK588598:KIK588687 JYO588598:JYO588687 JOS588598:JOS588687 JEW588598:JEW588687 IVA588598:IVA588687 ILE588598:ILE588687 IBI588598:IBI588687 HRM588598:HRM588687 HHQ588598:HHQ588687 GXU588598:GXU588687 GNY588598:GNY588687 GEC588598:GEC588687 FUG588598:FUG588687 FKK588598:FKK588687 FAO588598:FAO588687 EQS588598:EQS588687 EGW588598:EGW588687 DXA588598:DXA588687 DNE588598:DNE588687 DDI588598:DDI588687 CTM588598:CTM588687 CJQ588598:CJQ588687 BZU588598:BZU588687 BPY588598:BPY588687 BGC588598:BGC588687 AWG588598:AWG588687 AMK588598:AMK588687 ACO588598:ACO588687 SS588598:SS588687 IW588598:IW588687 A588604:A588693 WVI523062:WVI523151 WLM523062:WLM523151 WBQ523062:WBQ523151 VRU523062:VRU523151 VHY523062:VHY523151 UYC523062:UYC523151 UOG523062:UOG523151 UEK523062:UEK523151 TUO523062:TUO523151 TKS523062:TKS523151 TAW523062:TAW523151 SRA523062:SRA523151 SHE523062:SHE523151 RXI523062:RXI523151 RNM523062:RNM523151 RDQ523062:RDQ523151 QTU523062:QTU523151 QJY523062:QJY523151 QAC523062:QAC523151 PQG523062:PQG523151 PGK523062:PGK523151 OWO523062:OWO523151 OMS523062:OMS523151 OCW523062:OCW523151 NTA523062:NTA523151 NJE523062:NJE523151 MZI523062:MZI523151 MPM523062:MPM523151 MFQ523062:MFQ523151 LVU523062:LVU523151 LLY523062:LLY523151 LCC523062:LCC523151 KSG523062:KSG523151 KIK523062:KIK523151 JYO523062:JYO523151 JOS523062:JOS523151 JEW523062:JEW523151 IVA523062:IVA523151 ILE523062:ILE523151 IBI523062:IBI523151 HRM523062:HRM523151 HHQ523062:HHQ523151 GXU523062:GXU523151 GNY523062:GNY523151 GEC523062:GEC523151 FUG523062:FUG523151 FKK523062:FKK523151 FAO523062:FAO523151 EQS523062:EQS523151 EGW523062:EGW523151 DXA523062:DXA523151 DNE523062:DNE523151 DDI523062:DDI523151 CTM523062:CTM523151 CJQ523062:CJQ523151 BZU523062:BZU523151 BPY523062:BPY523151 BGC523062:BGC523151 AWG523062:AWG523151 AMK523062:AMK523151 ACO523062:ACO523151 SS523062:SS523151 IW523062:IW523151 A523068:A523157 WVI457526:WVI457615 WLM457526:WLM457615 WBQ457526:WBQ457615 VRU457526:VRU457615 VHY457526:VHY457615 UYC457526:UYC457615 UOG457526:UOG457615 UEK457526:UEK457615 TUO457526:TUO457615 TKS457526:TKS457615 TAW457526:TAW457615 SRA457526:SRA457615 SHE457526:SHE457615 RXI457526:RXI457615 RNM457526:RNM457615 RDQ457526:RDQ457615 QTU457526:QTU457615 QJY457526:QJY457615 QAC457526:QAC457615 PQG457526:PQG457615 PGK457526:PGK457615 OWO457526:OWO457615 OMS457526:OMS457615 OCW457526:OCW457615 NTA457526:NTA457615 NJE457526:NJE457615 MZI457526:MZI457615 MPM457526:MPM457615 MFQ457526:MFQ457615 LVU457526:LVU457615 LLY457526:LLY457615 LCC457526:LCC457615 KSG457526:KSG457615 KIK457526:KIK457615 JYO457526:JYO457615 JOS457526:JOS457615 JEW457526:JEW457615 IVA457526:IVA457615 ILE457526:ILE457615 IBI457526:IBI457615 HRM457526:HRM457615 HHQ457526:HHQ457615 GXU457526:GXU457615 GNY457526:GNY457615 GEC457526:GEC457615 FUG457526:FUG457615 FKK457526:FKK457615 FAO457526:FAO457615 EQS457526:EQS457615 EGW457526:EGW457615 DXA457526:DXA457615 DNE457526:DNE457615 DDI457526:DDI457615 CTM457526:CTM457615 CJQ457526:CJQ457615 BZU457526:BZU457615 BPY457526:BPY457615 BGC457526:BGC457615 AWG457526:AWG457615 AMK457526:AMK457615 ACO457526:ACO457615 SS457526:SS457615 IW457526:IW457615 A457532:A457621 WVI391990:WVI392079 WLM391990:WLM392079 WBQ391990:WBQ392079 VRU391990:VRU392079 VHY391990:VHY392079 UYC391990:UYC392079 UOG391990:UOG392079 UEK391990:UEK392079 TUO391990:TUO392079 TKS391990:TKS392079 TAW391990:TAW392079 SRA391990:SRA392079 SHE391990:SHE392079 RXI391990:RXI392079 RNM391990:RNM392079 RDQ391990:RDQ392079 QTU391990:QTU392079 QJY391990:QJY392079 QAC391990:QAC392079 PQG391990:PQG392079 PGK391990:PGK392079 OWO391990:OWO392079 OMS391990:OMS392079 OCW391990:OCW392079 NTA391990:NTA392079 NJE391990:NJE392079 MZI391990:MZI392079 MPM391990:MPM392079 MFQ391990:MFQ392079 LVU391990:LVU392079 LLY391990:LLY392079 LCC391990:LCC392079 KSG391990:KSG392079 KIK391990:KIK392079 JYO391990:JYO392079 JOS391990:JOS392079 JEW391990:JEW392079 IVA391990:IVA392079 ILE391990:ILE392079 IBI391990:IBI392079 HRM391990:HRM392079 HHQ391990:HHQ392079 GXU391990:GXU392079 GNY391990:GNY392079 GEC391990:GEC392079 FUG391990:FUG392079 FKK391990:FKK392079 FAO391990:FAO392079 EQS391990:EQS392079 EGW391990:EGW392079 DXA391990:DXA392079 DNE391990:DNE392079 DDI391990:DDI392079 CTM391990:CTM392079 CJQ391990:CJQ392079 BZU391990:BZU392079 BPY391990:BPY392079 BGC391990:BGC392079 AWG391990:AWG392079 AMK391990:AMK392079 ACO391990:ACO392079 SS391990:SS392079 IW391990:IW392079 A391996:A392085 WVI326454:WVI326543 WLM326454:WLM326543 WBQ326454:WBQ326543 VRU326454:VRU326543 VHY326454:VHY326543 UYC326454:UYC326543 UOG326454:UOG326543 UEK326454:UEK326543 TUO326454:TUO326543 TKS326454:TKS326543 TAW326454:TAW326543 SRA326454:SRA326543 SHE326454:SHE326543 RXI326454:RXI326543 RNM326454:RNM326543 RDQ326454:RDQ326543 QTU326454:QTU326543 QJY326454:QJY326543 QAC326454:QAC326543 PQG326454:PQG326543 PGK326454:PGK326543 OWO326454:OWO326543 OMS326454:OMS326543 OCW326454:OCW326543 NTA326454:NTA326543 NJE326454:NJE326543 MZI326454:MZI326543 MPM326454:MPM326543 MFQ326454:MFQ326543 LVU326454:LVU326543 LLY326454:LLY326543 LCC326454:LCC326543 KSG326454:KSG326543 KIK326454:KIK326543 JYO326454:JYO326543 JOS326454:JOS326543 JEW326454:JEW326543 IVA326454:IVA326543 ILE326454:ILE326543 IBI326454:IBI326543 HRM326454:HRM326543 HHQ326454:HHQ326543 GXU326454:GXU326543 GNY326454:GNY326543 GEC326454:GEC326543 FUG326454:FUG326543 FKK326454:FKK326543 FAO326454:FAO326543 EQS326454:EQS326543 EGW326454:EGW326543 DXA326454:DXA326543 DNE326454:DNE326543 DDI326454:DDI326543 CTM326454:CTM326543 CJQ326454:CJQ326543 BZU326454:BZU326543 BPY326454:BPY326543 BGC326454:BGC326543 AWG326454:AWG326543 AMK326454:AMK326543 ACO326454:ACO326543 SS326454:SS326543 IW326454:IW326543 A326460:A326549 WVI260918:WVI261007 WLM260918:WLM261007 WBQ260918:WBQ261007 VRU260918:VRU261007 VHY260918:VHY261007 UYC260918:UYC261007 UOG260918:UOG261007 UEK260918:UEK261007 TUO260918:TUO261007 TKS260918:TKS261007 TAW260918:TAW261007 SRA260918:SRA261007 SHE260918:SHE261007 RXI260918:RXI261007 RNM260918:RNM261007 RDQ260918:RDQ261007 QTU260918:QTU261007 QJY260918:QJY261007 QAC260918:QAC261007 PQG260918:PQG261007 PGK260918:PGK261007 OWO260918:OWO261007 OMS260918:OMS261007 OCW260918:OCW261007 NTA260918:NTA261007 NJE260918:NJE261007 MZI260918:MZI261007 MPM260918:MPM261007 MFQ260918:MFQ261007 LVU260918:LVU261007 LLY260918:LLY261007 LCC260918:LCC261007 KSG260918:KSG261007 KIK260918:KIK261007 JYO260918:JYO261007 JOS260918:JOS261007 JEW260918:JEW261007 IVA260918:IVA261007 ILE260918:ILE261007 IBI260918:IBI261007 HRM260918:HRM261007 HHQ260918:HHQ261007 GXU260918:GXU261007 GNY260918:GNY261007 GEC260918:GEC261007 FUG260918:FUG261007 FKK260918:FKK261007 FAO260918:FAO261007 EQS260918:EQS261007 EGW260918:EGW261007 DXA260918:DXA261007 DNE260918:DNE261007 DDI260918:DDI261007 CTM260918:CTM261007 CJQ260918:CJQ261007 BZU260918:BZU261007 BPY260918:BPY261007 BGC260918:BGC261007 AWG260918:AWG261007 AMK260918:AMK261007 ACO260918:ACO261007 SS260918:SS261007 IW260918:IW261007 A260924:A261013 WVI195382:WVI195471 WLM195382:WLM195471 WBQ195382:WBQ195471 VRU195382:VRU195471 VHY195382:VHY195471 UYC195382:UYC195471 UOG195382:UOG195471 UEK195382:UEK195471 TUO195382:TUO195471 TKS195382:TKS195471 TAW195382:TAW195471 SRA195382:SRA195471 SHE195382:SHE195471 RXI195382:RXI195471 RNM195382:RNM195471 RDQ195382:RDQ195471 QTU195382:QTU195471 QJY195382:QJY195471 QAC195382:QAC195471 PQG195382:PQG195471 PGK195382:PGK195471 OWO195382:OWO195471 OMS195382:OMS195471 OCW195382:OCW195471 NTA195382:NTA195471 NJE195382:NJE195471 MZI195382:MZI195471 MPM195382:MPM195471 MFQ195382:MFQ195471 LVU195382:LVU195471 LLY195382:LLY195471 LCC195382:LCC195471 KSG195382:KSG195471 KIK195382:KIK195471 JYO195382:JYO195471 JOS195382:JOS195471 JEW195382:JEW195471 IVA195382:IVA195471 ILE195382:ILE195471 IBI195382:IBI195471 HRM195382:HRM195471 HHQ195382:HHQ195471 GXU195382:GXU195471 GNY195382:GNY195471 GEC195382:GEC195471 FUG195382:FUG195471 FKK195382:FKK195471 FAO195382:FAO195471 EQS195382:EQS195471 EGW195382:EGW195471 DXA195382:DXA195471 DNE195382:DNE195471 DDI195382:DDI195471 CTM195382:CTM195471 CJQ195382:CJQ195471 BZU195382:BZU195471 BPY195382:BPY195471 BGC195382:BGC195471 AWG195382:AWG195471 AMK195382:AMK195471 ACO195382:ACO195471 SS195382:SS195471 IW195382:IW195471 A195388:A195477 WVI129846:WVI129935 WLM129846:WLM129935 WBQ129846:WBQ129935 VRU129846:VRU129935 VHY129846:VHY129935 UYC129846:UYC129935 UOG129846:UOG129935 UEK129846:UEK129935 TUO129846:TUO129935 TKS129846:TKS129935 TAW129846:TAW129935 SRA129846:SRA129935 SHE129846:SHE129935 RXI129846:RXI129935 RNM129846:RNM129935 RDQ129846:RDQ129935 QTU129846:QTU129935 QJY129846:QJY129935 QAC129846:QAC129935 PQG129846:PQG129935 PGK129846:PGK129935 OWO129846:OWO129935 OMS129846:OMS129935 OCW129846:OCW129935 NTA129846:NTA129935 NJE129846:NJE129935 MZI129846:MZI129935 MPM129846:MPM129935 MFQ129846:MFQ129935 LVU129846:LVU129935 LLY129846:LLY129935 LCC129846:LCC129935 KSG129846:KSG129935 KIK129846:KIK129935 JYO129846:JYO129935 JOS129846:JOS129935 JEW129846:JEW129935 IVA129846:IVA129935 ILE129846:ILE129935 IBI129846:IBI129935 HRM129846:HRM129935 HHQ129846:HHQ129935 GXU129846:GXU129935 GNY129846:GNY129935 GEC129846:GEC129935 FUG129846:FUG129935 FKK129846:FKK129935 FAO129846:FAO129935 EQS129846:EQS129935 EGW129846:EGW129935 DXA129846:DXA129935 DNE129846:DNE129935 DDI129846:DDI129935 CTM129846:CTM129935 CJQ129846:CJQ129935 BZU129846:BZU129935 BPY129846:BPY129935 BGC129846:BGC129935 AWG129846:AWG129935 AMK129846:AMK129935 ACO129846:ACO129935 SS129846:SS129935 IW129846:IW129935 A129852:A129941 WVI64310:WVI64399 WLM64310:WLM64399 WBQ64310:WBQ64399 VRU64310:VRU64399 VHY64310:VHY64399 UYC64310:UYC64399 UOG64310:UOG64399 UEK64310:UEK64399 TUO64310:TUO64399 TKS64310:TKS64399 TAW64310:TAW64399 SRA64310:SRA64399 SHE64310:SHE64399 RXI64310:RXI64399 RNM64310:RNM64399 RDQ64310:RDQ64399 QTU64310:QTU64399 QJY64310:QJY64399 QAC64310:QAC64399 PQG64310:PQG64399 PGK64310:PGK64399 OWO64310:OWO64399 OMS64310:OMS64399 OCW64310:OCW64399 NTA64310:NTA64399 NJE64310:NJE64399 MZI64310:MZI64399 MPM64310:MPM64399 MFQ64310:MFQ64399 LVU64310:LVU64399 LLY64310:LLY64399 LCC64310:LCC64399 KSG64310:KSG64399 KIK64310:KIK64399 JYO64310:JYO64399 JOS64310:JOS64399 JEW64310:JEW64399 IVA64310:IVA64399 ILE64310:ILE64399 IBI64310:IBI64399 HRM64310:HRM64399 HHQ64310:HHQ64399 GXU64310:GXU64399 GNY64310:GNY64399 GEC64310:GEC64399 FUG64310:FUG64399 FKK64310:FKK64399 FAO64310:FAO64399 EQS64310:EQS64399 EGW64310:EGW64399 DXA64310:DXA64399 DNE64310:DNE64399 DDI64310:DDI64399 CTM64310:CTM64399 CJQ64310:CJQ64399 BZU64310:BZU64399 BPY64310:BPY64399 BGC64310:BGC64399 AWG64310:AWG64399 AMK64310:AMK64399 ACO64310:ACO64399 SS64310:SS64399 IW64310:IW64399 A64316:A64405 WVI2:WVI82 WLM2:WLM82 WBQ2:WBQ82 VRU2:VRU82 VHY2:VHY82 UYC2:UYC82 UOG2:UOG82 UEK2:UEK82 TUO2:TUO82 TKS2:TKS82 TAW2:TAW82 SRA2:SRA82 SHE2:SHE82 RXI2:RXI82 RNM2:RNM82 RDQ2:RDQ82 QTU2:QTU82 QJY2:QJY82 QAC2:QAC82 PQG2:PQG82 PGK2:PGK82 OWO2:OWO82 OMS2:OMS82 OCW2:OCW82 NTA2:NTA82 NJE2:NJE82 MZI2:MZI82 MPM2:MPM82 MFQ2:MFQ82 LVU2:LVU82 LLY2:LLY82 LCC2:LCC82 KSG2:KSG82 KIK2:KIK82 JYO2:JYO82 JOS2:JOS82 JEW2:JEW82 IVA2:IVA82 ILE2:ILE82 IBI2:IBI82 HRM2:HRM82 HHQ2:HHQ82 GXU2:GXU82 GNY2:GNY82 GEC2:GEC82 FUG2:FUG82 FKK2:FKK82 FAO2:FAO82 EQS2:EQS82 EGW2:EGW82 DXA2:DXA82 DNE2:DNE82 DDI2:DDI82 CTM2:CTM82 CJQ2:CJQ82 BZU2:BZU82 BPY2:BPY82 BGC2:BGC82 AWG2:AWG82 AMK2:AMK82 ACO2:ACO82 SS2:SS82 IW2:IW82" xr:uid="{82E28A42-9E57-4D37-B246-A655151B2B1C}">
      <formula1>$AE$2:$AE$22</formula1>
    </dataValidation>
    <dataValidation type="list" allowBlank="1" showInputMessage="1" showErrorMessage="1" sqref="WVO981814:WVO981903 WLS981814:WLS981903 WBW981814:WBW981903 VSA981814:VSA981903 VIE981814:VIE981903 UYI981814:UYI981903 UOM981814:UOM981903 UEQ981814:UEQ981903 TUU981814:TUU981903 TKY981814:TKY981903 TBC981814:TBC981903 SRG981814:SRG981903 SHK981814:SHK981903 RXO981814:RXO981903 RNS981814:RNS981903 RDW981814:RDW981903 QUA981814:QUA981903 QKE981814:QKE981903 QAI981814:QAI981903 PQM981814:PQM981903 PGQ981814:PGQ981903 OWU981814:OWU981903 OMY981814:OMY981903 ODC981814:ODC981903 NTG981814:NTG981903 NJK981814:NJK981903 MZO981814:MZO981903 MPS981814:MPS981903 MFW981814:MFW981903 LWA981814:LWA981903 LME981814:LME981903 LCI981814:LCI981903 KSM981814:KSM981903 KIQ981814:KIQ981903 JYU981814:JYU981903 JOY981814:JOY981903 JFC981814:JFC981903 IVG981814:IVG981903 ILK981814:ILK981903 IBO981814:IBO981903 HRS981814:HRS981903 HHW981814:HHW981903 GYA981814:GYA981903 GOE981814:GOE981903 GEI981814:GEI981903 FUM981814:FUM981903 FKQ981814:FKQ981903 FAU981814:FAU981903 EQY981814:EQY981903 EHC981814:EHC981903 DXG981814:DXG981903 DNK981814:DNK981903 DDO981814:DDO981903 CTS981814:CTS981903 CJW981814:CJW981903 CAA981814:CAA981903 BQE981814:BQE981903 BGI981814:BGI981903 AWM981814:AWM981903 AMQ981814:AMQ981903 ACU981814:ACU981903 SY981814:SY981903 JC981814:JC981903 G981823:G981912 WVO916278:WVO916367 WLS916278:WLS916367 WBW916278:WBW916367 VSA916278:VSA916367 VIE916278:VIE916367 UYI916278:UYI916367 UOM916278:UOM916367 UEQ916278:UEQ916367 TUU916278:TUU916367 TKY916278:TKY916367 TBC916278:TBC916367 SRG916278:SRG916367 SHK916278:SHK916367 RXO916278:RXO916367 RNS916278:RNS916367 RDW916278:RDW916367 QUA916278:QUA916367 QKE916278:QKE916367 QAI916278:QAI916367 PQM916278:PQM916367 PGQ916278:PGQ916367 OWU916278:OWU916367 OMY916278:OMY916367 ODC916278:ODC916367 NTG916278:NTG916367 NJK916278:NJK916367 MZO916278:MZO916367 MPS916278:MPS916367 MFW916278:MFW916367 LWA916278:LWA916367 LME916278:LME916367 LCI916278:LCI916367 KSM916278:KSM916367 KIQ916278:KIQ916367 JYU916278:JYU916367 JOY916278:JOY916367 JFC916278:JFC916367 IVG916278:IVG916367 ILK916278:ILK916367 IBO916278:IBO916367 HRS916278:HRS916367 HHW916278:HHW916367 GYA916278:GYA916367 GOE916278:GOE916367 GEI916278:GEI916367 FUM916278:FUM916367 FKQ916278:FKQ916367 FAU916278:FAU916367 EQY916278:EQY916367 EHC916278:EHC916367 DXG916278:DXG916367 DNK916278:DNK916367 DDO916278:DDO916367 CTS916278:CTS916367 CJW916278:CJW916367 CAA916278:CAA916367 BQE916278:BQE916367 BGI916278:BGI916367 AWM916278:AWM916367 AMQ916278:AMQ916367 ACU916278:ACU916367 SY916278:SY916367 JC916278:JC916367 G916287:G916376 WVO850742:WVO850831 WLS850742:WLS850831 WBW850742:WBW850831 VSA850742:VSA850831 VIE850742:VIE850831 UYI850742:UYI850831 UOM850742:UOM850831 UEQ850742:UEQ850831 TUU850742:TUU850831 TKY850742:TKY850831 TBC850742:TBC850831 SRG850742:SRG850831 SHK850742:SHK850831 RXO850742:RXO850831 RNS850742:RNS850831 RDW850742:RDW850831 QUA850742:QUA850831 QKE850742:QKE850831 QAI850742:QAI850831 PQM850742:PQM850831 PGQ850742:PGQ850831 OWU850742:OWU850831 OMY850742:OMY850831 ODC850742:ODC850831 NTG850742:NTG850831 NJK850742:NJK850831 MZO850742:MZO850831 MPS850742:MPS850831 MFW850742:MFW850831 LWA850742:LWA850831 LME850742:LME850831 LCI850742:LCI850831 KSM850742:KSM850831 KIQ850742:KIQ850831 JYU850742:JYU850831 JOY850742:JOY850831 JFC850742:JFC850831 IVG850742:IVG850831 ILK850742:ILK850831 IBO850742:IBO850831 HRS850742:HRS850831 HHW850742:HHW850831 GYA850742:GYA850831 GOE850742:GOE850831 GEI850742:GEI850831 FUM850742:FUM850831 FKQ850742:FKQ850831 FAU850742:FAU850831 EQY850742:EQY850831 EHC850742:EHC850831 DXG850742:DXG850831 DNK850742:DNK850831 DDO850742:DDO850831 CTS850742:CTS850831 CJW850742:CJW850831 CAA850742:CAA850831 BQE850742:BQE850831 BGI850742:BGI850831 AWM850742:AWM850831 AMQ850742:AMQ850831 ACU850742:ACU850831 SY850742:SY850831 JC850742:JC850831 G850751:G850840 WVO785206:WVO785295 WLS785206:WLS785295 WBW785206:WBW785295 VSA785206:VSA785295 VIE785206:VIE785295 UYI785206:UYI785295 UOM785206:UOM785295 UEQ785206:UEQ785295 TUU785206:TUU785295 TKY785206:TKY785295 TBC785206:TBC785295 SRG785206:SRG785295 SHK785206:SHK785295 RXO785206:RXO785295 RNS785206:RNS785295 RDW785206:RDW785295 QUA785206:QUA785295 QKE785206:QKE785295 QAI785206:QAI785295 PQM785206:PQM785295 PGQ785206:PGQ785295 OWU785206:OWU785295 OMY785206:OMY785295 ODC785206:ODC785295 NTG785206:NTG785295 NJK785206:NJK785295 MZO785206:MZO785295 MPS785206:MPS785295 MFW785206:MFW785295 LWA785206:LWA785295 LME785206:LME785295 LCI785206:LCI785295 KSM785206:KSM785295 KIQ785206:KIQ785295 JYU785206:JYU785295 JOY785206:JOY785295 JFC785206:JFC785295 IVG785206:IVG785295 ILK785206:ILK785295 IBO785206:IBO785295 HRS785206:HRS785295 HHW785206:HHW785295 GYA785206:GYA785295 GOE785206:GOE785295 GEI785206:GEI785295 FUM785206:FUM785295 FKQ785206:FKQ785295 FAU785206:FAU785295 EQY785206:EQY785295 EHC785206:EHC785295 DXG785206:DXG785295 DNK785206:DNK785295 DDO785206:DDO785295 CTS785206:CTS785295 CJW785206:CJW785295 CAA785206:CAA785295 BQE785206:BQE785295 BGI785206:BGI785295 AWM785206:AWM785295 AMQ785206:AMQ785295 ACU785206:ACU785295 SY785206:SY785295 JC785206:JC785295 G785215:G785304 WVO719670:WVO719759 WLS719670:WLS719759 WBW719670:WBW719759 VSA719670:VSA719759 VIE719670:VIE719759 UYI719670:UYI719759 UOM719670:UOM719759 UEQ719670:UEQ719759 TUU719670:TUU719759 TKY719670:TKY719759 TBC719670:TBC719759 SRG719670:SRG719759 SHK719670:SHK719759 RXO719670:RXO719759 RNS719670:RNS719759 RDW719670:RDW719759 QUA719670:QUA719759 QKE719670:QKE719759 QAI719670:QAI719759 PQM719670:PQM719759 PGQ719670:PGQ719759 OWU719670:OWU719759 OMY719670:OMY719759 ODC719670:ODC719759 NTG719670:NTG719759 NJK719670:NJK719759 MZO719670:MZO719759 MPS719670:MPS719759 MFW719670:MFW719759 LWA719670:LWA719759 LME719670:LME719759 LCI719670:LCI719759 KSM719670:KSM719759 KIQ719670:KIQ719759 JYU719670:JYU719759 JOY719670:JOY719759 JFC719670:JFC719759 IVG719670:IVG719759 ILK719670:ILK719759 IBO719670:IBO719759 HRS719670:HRS719759 HHW719670:HHW719759 GYA719670:GYA719759 GOE719670:GOE719759 GEI719670:GEI719759 FUM719670:FUM719759 FKQ719670:FKQ719759 FAU719670:FAU719759 EQY719670:EQY719759 EHC719670:EHC719759 DXG719670:DXG719759 DNK719670:DNK719759 DDO719670:DDO719759 CTS719670:CTS719759 CJW719670:CJW719759 CAA719670:CAA719759 BQE719670:BQE719759 BGI719670:BGI719759 AWM719670:AWM719759 AMQ719670:AMQ719759 ACU719670:ACU719759 SY719670:SY719759 JC719670:JC719759 G719679:G719768 WVO654134:WVO654223 WLS654134:WLS654223 WBW654134:WBW654223 VSA654134:VSA654223 VIE654134:VIE654223 UYI654134:UYI654223 UOM654134:UOM654223 UEQ654134:UEQ654223 TUU654134:TUU654223 TKY654134:TKY654223 TBC654134:TBC654223 SRG654134:SRG654223 SHK654134:SHK654223 RXO654134:RXO654223 RNS654134:RNS654223 RDW654134:RDW654223 QUA654134:QUA654223 QKE654134:QKE654223 QAI654134:QAI654223 PQM654134:PQM654223 PGQ654134:PGQ654223 OWU654134:OWU654223 OMY654134:OMY654223 ODC654134:ODC654223 NTG654134:NTG654223 NJK654134:NJK654223 MZO654134:MZO654223 MPS654134:MPS654223 MFW654134:MFW654223 LWA654134:LWA654223 LME654134:LME654223 LCI654134:LCI654223 KSM654134:KSM654223 KIQ654134:KIQ654223 JYU654134:JYU654223 JOY654134:JOY654223 JFC654134:JFC654223 IVG654134:IVG654223 ILK654134:ILK654223 IBO654134:IBO654223 HRS654134:HRS654223 HHW654134:HHW654223 GYA654134:GYA654223 GOE654134:GOE654223 GEI654134:GEI654223 FUM654134:FUM654223 FKQ654134:FKQ654223 FAU654134:FAU654223 EQY654134:EQY654223 EHC654134:EHC654223 DXG654134:DXG654223 DNK654134:DNK654223 DDO654134:DDO654223 CTS654134:CTS654223 CJW654134:CJW654223 CAA654134:CAA654223 BQE654134:BQE654223 BGI654134:BGI654223 AWM654134:AWM654223 AMQ654134:AMQ654223 ACU654134:ACU654223 SY654134:SY654223 JC654134:JC654223 G654143:G654232 WVO588598:WVO588687 WLS588598:WLS588687 WBW588598:WBW588687 VSA588598:VSA588687 VIE588598:VIE588687 UYI588598:UYI588687 UOM588598:UOM588687 UEQ588598:UEQ588687 TUU588598:TUU588687 TKY588598:TKY588687 TBC588598:TBC588687 SRG588598:SRG588687 SHK588598:SHK588687 RXO588598:RXO588687 RNS588598:RNS588687 RDW588598:RDW588687 QUA588598:QUA588687 QKE588598:QKE588687 QAI588598:QAI588687 PQM588598:PQM588687 PGQ588598:PGQ588687 OWU588598:OWU588687 OMY588598:OMY588687 ODC588598:ODC588687 NTG588598:NTG588687 NJK588598:NJK588687 MZO588598:MZO588687 MPS588598:MPS588687 MFW588598:MFW588687 LWA588598:LWA588687 LME588598:LME588687 LCI588598:LCI588687 KSM588598:KSM588687 KIQ588598:KIQ588687 JYU588598:JYU588687 JOY588598:JOY588687 JFC588598:JFC588687 IVG588598:IVG588687 ILK588598:ILK588687 IBO588598:IBO588687 HRS588598:HRS588687 HHW588598:HHW588687 GYA588598:GYA588687 GOE588598:GOE588687 GEI588598:GEI588687 FUM588598:FUM588687 FKQ588598:FKQ588687 FAU588598:FAU588687 EQY588598:EQY588687 EHC588598:EHC588687 DXG588598:DXG588687 DNK588598:DNK588687 DDO588598:DDO588687 CTS588598:CTS588687 CJW588598:CJW588687 CAA588598:CAA588687 BQE588598:BQE588687 BGI588598:BGI588687 AWM588598:AWM588687 AMQ588598:AMQ588687 ACU588598:ACU588687 SY588598:SY588687 JC588598:JC588687 G588607:G588696 WVO523062:WVO523151 WLS523062:WLS523151 WBW523062:WBW523151 VSA523062:VSA523151 VIE523062:VIE523151 UYI523062:UYI523151 UOM523062:UOM523151 UEQ523062:UEQ523151 TUU523062:TUU523151 TKY523062:TKY523151 TBC523062:TBC523151 SRG523062:SRG523151 SHK523062:SHK523151 RXO523062:RXO523151 RNS523062:RNS523151 RDW523062:RDW523151 QUA523062:QUA523151 QKE523062:QKE523151 QAI523062:QAI523151 PQM523062:PQM523151 PGQ523062:PGQ523151 OWU523062:OWU523151 OMY523062:OMY523151 ODC523062:ODC523151 NTG523062:NTG523151 NJK523062:NJK523151 MZO523062:MZO523151 MPS523062:MPS523151 MFW523062:MFW523151 LWA523062:LWA523151 LME523062:LME523151 LCI523062:LCI523151 KSM523062:KSM523151 KIQ523062:KIQ523151 JYU523062:JYU523151 JOY523062:JOY523151 JFC523062:JFC523151 IVG523062:IVG523151 ILK523062:ILK523151 IBO523062:IBO523151 HRS523062:HRS523151 HHW523062:HHW523151 GYA523062:GYA523151 GOE523062:GOE523151 GEI523062:GEI523151 FUM523062:FUM523151 FKQ523062:FKQ523151 FAU523062:FAU523151 EQY523062:EQY523151 EHC523062:EHC523151 DXG523062:DXG523151 DNK523062:DNK523151 DDO523062:DDO523151 CTS523062:CTS523151 CJW523062:CJW523151 CAA523062:CAA523151 BQE523062:BQE523151 BGI523062:BGI523151 AWM523062:AWM523151 AMQ523062:AMQ523151 ACU523062:ACU523151 SY523062:SY523151 JC523062:JC523151 G523071:G523160 WVO457526:WVO457615 WLS457526:WLS457615 WBW457526:WBW457615 VSA457526:VSA457615 VIE457526:VIE457615 UYI457526:UYI457615 UOM457526:UOM457615 UEQ457526:UEQ457615 TUU457526:TUU457615 TKY457526:TKY457615 TBC457526:TBC457615 SRG457526:SRG457615 SHK457526:SHK457615 RXO457526:RXO457615 RNS457526:RNS457615 RDW457526:RDW457615 QUA457526:QUA457615 QKE457526:QKE457615 QAI457526:QAI457615 PQM457526:PQM457615 PGQ457526:PGQ457615 OWU457526:OWU457615 OMY457526:OMY457615 ODC457526:ODC457615 NTG457526:NTG457615 NJK457526:NJK457615 MZO457526:MZO457615 MPS457526:MPS457615 MFW457526:MFW457615 LWA457526:LWA457615 LME457526:LME457615 LCI457526:LCI457615 KSM457526:KSM457615 KIQ457526:KIQ457615 JYU457526:JYU457615 JOY457526:JOY457615 JFC457526:JFC457615 IVG457526:IVG457615 ILK457526:ILK457615 IBO457526:IBO457615 HRS457526:HRS457615 HHW457526:HHW457615 GYA457526:GYA457615 GOE457526:GOE457615 GEI457526:GEI457615 FUM457526:FUM457615 FKQ457526:FKQ457615 FAU457526:FAU457615 EQY457526:EQY457615 EHC457526:EHC457615 DXG457526:DXG457615 DNK457526:DNK457615 DDO457526:DDO457615 CTS457526:CTS457615 CJW457526:CJW457615 CAA457526:CAA457615 BQE457526:BQE457615 BGI457526:BGI457615 AWM457526:AWM457615 AMQ457526:AMQ457615 ACU457526:ACU457615 SY457526:SY457615 JC457526:JC457615 G457535:G457624 WVO391990:WVO392079 WLS391990:WLS392079 WBW391990:WBW392079 VSA391990:VSA392079 VIE391990:VIE392079 UYI391990:UYI392079 UOM391990:UOM392079 UEQ391990:UEQ392079 TUU391990:TUU392079 TKY391990:TKY392079 TBC391990:TBC392079 SRG391990:SRG392079 SHK391990:SHK392079 RXO391990:RXO392079 RNS391990:RNS392079 RDW391990:RDW392079 QUA391990:QUA392079 QKE391990:QKE392079 QAI391990:QAI392079 PQM391990:PQM392079 PGQ391990:PGQ392079 OWU391990:OWU392079 OMY391990:OMY392079 ODC391990:ODC392079 NTG391990:NTG392079 NJK391990:NJK392079 MZO391990:MZO392079 MPS391990:MPS392079 MFW391990:MFW392079 LWA391990:LWA392079 LME391990:LME392079 LCI391990:LCI392079 KSM391990:KSM392079 KIQ391990:KIQ392079 JYU391990:JYU392079 JOY391990:JOY392079 JFC391990:JFC392079 IVG391990:IVG392079 ILK391990:ILK392079 IBO391990:IBO392079 HRS391990:HRS392079 HHW391990:HHW392079 GYA391990:GYA392079 GOE391990:GOE392079 GEI391990:GEI392079 FUM391990:FUM392079 FKQ391990:FKQ392079 FAU391990:FAU392079 EQY391990:EQY392079 EHC391990:EHC392079 DXG391990:DXG392079 DNK391990:DNK392079 DDO391990:DDO392079 CTS391990:CTS392079 CJW391990:CJW392079 CAA391990:CAA392079 BQE391990:BQE392079 BGI391990:BGI392079 AWM391990:AWM392079 AMQ391990:AMQ392079 ACU391990:ACU392079 SY391990:SY392079 JC391990:JC392079 G391999:G392088 WVO326454:WVO326543 WLS326454:WLS326543 WBW326454:WBW326543 VSA326454:VSA326543 VIE326454:VIE326543 UYI326454:UYI326543 UOM326454:UOM326543 UEQ326454:UEQ326543 TUU326454:TUU326543 TKY326454:TKY326543 TBC326454:TBC326543 SRG326454:SRG326543 SHK326454:SHK326543 RXO326454:RXO326543 RNS326454:RNS326543 RDW326454:RDW326543 QUA326454:QUA326543 QKE326454:QKE326543 QAI326454:QAI326543 PQM326454:PQM326543 PGQ326454:PGQ326543 OWU326454:OWU326543 OMY326454:OMY326543 ODC326454:ODC326543 NTG326454:NTG326543 NJK326454:NJK326543 MZO326454:MZO326543 MPS326454:MPS326543 MFW326454:MFW326543 LWA326454:LWA326543 LME326454:LME326543 LCI326454:LCI326543 KSM326454:KSM326543 KIQ326454:KIQ326543 JYU326454:JYU326543 JOY326454:JOY326543 JFC326454:JFC326543 IVG326454:IVG326543 ILK326454:ILK326543 IBO326454:IBO326543 HRS326454:HRS326543 HHW326454:HHW326543 GYA326454:GYA326543 GOE326454:GOE326543 GEI326454:GEI326543 FUM326454:FUM326543 FKQ326454:FKQ326543 FAU326454:FAU326543 EQY326454:EQY326543 EHC326454:EHC326543 DXG326454:DXG326543 DNK326454:DNK326543 DDO326454:DDO326543 CTS326454:CTS326543 CJW326454:CJW326543 CAA326454:CAA326543 BQE326454:BQE326543 BGI326454:BGI326543 AWM326454:AWM326543 AMQ326454:AMQ326543 ACU326454:ACU326543 SY326454:SY326543 JC326454:JC326543 G326463:G326552 WVO260918:WVO261007 WLS260918:WLS261007 WBW260918:WBW261007 VSA260918:VSA261007 VIE260918:VIE261007 UYI260918:UYI261007 UOM260918:UOM261007 UEQ260918:UEQ261007 TUU260918:TUU261007 TKY260918:TKY261007 TBC260918:TBC261007 SRG260918:SRG261007 SHK260918:SHK261007 RXO260918:RXO261007 RNS260918:RNS261007 RDW260918:RDW261007 QUA260918:QUA261007 QKE260918:QKE261007 QAI260918:QAI261007 PQM260918:PQM261007 PGQ260918:PGQ261007 OWU260918:OWU261007 OMY260918:OMY261007 ODC260918:ODC261007 NTG260918:NTG261007 NJK260918:NJK261007 MZO260918:MZO261007 MPS260918:MPS261007 MFW260918:MFW261007 LWA260918:LWA261007 LME260918:LME261007 LCI260918:LCI261007 KSM260918:KSM261007 KIQ260918:KIQ261007 JYU260918:JYU261007 JOY260918:JOY261007 JFC260918:JFC261007 IVG260918:IVG261007 ILK260918:ILK261007 IBO260918:IBO261007 HRS260918:HRS261007 HHW260918:HHW261007 GYA260918:GYA261007 GOE260918:GOE261007 GEI260918:GEI261007 FUM260918:FUM261007 FKQ260918:FKQ261007 FAU260918:FAU261007 EQY260918:EQY261007 EHC260918:EHC261007 DXG260918:DXG261007 DNK260918:DNK261007 DDO260918:DDO261007 CTS260918:CTS261007 CJW260918:CJW261007 CAA260918:CAA261007 BQE260918:BQE261007 BGI260918:BGI261007 AWM260918:AWM261007 AMQ260918:AMQ261007 ACU260918:ACU261007 SY260918:SY261007 JC260918:JC261007 G260927:G261016 WVO195382:WVO195471 WLS195382:WLS195471 WBW195382:WBW195471 VSA195382:VSA195471 VIE195382:VIE195471 UYI195382:UYI195471 UOM195382:UOM195471 UEQ195382:UEQ195471 TUU195382:TUU195471 TKY195382:TKY195471 TBC195382:TBC195471 SRG195382:SRG195471 SHK195382:SHK195471 RXO195382:RXO195471 RNS195382:RNS195471 RDW195382:RDW195471 QUA195382:QUA195471 QKE195382:QKE195471 QAI195382:QAI195471 PQM195382:PQM195471 PGQ195382:PGQ195471 OWU195382:OWU195471 OMY195382:OMY195471 ODC195382:ODC195471 NTG195382:NTG195471 NJK195382:NJK195471 MZO195382:MZO195471 MPS195382:MPS195471 MFW195382:MFW195471 LWA195382:LWA195471 LME195382:LME195471 LCI195382:LCI195471 KSM195382:KSM195471 KIQ195382:KIQ195471 JYU195382:JYU195471 JOY195382:JOY195471 JFC195382:JFC195471 IVG195382:IVG195471 ILK195382:ILK195471 IBO195382:IBO195471 HRS195382:HRS195471 HHW195382:HHW195471 GYA195382:GYA195471 GOE195382:GOE195471 GEI195382:GEI195471 FUM195382:FUM195471 FKQ195382:FKQ195471 FAU195382:FAU195471 EQY195382:EQY195471 EHC195382:EHC195471 DXG195382:DXG195471 DNK195382:DNK195471 DDO195382:DDO195471 CTS195382:CTS195471 CJW195382:CJW195471 CAA195382:CAA195471 BQE195382:BQE195471 BGI195382:BGI195471 AWM195382:AWM195471 AMQ195382:AMQ195471 ACU195382:ACU195471 SY195382:SY195471 JC195382:JC195471 G195391:G195480 WVO129846:WVO129935 WLS129846:WLS129935 WBW129846:WBW129935 VSA129846:VSA129935 VIE129846:VIE129935 UYI129846:UYI129935 UOM129846:UOM129935 UEQ129846:UEQ129935 TUU129846:TUU129935 TKY129846:TKY129935 TBC129846:TBC129935 SRG129846:SRG129935 SHK129846:SHK129935 RXO129846:RXO129935 RNS129846:RNS129935 RDW129846:RDW129935 QUA129846:QUA129935 QKE129846:QKE129935 QAI129846:QAI129935 PQM129846:PQM129935 PGQ129846:PGQ129935 OWU129846:OWU129935 OMY129846:OMY129935 ODC129846:ODC129935 NTG129846:NTG129935 NJK129846:NJK129935 MZO129846:MZO129935 MPS129846:MPS129935 MFW129846:MFW129935 LWA129846:LWA129935 LME129846:LME129935 LCI129846:LCI129935 KSM129846:KSM129935 KIQ129846:KIQ129935 JYU129846:JYU129935 JOY129846:JOY129935 JFC129846:JFC129935 IVG129846:IVG129935 ILK129846:ILK129935 IBO129846:IBO129935 HRS129846:HRS129935 HHW129846:HHW129935 GYA129846:GYA129935 GOE129846:GOE129935 GEI129846:GEI129935 FUM129846:FUM129935 FKQ129846:FKQ129935 FAU129846:FAU129935 EQY129846:EQY129935 EHC129846:EHC129935 DXG129846:DXG129935 DNK129846:DNK129935 DDO129846:DDO129935 CTS129846:CTS129935 CJW129846:CJW129935 CAA129846:CAA129935 BQE129846:BQE129935 BGI129846:BGI129935 AWM129846:AWM129935 AMQ129846:AMQ129935 ACU129846:ACU129935 SY129846:SY129935 JC129846:JC129935 G129855:G129944 WVO64310:WVO64399 WLS64310:WLS64399 WBW64310:WBW64399 VSA64310:VSA64399 VIE64310:VIE64399 UYI64310:UYI64399 UOM64310:UOM64399 UEQ64310:UEQ64399 TUU64310:TUU64399 TKY64310:TKY64399 TBC64310:TBC64399 SRG64310:SRG64399 SHK64310:SHK64399 RXO64310:RXO64399 RNS64310:RNS64399 RDW64310:RDW64399 QUA64310:QUA64399 QKE64310:QKE64399 QAI64310:QAI64399 PQM64310:PQM64399 PGQ64310:PGQ64399 OWU64310:OWU64399 OMY64310:OMY64399 ODC64310:ODC64399 NTG64310:NTG64399 NJK64310:NJK64399 MZO64310:MZO64399 MPS64310:MPS64399 MFW64310:MFW64399 LWA64310:LWA64399 LME64310:LME64399 LCI64310:LCI64399 KSM64310:KSM64399 KIQ64310:KIQ64399 JYU64310:JYU64399 JOY64310:JOY64399 JFC64310:JFC64399 IVG64310:IVG64399 ILK64310:ILK64399 IBO64310:IBO64399 HRS64310:HRS64399 HHW64310:HHW64399 GYA64310:GYA64399 GOE64310:GOE64399 GEI64310:GEI64399 FUM64310:FUM64399 FKQ64310:FKQ64399 FAU64310:FAU64399 EQY64310:EQY64399 EHC64310:EHC64399 DXG64310:DXG64399 DNK64310:DNK64399 DDO64310:DDO64399 CTS64310:CTS64399 CJW64310:CJW64399 CAA64310:CAA64399 BQE64310:BQE64399 BGI64310:BGI64399 AWM64310:AWM64399 AMQ64310:AMQ64399 ACU64310:ACU64399 SY64310:SY64399 JC64310:JC64399 G64319:G64408 G105:G509 G2:G103 SY2:SY82 ACU2:ACU82 AMQ2:AMQ82 AWM2:AWM82 BGI2:BGI82 BQE2:BQE82 CAA2:CAA82 CJW2:CJW82 CTS2:CTS82 DDO2:DDO82 DNK2:DNK82 DXG2:DXG82 EHC2:EHC82 EQY2:EQY82 FAU2:FAU82 FKQ2:FKQ82 FUM2:FUM82 GEI2:GEI82 GOE2:GOE82 GYA2:GYA82 HHW2:HHW82 HRS2:HRS82 IBO2:IBO82 ILK2:ILK82 IVG2:IVG82 JFC2:JFC82 JOY2:JOY82 JYU2:JYU82 KIQ2:KIQ82 KSM2:KSM82 LCI2:LCI82 LME2:LME82 LWA2:LWA82 MFW2:MFW82 MPS2:MPS82 MZO2:MZO82 NJK2:NJK82 NTG2:NTG82 ODC2:ODC82 OMY2:OMY82 OWU2:OWU82 PGQ2:PGQ82 PQM2:PQM82 QAI2:QAI82 QKE2:QKE82 QUA2:QUA82 RDW2:RDW82 RNS2:RNS82 RXO2:RXO82 SHK2:SHK82 SRG2:SRG82 TBC2:TBC82 TKY2:TKY82 TUU2:TUU82 UEQ2:UEQ82 UOM2:UOM82 UYI2:UYI82 VIE2:VIE82 VSA2:VSA82 WBW2:WBW82 WLS2:WLS82 WVO2:WVO82 JC2:JC82" xr:uid="{55550124-7D09-474A-B286-4F115F13F68F}">
      <formula1>$AJ$2:$AJ$4</formula1>
    </dataValidation>
    <dataValidation type="list" allowBlank="1" showInputMessage="1" showErrorMessage="1" sqref="WVP981814:WVP981903 WLT981814:WLT981903 WBX981814:WBX981903 VSB981814:VSB981903 VIF981814:VIF981903 UYJ981814:UYJ981903 UON981814:UON981903 UER981814:UER981903 TUV981814:TUV981903 TKZ981814:TKZ981903 TBD981814:TBD981903 SRH981814:SRH981903 SHL981814:SHL981903 RXP981814:RXP981903 RNT981814:RNT981903 RDX981814:RDX981903 QUB981814:QUB981903 QKF981814:QKF981903 QAJ981814:QAJ981903 PQN981814:PQN981903 PGR981814:PGR981903 OWV981814:OWV981903 OMZ981814:OMZ981903 ODD981814:ODD981903 NTH981814:NTH981903 NJL981814:NJL981903 MZP981814:MZP981903 MPT981814:MPT981903 MFX981814:MFX981903 LWB981814:LWB981903 LMF981814:LMF981903 LCJ981814:LCJ981903 KSN981814:KSN981903 KIR981814:KIR981903 JYV981814:JYV981903 JOZ981814:JOZ981903 JFD981814:JFD981903 IVH981814:IVH981903 ILL981814:ILL981903 IBP981814:IBP981903 HRT981814:HRT981903 HHX981814:HHX981903 GYB981814:GYB981903 GOF981814:GOF981903 GEJ981814:GEJ981903 FUN981814:FUN981903 FKR981814:FKR981903 FAV981814:FAV981903 EQZ981814:EQZ981903 EHD981814:EHD981903 DXH981814:DXH981903 DNL981814:DNL981903 DDP981814:DDP981903 CTT981814:CTT981903 CJX981814:CJX981903 CAB981814:CAB981903 BQF981814:BQF981903 BGJ981814:BGJ981903 AWN981814:AWN981903 AMR981814:AMR981903 ACV981814:ACV981903 SZ981814:SZ981903 JD981814:JD981903 H981835:H981924 WVP916278:WVP916367 WLT916278:WLT916367 WBX916278:WBX916367 VSB916278:VSB916367 VIF916278:VIF916367 UYJ916278:UYJ916367 UON916278:UON916367 UER916278:UER916367 TUV916278:TUV916367 TKZ916278:TKZ916367 TBD916278:TBD916367 SRH916278:SRH916367 SHL916278:SHL916367 RXP916278:RXP916367 RNT916278:RNT916367 RDX916278:RDX916367 QUB916278:QUB916367 QKF916278:QKF916367 QAJ916278:QAJ916367 PQN916278:PQN916367 PGR916278:PGR916367 OWV916278:OWV916367 OMZ916278:OMZ916367 ODD916278:ODD916367 NTH916278:NTH916367 NJL916278:NJL916367 MZP916278:MZP916367 MPT916278:MPT916367 MFX916278:MFX916367 LWB916278:LWB916367 LMF916278:LMF916367 LCJ916278:LCJ916367 KSN916278:KSN916367 KIR916278:KIR916367 JYV916278:JYV916367 JOZ916278:JOZ916367 JFD916278:JFD916367 IVH916278:IVH916367 ILL916278:ILL916367 IBP916278:IBP916367 HRT916278:HRT916367 HHX916278:HHX916367 GYB916278:GYB916367 GOF916278:GOF916367 GEJ916278:GEJ916367 FUN916278:FUN916367 FKR916278:FKR916367 FAV916278:FAV916367 EQZ916278:EQZ916367 EHD916278:EHD916367 DXH916278:DXH916367 DNL916278:DNL916367 DDP916278:DDP916367 CTT916278:CTT916367 CJX916278:CJX916367 CAB916278:CAB916367 BQF916278:BQF916367 BGJ916278:BGJ916367 AWN916278:AWN916367 AMR916278:AMR916367 ACV916278:ACV916367 SZ916278:SZ916367 JD916278:JD916367 H916299:H916388 WVP850742:WVP850831 WLT850742:WLT850831 WBX850742:WBX850831 VSB850742:VSB850831 VIF850742:VIF850831 UYJ850742:UYJ850831 UON850742:UON850831 UER850742:UER850831 TUV850742:TUV850831 TKZ850742:TKZ850831 TBD850742:TBD850831 SRH850742:SRH850831 SHL850742:SHL850831 RXP850742:RXP850831 RNT850742:RNT850831 RDX850742:RDX850831 QUB850742:QUB850831 QKF850742:QKF850831 QAJ850742:QAJ850831 PQN850742:PQN850831 PGR850742:PGR850831 OWV850742:OWV850831 OMZ850742:OMZ850831 ODD850742:ODD850831 NTH850742:NTH850831 NJL850742:NJL850831 MZP850742:MZP850831 MPT850742:MPT850831 MFX850742:MFX850831 LWB850742:LWB850831 LMF850742:LMF850831 LCJ850742:LCJ850831 KSN850742:KSN850831 KIR850742:KIR850831 JYV850742:JYV850831 JOZ850742:JOZ850831 JFD850742:JFD850831 IVH850742:IVH850831 ILL850742:ILL850831 IBP850742:IBP850831 HRT850742:HRT850831 HHX850742:HHX850831 GYB850742:GYB850831 GOF850742:GOF850831 GEJ850742:GEJ850831 FUN850742:FUN850831 FKR850742:FKR850831 FAV850742:FAV850831 EQZ850742:EQZ850831 EHD850742:EHD850831 DXH850742:DXH850831 DNL850742:DNL850831 DDP850742:DDP850831 CTT850742:CTT850831 CJX850742:CJX850831 CAB850742:CAB850831 BQF850742:BQF850831 BGJ850742:BGJ850831 AWN850742:AWN850831 AMR850742:AMR850831 ACV850742:ACV850831 SZ850742:SZ850831 JD850742:JD850831 H850763:H850852 WVP785206:WVP785295 WLT785206:WLT785295 WBX785206:WBX785295 VSB785206:VSB785295 VIF785206:VIF785295 UYJ785206:UYJ785295 UON785206:UON785295 UER785206:UER785295 TUV785206:TUV785295 TKZ785206:TKZ785295 TBD785206:TBD785295 SRH785206:SRH785295 SHL785206:SHL785295 RXP785206:RXP785295 RNT785206:RNT785295 RDX785206:RDX785295 QUB785206:QUB785295 QKF785206:QKF785295 QAJ785206:QAJ785295 PQN785206:PQN785295 PGR785206:PGR785295 OWV785206:OWV785295 OMZ785206:OMZ785295 ODD785206:ODD785295 NTH785206:NTH785295 NJL785206:NJL785295 MZP785206:MZP785295 MPT785206:MPT785295 MFX785206:MFX785295 LWB785206:LWB785295 LMF785206:LMF785295 LCJ785206:LCJ785295 KSN785206:KSN785295 KIR785206:KIR785295 JYV785206:JYV785295 JOZ785206:JOZ785295 JFD785206:JFD785295 IVH785206:IVH785295 ILL785206:ILL785295 IBP785206:IBP785295 HRT785206:HRT785295 HHX785206:HHX785295 GYB785206:GYB785295 GOF785206:GOF785295 GEJ785206:GEJ785295 FUN785206:FUN785295 FKR785206:FKR785295 FAV785206:FAV785295 EQZ785206:EQZ785295 EHD785206:EHD785295 DXH785206:DXH785295 DNL785206:DNL785295 DDP785206:DDP785295 CTT785206:CTT785295 CJX785206:CJX785295 CAB785206:CAB785295 BQF785206:BQF785295 BGJ785206:BGJ785295 AWN785206:AWN785295 AMR785206:AMR785295 ACV785206:ACV785295 SZ785206:SZ785295 JD785206:JD785295 H785227:H785316 WVP719670:WVP719759 WLT719670:WLT719759 WBX719670:WBX719759 VSB719670:VSB719759 VIF719670:VIF719759 UYJ719670:UYJ719759 UON719670:UON719759 UER719670:UER719759 TUV719670:TUV719759 TKZ719670:TKZ719759 TBD719670:TBD719759 SRH719670:SRH719759 SHL719670:SHL719759 RXP719670:RXP719759 RNT719670:RNT719759 RDX719670:RDX719759 QUB719670:QUB719759 QKF719670:QKF719759 QAJ719670:QAJ719759 PQN719670:PQN719759 PGR719670:PGR719759 OWV719670:OWV719759 OMZ719670:OMZ719759 ODD719670:ODD719759 NTH719670:NTH719759 NJL719670:NJL719759 MZP719670:MZP719759 MPT719670:MPT719759 MFX719670:MFX719759 LWB719670:LWB719759 LMF719670:LMF719759 LCJ719670:LCJ719759 KSN719670:KSN719759 KIR719670:KIR719759 JYV719670:JYV719759 JOZ719670:JOZ719759 JFD719670:JFD719759 IVH719670:IVH719759 ILL719670:ILL719759 IBP719670:IBP719759 HRT719670:HRT719759 HHX719670:HHX719759 GYB719670:GYB719759 GOF719670:GOF719759 GEJ719670:GEJ719759 FUN719670:FUN719759 FKR719670:FKR719759 FAV719670:FAV719759 EQZ719670:EQZ719759 EHD719670:EHD719759 DXH719670:DXH719759 DNL719670:DNL719759 DDP719670:DDP719759 CTT719670:CTT719759 CJX719670:CJX719759 CAB719670:CAB719759 BQF719670:BQF719759 BGJ719670:BGJ719759 AWN719670:AWN719759 AMR719670:AMR719759 ACV719670:ACV719759 SZ719670:SZ719759 JD719670:JD719759 H719691:H719780 WVP654134:WVP654223 WLT654134:WLT654223 WBX654134:WBX654223 VSB654134:VSB654223 VIF654134:VIF654223 UYJ654134:UYJ654223 UON654134:UON654223 UER654134:UER654223 TUV654134:TUV654223 TKZ654134:TKZ654223 TBD654134:TBD654223 SRH654134:SRH654223 SHL654134:SHL654223 RXP654134:RXP654223 RNT654134:RNT654223 RDX654134:RDX654223 QUB654134:QUB654223 QKF654134:QKF654223 QAJ654134:QAJ654223 PQN654134:PQN654223 PGR654134:PGR654223 OWV654134:OWV654223 OMZ654134:OMZ654223 ODD654134:ODD654223 NTH654134:NTH654223 NJL654134:NJL654223 MZP654134:MZP654223 MPT654134:MPT654223 MFX654134:MFX654223 LWB654134:LWB654223 LMF654134:LMF654223 LCJ654134:LCJ654223 KSN654134:KSN654223 KIR654134:KIR654223 JYV654134:JYV654223 JOZ654134:JOZ654223 JFD654134:JFD654223 IVH654134:IVH654223 ILL654134:ILL654223 IBP654134:IBP654223 HRT654134:HRT654223 HHX654134:HHX654223 GYB654134:GYB654223 GOF654134:GOF654223 GEJ654134:GEJ654223 FUN654134:FUN654223 FKR654134:FKR654223 FAV654134:FAV654223 EQZ654134:EQZ654223 EHD654134:EHD654223 DXH654134:DXH654223 DNL654134:DNL654223 DDP654134:DDP654223 CTT654134:CTT654223 CJX654134:CJX654223 CAB654134:CAB654223 BQF654134:BQF654223 BGJ654134:BGJ654223 AWN654134:AWN654223 AMR654134:AMR654223 ACV654134:ACV654223 SZ654134:SZ654223 JD654134:JD654223 H654155:H654244 WVP588598:WVP588687 WLT588598:WLT588687 WBX588598:WBX588687 VSB588598:VSB588687 VIF588598:VIF588687 UYJ588598:UYJ588687 UON588598:UON588687 UER588598:UER588687 TUV588598:TUV588687 TKZ588598:TKZ588687 TBD588598:TBD588687 SRH588598:SRH588687 SHL588598:SHL588687 RXP588598:RXP588687 RNT588598:RNT588687 RDX588598:RDX588687 QUB588598:QUB588687 QKF588598:QKF588687 QAJ588598:QAJ588687 PQN588598:PQN588687 PGR588598:PGR588687 OWV588598:OWV588687 OMZ588598:OMZ588687 ODD588598:ODD588687 NTH588598:NTH588687 NJL588598:NJL588687 MZP588598:MZP588687 MPT588598:MPT588687 MFX588598:MFX588687 LWB588598:LWB588687 LMF588598:LMF588687 LCJ588598:LCJ588687 KSN588598:KSN588687 KIR588598:KIR588687 JYV588598:JYV588687 JOZ588598:JOZ588687 JFD588598:JFD588687 IVH588598:IVH588687 ILL588598:ILL588687 IBP588598:IBP588687 HRT588598:HRT588687 HHX588598:HHX588687 GYB588598:GYB588687 GOF588598:GOF588687 GEJ588598:GEJ588687 FUN588598:FUN588687 FKR588598:FKR588687 FAV588598:FAV588687 EQZ588598:EQZ588687 EHD588598:EHD588687 DXH588598:DXH588687 DNL588598:DNL588687 DDP588598:DDP588687 CTT588598:CTT588687 CJX588598:CJX588687 CAB588598:CAB588687 BQF588598:BQF588687 BGJ588598:BGJ588687 AWN588598:AWN588687 AMR588598:AMR588687 ACV588598:ACV588687 SZ588598:SZ588687 JD588598:JD588687 H588619:H588708 WVP523062:WVP523151 WLT523062:WLT523151 WBX523062:WBX523151 VSB523062:VSB523151 VIF523062:VIF523151 UYJ523062:UYJ523151 UON523062:UON523151 UER523062:UER523151 TUV523062:TUV523151 TKZ523062:TKZ523151 TBD523062:TBD523151 SRH523062:SRH523151 SHL523062:SHL523151 RXP523062:RXP523151 RNT523062:RNT523151 RDX523062:RDX523151 QUB523062:QUB523151 QKF523062:QKF523151 QAJ523062:QAJ523151 PQN523062:PQN523151 PGR523062:PGR523151 OWV523062:OWV523151 OMZ523062:OMZ523151 ODD523062:ODD523151 NTH523062:NTH523151 NJL523062:NJL523151 MZP523062:MZP523151 MPT523062:MPT523151 MFX523062:MFX523151 LWB523062:LWB523151 LMF523062:LMF523151 LCJ523062:LCJ523151 KSN523062:KSN523151 KIR523062:KIR523151 JYV523062:JYV523151 JOZ523062:JOZ523151 JFD523062:JFD523151 IVH523062:IVH523151 ILL523062:ILL523151 IBP523062:IBP523151 HRT523062:HRT523151 HHX523062:HHX523151 GYB523062:GYB523151 GOF523062:GOF523151 GEJ523062:GEJ523151 FUN523062:FUN523151 FKR523062:FKR523151 FAV523062:FAV523151 EQZ523062:EQZ523151 EHD523062:EHD523151 DXH523062:DXH523151 DNL523062:DNL523151 DDP523062:DDP523151 CTT523062:CTT523151 CJX523062:CJX523151 CAB523062:CAB523151 BQF523062:BQF523151 BGJ523062:BGJ523151 AWN523062:AWN523151 AMR523062:AMR523151 ACV523062:ACV523151 SZ523062:SZ523151 JD523062:JD523151 H523083:H523172 WVP457526:WVP457615 WLT457526:WLT457615 WBX457526:WBX457615 VSB457526:VSB457615 VIF457526:VIF457615 UYJ457526:UYJ457615 UON457526:UON457615 UER457526:UER457615 TUV457526:TUV457615 TKZ457526:TKZ457615 TBD457526:TBD457615 SRH457526:SRH457615 SHL457526:SHL457615 RXP457526:RXP457615 RNT457526:RNT457615 RDX457526:RDX457615 QUB457526:QUB457615 QKF457526:QKF457615 QAJ457526:QAJ457615 PQN457526:PQN457615 PGR457526:PGR457615 OWV457526:OWV457615 OMZ457526:OMZ457615 ODD457526:ODD457615 NTH457526:NTH457615 NJL457526:NJL457615 MZP457526:MZP457615 MPT457526:MPT457615 MFX457526:MFX457615 LWB457526:LWB457615 LMF457526:LMF457615 LCJ457526:LCJ457615 KSN457526:KSN457615 KIR457526:KIR457615 JYV457526:JYV457615 JOZ457526:JOZ457615 JFD457526:JFD457615 IVH457526:IVH457615 ILL457526:ILL457615 IBP457526:IBP457615 HRT457526:HRT457615 HHX457526:HHX457615 GYB457526:GYB457615 GOF457526:GOF457615 GEJ457526:GEJ457615 FUN457526:FUN457615 FKR457526:FKR457615 FAV457526:FAV457615 EQZ457526:EQZ457615 EHD457526:EHD457615 DXH457526:DXH457615 DNL457526:DNL457615 DDP457526:DDP457615 CTT457526:CTT457615 CJX457526:CJX457615 CAB457526:CAB457615 BQF457526:BQF457615 BGJ457526:BGJ457615 AWN457526:AWN457615 AMR457526:AMR457615 ACV457526:ACV457615 SZ457526:SZ457615 JD457526:JD457615 H457547:H457636 WVP391990:WVP392079 WLT391990:WLT392079 WBX391990:WBX392079 VSB391990:VSB392079 VIF391990:VIF392079 UYJ391990:UYJ392079 UON391990:UON392079 UER391990:UER392079 TUV391990:TUV392079 TKZ391990:TKZ392079 TBD391990:TBD392079 SRH391990:SRH392079 SHL391990:SHL392079 RXP391990:RXP392079 RNT391990:RNT392079 RDX391990:RDX392079 QUB391990:QUB392079 QKF391990:QKF392079 QAJ391990:QAJ392079 PQN391990:PQN392079 PGR391990:PGR392079 OWV391990:OWV392079 OMZ391990:OMZ392079 ODD391990:ODD392079 NTH391990:NTH392079 NJL391990:NJL392079 MZP391990:MZP392079 MPT391990:MPT392079 MFX391990:MFX392079 LWB391990:LWB392079 LMF391990:LMF392079 LCJ391990:LCJ392079 KSN391990:KSN392079 KIR391990:KIR392079 JYV391990:JYV392079 JOZ391990:JOZ392079 JFD391990:JFD392079 IVH391990:IVH392079 ILL391990:ILL392079 IBP391990:IBP392079 HRT391990:HRT392079 HHX391990:HHX392079 GYB391990:GYB392079 GOF391990:GOF392079 GEJ391990:GEJ392079 FUN391990:FUN392079 FKR391990:FKR392079 FAV391990:FAV392079 EQZ391990:EQZ392079 EHD391990:EHD392079 DXH391990:DXH392079 DNL391990:DNL392079 DDP391990:DDP392079 CTT391990:CTT392079 CJX391990:CJX392079 CAB391990:CAB392079 BQF391990:BQF392079 BGJ391990:BGJ392079 AWN391990:AWN392079 AMR391990:AMR392079 ACV391990:ACV392079 SZ391990:SZ392079 JD391990:JD392079 H392011:H392100 WVP326454:WVP326543 WLT326454:WLT326543 WBX326454:WBX326543 VSB326454:VSB326543 VIF326454:VIF326543 UYJ326454:UYJ326543 UON326454:UON326543 UER326454:UER326543 TUV326454:TUV326543 TKZ326454:TKZ326543 TBD326454:TBD326543 SRH326454:SRH326543 SHL326454:SHL326543 RXP326454:RXP326543 RNT326454:RNT326543 RDX326454:RDX326543 QUB326454:QUB326543 QKF326454:QKF326543 QAJ326454:QAJ326543 PQN326454:PQN326543 PGR326454:PGR326543 OWV326454:OWV326543 OMZ326454:OMZ326543 ODD326454:ODD326543 NTH326454:NTH326543 NJL326454:NJL326543 MZP326454:MZP326543 MPT326454:MPT326543 MFX326454:MFX326543 LWB326454:LWB326543 LMF326454:LMF326543 LCJ326454:LCJ326543 KSN326454:KSN326543 KIR326454:KIR326543 JYV326454:JYV326543 JOZ326454:JOZ326543 JFD326454:JFD326543 IVH326454:IVH326543 ILL326454:ILL326543 IBP326454:IBP326543 HRT326454:HRT326543 HHX326454:HHX326543 GYB326454:GYB326543 GOF326454:GOF326543 GEJ326454:GEJ326543 FUN326454:FUN326543 FKR326454:FKR326543 FAV326454:FAV326543 EQZ326454:EQZ326543 EHD326454:EHD326543 DXH326454:DXH326543 DNL326454:DNL326543 DDP326454:DDP326543 CTT326454:CTT326543 CJX326454:CJX326543 CAB326454:CAB326543 BQF326454:BQF326543 BGJ326454:BGJ326543 AWN326454:AWN326543 AMR326454:AMR326543 ACV326454:ACV326543 SZ326454:SZ326543 JD326454:JD326543 H326475:H326564 WVP260918:WVP261007 WLT260918:WLT261007 WBX260918:WBX261007 VSB260918:VSB261007 VIF260918:VIF261007 UYJ260918:UYJ261007 UON260918:UON261007 UER260918:UER261007 TUV260918:TUV261007 TKZ260918:TKZ261007 TBD260918:TBD261007 SRH260918:SRH261007 SHL260918:SHL261007 RXP260918:RXP261007 RNT260918:RNT261007 RDX260918:RDX261007 QUB260918:QUB261007 QKF260918:QKF261007 QAJ260918:QAJ261007 PQN260918:PQN261007 PGR260918:PGR261007 OWV260918:OWV261007 OMZ260918:OMZ261007 ODD260918:ODD261007 NTH260918:NTH261007 NJL260918:NJL261007 MZP260918:MZP261007 MPT260918:MPT261007 MFX260918:MFX261007 LWB260918:LWB261007 LMF260918:LMF261007 LCJ260918:LCJ261007 KSN260918:KSN261007 KIR260918:KIR261007 JYV260918:JYV261007 JOZ260918:JOZ261007 JFD260918:JFD261007 IVH260918:IVH261007 ILL260918:ILL261007 IBP260918:IBP261007 HRT260918:HRT261007 HHX260918:HHX261007 GYB260918:GYB261007 GOF260918:GOF261007 GEJ260918:GEJ261007 FUN260918:FUN261007 FKR260918:FKR261007 FAV260918:FAV261007 EQZ260918:EQZ261007 EHD260918:EHD261007 DXH260918:DXH261007 DNL260918:DNL261007 DDP260918:DDP261007 CTT260918:CTT261007 CJX260918:CJX261007 CAB260918:CAB261007 BQF260918:BQF261007 BGJ260918:BGJ261007 AWN260918:AWN261007 AMR260918:AMR261007 ACV260918:ACV261007 SZ260918:SZ261007 JD260918:JD261007 H260939:H261028 WVP195382:WVP195471 WLT195382:WLT195471 WBX195382:WBX195471 VSB195382:VSB195471 VIF195382:VIF195471 UYJ195382:UYJ195471 UON195382:UON195471 UER195382:UER195471 TUV195382:TUV195471 TKZ195382:TKZ195471 TBD195382:TBD195471 SRH195382:SRH195471 SHL195382:SHL195471 RXP195382:RXP195471 RNT195382:RNT195471 RDX195382:RDX195471 QUB195382:QUB195471 QKF195382:QKF195471 QAJ195382:QAJ195471 PQN195382:PQN195471 PGR195382:PGR195471 OWV195382:OWV195471 OMZ195382:OMZ195471 ODD195382:ODD195471 NTH195382:NTH195471 NJL195382:NJL195471 MZP195382:MZP195471 MPT195382:MPT195471 MFX195382:MFX195471 LWB195382:LWB195471 LMF195382:LMF195471 LCJ195382:LCJ195471 KSN195382:KSN195471 KIR195382:KIR195471 JYV195382:JYV195471 JOZ195382:JOZ195471 JFD195382:JFD195471 IVH195382:IVH195471 ILL195382:ILL195471 IBP195382:IBP195471 HRT195382:HRT195471 HHX195382:HHX195471 GYB195382:GYB195471 GOF195382:GOF195471 GEJ195382:GEJ195471 FUN195382:FUN195471 FKR195382:FKR195471 FAV195382:FAV195471 EQZ195382:EQZ195471 EHD195382:EHD195471 DXH195382:DXH195471 DNL195382:DNL195471 DDP195382:DDP195471 CTT195382:CTT195471 CJX195382:CJX195471 CAB195382:CAB195471 BQF195382:BQF195471 BGJ195382:BGJ195471 AWN195382:AWN195471 AMR195382:AMR195471 ACV195382:ACV195471 SZ195382:SZ195471 JD195382:JD195471 H195403:H195492 WVP129846:WVP129935 WLT129846:WLT129935 WBX129846:WBX129935 VSB129846:VSB129935 VIF129846:VIF129935 UYJ129846:UYJ129935 UON129846:UON129935 UER129846:UER129935 TUV129846:TUV129935 TKZ129846:TKZ129935 TBD129846:TBD129935 SRH129846:SRH129935 SHL129846:SHL129935 RXP129846:RXP129935 RNT129846:RNT129935 RDX129846:RDX129935 QUB129846:QUB129935 QKF129846:QKF129935 QAJ129846:QAJ129935 PQN129846:PQN129935 PGR129846:PGR129935 OWV129846:OWV129935 OMZ129846:OMZ129935 ODD129846:ODD129935 NTH129846:NTH129935 NJL129846:NJL129935 MZP129846:MZP129935 MPT129846:MPT129935 MFX129846:MFX129935 LWB129846:LWB129935 LMF129846:LMF129935 LCJ129846:LCJ129935 KSN129846:KSN129935 KIR129846:KIR129935 JYV129846:JYV129935 JOZ129846:JOZ129935 JFD129846:JFD129935 IVH129846:IVH129935 ILL129846:ILL129935 IBP129846:IBP129935 HRT129846:HRT129935 HHX129846:HHX129935 GYB129846:GYB129935 GOF129846:GOF129935 GEJ129846:GEJ129935 FUN129846:FUN129935 FKR129846:FKR129935 FAV129846:FAV129935 EQZ129846:EQZ129935 EHD129846:EHD129935 DXH129846:DXH129935 DNL129846:DNL129935 DDP129846:DDP129935 CTT129846:CTT129935 CJX129846:CJX129935 CAB129846:CAB129935 BQF129846:BQF129935 BGJ129846:BGJ129935 AWN129846:AWN129935 AMR129846:AMR129935 ACV129846:ACV129935 SZ129846:SZ129935 JD129846:JD129935 H129867:H129956 WVP64310:WVP64399 WLT64310:WLT64399 WBX64310:WBX64399 VSB64310:VSB64399 VIF64310:VIF64399 UYJ64310:UYJ64399 UON64310:UON64399 UER64310:UER64399 TUV64310:TUV64399 TKZ64310:TKZ64399 TBD64310:TBD64399 SRH64310:SRH64399 SHL64310:SHL64399 RXP64310:RXP64399 RNT64310:RNT64399 RDX64310:RDX64399 QUB64310:QUB64399 QKF64310:QKF64399 QAJ64310:QAJ64399 PQN64310:PQN64399 PGR64310:PGR64399 OWV64310:OWV64399 OMZ64310:OMZ64399 ODD64310:ODD64399 NTH64310:NTH64399 NJL64310:NJL64399 MZP64310:MZP64399 MPT64310:MPT64399 MFX64310:MFX64399 LWB64310:LWB64399 LMF64310:LMF64399 LCJ64310:LCJ64399 KSN64310:KSN64399 KIR64310:KIR64399 JYV64310:JYV64399 JOZ64310:JOZ64399 JFD64310:JFD64399 IVH64310:IVH64399 ILL64310:ILL64399 IBP64310:IBP64399 HRT64310:HRT64399 HHX64310:HHX64399 GYB64310:GYB64399 GOF64310:GOF64399 GEJ64310:GEJ64399 FUN64310:FUN64399 FKR64310:FKR64399 FAV64310:FAV64399 EQZ64310:EQZ64399 EHD64310:EHD64399 DXH64310:DXH64399 DNL64310:DNL64399 DDP64310:DDP64399 CTT64310:CTT64399 CJX64310:CJX64399 CAB64310:CAB64399 BQF64310:BQF64399 BGJ64310:BGJ64399 AWN64310:AWN64399 AMR64310:AMR64399 ACV64310:ACV64399 SZ64310:SZ64399 JD64310:JD64399 H64331:H64420 JD2:JD82 SZ2:SZ82 ACV2:ACV82 AMR2:AMR82 AWN2:AWN82 BGJ2:BGJ82 BQF2:BQF82 CAB2:CAB82 CJX2:CJX82 CTT2:CTT82 DDP2:DDP82 DNL2:DNL82 DXH2:DXH82 EHD2:EHD82 EQZ2:EQZ82 FAV2:FAV82 FKR2:FKR82 FUN2:FUN82 GEJ2:GEJ82 GOF2:GOF82 GYB2:GYB82 HHX2:HHX82 HRT2:HRT82 IBP2:IBP82 ILL2:ILL82 IVH2:IVH82 JFD2:JFD82 JOZ2:JOZ82 JYV2:JYV82 KIR2:KIR82 KSN2:KSN82 LCJ2:LCJ82 LMF2:LMF82 LWB2:LWB82 MFX2:MFX82 MPT2:MPT82 MZP2:MZP82 NJL2:NJL82 NTH2:NTH82 ODD2:ODD82 OMZ2:OMZ82 OWV2:OWV82 PGR2:PGR82 PQN2:PQN82 QAJ2:QAJ82 QKF2:QKF82 QUB2:QUB82 RDX2:RDX82 RNT2:RNT82 RXP2:RXP82 SHL2:SHL82 SRH2:SRH82 TBD2:TBD82 TKZ2:TKZ82 TUV2:TUV82 UER2:UER82 UON2:UON82 UYJ2:UYJ82 VIF2:VIF82 VSB2:VSB82 WBX2:WBX82 WLT2:WLT82 WVP2:WVP82" xr:uid="{D464F847-EB03-4594-BA0B-3A401F6ADA27}">
      <formula1>$AL$8:$AL$13</formula1>
    </dataValidation>
    <dataValidation type="list" allowBlank="1" showInputMessage="1" showErrorMessage="1" sqref="WVQ981814:WVQ981897 WLU981814:WLU981897 WBY981814:WBY981897 VSC981814:VSC981897 VIG981814:VIG981897 UYK981814:UYK981897 UOO981814:UOO981897 UES981814:UES981897 TUW981814:TUW981897 TLA981814:TLA981897 TBE981814:TBE981897 SRI981814:SRI981897 SHM981814:SHM981897 RXQ981814:RXQ981897 RNU981814:RNU981897 RDY981814:RDY981897 QUC981814:QUC981897 QKG981814:QKG981897 QAK981814:QAK981897 PQO981814:PQO981897 PGS981814:PGS981897 OWW981814:OWW981897 ONA981814:ONA981897 ODE981814:ODE981897 NTI981814:NTI981897 NJM981814:NJM981897 MZQ981814:MZQ981897 MPU981814:MPU981897 MFY981814:MFY981897 LWC981814:LWC981897 LMG981814:LMG981897 LCK981814:LCK981897 KSO981814:KSO981897 KIS981814:KIS981897 JYW981814:JYW981897 JPA981814:JPA981897 JFE981814:JFE981897 IVI981814:IVI981897 ILM981814:ILM981897 IBQ981814:IBQ981897 HRU981814:HRU981897 HHY981814:HHY981897 GYC981814:GYC981897 GOG981814:GOG981897 GEK981814:GEK981897 FUO981814:FUO981897 FKS981814:FKS981897 FAW981814:FAW981897 ERA981814:ERA981897 EHE981814:EHE981897 DXI981814:DXI981897 DNM981814:DNM981897 DDQ981814:DDQ981897 CTU981814:CTU981897 CJY981814:CJY981897 CAC981814:CAC981897 BQG981814:BQG981897 BGK981814:BGK981897 AWO981814:AWO981897 AMS981814:AMS981897 ACW981814:ACW981897 TA981814:TA981897 JE981814:JE981897 I981835:I981918 WVQ916278:WVQ916361 WLU916278:WLU916361 WBY916278:WBY916361 VSC916278:VSC916361 VIG916278:VIG916361 UYK916278:UYK916361 UOO916278:UOO916361 UES916278:UES916361 TUW916278:TUW916361 TLA916278:TLA916361 TBE916278:TBE916361 SRI916278:SRI916361 SHM916278:SHM916361 RXQ916278:RXQ916361 RNU916278:RNU916361 RDY916278:RDY916361 QUC916278:QUC916361 QKG916278:QKG916361 QAK916278:QAK916361 PQO916278:PQO916361 PGS916278:PGS916361 OWW916278:OWW916361 ONA916278:ONA916361 ODE916278:ODE916361 NTI916278:NTI916361 NJM916278:NJM916361 MZQ916278:MZQ916361 MPU916278:MPU916361 MFY916278:MFY916361 LWC916278:LWC916361 LMG916278:LMG916361 LCK916278:LCK916361 KSO916278:KSO916361 KIS916278:KIS916361 JYW916278:JYW916361 JPA916278:JPA916361 JFE916278:JFE916361 IVI916278:IVI916361 ILM916278:ILM916361 IBQ916278:IBQ916361 HRU916278:HRU916361 HHY916278:HHY916361 GYC916278:GYC916361 GOG916278:GOG916361 GEK916278:GEK916361 FUO916278:FUO916361 FKS916278:FKS916361 FAW916278:FAW916361 ERA916278:ERA916361 EHE916278:EHE916361 DXI916278:DXI916361 DNM916278:DNM916361 DDQ916278:DDQ916361 CTU916278:CTU916361 CJY916278:CJY916361 CAC916278:CAC916361 BQG916278:BQG916361 BGK916278:BGK916361 AWO916278:AWO916361 AMS916278:AMS916361 ACW916278:ACW916361 TA916278:TA916361 JE916278:JE916361 I916299:I916382 WVQ850742:WVQ850825 WLU850742:WLU850825 WBY850742:WBY850825 VSC850742:VSC850825 VIG850742:VIG850825 UYK850742:UYK850825 UOO850742:UOO850825 UES850742:UES850825 TUW850742:TUW850825 TLA850742:TLA850825 TBE850742:TBE850825 SRI850742:SRI850825 SHM850742:SHM850825 RXQ850742:RXQ850825 RNU850742:RNU850825 RDY850742:RDY850825 QUC850742:QUC850825 QKG850742:QKG850825 QAK850742:QAK850825 PQO850742:PQO850825 PGS850742:PGS850825 OWW850742:OWW850825 ONA850742:ONA850825 ODE850742:ODE850825 NTI850742:NTI850825 NJM850742:NJM850825 MZQ850742:MZQ850825 MPU850742:MPU850825 MFY850742:MFY850825 LWC850742:LWC850825 LMG850742:LMG850825 LCK850742:LCK850825 KSO850742:KSO850825 KIS850742:KIS850825 JYW850742:JYW850825 JPA850742:JPA850825 JFE850742:JFE850825 IVI850742:IVI850825 ILM850742:ILM850825 IBQ850742:IBQ850825 HRU850742:HRU850825 HHY850742:HHY850825 GYC850742:GYC850825 GOG850742:GOG850825 GEK850742:GEK850825 FUO850742:FUO850825 FKS850742:FKS850825 FAW850742:FAW850825 ERA850742:ERA850825 EHE850742:EHE850825 DXI850742:DXI850825 DNM850742:DNM850825 DDQ850742:DDQ850825 CTU850742:CTU850825 CJY850742:CJY850825 CAC850742:CAC850825 BQG850742:BQG850825 BGK850742:BGK850825 AWO850742:AWO850825 AMS850742:AMS850825 ACW850742:ACW850825 TA850742:TA850825 JE850742:JE850825 I850763:I850846 WVQ785206:WVQ785289 WLU785206:WLU785289 WBY785206:WBY785289 VSC785206:VSC785289 VIG785206:VIG785289 UYK785206:UYK785289 UOO785206:UOO785289 UES785206:UES785289 TUW785206:TUW785289 TLA785206:TLA785289 TBE785206:TBE785289 SRI785206:SRI785289 SHM785206:SHM785289 RXQ785206:RXQ785289 RNU785206:RNU785289 RDY785206:RDY785289 QUC785206:QUC785289 QKG785206:QKG785289 QAK785206:QAK785289 PQO785206:PQO785289 PGS785206:PGS785289 OWW785206:OWW785289 ONA785206:ONA785289 ODE785206:ODE785289 NTI785206:NTI785289 NJM785206:NJM785289 MZQ785206:MZQ785289 MPU785206:MPU785289 MFY785206:MFY785289 LWC785206:LWC785289 LMG785206:LMG785289 LCK785206:LCK785289 KSO785206:KSO785289 KIS785206:KIS785289 JYW785206:JYW785289 JPA785206:JPA785289 JFE785206:JFE785289 IVI785206:IVI785289 ILM785206:ILM785289 IBQ785206:IBQ785289 HRU785206:HRU785289 HHY785206:HHY785289 GYC785206:GYC785289 GOG785206:GOG785289 GEK785206:GEK785289 FUO785206:FUO785289 FKS785206:FKS785289 FAW785206:FAW785289 ERA785206:ERA785289 EHE785206:EHE785289 DXI785206:DXI785289 DNM785206:DNM785289 DDQ785206:DDQ785289 CTU785206:CTU785289 CJY785206:CJY785289 CAC785206:CAC785289 BQG785206:BQG785289 BGK785206:BGK785289 AWO785206:AWO785289 AMS785206:AMS785289 ACW785206:ACW785289 TA785206:TA785289 JE785206:JE785289 I785227:I785310 WVQ719670:WVQ719753 WLU719670:WLU719753 WBY719670:WBY719753 VSC719670:VSC719753 VIG719670:VIG719753 UYK719670:UYK719753 UOO719670:UOO719753 UES719670:UES719753 TUW719670:TUW719753 TLA719670:TLA719753 TBE719670:TBE719753 SRI719670:SRI719753 SHM719670:SHM719753 RXQ719670:RXQ719753 RNU719670:RNU719753 RDY719670:RDY719753 QUC719670:QUC719753 QKG719670:QKG719753 QAK719670:QAK719753 PQO719670:PQO719753 PGS719670:PGS719753 OWW719670:OWW719753 ONA719670:ONA719753 ODE719670:ODE719753 NTI719670:NTI719753 NJM719670:NJM719753 MZQ719670:MZQ719753 MPU719670:MPU719753 MFY719670:MFY719753 LWC719670:LWC719753 LMG719670:LMG719753 LCK719670:LCK719753 KSO719670:KSO719753 KIS719670:KIS719753 JYW719670:JYW719753 JPA719670:JPA719753 JFE719670:JFE719753 IVI719670:IVI719753 ILM719670:ILM719753 IBQ719670:IBQ719753 HRU719670:HRU719753 HHY719670:HHY719753 GYC719670:GYC719753 GOG719670:GOG719753 GEK719670:GEK719753 FUO719670:FUO719753 FKS719670:FKS719753 FAW719670:FAW719753 ERA719670:ERA719753 EHE719670:EHE719753 DXI719670:DXI719753 DNM719670:DNM719753 DDQ719670:DDQ719753 CTU719670:CTU719753 CJY719670:CJY719753 CAC719670:CAC719753 BQG719670:BQG719753 BGK719670:BGK719753 AWO719670:AWO719753 AMS719670:AMS719753 ACW719670:ACW719753 TA719670:TA719753 JE719670:JE719753 I719691:I719774 WVQ654134:WVQ654217 WLU654134:WLU654217 WBY654134:WBY654217 VSC654134:VSC654217 VIG654134:VIG654217 UYK654134:UYK654217 UOO654134:UOO654217 UES654134:UES654217 TUW654134:TUW654217 TLA654134:TLA654217 TBE654134:TBE654217 SRI654134:SRI654217 SHM654134:SHM654217 RXQ654134:RXQ654217 RNU654134:RNU654217 RDY654134:RDY654217 QUC654134:QUC654217 QKG654134:QKG654217 QAK654134:QAK654217 PQO654134:PQO654217 PGS654134:PGS654217 OWW654134:OWW654217 ONA654134:ONA654217 ODE654134:ODE654217 NTI654134:NTI654217 NJM654134:NJM654217 MZQ654134:MZQ654217 MPU654134:MPU654217 MFY654134:MFY654217 LWC654134:LWC654217 LMG654134:LMG654217 LCK654134:LCK654217 KSO654134:KSO654217 KIS654134:KIS654217 JYW654134:JYW654217 JPA654134:JPA654217 JFE654134:JFE654217 IVI654134:IVI654217 ILM654134:ILM654217 IBQ654134:IBQ654217 HRU654134:HRU654217 HHY654134:HHY654217 GYC654134:GYC654217 GOG654134:GOG654217 GEK654134:GEK654217 FUO654134:FUO654217 FKS654134:FKS654217 FAW654134:FAW654217 ERA654134:ERA654217 EHE654134:EHE654217 DXI654134:DXI654217 DNM654134:DNM654217 DDQ654134:DDQ654217 CTU654134:CTU654217 CJY654134:CJY654217 CAC654134:CAC654217 BQG654134:BQG654217 BGK654134:BGK654217 AWO654134:AWO654217 AMS654134:AMS654217 ACW654134:ACW654217 TA654134:TA654217 JE654134:JE654217 I654155:I654238 WVQ588598:WVQ588681 WLU588598:WLU588681 WBY588598:WBY588681 VSC588598:VSC588681 VIG588598:VIG588681 UYK588598:UYK588681 UOO588598:UOO588681 UES588598:UES588681 TUW588598:TUW588681 TLA588598:TLA588681 TBE588598:TBE588681 SRI588598:SRI588681 SHM588598:SHM588681 RXQ588598:RXQ588681 RNU588598:RNU588681 RDY588598:RDY588681 QUC588598:QUC588681 QKG588598:QKG588681 QAK588598:QAK588681 PQO588598:PQO588681 PGS588598:PGS588681 OWW588598:OWW588681 ONA588598:ONA588681 ODE588598:ODE588681 NTI588598:NTI588681 NJM588598:NJM588681 MZQ588598:MZQ588681 MPU588598:MPU588681 MFY588598:MFY588681 LWC588598:LWC588681 LMG588598:LMG588681 LCK588598:LCK588681 KSO588598:KSO588681 KIS588598:KIS588681 JYW588598:JYW588681 JPA588598:JPA588681 JFE588598:JFE588681 IVI588598:IVI588681 ILM588598:ILM588681 IBQ588598:IBQ588681 HRU588598:HRU588681 HHY588598:HHY588681 GYC588598:GYC588681 GOG588598:GOG588681 GEK588598:GEK588681 FUO588598:FUO588681 FKS588598:FKS588681 FAW588598:FAW588681 ERA588598:ERA588681 EHE588598:EHE588681 DXI588598:DXI588681 DNM588598:DNM588681 DDQ588598:DDQ588681 CTU588598:CTU588681 CJY588598:CJY588681 CAC588598:CAC588681 BQG588598:BQG588681 BGK588598:BGK588681 AWO588598:AWO588681 AMS588598:AMS588681 ACW588598:ACW588681 TA588598:TA588681 JE588598:JE588681 I588619:I588702 WVQ523062:WVQ523145 WLU523062:WLU523145 WBY523062:WBY523145 VSC523062:VSC523145 VIG523062:VIG523145 UYK523062:UYK523145 UOO523062:UOO523145 UES523062:UES523145 TUW523062:TUW523145 TLA523062:TLA523145 TBE523062:TBE523145 SRI523062:SRI523145 SHM523062:SHM523145 RXQ523062:RXQ523145 RNU523062:RNU523145 RDY523062:RDY523145 QUC523062:QUC523145 QKG523062:QKG523145 QAK523062:QAK523145 PQO523062:PQO523145 PGS523062:PGS523145 OWW523062:OWW523145 ONA523062:ONA523145 ODE523062:ODE523145 NTI523062:NTI523145 NJM523062:NJM523145 MZQ523062:MZQ523145 MPU523062:MPU523145 MFY523062:MFY523145 LWC523062:LWC523145 LMG523062:LMG523145 LCK523062:LCK523145 KSO523062:KSO523145 KIS523062:KIS523145 JYW523062:JYW523145 JPA523062:JPA523145 JFE523062:JFE523145 IVI523062:IVI523145 ILM523062:ILM523145 IBQ523062:IBQ523145 HRU523062:HRU523145 HHY523062:HHY523145 GYC523062:GYC523145 GOG523062:GOG523145 GEK523062:GEK523145 FUO523062:FUO523145 FKS523062:FKS523145 FAW523062:FAW523145 ERA523062:ERA523145 EHE523062:EHE523145 DXI523062:DXI523145 DNM523062:DNM523145 DDQ523062:DDQ523145 CTU523062:CTU523145 CJY523062:CJY523145 CAC523062:CAC523145 BQG523062:BQG523145 BGK523062:BGK523145 AWO523062:AWO523145 AMS523062:AMS523145 ACW523062:ACW523145 TA523062:TA523145 JE523062:JE523145 I523083:I523166 WVQ457526:WVQ457609 WLU457526:WLU457609 WBY457526:WBY457609 VSC457526:VSC457609 VIG457526:VIG457609 UYK457526:UYK457609 UOO457526:UOO457609 UES457526:UES457609 TUW457526:TUW457609 TLA457526:TLA457609 TBE457526:TBE457609 SRI457526:SRI457609 SHM457526:SHM457609 RXQ457526:RXQ457609 RNU457526:RNU457609 RDY457526:RDY457609 QUC457526:QUC457609 QKG457526:QKG457609 QAK457526:QAK457609 PQO457526:PQO457609 PGS457526:PGS457609 OWW457526:OWW457609 ONA457526:ONA457609 ODE457526:ODE457609 NTI457526:NTI457609 NJM457526:NJM457609 MZQ457526:MZQ457609 MPU457526:MPU457609 MFY457526:MFY457609 LWC457526:LWC457609 LMG457526:LMG457609 LCK457526:LCK457609 KSO457526:KSO457609 KIS457526:KIS457609 JYW457526:JYW457609 JPA457526:JPA457609 JFE457526:JFE457609 IVI457526:IVI457609 ILM457526:ILM457609 IBQ457526:IBQ457609 HRU457526:HRU457609 HHY457526:HHY457609 GYC457526:GYC457609 GOG457526:GOG457609 GEK457526:GEK457609 FUO457526:FUO457609 FKS457526:FKS457609 FAW457526:FAW457609 ERA457526:ERA457609 EHE457526:EHE457609 DXI457526:DXI457609 DNM457526:DNM457609 DDQ457526:DDQ457609 CTU457526:CTU457609 CJY457526:CJY457609 CAC457526:CAC457609 BQG457526:BQG457609 BGK457526:BGK457609 AWO457526:AWO457609 AMS457526:AMS457609 ACW457526:ACW457609 TA457526:TA457609 JE457526:JE457609 I457547:I457630 WVQ391990:WVQ392073 WLU391990:WLU392073 WBY391990:WBY392073 VSC391990:VSC392073 VIG391990:VIG392073 UYK391990:UYK392073 UOO391990:UOO392073 UES391990:UES392073 TUW391990:TUW392073 TLA391990:TLA392073 TBE391990:TBE392073 SRI391990:SRI392073 SHM391990:SHM392073 RXQ391990:RXQ392073 RNU391990:RNU392073 RDY391990:RDY392073 QUC391990:QUC392073 QKG391990:QKG392073 QAK391990:QAK392073 PQO391990:PQO392073 PGS391990:PGS392073 OWW391990:OWW392073 ONA391990:ONA392073 ODE391990:ODE392073 NTI391990:NTI392073 NJM391990:NJM392073 MZQ391990:MZQ392073 MPU391990:MPU392073 MFY391990:MFY392073 LWC391990:LWC392073 LMG391990:LMG392073 LCK391990:LCK392073 KSO391990:KSO392073 KIS391990:KIS392073 JYW391990:JYW392073 JPA391990:JPA392073 JFE391990:JFE392073 IVI391990:IVI392073 ILM391990:ILM392073 IBQ391990:IBQ392073 HRU391990:HRU392073 HHY391990:HHY392073 GYC391990:GYC392073 GOG391990:GOG392073 GEK391990:GEK392073 FUO391990:FUO392073 FKS391990:FKS392073 FAW391990:FAW392073 ERA391990:ERA392073 EHE391990:EHE392073 DXI391990:DXI392073 DNM391990:DNM392073 DDQ391990:DDQ392073 CTU391990:CTU392073 CJY391990:CJY392073 CAC391990:CAC392073 BQG391990:BQG392073 BGK391990:BGK392073 AWO391990:AWO392073 AMS391990:AMS392073 ACW391990:ACW392073 TA391990:TA392073 JE391990:JE392073 I392011:I392094 WVQ326454:WVQ326537 WLU326454:WLU326537 WBY326454:WBY326537 VSC326454:VSC326537 VIG326454:VIG326537 UYK326454:UYK326537 UOO326454:UOO326537 UES326454:UES326537 TUW326454:TUW326537 TLA326454:TLA326537 TBE326454:TBE326537 SRI326454:SRI326537 SHM326454:SHM326537 RXQ326454:RXQ326537 RNU326454:RNU326537 RDY326454:RDY326537 QUC326454:QUC326537 QKG326454:QKG326537 QAK326454:QAK326537 PQO326454:PQO326537 PGS326454:PGS326537 OWW326454:OWW326537 ONA326454:ONA326537 ODE326454:ODE326537 NTI326454:NTI326537 NJM326454:NJM326537 MZQ326454:MZQ326537 MPU326454:MPU326537 MFY326454:MFY326537 LWC326454:LWC326537 LMG326454:LMG326537 LCK326454:LCK326537 KSO326454:KSO326537 KIS326454:KIS326537 JYW326454:JYW326537 JPA326454:JPA326537 JFE326454:JFE326537 IVI326454:IVI326537 ILM326454:ILM326537 IBQ326454:IBQ326537 HRU326454:HRU326537 HHY326454:HHY326537 GYC326454:GYC326537 GOG326454:GOG326537 GEK326454:GEK326537 FUO326454:FUO326537 FKS326454:FKS326537 FAW326454:FAW326537 ERA326454:ERA326537 EHE326454:EHE326537 DXI326454:DXI326537 DNM326454:DNM326537 DDQ326454:DDQ326537 CTU326454:CTU326537 CJY326454:CJY326537 CAC326454:CAC326537 BQG326454:BQG326537 BGK326454:BGK326537 AWO326454:AWO326537 AMS326454:AMS326537 ACW326454:ACW326537 TA326454:TA326537 JE326454:JE326537 I326475:I326558 WVQ260918:WVQ261001 WLU260918:WLU261001 WBY260918:WBY261001 VSC260918:VSC261001 VIG260918:VIG261001 UYK260918:UYK261001 UOO260918:UOO261001 UES260918:UES261001 TUW260918:TUW261001 TLA260918:TLA261001 TBE260918:TBE261001 SRI260918:SRI261001 SHM260918:SHM261001 RXQ260918:RXQ261001 RNU260918:RNU261001 RDY260918:RDY261001 QUC260918:QUC261001 QKG260918:QKG261001 QAK260918:QAK261001 PQO260918:PQO261001 PGS260918:PGS261001 OWW260918:OWW261001 ONA260918:ONA261001 ODE260918:ODE261001 NTI260918:NTI261001 NJM260918:NJM261001 MZQ260918:MZQ261001 MPU260918:MPU261001 MFY260918:MFY261001 LWC260918:LWC261001 LMG260918:LMG261001 LCK260918:LCK261001 KSO260918:KSO261001 KIS260918:KIS261001 JYW260918:JYW261001 JPA260918:JPA261001 JFE260918:JFE261001 IVI260918:IVI261001 ILM260918:ILM261001 IBQ260918:IBQ261001 HRU260918:HRU261001 HHY260918:HHY261001 GYC260918:GYC261001 GOG260918:GOG261001 GEK260918:GEK261001 FUO260918:FUO261001 FKS260918:FKS261001 FAW260918:FAW261001 ERA260918:ERA261001 EHE260918:EHE261001 DXI260918:DXI261001 DNM260918:DNM261001 DDQ260918:DDQ261001 CTU260918:CTU261001 CJY260918:CJY261001 CAC260918:CAC261001 BQG260918:BQG261001 BGK260918:BGK261001 AWO260918:AWO261001 AMS260918:AMS261001 ACW260918:ACW261001 TA260918:TA261001 JE260918:JE261001 I260939:I261022 WVQ195382:WVQ195465 WLU195382:WLU195465 WBY195382:WBY195465 VSC195382:VSC195465 VIG195382:VIG195465 UYK195382:UYK195465 UOO195382:UOO195465 UES195382:UES195465 TUW195382:TUW195465 TLA195382:TLA195465 TBE195382:TBE195465 SRI195382:SRI195465 SHM195382:SHM195465 RXQ195382:RXQ195465 RNU195382:RNU195465 RDY195382:RDY195465 QUC195382:QUC195465 QKG195382:QKG195465 QAK195382:QAK195465 PQO195382:PQO195465 PGS195382:PGS195465 OWW195382:OWW195465 ONA195382:ONA195465 ODE195382:ODE195465 NTI195382:NTI195465 NJM195382:NJM195465 MZQ195382:MZQ195465 MPU195382:MPU195465 MFY195382:MFY195465 LWC195382:LWC195465 LMG195382:LMG195465 LCK195382:LCK195465 KSO195382:KSO195465 KIS195382:KIS195465 JYW195382:JYW195465 JPA195382:JPA195465 JFE195382:JFE195465 IVI195382:IVI195465 ILM195382:ILM195465 IBQ195382:IBQ195465 HRU195382:HRU195465 HHY195382:HHY195465 GYC195382:GYC195465 GOG195382:GOG195465 GEK195382:GEK195465 FUO195382:FUO195465 FKS195382:FKS195465 FAW195382:FAW195465 ERA195382:ERA195465 EHE195382:EHE195465 DXI195382:DXI195465 DNM195382:DNM195465 DDQ195382:DDQ195465 CTU195382:CTU195465 CJY195382:CJY195465 CAC195382:CAC195465 BQG195382:BQG195465 BGK195382:BGK195465 AWO195382:AWO195465 AMS195382:AMS195465 ACW195382:ACW195465 TA195382:TA195465 JE195382:JE195465 I195403:I195486 WVQ129846:WVQ129929 WLU129846:WLU129929 WBY129846:WBY129929 VSC129846:VSC129929 VIG129846:VIG129929 UYK129846:UYK129929 UOO129846:UOO129929 UES129846:UES129929 TUW129846:TUW129929 TLA129846:TLA129929 TBE129846:TBE129929 SRI129846:SRI129929 SHM129846:SHM129929 RXQ129846:RXQ129929 RNU129846:RNU129929 RDY129846:RDY129929 QUC129846:QUC129929 QKG129846:QKG129929 QAK129846:QAK129929 PQO129846:PQO129929 PGS129846:PGS129929 OWW129846:OWW129929 ONA129846:ONA129929 ODE129846:ODE129929 NTI129846:NTI129929 NJM129846:NJM129929 MZQ129846:MZQ129929 MPU129846:MPU129929 MFY129846:MFY129929 LWC129846:LWC129929 LMG129846:LMG129929 LCK129846:LCK129929 KSO129846:KSO129929 KIS129846:KIS129929 JYW129846:JYW129929 JPA129846:JPA129929 JFE129846:JFE129929 IVI129846:IVI129929 ILM129846:ILM129929 IBQ129846:IBQ129929 HRU129846:HRU129929 HHY129846:HHY129929 GYC129846:GYC129929 GOG129846:GOG129929 GEK129846:GEK129929 FUO129846:FUO129929 FKS129846:FKS129929 FAW129846:FAW129929 ERA129846:ERA129929 EHE129846:EHE129929 DXI129846:DXI129929 DNM129846:DNM129929 DDQ129846:DDQ129929 CTU129846:CTU129929 CJY129846:CJY129929 CAC129846:CAC129929 BQG129846:BQG129929 BGK129846:BGK129929 AWO129846:AWO129929 AMS129846:AMS129929 ACW129846:ACW129929 TA129846:TA129929 JE129846:JE129929 I129867:I129950 WVQ64310:WVQ64393 WLU64310:WLU64393 WBY64310:WBY64393 VSC64310:VSC64393 VIG64310:VIG64393 UYK64310:UYK64393 UOO64310:UOO64393 UES64310:UES64393 TUW64310:TUW64393 TLA64310:TLA64393 TBE64310:TBE64393 SRI64310:SRI64393 SHM64310:SHM64393 RXQ64310:RXQ64393 RNU64310:RNU64393 RDY64310:RDY64393 QUC64310:QUC64393 QKG64310:QKG64393 QAK64310:QAK64393 PQO64310:PQO64393 PGS64310:PGS64393 OWW64310:OWW64393 ONA64310:ONA64393 ODE64310:ODE64393 NTI64310:NTI64393 NJM64310:NJM64393 MZQ64310:MZQ64393 MPU64310:MPU64393 MFY64310:MFY64393 LWC64310:LWC64393 LMG64310:LMG64393 LCK64310:LCK64393 KSO64310:KSO64393 KIS64310:KIS64393 JYW64310:JYW64393 JPA64310:JPA64393 JFE64310:JFE64393 IVI64310:IVI64393 ILM64310:ILM64393 IBQ64310:IBQ64393 HRU64310:HRU64393 HHY64310:HHY64393 GYC64310:GYC64393 GOG64310:GOG64393 GEK64310:GEK64393 FUO64310:FUO64393 FKS64310:FKS64393 FAW64310:FAW64393 ERA64310:ERA64393 EHE64310:EHE64393 DXI64310:DXI64393 DNM64310:DNM64393 DDQ64310:DDQ64393 CTU64310:CTU64393 CJY64310:CJY64393 CAC64310:CAC64393 BQG64310:BQG64393 BGK64310:BGK64393 AWO64310:AWO64393 AMS64310:AMS64393 ACW64310:ACW64393 TA64310:TA64393 JE64310:JE64393 I64331:I64414 I105:I509 I2:I103 TA2:TA82 ACW2:ACW82 AMS2:AMS82 AWO2:AWO82 BGK2:BGK82 BQG2:BQG82 CAC2:CAC82 CJY2:CJY82 CTU2:CTU82 DDQ2:DDQ82 DNM2:DNM82 DXI2:DXI82 EHE2:EHE82 ERA2:ERA82 FAW2:FAW82 FKS2:FKS82 FUO2:FUO82 GEK2:GEK82 GOG2:GOG82 GYC2:GYC82 HHY2:HHY82 HRU2:HRU82 IBQ2:IBQ82 ILM2:ILM82 IVI2:IVI82 JFE2:JFE82 JPA2:JPA82 JYW2:JYW82 KIS2:KIS82 KSO2:KSO82 LCK2:LCK82 LMG2:LMG82 LWC2:LWC82 MFY2:MFY82 MPU2:MPU82 MZQ2:MZQ82 NJM2:NJM82 NTI2:NTI82 ODE2:ODE82 ONA2:ONA82 OWW2:OWW82 PGS2:PGS82 PQO2:PQO82 QAK2:QAK82 QKG2:QKG82 QUC2:QUC82 RDY2:RDY82 RNU2:RNU82 RXQ2:RXQ82 SHM2:SHM82 SRI2:SRI82 TBE2:TBE82 TLA2:TLA82 TUW2:TUW82 UES2:UES82 UOO2:UOO82 UYK2:UYK82 VIG2:VIG82 VSC2:VSC82 WBY2:WBY82 WLU2:WLU82 WVQ2:WVQ82 JE2:JE82" xr:uid="{40F27D16-8696-480C-80CF-97B36BE2403F}">
      <formula1>$AN$5:$AN$6</formula1>
    </dataValidation>
    <dataValidation type="list" allowBlank="1" showInputMessage="1" showErrorMessage="1" sqref="WWG981814:WWI981897 WCO981814:WCQ981897 WMK981814:WMM981897 Y64310:AA64393 JU64310:JW64393 TQ64310:TS64393 ADM64310:ADO64393 ANI64310:ANK64393 AXE64310:AXG64393 BHA64310:BHC64393 BQW64310:BQY64393 CAS64310:CAU64393 CKO64310:CKQ64393 CUK64310:CUM64393 DEG64310:DEI64393 DOC64310:DOE64393 DXY64310:DYA64393 EHU64310:EHW64393 ERQ64310:ERS64393 FBM64310:FBO64393 FLI64310:FLK64393 FVE64310:FVG64393 GFA64310:GFC64393 GOW64310:GOY64393 GYS64310:GYU64393 HIO64310:HIQ64393 HSK64310:HSM64393 ICG64310:ICI64393 IMC64310:IME64393 IVY64310:IWA64393 JFU64310:JFW64393 JPQ64310:JPS64393 JZM64310:JZO64393 KJI64310:KJK64393 KTE64310:KTG64393 LDA64310:LDC64393 LMW64310:LMY64393 LWS64310:LWU64393 MGO64310:MGQ64393 MQK64310:MQM64393 NAG64310:NAI64393 NKC64310:NKE64393 NTY64310:NUA64393 ODU64310:ODW64393 ONQ64310:ONS64393 OXM64310:OXO64393 PHI64310:PHK64393 PRE64310:PRG64393 QBA64310:QBC64393 QKW64310:QKY64393 QUS64310:QUU64393 REO64310:REQ64393 ROK64310:ROM64393 RYG64310:RYI64393 SIC64310:SIE64393 SRY64310:SSA64393 TBU64310:TBW64393 TLQ64310:TLS64393 TVM64310:TVO64393 UFI64310:UFK64393 UPE64310:UPG64393 UZA64310:UZC64393 VIW64310:VIY64393 VSS64310:VSU64393 WCO64310:WCQ64393 WMK64310:WMM64393 WWG64310:WWI64393 Y129846:AA129929 JU129846:JW129929 TQ129846:TS129929 ADM129846:ADO129929 ANI129846:ANK129929 AXE129846:AXG129929 BHA129846:BHC129929 BQW129846:BQY129929 CAS129846:CAU129929 CKO129846:CKQ129929 CUK129846:CUM129929 DEG129846:DEI129929 DOC129846:DOE129929 DXY129846:DYA129929 EHU129846:EHW129929 ERQ129846:ERS129929 FBM129846:FBO129929 FLI129846:FLK129929 FVE129846:FVG129929 GFA129846:GFC129929 GOW129846:GOY129929 GYS129846:GYU129929 HIO129846:HIQ129929 HSK129846:HSM129929 ICG129846:ICI129929 IMC129846:IME129929 IVY129846:IWA129929 JFU129846:JFW129929 JPQ129846:JPS129929 JZM129846:JZO129929 KJI129846:KJK129929 KTE129846:KTG129929 LDA129846:LDC129929 LMW129846:LMY129929 LWS129846:LWU129929 MGO129846:MGQ129929 MQK129846:MQM129929 NAG129846:NAI129929 NKC129846:NKE129929 NTY129846:NUA129929 ODU129846:ODW129929 ONQ129846:ONS129929 OXM129846:OXO129929 PHI129846:PHK129929 PRE129846:PRG129929 QBA129846:QBC129929 QKW129846:QKY129929 QUS129846:QUU129929 REO129846:REQ129929 ROK129846:ROM129929 RYG129846:RYI129929 SIC129846:SIE129929 SRY129846:SSA129929 TBU129846:TBW129929 TLQ129846:TLS129929 TVM129846:TVO129929 UFI129846:UFK129929 UPE129846:UPG129929 UZA129846:UZC129929 VIW129846:VIY129929 VSS129846:VSU129929 WCO129846:WCQ129929 WMK129846:WMM129929 WWG129846:WWI129929 Y195382:AA195465 JU195382:JW195465 TQ195382:TS195465 ADM195382:ADO195465 ANI195382:ANK195465 AXE195382:AXG195465 BHA195382:BHC195465 BQW195382:BQY195465 CAS195382:CAU195465 CKO195382:CKQ195465 CUK195382:CUM195465 DEG195382:DEI195465 DOC195382:DOE195465 DXY195382:DYA195465 EHU195382:EHW195465 ERQ195382:ERS195465 FBM195382:FBO195465 FLI195382:FLK195465 FVE195382:FVG195465 GFA195382:GFC195465 GOW195382:GOY195465 GYS195382:GYU195465 HIO195382:HIQ195465 HSK195382:HSM195465 ICG195382:ICI195465 IMC195382:IME195465 IVY195382:IWA195465 JFU195382:JFW195465 JPQ195382:JPS195465 JZM195382:JZO195465 KJI195382:KJK195465 KTE195382:KTG195465 LDA195382:LDC195465 LMW195382:LMY195465 LWS195382:LWU195465 MGO195382:MGQ195465 MQK195382:MQM195465 NAG195382:NAI195465 NKC195382:NKE195465 NTY195382:NUA195465 ODU195382:ODW195465 ONQ195382:ONS195465 OXM195382:OXO195465 PHI195382:PHK195465 PRE195382:PRG195465 QBA195382:QBC195465 QKW195382:QKY195465 QUS195382:QUU195465 REO195382:REQ195465 ROK195382:ROM195465 RYG195382:RYI195465 SIC195382:SIE195465 SRY195382:SSA195465 TBU195382:TBW195465 TLQ195382:TLS195465 TVM195382:TVO195465 UFI195382:UFK195465 UPE195382:UPG195465 UZA195382:UZC195465 VIW195382:VIY195465 VSS195382:VSU195465 WCO195382:WCQ195465 WMK195382:WMM195465 WWG195382:WWI195465 Y260918:AA261001 JU260918:JW261001 TQ260918:TS261001 ADM260918:ADO261001 ANI260918:ANK261001 AXE260918:AXG261001 BHA260918:BHC261001 BQW260918:BQY261001 CAS260918:CAU261001 CKO260918:CKQ261001 CUK260918:CUM261001 DEG260918:DEI261001 DOC260918:DOE261001 DXY260918:DYA261001 EHU260918:EHW261001 ERQ260918:ERS261001 FBM260918:FBO261001 FLI260918:FLK261001 FVE260918:FVG261001 GFA260918:GFC261001 GOW260918:GOY261001 GYS260918:GYU261001 HIO260918:HIQ261001 HSK260918:HSM261001 ICG260918:ICI261001 IMC260918:IME261001 IVY260918:IWA261001 JFU260918:JFW261001 JPQ260918:JPS261001 JZM260918:JZO261001 KJI260918:KJK261001 KTE260918:KTG261001 LDA260918:LDC261001 LMW260918:LMY261001 LWS260918:LWU261001 MGO260918:MGQ261001 MQK260918:MQM261001 NAG260918:NAI261001 NKC260918:NKE261001 NTY260918:NUA261001 ODU260918:ODW261001 ONQ260918:ONS261001 OXM260918:OXO261001 PHI260918:PHK261001 PRE260918:PRG261001 QBA260918:QBC261001 QKW260918:QKY261001 QUS260918:QUU261001 REO260918:REQ261001 ROK260918:ROM261001 RYG260918:RYI261001 SIC260918:SIE261001 SRY260918:SSA261001 TBU260918:TBW261001 TLQ260918:TLS261001 TVM260918:TVO261001 UFI260918:UFK261001 UPE260918:UPG261001 UZA260918:UZC261001 VIW260918:VIY261001 VSS260918:VSU261001 WCO260918:WCQ261001 WMK260918:WMM261001 WWG260918:WWI261001 Y326454:AA326537 JU326454:JW326537 TQ326454:TS326537 ADM326454:ADO326537 ANI326454:ANK326537 AXE326454:AXG326537 BHA326454:BHC326537 BQW326454:BQY326537 CAS326454:CAU326537 CKO326454:CKQ326537 CUK326454:CUM326537 DEG326454:DEI326537 DOC326454:DOE326537 DXY326454:DYA326537 EHU326454:EHW326537 ERQ326454:ERS326537 FBM326454:FBO326537 FLI326454:FLK326537 FVE326454:FVG326537 GFA326454:GFC326537 GOW326454:GOY326537 GYS326454:GYU326537 HIO326454:HIQ326537 HSK326454:HSM326537 ICG326454:ICI326537 IMC326454:IME326537 IVY326454:IWA326537 JFU326454:JFW326537 JPQ326454:JPS326537 JZM326454:JZO326537 KJI326454:KJK326537 KTE326454:KTG326537 LDA326454:LDC326537 LMW326454:LMY326537 LWS326454:LWU326537 MGO326454:MGQ326537 MQK326454:MQM326537 NAG326454:NAI326537 NKC326454:NKE326537 NTY326454:NUA326537 ODU326454:ODW326537 ONQ326454:ONS326537 OXM326454:OXO326537 PHI326454:PHK326537 PRE326454:PRG326537 QBA326454:QBC326537 QKW326454:QKY326537 QUS326454:QUU326537 REO326454:REQ326537 ROK326454:ROM326537 RYG326454:RYI326537 SIC326454:SIE326537 SRY326454:SSA326537 TBU326454:TBW326537 TLQ326454:TLS326537 TVM326454:TVO326537 UFI326454:UFK326537 UPE326454:UPG326537 UZA326454:UZC326537 VIW326454:VIY326537 VSS326454:VSU326537 WCO326454:WCQ326537 WMK326454:WMM326537 WWG326454:WWI326537 Y391990:AA392073 JU391990:JW392073 TQ391990:TS392073 ADM391990:ADO392073 ANI391990:ANK392073 AXE391990:AXG392073 BHA391990:BHC392073 BQW391990:BQY392073 CAS391990:CAU392073 CKO391990:CKQ392073 CUK391990:CUM392073 DEG391990:DEI392073 DOC391990:DOE392073 DXY391990:DYA392073 EHU391990:EHW392073 ERQ391990:ERS392073 FBM391990:FBO392073 FLI391990:FLK392073 FVE391990:FVG392073 GFA391990:GFC392073 GOW391990:GOY392073 GYS391990:GYU392073 HIO391990:HIQ392073 HSK391990:HSM392073 ICG391990:ICI392073 IMC391990:IME392073 IVY391990:IWA392073 JFU391990:JFW392073 JPQ391990:JPS392073 JZM391990:JZO392073 KJI391990:KJK392073 KTE391990:KTG392073 LDA391990:LDC392073 LMW391990:LMY392073 LWS391990:LWU392073 MGO391990:MGQ392073 MQK391990:MQM392073 NAG391990:NAI392073 NKC391990:NKE392073 NTY391990:NUA392073 ODU391990:ODW392073 ONQ391990:ONS392073 OXM391990:OXO392073 PHI391990:PHK392073 PRE391990:PRG392073 QBA391990:QBC392073 QKW391990:QKY392073 QUS391990:QUU392073 REO391990:REQ392073 ROK391990:ROM392073 RYG391990:RYI392073 SIC391990:SIE392073 SRY391990:SSA392073 TBU391990:TBW392073 TLQ391990:TLS392073 TVM391990:TVO392073 UFI391990:UFK392073 UPE391990:UPG392073 UZA391990:UZC392073 VIW391990:VIY392073 VSS391990:VSU392073 WCO391990:WCQ392073 WMK391990:WMM392073 WWG391990:WWI392073 Y457526:AA457609 JU457526:JW457609 TQ457526:TS457609 ADM457526:ADO457609 ANI457526:ANK457609 AXE457526:AXG457609 BHA457526:BHC457609 BQW457526:BQY457609 CAS457526:CAU457609 CKO457526:CKQ457609 CUK457526:CUM457609 DEG457526:DEI457609 DOC457526:DOE457609 DXY457526:DYA457609 EHU457526:EHW457609 ERQ457526:ERS457609 FBM457526:FBO457609 FLI457526:FLK457609 FVE457526:FVG457609 GFA457526:GFC457609 GOW457526:GOY457609 GYS457526:GYU457609 HIO457526:HIQ457609 HSK457526:HSM457609 ICG457526:ICI457609 IMC457526:IME457609 IVY457526:IWA457609 JFU457526:JFW457609 JPQ457526:JPS457609 JZM457526:JZO457609 KJI457526:KJK457609 KTE457526:KTG457609 LDA457526:LDC457609 LMW457526:LMY457609 LWS457526:LWU457609 MGO457526:MGQ457609 MQK457526:MQM457609 NAG457526:NAI457609 NKC457526:NKE457609 NTY457526:NUA457609 ODU457526:ODW457609 ONQ457526:ONS457609 OXM457526:OXO457609 PHI457526:PHK457609 PRE457526:PRG457609 QBA457526:QBC457609 QKW457526:QKY457609 QUS457526:QUU457609 REO457526:REQ457609 ROK457526:ROM457609 RYG457526:RYI457609 SIC457526:SIE457609 SRY457526:SSA457609 TBU457526:TBW457609 TLQ457526:TLS457609 TVM457526:TVO457609 UFI457526:UFK457609 UPE457526:UPG457609 UZA457526:UZC457609 VIW457526:VIY457609 VSS457526:VSU457609 WCO457526:WCQ457609 WMK457526:WMM457609 WWG457526:WWI457609 Y523062:AA523145 JU523062:JW523145 TQ523062:TS523145 ADM523062:ADO523145 ANI523062:ANK523145 AXE523062:AXG523145 BHA523062:BHC523145 BQW523062:BQY523145 CAS523062:CAU523145 CKO523062:CKQ523145 CUK523062:CUM523145 DEG523062:DEI523145 DOC523062:DOE523145 DXY523062:DYA523145 EHU523062:EHW523145 ERQ523062:ERS523145 FBM523062:FBO523145 FLI523062:FLK523145 FVE523062:FVG523145 GFA523062:GFC523145 GOW523062:GOY523145 GYS523062:GYU523145 HIO523062:HIQ523145 HSK523062:HSM523145 ICG523062:ICI523145 IMC523062:IME523145 IVY523062:IWA523145 JFU523062:JFW523145 JPQ523062:JPS523145 JZM523062:JZO523145 KJI523062:KJK523145 KTE523062:KTG523145 LDA523062:LDC523145 LMW523062:LMY523145 LWS523062:LWU523145 MGO523062:MGQ523145 MQK523062:MQM523145 NAG523062:NAI523145 NKC523062:NKE523145 NTY523062:NUA523145 ODU523062:ODW523145 ONQ523062:ONS523145 OXM523062:OXO523145 PHI523062:PHK523145 PRE523062:PRG523145 QBA523062:QBC523145 QKW523062:QKY523145 QUS523062:QUU523145 REO523062:REQ523145 ROK523062:ROM523145 RYG523062:RYI523145 SIC523062:SIE523145 SRY523062:SSA523145 TBU523062:TBW523145 TLQ523062:TLS523145 TVM523062:TVO523145 UFI523062:UFK523145 UPE523062:UPG523145 UZA523062:UZC523145 VIW523062:VIY523145 VSS523062:VSU523145 WCO523062:WCQ523145 WMK523062:WMM523145 WWG523062:WWI523145 Y588598:AA588681 JU588598:JW588681 TQ588598:TS588681 ADM588598:ADO588681 ANI588598:ANK588681 AXE588598:AXG588681 BHA588598:BHC588681 BQW588598:BQY588681 CAS588598:CAU588681 CKO588598:CKQ588681 CUK588598:CUM588681 DEG588598:DEI588681 DOC588598:DOE588681 DXY588598:DYA588681 EHU588598:EHW588681 ERQ588598:ERS588681 FBM588598:FBO588681 FLI588598:FLK588681 FVE588598:FVG588681 GFA588598:GFC588681 GOW588598:GOY588681 GYS588598:GYU588681 HIO588598:HIQ588681 HSK588598:HSM588681 ICG588598:ICI588681 IMC588598:IME588681 IVY588598:IWA588681 JFU588598:JFW588681 JPQ588598:JPS588681 JZM588598:JZO588681 KJI588598:KJK588681 KTE588598:KTG588681 LDA588598:LDC588681 LMW588598:LMY588681 LWS588598:LWU588681 MGO588598:MGQ588681 MQK588598:MQM588681 NAG588598:NAI588681 NKC588598:NKE588681 NTY588598:NUA588681 ODU588598:ODW588681 ONQ588598:ONS588681 OXM588598:OXO588681 PHI588598:PHK588681 PRE588598:PRG588681 QBA588598:QBC588681 QKW588598:QKY588681 QUS588598:QUU588681 REO588598:REQ588681 ROK588598:ROM588681 RYG588598:RYI588681 SIC588598:SIE588681 SRY588598:SSA588681 TBU588598:TBW588681 TLQ588598:TLS588681 TVM588598:TVO588681 UFI588598:UFK588681 UPE588598:UPG588681 UZA588598:UZC588681 VIW588598:VIY588681 VSS588598:VSU588681 WCO588598:WCQ588681 WMK588598:WMM588681 WWG588598:WWI588681 Y654134:AA654217 JU654134:JW654217 TQ654134:TS654217 ADM654134:ADO654217 ANI654134:ANK654217 AXE654134:AXG654217 BHA654134:BHC654217 BQW654134:BQY654217 CAS654134:CAU654217 CKO654134:CKQ654217 CUK654134:CUM654217 DEG654134:DEI654217 DOC654134:DOE654217 DXY654134:DYA654217 EHU654134:EHW654217 ERQ654134:ERS654217 FBM654134:FBO654217 FLI654134:FLK654217 FVE654134:FVG654217 GFA654134:GFC654217 GOW654134:GOY654217 GYS654134:GYU654217 HIO654134:HIQ654217 HSK654134:HSM654217 ICG654134:ICI654217 IMC654134:IME654217 IVY654134:IWA654217 JFU654134:JFW654217 JPQ654134:JPS654217 JZM654134:JZO654217 KJI654134:KJK654217 KTE654134:KTG654217 LDA654134:LDC654217 LMW654134:LMY654217 LWS654134:LWU654217 MGO654134:MGQ654217 MQK654134:MQM654217 NAG654134:NAI654217 NKC654134:NKE654217 NTY654134:NUA654217 ODU654134:ODW654217 ONQ654134:ONS654217 OXM654134:OXO654217 PHI654134:PHK654217 PRE654134:PRG654217 QBA654134:QBC654217 QKW654134:QKY654217 QUS654134:QUU654217 REO654134:REQ654217 ROK654134:ROM654217 RYG654134:RYI654217 SIC654134:SIE654217 SRY654134:SSA654217 TBU654134:TBW654217 TLQ654134:TLS654217 TVM654134:TVO654217 UFI654134:UFK654217 UPE654134:UPG654217 UZA654134:UZC654217 VIW654134:VIY654217 VSS654134:VSU654217 WCO654134:WCQ654217 WMK654134:WMM654217 WWG654134:WWI654217 Y719670:AA719753 JU719670:JW719753 TQ719670:TS719753 ADM719670:ADO719753 ANI719670:ANK719753 AXE719670:AXG719753 BHA719670:BHC719753 BQW719670:BQY719753 CAS719670:CAU719753 CKO719670:CKQ719753 CUK719670:CUM719753 DEG719670:DEI719753 DOC719670:DOE719753 DXY719670:DYA719753 EHU719670:EHW719753 ERQ719670:ERS719753 FBM719670:FBO719753 FLI719670:FLK719753 FVE719670:FVG719753 GFA719670:GFC719753 GOW719670:GOY719753 GYS719670:GYU719753 HIO719670:HIQ719753 HSK719670:HSM719753 ICG719670:ICI719753 IMC719670:IME719753 IVY719670:IWA719753 JFU719670:JFW719753 JPQ719670:JPS719753 JZM719670:JZO719753 KJI719670:KJK719753 KTE719670:KTG719753 LDA719670:LDC719753 LMW719670:LMY719753 LWS719670:LWU719753 MGO719670:MGQ719753 MQK719670:MQM719753 NAG719670:NAI719753 NKC719670:NKE719753 NTY719670:NUA719753 ODU719670:ODW719753 ONQ719670:ONS719753 OXM719670:OXO719753 PHI719670:PHK719753 PRE719670:PRG719753 QBA719670:QBC719753 QKW719670:QKY719753 QUS719670:QUU719753 REO719670:REQ719753 ROK719670:ROM719753 RYG719670:RYI719753 SIC719670:SIE719753 SRY719670:SSA719753 TBU719670:TBW719753 TLQ719670:TLS719753 TVM719670:TVO719753 UFI719670:UFK719753 UPE719670:UPG719753 UZA719670:UZC719753 VIW719670:VIY719753 VSS719670:VSU719753 WCO719670:WCQ719753 WMK719670:WMM719753 WWG719670:WWI719753 Y785206:AA785289 JU785206:JW785289 TQ785206:TS785289 ADM785206:ADO785289 ANI785206:ANK785289 AXE785206:AXG785289 BHA785206:BHC785289 BQW785206:BQY785289 CAS785206:CAU785289 CKO785206:CKQ785289 CUK785206:CUM785289 DEG785206:DEI785289 DOC785206:DOE785289 DXY785206:DYA785289 EHU785206:EHW785289 ERQ785206:ERS785289 FBM785206:FBO785289 FLI785206:FLK785289 FVE785206:FVG785289 GFA785206:GFC785289 GOW785206:GOY785289 GYS785206:GYU785289 HIO785206:HIQ785289 HSK785206:HSM785289 ICG785206:ICI785289 IMC785206:IME785289 IVY785206:IWA785289 JFU785206:JFW785289 JPQ785206:JPS785289 JZM785206:JZO785289 KJI785206:KJK785289 KTE785206:KTG785289 LDA785206:LDC785289 LMW785206:LMY785289 LWS785206:LWU785289 MGO785206:MGQ785289 MQK785206:MQM785289 NAG785206:NAI785289 NKC785206:NKE785289 NTY785206:NUA785289 ODU785206:ODW785289 ONQ785206:ONS785289 OXM785206:OXO785289 PHI785206:PHK785289 PRE785206:PRG785289 QBA785206:QBC785289 QKW785206:QKY785289 QUS785206:QUU785289 REO785206:REQ785289 ROK785206:ROM785289 RYG785206:RYI785289 SIC785206:SIE785289 SRY785206:SSA785289 TBU785206:TBW785289 TLQ785206:TLS785289 TVM785206:TVO785289 UFI785206:UFK785289 UPE785206:UPG785289 UZA785206:UZC785289 VIW785206:VIY785289 VSS785206:VSU785289 WCO785206:WCQ785289 WMK785206:WMM785289 WWG785206:WWI785289 Y850742:AA850825 JU850742:JW850825 TQ850742:TS850825 ADM850742:ADO850825 ANI850742:ANK850825 AXE850742:AXG850825 BHA850742:BHC850825 BQW850742:BQY850825 CAS850742:CAU850825 CKO850742:CKQ850825 CUK850742:CUM850825 DEG850742:DEI850825 DOC850742:DOE850825 DXY850742:DYA850825 EHU850742:EHW850825 ERQ850742:ERS850825 FBM850742:FBO850825 FLI850742:FLK850825 FVE850742:FVG850825 GFA850742:GFC850825 GOW850742:GOY850825 GYS850742:GYU850825 HIO850742:HIQ850825 HSK850742:HSM850825 ICG850742:ICI850825 IMC850742:IME850825 IVY850742:IWA850825 JFU850742:JFW850825 JPQ850742:JPS850825 JZM850742:JZO850825 KJI850742:KJK850825 KTE850742:KTG850825 LDA850742:LDC850825 LMW850742:LMY850825 LWS850742:LWU850825 MGO850742:MGQ850825 MQK850742:MQM850825 NAG850742:NAI850825 NKC850742:NKE850825 NTY850742:NUA850825 ODU850742:ODW850825 ONQ850742:ONS850825 OXM850742:OXO850825 PHI850742:PHK850825 PRE850742:PRG850825 QBA850742:QBC850825 QKW850742:QKY850825 QUS850742:QUU850825 REO850742:REQ850825 ROK850742:ROM850825 RYG850742:RYI850825 SIC850742:SIE850825 SRY850742:SSA850825 TBU850742:TBW850825 TLQ850742:TLS850825 TVM850742:TVO850825 UFI850742:UFK850825 UPE850742:UPG850825 UZA850742:UZC850825 VIW850742:VIY850825 VSS850742:VSU850825 WCO850742:WCQ850825 WMK850742:WMM850825 WWG850742:WWI850825 Y916278:AA916361 JU916278:JW916361 TQ916278:TS916361 ADM916278:ADO916361 ANI916278:ANK916361 AXE916278:AXG916361 BHA916278:BHC916361 BQW916278:BQY916361 CAS916278:CAU916361 CKO916278:CKQ916361 CUK916278:CUM916361 DEG916278:DEI916361 DOC916278:DOE916361 DXY916278:DYA916361 EHU916278:EHW916361 ERQ916278:ERS916361 FBM916278:FBO916361 FLI916278:FLK916361 FVE916278:FVG916361 GFA916278:GFC916361 GOW916278:GOY916361 GYS916278:GYU916361 HIO916278:HIQ916361 HSK916278:HSM916361 ICG916278:ICI916361 IMC916278:IME916361 IVY916278:IWA916361 JFU916278:JFW916361 JPQ916278:JPS916361 JZM916278:JZO916361 KJI916278:KJK916361 KTE916278:KTG916361 LDA916278:LDC916361 LMW916278:LMY916361 LWS916278:LWU916361 MGO916278:MGQ916361 MQK916278:MQM916361 NAG916278:NAI916361 NKC916278:NKE916361 NTY916278:NUA916361 ODU916278:ODW916361 ONQ916278:ONS916361 OXM916278:OXO916361 PHI916278:PHK916361 PRE916278:PRG916361 QBA916278:QBC916361 QKW916278:QKY916361 QUS916278:QUU916361 REO916278:REQ916361 ROK916278:ROM916361 RYG916278:RYI916361 SIC916278:SIE916361 SRY916278:SSA916361 TBU916278:TBW916361 TLQ916278:TLS916361 TVM916278:TVO916361 UFI916278:UFK916361 UPE916278:UPG916361 UZA916278:UZC916361 VIW916278:VIY916361 VSS916278:VSU916361 WCO916278:WCQ916361 WMK916278:WMM916361 WWG916278:WWI916361 Y981814:AA981897 JU981814:JW981897 TQ981814:TS981897 ADM981814:ADO981897 ANI981814:ANK981897 AXE981814:AXG981897 BHA981814:BHC981897 BQW981814:BQY981897 CAS981814:CAU981897 CKO981814:CKQ981897 CUK981814:CUM981897 DEG981814:DEI981897 DOC981814:DOE981897 DXY981814:DYA981897 EHU981814:EHW981897 ERQ981814:ERS981897 FBM981814:FBO981897 FLI981814:FLK981897 FVE981814:FVG981897 GFA981814:GFC981897 GOW981814:GOY981897 GYS981814:GYU981897 HIO981814:HIQ981897 HSK981814:HSM981897 ICG981814:ICI981897 IMC981814:IME981897 IVY981814:IWA981897 JFU981814:JFW981897 JPQ981814:JPS981897 JZM981814:JZO981897 KJI981814:KJK981897 KTE981814:KTG981897 LDA981814:LDC981897 LMW981814:LMY981897 LWS981814:LWU981897 MGO981814:MGQ981897 MQK981814:MQM981897 NAG981814:NAI981897 NKC981814:NKE981897 NTY981814:NUA981897 ODU981814:ODW981897 ONQ981814:ONS981897 OXM981814:OXO981897 PHI981814:PHK981897 PRE981814:PRG981897 QBA981814:QBC981897 QKW981814:QKY981897 QUS981814:QUU981897 REO981814:REQ981897 ROK981814:ROM981897 RYG981814:RYI981897 SIC981814:SIE981897 SRY981814:SSA981897 TBU981814:TBW981897 TLQ981814:TLS981897 TVM981814:TVO981897 UFI981814:UFK981897 UPE981814:UPG981897 UZA981814:UZC981897 VIW981814:VIY981897 VSS981814:VSU981897 JU2:JW82 TQ2:TS82 ADM2:ADO82 ANI2:ANK82 AXE2:AXG82 BHA2:BHC82 BQW2:BQY82 CAS2:CAU82 CKO2:CKQ82 CUK2:CUM82 DEG2:DEI82 DOC2:DOE82 DXY2:DYA82 EHU2:EHW82 ERQ2:ERS82 FBM2:FBO82 FLI2:FLK82 FVE2:FVG82 GFA2:GFC82 GOW2:GOY82 GYS2:GYU82 HIO2:HIQ82 HSK2:HSM82 ICG2:ICI82 IMC2:IME82 IVY2:IWA82 JFU2:JFW82 JPQ2:JPS82 JZM2:JZO82 KJI2:KJK82 KTE2:KTG82 LDA2:LDC82 LMW2:LMY82 LWS2:LWU82 MGO2:MGQ82 MQK2:MQM82 NAG2:NAI82 NKC2:NKE82 NTY2:NUA82 ODU2:ODW82 ONQ2:ONS82 OXM2:OXO82 PHI2:PHK82 PRE2:PRG82 QBA2:QBC82 QKW2:QKY82 QUS2:QUU82 REO2:REQ82 ROK2:ROM82 RYG2:RYI82 SIC2:SIE82 SRY2:SSA82 TBU2:TBW82 TLQ2:TLS82 TVM2:TVO82 UFI2:UFK82 UPE2:UPG82 UZA2:UZC82 VIW2:VIY82 VSS2:VSU82 WCO2:WCQ82 WMK2:WMM82 WWG2:WWI82" xr:uid="{9EE080FD-3561-4F14-BE6D-6522AA1049B8}">
      <formula1>$AV$2:$AV$22</formula1>
    </dataValidation>
    <dataValidation type="list" allowBlank="1" showInputMessage="1" showErrorMessage="1" sqref="K130:K509" xr:uid="{3D253523-298D-4DCB-811B-09E494769C1E}">
      <formula1>$AR$2:$AR$28</formula1>
    </dataValidation>
    <dataValidation type="list" allowBlank="1" showInputMessage="1" showErrorMessage="1" sqref="J105:J509 J2:J103" xr:uid="{4BBFA6E9-A586-4549-81E4-B75489E641A0}">
      <formula1>$AP$2:$AP$30</formula1>
    </dataValidation>
    <dataValidation type="list" allowBlank="1" showInputMessage="1" showErrorMessage="1" sqref="F107:F511 F2:F105" xr:uid="{B44E51D0-635F-40B2-967C-DCFB49EAA627}">
      <formula1>$AH$2:$AH$10</formula1>
    </dataValidation>
    <dataValidation type="list" allowBlank="1" showInputMessage="1" showErrorMessage="1" sqref="E107:E511 E2:E105" xr:uid="{C603B169-B54C-482A-A2DC-E8A5849D32FD}">
      <formula1>$AG$2:$AG$11</formula1>
    </dataValidation>
    <dataValidation type="list" allowBlank="1" showInputMessage="1" showErrorMessage="1" sqref="A105:A509 A2:A103" xr:uid="{F5E26C5E-6B64-49A5-A17F-5C2AA102518D}">
      <formula1>$AE$2:$AE$19</formula1>
    </dataValidation>
    <dataValidation type="list" allowBlank="1" showInputMessage="1" showErrorMessage="1" sqref="H105:H509 H2:H103" xr:uid="{55CB983A-D547-4918-BE06-F6D9172D4036}">
      <formula1>$AL$2:$AL$8</formula1>
    </dataValidation>
    <dataValidation type="list" allowBlank="1" showInputMessage="1" showErrorMessage="1" sqref="Y105:AA509 Y2:AA103" xr:uid="{32833BE4-0418-48F0-B27C-FDC0F4853078}">
      <formula1>$AV$2:$AV$21</formula1>
    </dataValidation>
    <dataValidation type="decimal" allowBlank="1" showInputMessage="1" showErrorMessage="1" error="硬度を正しく入力して下さい。" sqref="O105:P509 O18:P19 P15 P13 P77:P103 O74:O103 O26:P52" xr:uid="{752FF70D-AF6F-488C-B83C-A700DC11D3D7}">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49A82-4A29-460A-BD07-405E392243FF}">
  <dimension ref="A1:BA152"/>
  <sheetViews>
    <sheetView zoomScale="70" zoomScaleNormal="70" workbookViewId="0">
      <selection activeCell="AM54" sqref="AM54"/>
    </sheetView>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287</v>
      </c>
      <c r="O1" s="56" t="s">
        <v>14</v>
      </c>
      <c r="P1" s="56" t="s">
        <v>15</v>
      </c>
      <c r="Q1" s="3" t="s">
        <v>16</v>
      </c>
      <c r="R1" s="56" t="s">
        <v>17</v>
      </c>
      <c r="S1" s="56" t="s">
        <v>18</v>
      </c>
      <c r="T1" s="3" t="s">
        <v>19</v>
      </c>
      <c r="U1" s="58" t="s">
        <v>288</v>
      </c>
      <c r="V1" s="5" t="s">
        <v>20</v>
      </c>
      <c r="W1" s="56" t="s">
        <v>21</v>
      </c>
      <c r="X1" s="45" t="s">
        <v>22</v>
      </c>
      <c r="Y1" s="45" t="s">
        <v>23</v>
      </c>
      <c r="Z1" s="45" t="s">
        <v>24</v>
      </c>
      <c r="AA1" s="46" t="s">
        <v>25</v>
      </c>
      <c r="AB1" s="13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256</v>
      </c>
      <c r="C2" s="62">
        <v>2019</v>
      </c>
      <c r="D2" s="131" t="s">
        <v>289</v>
      </c>
      <c r="E2" s="53" t="s">
        <v>290</v>
      </c>
      <c r="F2" s="53" t="s">
        <v>291</v>
      </c>
      <c r="G2" s="53" t="s">
        <v>36</v>
      </c>
      <c r="H2" s="53" t="s">
        <v>160</v>
      </c>
      <c r="I2" s="53" t="s">
        <v>159</v>
      </c>
      <c r="J2" s="53" t="s">
        <v>38</v>
      </c>
      <c r="K2" s="53" t="s">
        <v>161</v>
      </c>
      <c r="L2" s="53">
        <v>1</v>
      </c>
      <c r="N2" s="53">
        <v>4</v>
      </c>
      <c r="O2" s="53">
        <v>0.44</v>
      </c>
      <c r="P2" s="53">
        <v>0.53</v>
      </c>
      <c r="Q2" s="74">
        <f>IF(OR(O2="",P2=""),"",AVERAGE(O2,P2))</f>
        <v>0.48499999999999999</v>
      </c>
      <c r="R2" s="53">
        <v>15.2</v>
      </c>
      <c r="S2" s="53">
        <v>92</v>
      </c>
      <c r="T2" s="16">
        <f t="shared" ref="T2:T61" si="0">IF(H2="","",IF(OR(H2="GREEN",H2="GK"),IF(S2&gt;=$AX$2,VLOOKUP(S2,$AX$2:$AY$12,2,1),""),IF(S2&gt;=$AZ$2,VLOOKUP(S2,$AZ$2:$BA$12,2,1),"")))</f>
        <v>36</v>
      </c>
      <c r="U2" s="53">
        <v>480</v>
      </c>
      <c r="V2" s="16">
        <f t="shared" ref="V2:V61" si="1">IF(J2="","",IF(OR(J2="GREEN",J2="GK"),IF(U2&gt;=$AX$2,VLOOKUP(U2,$AX$2:$AY$12,2,1),""),IF(U2&gt;=$AZ$2,VLOOKUP(U2,$AZ$2:$BA$12,2,1),"")))</f>
        <v>16</v>
      </c>
      <c r="W2" s="53">
        <v>2</v>
      </c>
      <c r="X2" s="53" t="s">
        <v>46</v>
      </c>
      <c r="Y2" s="53" t="s">
        <v>292</v>
      </c>
      <c r="Z2" s="53" t="s">
        <v>86</v>
      </c>
      <c r="AA2" s="53" t="s">
        <v>78</v>
      </c>
      <c r="AB2" s="53" t="s">
        <v>293</v>
      </c>
      <c r="AE2" s="64" t="s">
        <v>35</v>
      </c>
      <c r="AG2" s="132" t="s">
        <v>294</v>
      </c>
      <c r="AH2" s="133" t="s">
        <v>295</v>
      </c>
      <c r="AJ2" s="67" t="s">
        <v>36</v>
      </c>
      <c r="AL2" s="67" t="s">
        <v>127</v>
      </c>
      <c r="AN2" s="67" t="s">
        <v>296</v>
      </c>
      <c r="AP2" s="67" t="s">
        <v>38</v>
      </c>
      <c r="AR2" s="67" t="s">
        <v>120</v>
      </c>
      <c r="AT2" s="67" t="s">
        <v>39</v>
      </c>
      <c r="AV2" s="23" t="s">
        <v>55</v>
      </c>
      <c r="AX2" s="68">
        <v>1</v>
      </c>
      <c r="AY2" s="69">
        <v>50</v>
      </c>
      <c r="AZ2" s="69">
        <v>1</v>
      </c>
      <c r="BA2" s="70">
        <v>50</v>
      </c>
    </row>
    <row r="3" spans="1:53" x14ac:dyDescent="0.15">
      <c r="A3" s="53" t="s">
        <v>59</v>
      </c>
      <c r="B3" s="53" t="s">
        <v>256</v>
      </c>
      <c r="C3" s="62">
        <v>2019</v>
      </c>
      <c r="D3" s="131" t="s">
        <v>289</v>
      </c>
      <c r="E3" s="53" t="s">
        <v>290</v>
      </c>
      <c r="F3" s="53" t="s">
        <v>291</v>
      </c>
      <c r="G3" s="53" t="s">
        <v>36</v>
      </c>
      <c r="H3" s="53" t="s">
        <v>160</v>
      </c>
      <c r="I3" s="53" t="s">
        <v>159</v>
      </c>
      <c r="J3" s="53" t="s">
        <v>38</v>
      </c>
      <c r="K3" s="53" t="s">
        <v>161</v>
      </c>
      <c r="L3" s="53">
        <v>2</v>
      </c>
      <c r="N3" s="53">
        <v>4</v>
      </c>
      <c r="O3" s="53">
        <v>0.54</v>
      </c>
      <c r="P3" s="53">
        <v>0.46</v>
      </c>
      <c r="Q3" s="74">
        <f t="shared" ref="Q3:Q61" si="2">IF(OR(O3="",P3=""),"",AVERAGE(O3,P3))</f>
        <v>0.5</v>
      </c>
      <c r="R3" s="53">
        <v>16.3</v>
      </c>
      <c r="S3" s="53">
        <v>91</v>
      </c>
      <c r="T3" s="16">
        <f t="shared" si="0"/>
        <v>36</v>
      </c>
      <c r="U3" s="53">
        <v>480</v>
      </c>
      <c r="V3" s="16">
        <f t="shared" si="1"/>
        <v>16</v>
      </c>
      <c r="W3" s="53">
        <v>2</v>
      </c>
      <c r="X3" s="53" t="s">
        <v>46</v>
      </c>
      <c r="Y3" s="53" t="s">
        <v>292</v>
      </c>
      <c r="Z3" s="53" t="s">
        <v>86</v>
      </c>
      <c r="AA3" s="53" t="s">
        <v>78</v>
      </c>
      <c r="AB3" s="53" t="s">
        <v>293</v>
      </c>
      <c r="AE3" s="22" t="s">
        <v>41</v>
      </c>
      <c r="AG3" s="132" t="s">
        <v>297</v>
      </c>
      <c r="AH3" s="133" t="s">
        <v>291</v>
      </c>
      <c r="AJ3" s="23" t="s">
        <v>42</v>
      </c>
      <c r="AL3" s="23" t="s">
        <v>128</v>
      </c>
      <c r="AN3" s="23" t="s">
        <v>43</v>
      </c>
      <c r="AP3" s="23" t="s">
        <v>44</v>
      </c>
      <c r="AR3" s="23" t="s">
        <v>45</v>
      </c>
      <c r="AT3" s="23" t="s">
        <v>46</v>
      </c>
      <c r="AV3" s="23" t="s">
        <v>298</v>
      </c>
      <c r="AX3" s="24">
        <v>72</v>
      </c>
      <c r="AY3" s="25">
        <v>46</v>
      </c>
      <c r="AZ3" s="25">
        <v>71</v>
      </c>
      <c r="BA3" s="26">
        <v>42</v>
      </c>
    </row>
    <row r="4" spans="1:53" x14ac:dyDescent="0.15">
      <c r="A4" s="53" t="s">
        <v>59</v>
      </c>
      <c r="B4" s="53" t="s">
        <v>256</v>
      </c>
      <c r="C4" s="62">
        <v>2019</v>
      </c>
      <c r="D4" s="131" t="s">
        <v>289</v>
      </c>
      <c r="E4" s="53" t="s">
        <v>290</v>
      </c>
      <c r="F4" s="53" t="s">
        <v>291</v>
      </c>
      <c r="G4" s="53" t="s">
        <v>36</v>
      </c>
      <c r="H4" s="53" t="s">
        <v>160</v>
      </c>
      <c r="I4" s="53" t="s">
        <v>299</v>
      </c>
      <c r="J4" s="53" t="s">
        <v>38</v>
      </c>
      <c r="K4" s="53" t="s">
        <v>161</v>
      </c>
      <c r="L4" s="53">
        <v>3</v>
      </c>
      <c r="N4" s="53">
        <v>4</v>
      </c>
      <c r="O4" s="53">
        <v>0.55000000000000004</v>
      </c>
      <c r="P4" s="53">
        <v>0.48</v>
      </c>
      <c r="Q4" s="74">
        <f t="shared" si="2"/>
        <v>0.51500000000000001</v>
      </c>
      <c r="R4" s="53">
        <v>16.600000000000001</v>
      </c>
      <c r="S4" s="53">
        <v>96</v>
      </c>
      <c r="T4" s="16">
        <f t="shared" si="0"/>
        <v>36</v>
      </c>
      <c r="U4" s="53">
        <v>480</v>
      </c>
      <c r="V4" s="16">
        <f t="shared" si="1"/>
        <v>16</v>
      </c>
      <c r="W4" s="53">
        <v>2</v>
      </c>
      <c r="X4" s="53" t="s">
        <v>46</v>
      </c>
      <c r="Y4" s="53" t="s">
        <v>292</v>
      </c>
      <c r="Z4" s="53" t="s">
        <v>86</v>
      </c>
      <c r="AA4" s="53" t="s">
        <v>78</v>
      </c>
      <c r="AB4" s="53" t="s">
        <v>293</v>
      </c>
      <c r="AE4" s="22" t="s">
        <v>34</v>
      </c>
      <c r="AG4" s="132" t="s">
        <v>300</v>
      </c>
      <c r="AH4" s="133" t="s">
        <v>301</v>
      </c>
      <c r="AJ4" s="27" t="s">
        <v>48</v>
      </c>
      <c r="AL4" s="27" t="s">
        <v>129</v>
      </c>
      <c r="AN4" s="28" t="s">
        <v>49</v>
      </c>
      <c r="AP4" s="23" t="s">
        <v>93</v>
      </c>
      <c r="AR4" s="23" t="s">
        <v>302</v>
      </c>
      <c r="AT4" s="28"/>
      <c r="AV4" s="23" t="s">
        <v>292</v>
      </c>
      <c r="AX4" s="24">
        <v>75</v>
      </c>
      <c r="AY4" s="25">
        <v>42</v>
      </c>
      <c r="AZ4" s="25">
        <v>76</v>
      </c>
      <c r="BA4" s="26">
        <v>39</v>
      </c>
    </row>
    <row r="5" spans="1:53" x14ac:dyDescent="0.15">
      <c r="A5" s="53" t="s">
        <v>59</v>
      </c>
      <c r="B5" s="53" t="s">
        <v>256</v>
      </c>
      <c r="C5" s="62">
        <v>2019</v>
      </c>
      <c r="D5" s="131" t="s">
        <v>289</v>
      </c>
      <c r="E5" s="53" t="s">
        <v>290</v>
      </c>
      <c r="F5" s="53" t="s">
        <v>291</v>
      </c>
      <c r="G5" s="53" t="s">
        <v>36</v>
      </c>
      <c r="H5" s="53" t="s">
        <v>164</v>
      </c>
      <c r="I5" s="53" t="s">
        <v>159</v>
      </c>
      <c r="J5" s="53" t="s">
        <v>38</v>
      </c>
      <c r="K5" s="53" t="s">
        <v>161</v>
      </c>
      <c r="L5" s="53">
        <v>1</v>
      </c>
      <c r="N5" s="53">
        <v>5</v>
      </c>
      <c r="O5" s="53">
        <v>0.46</v>
      </c>
      <c r="P5" s="53">
        <v>0.54</v>
      </c>
      <c r="Q5" s="74">
        <f t="shared" si="2"/>
        <v>0.5</v>
      </c>
      <c r="R5" s="53">
        <v>14.3</v>
      </c>
      <c r="S5" s="53">
        <v>95</v>
      </c>
      <c r="T5" s="16">
        <f t="shared" si="0"/>
        <v>36</v>
      </c>
      <c r="U5" s="53">
        <v>398</v>
      </c>
      <c r="V5" s="16">
        <f t="shared" si="1"/>
        <v>16</v>
      </c>
      <c r="W5" s="53">
        <v>2</v>
      </c>
      <c r="X5" s="53" t="s">
        <v>46</v>
      </c>
      <c r="Y5" s="53" t="s">
        <v>292</v>
      </c>
      <c r="Z5" s="53" t="s">
        <v>86</v>
      </c>
      <c r="AA5" s="53" t="s">
        <v>78</v>
      </c>
      <c r="AB5" s="53" t="s">
        <v>293</v>
      </c>
      <c r="AE5" s="22" t="s">
        <v>51</v>
      </c>
      <c r="AG5" s="132" t="s">
        <v>303</v>
      </c>
      <c r="AH5" s="133" t="s">
        <v>304</v>
      </c>
      <c r="AJ5" s="28"/>
      <c r="AL5" s="72" t="s">
        <v>66</v>
      </c>
      <c r="AN5" s="72" t="s">
        <v>52</v>
      </c>
      <c r="AP5" s="23" t="s">
        <v>305</v>
      </c>
      <c r="AR5" s="23" t="s">
        <v>54</v>
      </c>
      <c r="AV5" s="23" t="s">
        <v>306</v>
      </c>
      <c r="AX5" s="24">
        <v>84</v>
      </c>
      <c r="AY5" s="25">
        <v>39</v>
      </c>
      <c r="AZ5" s="25">
        <v>84</v>
      </c>
      <c r="BA5" s="26">
        <v>36</v>
      </c>
    </row>
    <row r="6" spans="1:53" x14ac:dyDescent="0.15">
      <c r="A6" s="53" t="s">
        <v>59</v>
      </c>
      <c r="B6" s="53" t="s">
        <v>256</v>
      </c>
      <c r="C6" s="62">
        <v>2019</v>
      </c>
      <c r="D6" s="131" t="s">
        <v>289</v>
      </c>
      <c r="E6" s="53" t="s">
        <v>290</v>
      </c>
      <c r="F6" s="53" t="s">
        <v>291</v>
      </c>
      <c r="G6" s="53" t="s">
        <v>36</v>
      </c>
      <c r="H6" s="53" t="s">
        <v>164</v>
      </c>
      <c r="I6" s="53" t="s">
        <v>159</v>
      </c>
      <c r="J6" s="53" t="s">
        <v>38</v>
      </c>
      <c r="K6" s="53" t="s">
        <v>161</v>
      </c>
      <c r="L6" s="53">
        <v>2</v>
      </c>
      <c r="N6" s="53">
        <v>5</v>
      </c>
      <c r="O6" s="53">
        <v>0.75</v>
      </c>
      <c r="P6" s="53">
        <v>0.7</v>
      </c>
      <c r="Q6" s="74">
        <f t="shared" si="2"/>
        <v>0.72499999999999998</v>
      </c>
      <c r="R6" s="53">
        <v>13.6</v>
      </c>
      <c r="S6" s="53">
        <v>89</v>
      </c>
      <c r="T6" s="16">
        <f t="shared" si="0"/>
        <v>36</v>
      </c>
      <c r="U6" s="53">
        <v>398</v>
      </c>
      <c r="V6" s="16">
        <f t="shared" si="1"/>
        <v>16</v>
      </c>
      <c r="W6" s="53">
        <v>2</v>
      </c>
      <c r="X6" s="53" t="s">
        <v>46</v>
      </c>
      <c r="Y6" s="53" t="s">
        <v>292</v>
      </c>
      <c r="Z6" s="53" t="s">
        <v>86</v>
      </c>
      <c r="AA6" s="53" t="s">
        <v>78</v>
      </c>
      <c r="AB6" s="53" t="s">
        <v>293</v>
      </c>
      <c r="AE6" s="22" t="s">
        <v>56</v>
      </c>
      <c r="AG6" s="132" t="s">
        <v>307</v>
      </c>
      <c r="AH6" s="133" t="s">
        <v>308</v>
      </c>
      <c r="AL6" s="72" t="s">
        <v>99</v>
      </c>
      <c r="AN6" s="72" t="s">
        <v>57</v>
      </c>
      <c r="AP6" s="23" t="s">
        <v>53</v>
      </c>
      <c r="AR6" s="23" t="s">
        <v>309</v>
      </c>
      <c r="AV6" s="23" t="s">
        <v>60</v>
      </c>
      <c r="AX6" s="24">
        <v>97</v>
      </c>
      <c r="AY6" s="25">
        <v>36</v>
      </c>
      <c r="AZ6" s="25">
        <v>99</v>
      </c>
      <c r="BA6" s="26">
        <v>33</v>
      </c>
    </row>
    <row r="7" spans="1:53" x14ac:dyDescent="0.15">
      <c r="A7" s="53" t="s">
        <v>59</v>
      </c>
      <c r="B7" s="53" t="s">
        <v>256</v>
      </c>
      <c r="C7" s="62">
        <v>2019</v>
      </c>
      <c r="D7" s="131" t="s">
        <v>289</v>
      </c>
      <c r="E7" s="53" t="s">
        <v>290</v>
      </c>
      <c r="F7" s="53" t="s">
        <v>291</v>
      </c>
      <c r="G7" s="53" t="s">
        <v>36</v>
      </c>
      <c r="H7" s="53" t="s">
        <v>164</v>
      </c>
      <c r="I7" s="53" t="s">
        <v>159</v>
      </c>
      <c r="J7" s="53" t="s">
        <v>38</v>
      </c>
      <c r="K7" s="53" t="s">
        <v>161</v>
      </c>
      <c r="L7" s="53">
        <v>3</v>
      </c>
      <c r="N7" s="53">
        <v>5</v>
      </c>
      <c r="O7" s="53">
        <v>0.72</v>
      </c>
      <c r="P7" s="53">
        <v>0.68</v>
      </c>
      <c r="Q7" s="74">
        <f t="shared" si="2"/>
        <v>0.7</v>
      </c>
      <c r="R7" s="53">
        <v>13.8</v>
      </c>
      <c r="S7" s="53">
        <v>85</v>
      </c>
      <c r="T7" s="16">
        <f t="shared" si="0"/>
        <v>36</v>
      </c>
      <c r="U7" s="53">
        <v>398</v>
      </c>
      <c r="V7" s="16">
        <f t="shared" si="1"/>
        <v>16</v>
      </c>
      <c r="W7" s="53">
        <v>2</v>
      </c>
      <c r="X7" s="53" t="s">
        <v>46</v>
      </c>
      <c r="Y7" s="53" t="s">
        <v>292</v>
      </c>
      <c r="Z7" s="53" t="s">
        <v>86</v>
      </c>
      <c r="AA7" s="53" t="s">
        <v>78</v>
      </c>
      <c r="AB7" s="53" t="s">
        <v>293</v>
      </c>
      <c r="AE7" s="22" t="s">
        <v>61</v>
      </c>
      <c r="AG7" s="132" t="s">
        <v>310</v>
      </c>
      <c r="AH7" s="133" t="s">
        <v>311</v>
      </c>
      <c r="AL7" s="34" t="s">
        <v>109</v>
      </c>
      <c r="AP7" s="23" t="s">
        <v>58</v>
      </c>
      <c r="AR7" s="23" t="s">
        <v>312</v>
      </c>
      <c r="AV7" s="23" t="s">
        <v>64</v>
      </c>
      <c r="AX7" s="24">
        <v>109</v>
      </c>
      <c r="AY7" s="25">
        <v>33</v>
      </c>
      <c r="AZ7" s="25">
        <v>113</v>
      </c>
      <c r="BA7" s="26">
        <v>30</v>
      </c>
    </row>
    <row r="8" spans="1:53" x14ac:dyDescent="0.15">
      <c r="A8" s="53" t="s">
        <v>59</v>
      </c>
      <c r="B8" s="53" t="s">
        <v>256</v>
      </c>
      <c r="C8" s="62">
        <v>2019</v>
      </c>
      <c r="D8" s="131" t="s">
        <v>289</v>
      </c>
      <c r="E8" s="53" t="s">
        <v>294</v>
      </c>
      <c r="F8" s="53" t="s">
        <v>295</v>
      </c>
      <c r="G8" s="53" t="s">
        <v>36</v>
      </c>
      <c r="H8" s="53" t="s">
        <v>160</v>
      </c>
      <c r="I8" s="53" t="s">
        <v>159</v>
      </c>
      <c r="J8" s="53" t="s">
        <v>38</v>
      </c>
      <c r="K8" s="53" t="s">
        <v>161</v>
      </c>
      <c r="L8" s="53">
        <v>1</v>
      </c>
      <c r="N8" s="53">
        <v>4</v>
      </c>
      <c r="O8" s="53">
        <v>0.51</v>
      </c>
      <c r="P8" s="53">
        <v>0.52</v>
      </c>
      <c r="Q8" s="74">
        <f t="shared" si="2"/>
        <v>0.51500000000000001</v>
      </c>
      <c r="R8" s="53">
        <v>16.5</v>
      </c>
      <c r="S8" s="53">
        <v>105</v>
      </c>
      <c r="T8" s="16">
        <f t="shared" si="0"/>
        <v>33</v>
      </c>
      <c r="U8" s="53">
        <v>297</v>
      </c>
      <c r="V8" s="16">
        <f t="shared" si="1"/>
        <v>16</v>
      </c>
      <c r="W8" s="53">
        <v>9</v>
      </c>
      <c r="X8" s="53" t="s">
        <v>39</v>
      </c>
      <c r="Y8" s="53" t="s">
        <v>86</v>
      </c>
      <c r="Z8" s="53" t="s">
        <v>292</v>
      </c>
      <c r="AA8" s="53" t="s">
        <v>97</v>
      </c>
      <c r="AB8" s="53" t="s">
        <v>293</v>
      </c>
      <c r="AE8" s="22" t="s">
        <v>59</v>
      </c>
      <c r="AG8" s="134" t="s">
        <v>162</v>
      </c>
      <c r="AH8" s="133" t="s">
        <v>313</v>
      </c>
      <c r="AL8" s="34" t="s">
        <v>134</v>
      </c>
      <c r="AP8" s="23" t="s">
        <v>62</v>
      </c>
      <c r="AR8" s="23" t="s">
        <v>81</v>
      </c>
      <c r="AV8" s="23" t="s">
        <v>97</v>
      </c>
      <c r="AX8" s="24">
        <v>119</v>
      </c>
      <c r="AY8" s="25">
        <v>30</v>
      </c>
      <c r="AZ8" s="25">
        <v>121</v>
      </c>
      <c r="BA8" s="26">
        <v>27</v>
      </c>
    </row>
    <row r="9" spans="1:53" x14ac:dyDescent="0.15">
      <c r="A9" s="53" t="s">
        <v>59</v>
      </c>
      <c r="B9" s="53" t="s">
        <v>256</v>
      </c>
      <c r="C9" s="62">
        <v>2019</v>
      </c>
      <c r="D9" s="131" t="s">
        <v>289</v>
      </c>
      <c r="E9" s="53" t="s">
        <v>294</v>
      </c>
      <c r="F9" s="53" t="s">
        <v>295</v>
      </c>
      <c r="G9" s="53" t="s">
        <v>36</v>
      </c>
      <c r="H9" s="53" t="s">
        <v>160</v>
      </c>
      <c r="I9" s="53" t="s">
        <v>159</v>
      </c>
      <c r="J9" s="53" t="s">
        <v>38</v>
      </c>
      <c r="K9" s="53" t="s">
        <v>161</v>
      </c>
      <c r="L9" s="53">
        <v>2</v>
      </c>
      <c r="N9" s="53">
        <v>4</v>
      </c>
      <c r="O9" s="53">
        <v>0.59</v>
      </c>
      <c r="P9" s="53">
        <v>0.48</v>
      </c>
      <c r="Q9" s="74">
        <f t="shared" si="2"/>
        <v>0.53499999999999992</v>
      </c>
      <c r="R9" s="53">
        <v>14.6</v>
      </c>
      <c r="S9" s="53">
        <v>95</v>
      </c>
      <c r="T9" s="16">
        <f t="shared" si="0"/>
        <v>36</v>
      </c>
      <c r="U9" s="53">
        <v>297</v>
      </c>
      <c r="V9" s="16">
        <f t="shared" si="1"/>
        <v>16</v>
      </c>
      <c r="W9" s="53">
        <v>9</v>
      </c>
      <c r="X9" s="53" t="s">
        <v>39</v>
      </c>
      <c r="Y9" s="53" t="s">
        <v>86</v>
      </c>
      <c r="Z9" s="53" t="s">
        <v>292</v>
      </c>
      <c r="AA9" s="53" t="s">
        <v>97</v>
      </c>
      <c r="AB9" s="53" t="s">
        <v>293</v>
      </c>
      <c r="AE9" s="22" t="s">
        <v>98</v>
      </c>
      <c r="AG9" s="134" t="s">
        <v>314</v>
      </c>
      <c r="AH9" s="133" t="s">
        <v>313</v>
      </c>
      <c r="AL9" s="72"/>
      <c r="AP9" s="23" t="s">
        <v>315</v>
      </c>
      <c r="AR9" s="23" t="s">
        <v>89</v>
      </c>
      <c r="AV9" s="23" t="s">
        <v>102</v>
      </c>
      <c r="AX9" s="24">
        <v>128</v>
      </c>
      <c r="AY9" s="25">
        <v>27</v>
      </c>
      <c r="AZ9" s="25">
        <v>129</v>
      </c>
      <c r="BA9" s="26">
        <v>25</v>
      </c>
    </row>
    <row r="10" spans="1:53" x14ac:dyDescent="0.15">
      <c r="A10" s="53" t="s">
        <v>59</v>
      </c>
      <c r="B10" s="53" t="s">
        <v>256</v>
      </c>
      <c r="C10" s="62">
        <v>2019</v>
      </c>
      <c r="D10" s="131" t="s">
        <v>289</v>
      </c>
      <c r="E10" s="53" t="s">
        <v>294</v>
      </c>
      <c r="F10" s="53" t="s">
        <v>295</v>
      </c>
      <c r="G10" s="53" t="s">
        <v>36</v>
      </c>
      <c r="H10" s="53" t="s">
        <v>160</v>
      </c>
      <c r="I10" s="53" t="s">
        <v>159</v>
      </c>
      <c r="J10" s="53" t="s">
        <v>38</v>
      </c>
      <c r="K10" s="53" t="s">
        <v>161</v>
      </c>
      <c r="L10" s="53">
        <v>3</v>
      </c>
      <c r="N10" s="53">
        <v>4</v>
      </c>
      <c r="O10" s="53">
        <v>0.55000000000000004</v>
      </c>
      <c r="P10" s="53">
        <v>0.53</v>
      </c>
      <c r="Q10" s="74">
        <f t="shared" si="2"/>
        <v>0.54</v>
      </c>
      <c r="R10" s="53">
        <v>15</v>
      </c>
      <c r="S10" s="53">
        <v>112</v>
      </c>
      <c r="T10" s="16">
        <f t="shared" si="0"/>
        <v>33</v>
      </c>
      <c r="U10" s="53">
        <v>297</v>
      </c>
      <c r="V10" s="16">
        <f t="shared" si="1"/>
        <v>16</v>
      </c>
      <c r="W10" s="53">
        <v>9</v>
      </c>
      <c r="X10" s="53" t="s">
        <v>39</v>
      </c>
      <c r="Y10" s="53" t="s">
        <v>86</v>
      </c>
      <c r="Z10" s="53" t="s">
        <v>292</v>
      </c>
      <c r="AA10" s="53" t="s">
        <v>97</v>
      </c>
      <c r="AB10" s="53" t="s">
        <v>293</v>
      </c>
      <c r="AE10" s="22" t="s">
        <v>103</v>
      </c>
      <c r="AG10" s="132" t="s">
        <v>316</v>
      </c>
      <c r="AH10" s="133" t="s">
        <v>304</v>
      </c>
      <c r="AL10" s="135"/>
      <c r="AP10" s="23" t="s">
        <v>100</v>
      </c>
      <c r="AR10" s="23" t="s">
        <v>123</v>
      </c>
      <c r="AV10" s="23" t="s">
        <v>106</v>
      </c>
      <c r="AX10" s="24">
        <v>138</v>
      </c>
      <c r="AY10" s="25">
        <v>25</v>
      </c>
      <c r="AZ10" s="25">
        <v>138</v>
      </c>
      <c r="BA10" s="26">
        <v>22</v>
      </c>
    </row>
    <row r="11" spans="1:53" x14ac:dyDescent="0.15">
      <c r="A11" s="53" t="s">
        <v>59</v>
      </c>
      <c r="B11" s="53" t="s">
        <v>256</v>
      </c>
      <c r="C11" s="62">
        <v>2019</v>
      </c>
      <c r="D11" s="131" t="s">
        <v>289</v>
      </c>
      <c r="E11" s="53" t="s">
        <v>294</v>
      </c>
      <c r="F11" s="53" t="s">
        <v>295</v>
      </c>
      <c r="G11" s="53" t="s">
        <v>36</v>
      </c>
      <c r="H11" s="53" t="s">
        <v>164</v>
      </c>
      <c r="I11" s="53" t="s">
        <v>159</v>
      </c>
      <c r="J11" s="53" t="s">
        <v>38</v>
      </c>
      <c r="K11" s="53" t="s">
        <v>161</v>
      </c>
      <c r="L11" s="53">
        <v>1</v>
      </c>
      <c r="N11" s="53">
        <v>8</v>
      </c>
      <c r="O11" s="53">
        <v>0.44</v>
      </c>
      <c r="P11" s="53">
        <v>0.45</v>
      </c>
      <c r="Q11" s="74">
        <f t="shared" si="2"/>
        <v>0.44500000000000001</v>
      </c>
      <c r="R11" s="53">
        <v>13.9</v>
      </c>
      <c r="S11" s="53">
        <v>96</v>
      </c>
      <c r="T11" s="16">
        <f t="shared" si="0"/>
        <v>36</v>
      </c>
      <c r="U11" s="53">
        <v>397</v>
      </c>
      <c r="V11" s="16">
        <f t="shared" si="1"/>
        <v>16</v>
      </c>
      <c r="W11" s="53">
        <v>2</v>
      </c>
      <c r="X11" s="53" t="s">
        <v>39</v>
      </c>
      <c r="Y11" s="53" t="s">
        <v>86</v>
      </c>
      <c r="Z11" s="53" t="s">
        <v>292</v>
      </c>
      <c r="AA11" s="53" t="s">
        <v>97</v>
      </c>
      <c r="AB11" s="53" t="s">
        <v>293</v>
      </c>
      <c r="AE11" s="22" t="s">
        <v>65</v>
      </c>
      <c r="AG11" s="134" t="s">
        <v>317</v>
      </c>
      <c r="AH11" s="133" t="s">
        <v>318</v>
      </c>
      <c r="AL11" s="135"/>
      <c r="AP11" s="23" t="s">
        <v>319</v>
      </c>
      <c r="AR11" s="23" t="s">
        <v>320</v>
      </c>
      <c r="AV11" s="23" t="s">
        <v>321</v>
      </c>
      <c r="AX11" s="24">
        <v>151</v>
      </c>
      <c r="AY11" s="25">
        <v>22</v>
      </c>
      <c r="AZ11" s="25">
        <v>152</v>
      </c>
      <c r="BA11" s="26">
        <v>18</v>
      </c>
    </row>
    <row r="12" spans="1:53" x14ac:dyDescent="0.15">
      <c r="A12" s="53" t="s">
        <v>59</v>
      </c>
      <c r="B12" s="53" t="s">
        <v>256</v>
      </c>
      <c r="C12" s="62">
        <v>2019</v>
      </c>
      <c r="D12" s="131" t="s">
        <v>289</v>
      </c>
      <c r="E12" s="53" t="s">
        <v>294</v>
      </c>
      <c r="F12" s="53" t="s">
        <v>295</v>
      </c>
      <c r="G12" s="53" t="s">
        <v>36</v>
      </c>
      <c r="H12" s="53" t="s">
        <v>164</v>
      </c>
      <c r="I12" s="53" t="s">
        <v>159</v>
      </c>
      <c r="J12" s="53" t="s">
        <v>38</v>
      </c>
      <c r="K12" s="53" t="s">
        <v>161</v>
      </c>
      <c r="L12" s="53">
        <v>2</v>
      </c>
      <c r="N12" s="53">
        <v>8</v>
      </c>
      <c r="O12" s="53">
        <v>0.25</v>
      </c>
      <c r="P12" s="53">
        <v>0.3</v>
      </c>
      <c r="Q12" s="74">
        <f t="shared" si="2"/>
        <v>0.27500000000000002</v>
      </c>
      <c r="R12" s="53">
        <v>13.4</v>
      </c>
      <c r="S12" s="53">
        <v>97</v>
      </c>
      <c r="T12" s="16">
        <f t="shared" si="0"/>
        <v>36</v>
      </c>
      <c r="U12" s="53">
        <v>397</v>
      </c>
      <c r="V12" s="16">
        <f t="shared" si="1"/>
        <v>16</v>
      </c>
      <c r="W12" s="53">
        <v>2</v>
      </c>
      <c r="X12" s="53" t="s">
        <v>39</v>
      </c>
      <c r="Y12" s="53" t="s">
        <v>86</v>
      </c>
      <c r="Z12" s="53" t="s">
        <v>292</v>
      </c>
      <c r="AA12" s="53" t="s">
        <v>97</v>
      </c>
      <c r="AB12" s="53" t="s">
        <v>293</v>
      </c>
      <c r="AE12" s="22" t="s">
        <v>70</v>
      </c>
      <c r="AG12" s="23"/>
      <c r="AH12" s="136"/>
      <c r="AL12" s="135"/>
      <c r="AP12" s="23" t="s">
        <v>67</v>
      </c>
      <c r="AR12" s="23" t="s">
        <v>124</v>
      </c>
      <c r="AV12" s="23" t="s">
        <v>72</v>
      </c>
      <c r="AX12" s="31">
        <v>180</v>
      </c>
      <c r="AY12" s="32">
        <v>18</v>
      </c>
      <c r="AZ12" s="32">
        <v>181</v>
      </c>
      <c r="BA12" s="33">
        <v>16</v>
      </c>
    </row>
    <row r="13" spans="1:53" x14ac:dyDescent="0.15">
      <c r="A13" s="53" t="s">
        <v>59</v>
      </c>
      <c r="B13" s="53" t="s">
        <v>256</v>
      </c>
      <c r="C13" s="62">
        <v>2019</v>
      </c>
      <c r="D13" s="131" t="s">
        <v>289</v>
      </c>
      <c r="E13" s="53" t="s">
        <v>294</v>
      </c>
      <c r="F13" s="53" t="s">
        <v>295</v>
      </c>
      <c r="G13" s="53" t="s">
        <v>36</v>
      </c>
      <c r="H13" s="53" t="s">
        <v>164</v>
      </c>
      <c r="I13" s="53" t="s">
        <v>159</v>
      </c>
      <c r="J13" s="53" t="s">
        <v>38</v>
      </c>
      <c r="K13" s="53" t="s">
        <v>161</v>
      </c>
      <c r="L13" s="53">
        <v>3</v>
      </c>
      <c r="N13" s="53">
        <v>8</v>
      </c>
      <c r="O13" s="53">
        <v>0.46</v>
      </c>
      <c r="P13" s="53">
        <v>0.48</v>
      </c>
      <c r="Q13" s="74">
        <f t="shared" si="2"/>
        <v>0.47</v>
      </c>
      <c r="R13" s="53">
        <v>13.7</v>
      </c>
      <c r="S13" s="53">
        <v>99</v>
      </c>
      <c r="T13" s="16">
        <f t="shared" si="0"/>
        <v>33</v>
      </c>
      <c r="U13" s="53">
        <v>397</v>
      </c>
      <c r="V13" s="16">
        <f t="shared" si="1"/>
        <v>16</v>
      </c>
      <c r="W13" s="53">
        <v>2</v>
      </c>
      <c r="X13" s="53" t="s">
        <v>39</v>
      </c>
      <c r="Y13" s="53" t="s">
        <v>86</v>
      </c>
      <c r="Z13" s="53" t="s">
        <v>292</v>
      </c>
      <c r="AA13" s="53" t="s">
        <v>97</v>
      </c>
      <c r="AB13" s="53" t="s">
        <v>293</v>
      </c>
      <c r="AE13" s="22" t="s">
        <v>73</v>
      </c>
      <c r="AG13" s="23"/>
      <c r="AH13" s="23"/>
      <c r="AP13" s="23" t="s">
        <v>71</v>
      </c>
      <c r="AR13" s="23" t="s">
        <v>103</v>
      </c>
      <c r="AV13" s="23" t="s">
        <v>75</v>
      </c>
    </row>
    <row r="14" spans="1:53" x14ac:dyDescent="0.15">
      <c r="A14" s="53" t="s">
        <v>59</v>
      </c>
      <c r="B14" s="53" t="s">
        <v>256</v>
      </c>
      <c r="C14" s="62">
        <v>2019</v>
      </c>
      <c r="D14" s="131" t="s">
        <v>289</v>
      </c>
      <c r="E14" s="53" t="s">
        <v>303</v>
      </c>
      <c r="F14" s="53" t="s">
        <v>304</v>
      </c>
      <c r="G14" s="53" t="s">
        <v>36</v>
      </c>
      <c r="H14" s="53" t="s">
        <v>160</v>
      </c>
      <c r="I14" s="53" t="s">
        <v>159</v>
      </c>
      <c r="J14" s="53" t="s">
        <v>38</v>
      </c>
      <c r="K14" s="53" t="s">
        <v>161</v>
      </c>
      <c r="L14" s="53">
        <v>1</v>
      </c>
      <c r="N14" s="53">
        <v>2</v>
      </c>
      <c r="O14" s="53">
        <v>0.37</v>
      </c>
      <c r="P14" s="53">
        <v>0.45</v>
      </c>
      <c r="Q14" s="74">
        <f t="shared" si="2"/>
        <v>0.41000000000000003</v>
      </c>
      <c r="R14" s="53">
        <v>16.899999999999999</v>
      </c>
      <c r="S14" s="53">
        <v>145</v>
      </c>
      <c r="T14" s="16">
        <f t="shared" si="0"/>
        <v>22</v>
      </c>
      <c r="U14" s="53">
        <v>380</v>
      </c>
      <c r="V14" s="16">
        <f t="shared" si="1"/>
        <v>16</v>
      </c>
      <c r="W14" s="53">
        <v>6</v>
      </c>
      <c r="X14" s="53" t="s">
        <v>46</v>
      </c>
      <c r="Y14" s="53" t="s">
        <v>55</v>
      </c>
      <c r="Z14" s="53" t="s">
        <v>90</v>
      </c>
      <c r="AA14" s="53" t="s">
        <v>97</v>
      </c>
      <c r="AB14" s="53" t="s">
        <v>293</v>
      </c>
      <c r="AE14" s="22" t="s">
        <v>76</v>
      </c>
      <c r="AG14" s="23"/>
      <c r="AH14" s="23"/>
      <c r="AP14" s="23" t="s">
        <v>322</v>
      </c>
      <c r="AR14" s="23" t="s">
        <v>125</v>
      </c>
      <c r="AV14" s="23" t="s">
        <v>78</v>
      </c>
    </row>
    <row r="15" spans="1:53" x14ac:dyDescent="0.15">
      <c r="A15" s="53" t="s">
        <v>59</v>
      </c>
      <c r="B15" s="53" t="s">
        <v>256</v>
      </c>
      <c r="C15" s="62">
        <v>2019</v>
      </c>
      <c r="D15" s="131" t="s">
        <v>289</v>
      </c>
      <c r="E15" s="53" t="s">
        <v>303</v>
      </c>
      <c r="F15" s="53" t="s">
        <v>304</v>
      </c>
      <c r="G15" s="53" t="s">
        <v>36</v>
      </c>
      <c r="H15" s="53" t="s">
        <v>160</v>
      </c>
      <c r="I15" s="53" t="s">
        <v>159</v>
      </c>
      <c r="J15" s="53" t="s">
        <v>38</v>
      </c>
      <c r="K15" s="53" t="s">
        <v>161</v>
      </c>
      <c r="L15" s="53">
        <v>2</v>
      </c>
      <c r="N15" s="53">
        <v>2</v>
      </c>
      <c r="O15" s="53">
        <v>0.39</v>
      </c>
      <c r="P15" s="53">
        <v>0.39</v>
      </c>
      <c r="Q15" s="74">
        <f t="shared" si="2"/>
        <v>0.39</v>
      </c>
      <c r="R15" s="53">
        <v>16.3</v>
      </c>
      <c r="S15" s="53">
        <v>140</v>
      </c>
      <c r="T15" s="16">
        <f t="shared" si="0"/>
        <v>22</v>
      </c>
      <c r="U15" s="53">
        <v>380</v>
      </c>
      <c r="V15" s="16">
        <f t="shared" si="1"/>
        <v>16</v>
      </c>
      <c r="W15" s="53">
        <v>6</v>
      </c>
      <c r="X15" s="53" t="s">
        <v>46</v>
      </c>
      <c r="Y15" s="53" t="s">
        <v>55</v>
      </c>
      <c r="Z15" s="53" t="s">
        <v>90</v>
      </c>
      <c r="AA15" s="53" t="s">
        <v>97</v>
      </c>
      <c r="AB15" s="53" t="s">
        <v>293</v>
      </c>
      <c r="AE15" s="22" t="s">
        <v>79</v>
      </c>
      <c r="AG15" s="23"/>
      <c r="AH15" s="23"/>
      <c r="AP15" s="23" t="s">
        <v>323</v>
      </c>
      <c r="AR15" s="23" t="s">
        <v>94</v>
      </c>
      <c r="AV15" s="23" t="s">
        <v>107</v>
      </c>
    </row>
    <row r="16" spans="1:53" x14ac:dyDescent="0.15">
      <c r="A16" s="53" t="s">
        <v>59</v>
      </c>
      <c r="B16" s="53" t="s">
        <v>256</v>
      </c>
      <c r="C16" s="62">
        <v>2019</v>
      </c>
      <c r="D16" s="131" t="s">
        <v>289</v>
      </c>
      <c r="E16" s="53" t="s">
        <v>303</v>
      </c>
      <c r="F16" s="53" t="s">
        <v>304</v>
      </c>
      <c r="G16" s="53" t="s">
        <v>36</v>
      </c>
      <c r="H16" s="53" t="s">
        <v>160</v>
      </c>
      <c r="I16" s="53" t="s">
        <v>159</v>
      </c>
      <c r="J16" s="53" t="s">
        <v>38</v>
      </c>
      <c r="K16" s="53" t="s">
        <v>161</v>
      </c>
      <c r="L16" s="53">
        <v>3</v>
      </c>
      <c r="N16" s="53">
        <v>2</v>
      </c>
      <c r="O16" s="53">
        <v>0.45</v>
      </c>
      <c r="P16" s="53">
        <v>0.41</v>
      </c>
      <c r="Q16" s="74">
        <f t="shared" si="2"/>
        <v>0.43</v>
      </c>
      <c r="R16" s="53">
        <v>16.100000000000001</v>
      </c>
      <c r="S16" s="53">
        <v>144</v>
      </c>
      <c r="T16" s="16">
        <f t="shared" si="0"/>
        <v>22</v>
      </c>
      <c r="U16" s="53">
        <v>380</v>
      </c>
      <c r="V16" s="16">
        <f t="shared" si="1"/>
        <v>16</v>
      </c>
      <c r="W16" s="53">
        <v>6</v>
      </c>
      <c r="X16" s="53" t="s">
        <v>46</v>
      </c>
      <c r="Y16" s="53" t="s">
        <v>55</v>
      </c>
      <c r="Z16" s="53" t="s">
        <v>90</v>
      </c>
      <c r="AA16" s="53" t="s">
        <v>97</v>
      </c>
      <c r="AB16" s="53" t="s">
        <v>293</v>
      </c>
      <c r="AE16" s="22" t="s">
        <v>82</v>
      </c>
      <c r="AG16" s="28"/>
      <c r="AH16" s="28"/>
      <c r="AP16" s="23" t="s">
        <v>80</v>
      </c>
      <c r="AR16" s="23" t="s">
        <v>63</v>
      </c>
      <c r="AV16" s="23" t="s">
        <v>84</v>
      </c>
    </row>
    <row r="17" spans="1:48" x14ac:dyDescent="0.15">
      <c r="A17" s="53" t="s">
        <v>59</v>
      </c>
      <c r="B17" s="53" t="s">
        <v>256</v>
      </c>
      <c r="C17" s="62">
        <v>2019</v>
      </c>
      <c r="D17" s="131" t="s">
        <v>289</v>
      </c>
      <c r="E17" s="53" t="s">
        <v>303</v>
      </c>
      <c r="F17" s="53" t="s">
        <v>304</v>
      </c>
      <c r="G17" s="53" t="s">
        <v>36</v>
      </c>
      <c r="H17" s="53" t="s">
        <v>164</v>
      </c>
      <c r="I17" s="53" t="s">
        <v>159</v>
      </c>
      <c r="J17" s="53" t="s">
        <v>38</v>
      </c>
      <c r="K17" s="53" t="s">
        <v>161</v>
      </c>
      <c r="L17" s="53">
        <v>1</v>
      </c>
      <c r="N17" s="53">
        <v>2</v>
      </c>
      <c r="O17" s="53">
        <v>0.52</v>
      </c>
      <c r="P17" s="53">
        <v>0.47</v>
      </c>
      <c r="Q17" s="74">
        <f t="shared" si="2"/>
        <v>0.495</v>
      </c>
      <c r="R17" s="53">
        <v>16.5</v>
      </c>
      <c r="S17" s="53">
        <v>156</v>
      </c>
      <c r="T17" s="16">
        <f t="shared" si="0"/>
        <v>18</v>
      </c>
      <c r="U17" s="53">
        <v>380</v>
      </c>
      <c r="V17" s="16">
        <f t="shared" si="1"/>
        <v>16</v>
      </c>
      <c r="W17" s="53">
        <v>6</v>
      </c>
      <c r="X17" s="53" t="s">
        <v>46</v>
      </c>
      <c r="Y17" s="53" t="s">
        <v>55</v>
      </c>
      <c r="Z17" s="53" t="s">
        <v>90</v>
      </c>
      <c r="AA17" s="53" t="s">
        <v>97</v>
      </c>
      <c r="AB17" s="53" t="s">
        <v>293</v>
      </c>
      <c r="AE17" s="22" t="s">
        <v>85</v>
      </c>
      <c r="AP17" s="27" t="s">
        <v>110</v>
      </c>
      <c r="AR17" s="23" t="s">
        <v>96</v>
      </c>
      <c r="AV17" s="23" t="s">
        <v>86</v>
      </c>
    </row>
    <row r="18" spans="1:48" x14ac:dyDescent="0.15">
      <c r="A18" s="53" t="s">
        <v>59</v>
      </c>
      <c r="B18" s="53" t="s">
        <v>256</v>
      </c>
      <c r="C18" s="62">
        <v>2019</v>
      </c>
      <c r="D18" s="131" t="s">
        <v>289</v>
      </c>
      <c r="E18" s="53" t="s">
        <v>303</v>
      </c>
      <c r="F18" s="53" t="s">
        <v>304</v>
      </c>
      <c r="G18" s="53" t="s">
        <v>36</v>
      </c>
      <c r="H18" s="53" t="s">
        <v>164</v>
      </c>
      <c r="I18" s="53" t="s">
        <v>159</v>
      </c>
      <c r="J18" s="53" t="s">
        <v>38</v>
      </c>
      <c r="K18" s="53" t="s">
        <v>161</v>
      </c>
      <c r="L18" s="53">
        <v>2</v>
      </c>
      <c r="N18" s="53">
        <v>2</v>
      </c>
      <c r="O18" s="53">
        <v>0.52</v>
      </c>
      <c r="P18" s="53">
        <v>0.46</v>
      </c>
      <c r="Q18" s="74">
        <f t="shared" si="2"/>
        <v>0.49</v>
      </c>
      <c r="R18" s="53">
        <v>15.1</v>
      </c>
      <c r="S18" s="53">
        <v>160</v>
      </c>
      <c r="T18" s="16">
        <f t="shared" si="0"/>
        <v>18</v>
      </c>
      <c r="U18" s="53">
        <v>380</v>
      </c>
      <c r="V18" s="16">
        <f t="shared" si="1"/>
        <v>16</v>
      </c>
      <c r="W18" s="53">
        <v>6</v>
      </c>
      <c r="X18" s="53" t="s">
        <v>46</v>
      </c>
      <c r="Y18" s="53" t="s">
        <v>55</v>
      </c>
      <c r="Z18" s="53" t="s">
        <v>90</v>
      </c>
      <c r="AA18" s="53" t="s">
        <v>97</v>
      </c>
      <c r="AB18" s="53" t="s">
        <v>293</v>
      </c>
      <c r="AE18" s="22" t="s">
        <v>87</v>
      </c>
      <c r="AP18" s="27" t="s">
        <v>324</v>
      </c>
      <c r="AR18" s="23" t="s">
        <v>101</v>
      </c>
      <c r="AV18" s="23" t="s">
        <v>88</v>
      </c>
    </row>
    <row r="19" spans="1:48" x14ac:dyDescent="0.15">
      <c r="A19" s="53" t="s">
        <v>59</v>
      </c>
      <c r="B19" s="53" t="s">
        <v>256</v>
      </c>
      <c r="C19" s="62">
        <v>2019</v>
      </c>
      <c r="D19" s="131" t="s">
        <v>289</v>
      </c>
      <c r="E19" s="53" t="s">
        <v>303</v>
      </c>
      <c r="F19" s="53" t="s">
        <v>304</v>
      </c>
      <c r="G19" s="53" t="s">
        <v>36</v>
      </c>
      <c r="H19" s="53" t="s">
        <v>164</v>
      </c>
      <c r="I19" s="53" t="s">
        <v>159</v>
      </c>
      <c r="J19" s="53" t="s">
        <v>38</v>
      </c>
      <c r="K19" s="53" t="s">
        <v>161</v>
      </c>
      <c r="L19" s="53">
        <v>3</v>
      </c>
      <c r="N19" s="53">
        <v>2</v>
      </c>
      <c r="O19" s="53">
        <v>0.53</v>
      </c>
      <c r="P19" s="53">
        <v>0.45</v>
      </c>
      <c r="Q19" s="74">
        <f t="shared" si="2"/>
        <v>0.49</v>
      </c>
      <c r="R19" s="53">
        <v>15.9</v>
      </c>
      <c r="S19" s="53">
        <v>162</v>
      </c>
      <c r="T19" s="16">
        <f t="shared" si="0"/>
        <v>18</v>
      </c>
      <c r="U19" s="53">
        <v>380</v>
      </c>
      <c r="V19" s="16">
        <f t="shared" si="1"/>
        <v>16</v>
      </c>
      <c r="W19" s="53">
        <v>6</v>
      </c>
      <c r="X19" s="53" t="s">
        <v>46</v>
      </c>
      <c r="Y19" s="53" t="s">
        <v>55</v>
      </c>
      <c r="Z19" s="53" t="s">
        <v>90</v>
      </c>
      <c r="AA19" s="53" t="s">
        <v>97</v>
      </c>
      <c r="AB19" s="53" t="s">
        <v>293</v>
      </c>
      <c r="AE19" s="35" t="s">
        <v>89</v>
      </c>
      <c r="AP19" s="27" t="s">
        <v>112</v>
      </c>
      <c r="AR19" s="23" t="s">
        <v>126</v>
      </c>
      <c r="AV19" s="23" t="s">
        <v>325</v>
      </c>
    </row>
    <row r="20" spans="1:48" x14ac:dyDescent="0.15">
      <c r="A20" s="53" t="s">
        <v>59</v>
      </c>
      <c r="B20" s="53" t="s">
        <v>256</v>
      </c>
      <c r="C20" s="62">
        <v>2019</v>
      </c>
      <c r="D20" s="131" t="s">
        <v>289</v>
      </c>
      <c r="E20" s="53" t="s">
        <v>316</v>
      </c>
      <c r="F20" s="53" t="s">
        <v>304</v>
      </c>
      <c r="G20" s="53" t="s">
        <v>36</v>
      </c>
      <c r="H20" s="53" t="s">
        <v>160</v>
      </c>
      <c r="I20" s="53" t="s">
        <v>159</v>
      </c>
      <c r="J20" s="53" t="s">
        <v>38</v>
      </c>
      <c r="K20" s="53" t="s">
        <v>161</v>
      </c>
      <c r="L20" s="53">
        <v>1</v>
      </c>
      <c r="N20" s="53">
        <v>2</v>
      </c>
      <c r="O20" s="53">
        <v>0.43</v>
      </c>
      <c r="P20" s="53">
        <v>0.55000000000000004</v>
      </c>
      <c r="Q20" s="74">
        <f t="shared" si="2"/>
        <v>0.49</v>
      </c>
      <c r="R20" s="53">
        <v>17</v>
      </c>
      <c r="S20" s="53">
        <v>155</v>
      </c>
      <c r="T20" s="16">
        <f t="shared" si="0"/>
        <v>18</v>
      </c>
      <c r="U20" s="53">
        <v>429</v>
      </c>
      <c r="V20" s="16">
        <f t="shared" si="1"/>
        <v>16</v>
      </c>
      <c r="W20" s="53">
        <v>4</v>
      </c>
      <c r="X20" s="53" t="s">
        <v>46</v>
      </c>
      <c r="Y20" s="53" t="s">
        <v>90</v>
      </c>
      <c r="Z20" s="53" t="s">
        <v>55</v>
      </c>
      <c r="AA20" s="53" t="s">
        <v>78</v>
      </c>
      <c r="AB20" s="53" t="s">
        <v>293</v>
      </c>
      <c r="AE20" s="35"/>
      <c r="AP20" s="27" t="s">
        <v>113</v>
      </c>
      <c r="AR20" s="23" t="s">
        <v>105</v>
      </c>
      <c r="AV20" s="27" t="s">
        <v>135</v>
      </c>
    </row>
    <row r="21" spans="1:48" x14ac:dyDescent="0.15">
      <c r="A21" s="53" t="s">
        <v>59</v>
      </c>
      <c r="B21" s="53" t="s">
        <v>256</v>
      </c>
      <c r="C21" s="62">
        <v>2019</v>
      </c>
      <c r="D21" s="131" t="s">
        <v>289</v>
      </c>
      <c r="E21" s="53" t="s">
        <v>316</v>
      </c>
      <c r="F21" s="53" t="s">
        <v>304</v>
      </c>
      <c r="G21" s="53" t="s">
        <v>36</v>
      </c>
      <c r="H21" s="53" t="s">
        <v>160</v>
      </c>
      <c r="I21" s="53" t="s">
        <v>159</v>
      </c>
      <c r="J21" s="53" t="s">
        <v>38</v>
      </c>
      <c r="K21" s="53" t="s">
        <v>161</v>
      </c>
      <c r="L21" s="53">
        <v>2</v>
      </c>
      <c r="N21" s="53">
        <v>2</v>
      </c>
      <c r="O21" s="53">
        <v>0.56999999999999995</v>
      </c>
      <c r="P21" s="53">
        <v>0.54</v>
      </c>
      <c r="Q21" s="74">
        <f t="shared" si="2"/>
        <v>0.55499999999999994</v>
      </c>
      <c r="R21" s="53">
        <v>17</v>
      </c>
      <c r="S21" s="53">
        <v>155</v>
      </c>
      <c r="T21" s="16">
        <f t="shared" si="0"/>
        <v>18</v>
      </c>
      <c r="U21" s="53">
        <v>429</v>
      </c>
      <c r="V21" s="16">
        <f t="shared" si="1"/>
        <v>16</v>
      </c>
      <c r="W21" s="53">
        <v>4</v>
      </c>
      <c r="X21" s="53" t="s">
        <v>46</v>
      </c>
      <c r="Y21" s="53" t="s">
        <v>90</v>
      </c>
      <c r="Z21" s="53" t="s">
        <v>55</v>
      </c>
      <c r="AA21" s="53" t="s">
        <v>78</v>
      </c>
      <c r="AB21" s="53" t="s">
        <v>293</v>
      </c>
      <c r="AE21" s="28"/>
      <c r="AP21" s="27" t="s">
        <v>326</v>
      </c>
      <c r="AR21" s="23" t="s">
        <v>68</v>
      </c>
      <c r="AV21" s="27" t="s">
        <v>136</v>
      </c>
    </row>
    <row r="22" spans="1:48" x14ac:dyDescent="0.15">
      <c r="A22" s="53" t="s">
        <v>59</v>
      </c>
      <c r="B22" s="53" t="s">
        <v>256</v>
      </c>
      <c r="C22" s="62">
        <v>2019</v>
      </c>
      <c r="D22" s="131" t="s">
        <v>289</v>
      </c>
      <c r="E22" s="53" t="s">
        <v>316</v>
      </c>
      <c r="F22" s="53" t="s">
        <v>304</v>
      </c>
      <c r="G22" s="53" t="s">
        <v>36</v>
      </c>
      <c r="H22" s="53" t="s">
        <v>160</v>
      </c>
      <c r="I22" s="53" t="s">
        <v>159</v>
      </c>
      <c r="J22" s="53" t="s">
        <v>38</v>
      </c>
      <c r="K22" s="53" t="s">
        <v>161</v>
      </c>
      <c r="L22" s="53">
        <v>3</v>
      </c>
      <c r="N22" s="53">
        <v>2</v>
      </c>
      <c r="O22" s="53">
        <v>0.52</v>
      </c>
      <c r="P22" s="53">
        <v>0.53</v>
      </c>
      <c r="Q22" s="74">
        <f t="shared" si="2"/>
        <v>0.52500000000000002</v>
      </c>
      <c r="R22" s="53">
        <v>17.399999999999999</v>
      </c>
      <c r="S22" s="53">
        <v>157</v>
      </c>
      <c r="T22" s="16">
        <f t="shared" si="0"/>
        <v>18</v>
      </c>
      <c r="U22" s="53">
        <v>429</v>
      </c>
      <c r="V22" s="16">
        <f t="shared" si="1"/>
        <v>16</v>
      </c>
      <c r="W22" s="53">
        <v>4</v>
      </c>
      <c r="X22" s="53" t="s">
        <v>46</v>
      </c>
      <c r="Y22" s="53" t="s">
        <v>90</v>
      </c>
      <c r="Z22" s="53" t="s">
        <v>55</v>
      </c>
      <c r="AA22" s="53" t="s">
        <v>78</v>
      </c>
      <c r="AB22" s="53" t="s">
        <v>293</v>
      </c>
      <c r="AP22" s="27" t="s">
        <v>327</v>
      </c>
      <c r="AR22" s="23" t="s">
        <v>83</v>
      </c>
      <c r="AV22" s="27" t="s">
        <v>328</v>
      </c>
    </row>
    <row r="23" spans="1:48" x14ac:dyDescent="0.15">
      <c r="A23" s="53" t="s">
        <v>59</v>
      </c>
      <c r="B23" s="53" t="s">
        <v>256</v>
      </c>
      <c r="C23" s="62">
        <v>2019</v>
      </c>
      <c r="D23" s="131" t="s">
        <v>289</v>
      </c>
      <c r="E23" s="53" t="s">
        <v>316</v>
      </c>
      <c r="F23" s="53" t="s">
        <v>304</v>
      </c>
      <c r="G23" s="53" t="s">
        <v>36</v>
      </c>
      <c r="H23" s="53" t="s">
        <v>168</v>
      </c>
      <c r="I23" s="53" t="s">
        <v>159</v>
      </c>
      <c r="J23" s="53" t="s">
        <v>38</v>
      </c>
      <c r="K23" s="53" t="s">
        <v>161</v>
      </c>
      <c r="L23" s="53">
        <v>1</v>
      </c>
      <c r="N23" s="53">
        <v>5</v>
      </c>
      <c r="O23" s="53">
        <v>0.28000000000000003</v>
      </c>
      <c r="P23" s="53">
        <v>0.28999999999999998</v>
      </c>
      <c r="Q23" s="74">
        <f t="shared" si="2"/>
        <v>0.28500000000000003</v>
      </c>
      <c r="R23" s="53">
        <v>18.899999999999999</v>
      </c>
      <c r="S23" s="53">
        <v>90</v>
      </c>
      <c r="T23" s="16">
        <f t="shared" si="0"/>
        <v>36</v>
      </c>
      <c r="U23" s="53">
        <v>429</v>
      </c>
      <c r="V23" s="16">
        <f t="shared" si="1"/>
        <v>16</v>
      </c>
      <c r="W23" s="53">
        <v>3</v>
      </c>
      <c r="X23" s="53" t="s">
        <v>46</v>
      </c>
      <c r="Y23" s="53" t="s">
        <v>90</v>
      </c>
      <c r="Z23" s="53" t="s">
        <v>55</v>
      </c>
      <c r="AA23" s="53" t="s">
        <v>78</v>
      </c>
      <c r="AB23" s="53" t="s">
        <v>293</v>
      </c>
      <c r="AP23" s="27" t="s">
        <v>137</v>
      </c>
      <c r="AR23" s="23" t="s">
        <v>61</v>
      </c>
      <c r="AV23" s="27" t="s">
        <v>329</v>
      </c>
    </row>
    <row r="24" spans="1:48" x14ac:dyDescent="0.15">
      <c r="A24" s="53" t="s">
        <v>59</v>
      </c>
      <c r="B24" s="53" t="s">
        <v>256</v>
      </c>
      <c r="C24" s="62">
        <v>2019</v>
      </c>
      <c r="D24" s="131" t="s">
        <v>289</v>
      </c>
      <c r="E24" s="53" t="s">
        <v>316</v>
      </c>
      <c r="F24" s="53" t="s">
        <v>304</v>
      </c>
      <c r="G24" s="53" t="s">
        <v>36</v>
      </c>
      <c r="H24" s="53" t="s">
        <v>168</v>
      </c>
      <c r="I24" s="53" t="s">
        <v>159</v>
      </c>
      <c r="J24" s="53" t="s">
        <v>38</v>
      </c>
      <c r="K24" s="53" t="s">
        <v>161</v>
      </c>
      <c r="L24" s="53">
        <v>2</v>
      </c>
      <c r="N24" s="53">
        <v>5</v>
      </c>
      <c r="O24" s="53">
        <v>0.25</v>
      </c>
      <c r="P24" s="53">
        <v>0.28999999999999998</v>
      </c>
      <c r="Q24" s="74">
        <f t="shared" si="2"/>
        <v>0.27</v>
      </c>
      <c r="R24" s="53">
        <v>17.600000000000001</v>
      </c>
      <c r="S24" s="53">
        <v>85</v>
      </c>
      <c r="T24" s="16">
        <f t="shared" si="0"/>
        <v>36</v>
      </c>
      <c r="U24" s="53">
        <v>429</v>
      </c>
      <c r="V24" s="16">
        <f t="shared" si="1"/>
        <v>16</v>
      </c>
      <c r="W24" s="53">
        <v>3</v>
      </c>
      <c r="X24" s="53" t="s">
        <v>46</v>
      </c>
      <c r="Y24" s="53" t="s">
        <v>90</v>
      </c>
      <c r="Z24" s="53" t="s">
        <v>55</v>
      </c>
      <c r="AA24" s="53" t="s">
        <v>78</v>
      </c>
      <c r="AB24" s="53" t="s">
        <v>293</v>
      </c>
      <c r="AP24" s="27" t="s">
        <v>138</v>
      </c>
      <c r="AR24" s="23" t="s">
        <v>91</v>
      </c>
      <c r="AV24" s="27" t="s">
        <v>330</v>
      </c>
    </row>
    <row r="25" spans="1:48" x14ac:dyDescent="0.15">
      <c r="A25" s="53" t="s">
        <v>59</v>
      </c>
      <c r="B25" s="53" t="s">
        <v>256</v>
      </c>
      <c r="C25" s="62">
        <v>2019</v>
      </c>
      <c r="D25" s="131" t="s">
        <v>289</v>
      </c>
      <c r="E25" s="53" t="s">
        <v>316</v>
      </c>
      <c r="F25" s="53" t="s">
        <v>304</v>
      </c>
      <c r="G25" s="53" t="s">
        <v>36</v>
      </c>
      <c r="H25" s="53" t="s">
        <v>168</v>
      </c>
      <c r="I25" s="53" t="s">
        <v>159</v>
      </c>
      <c r="J25" s="53" t="s">
        <v>38</v>
      </c>
      <c r="K25" s="53" t="s">
        <v>161</v>
      </c>
      <c r="L25" s="53">
        <v>3</v>
      </c>
      <c r="N25" s="53">
        <v>5</v>
      </c>
      <c r="O25" s="53">
        <v>0.28999999999999998</v>
      </c>
      <c r="P25" s="53">
        <v>0.3</v>
      </c>
      <c r="Q25" s="74">
        <f t="shared" si="2"/>
        <v>0.29499999999999998</v>
      </c>
      <c r="R25" s="53">
        <v>18.3</v>
      </c>
      <c r="S25" s="53">
        <v>79</v>
      </c>
      <c r="T25" s="16">
        <f t="shared" si="0"/>
        <v>39</v>
      </c>
      <c r="U25" s="53">
        <v>429</v>
      </c>
      <c r="V25" s="16">
        <f t="shared" si="1"/>
        <v>16</v>
      </c>
      <c r="W25" s="53">
        <v>3</v>
      </c>
      <c r="X25" s="53" t="s">
        <v>46</v>
      </c>
      <c r="Y25" s="53" t="s">
        <v>90</v>
      </c>
      <c r="Z25" s="53" t="s">
        <v>55</v>
      </c>
      <c r="AA25" s="53" t="s">
        <v>78</v>
      </c>
      <c r="AB25" s="53" t="s">
        <v>293</v>
      </c>
      <c r="AP25" s="27" t="s">
        <v>116</v>
      </c>
      <c r="AR25" s="27" t="s">
        <v>92</v>
      </c>
      <c r="AV25" s="27" t="s">
        <v>331</v>
      </c>
    </row>
    <row r="26" spans="1:48" x14ac:dyDescent="0.15">
      <c r="A26" s="53" t="s">
        <v>59</v>
      </c>
      <c r="B26" s="53" t="s">
        <v>256</v>
      </c>
      <c r="C26" s="62">
        <v>2019</v>
      </c>
      <c r="D26" s="131" t="s">
        <v>289</v>
      </c>
      <c r="E26" s="53" t="s">
        <v>314</v>
      </c>
      <c r="F26" s="53" t="s">
        <v>313</v>
      </c>
      <c r="G26" s="53" t="s">
        <v>36</v>
      </c>
      <c r="H26" s="53" t="s">
        <v>160</v>
      </c>
      <c r="I26" s="53" t="s">
        <v>159</v>
      </c>
      <c r="J26" s="53" t="s">
        <v>38</v>
      </c>
      <c r="K26" s="53" t="s">
        <v>161</v>
      </c>
      <c r="L26" s="53">
        <v>1</v>
      </c>
      <c r="N26" s="53">
        <v>4</v>
      </c>
      <c r="O26" s="53">
        <v>0.35</v>
      </c>
      <c r="P26" s="53">
        <v>0.38</v>
      </c>
      <c r="Q26" s="74">
        <f t="shared" si="2"/>
        <v>0.36499999999999999</v>
      </c>
      <c r="R26" s="53">
        <v>17.8</v>
      </c>
      <c r="S26" s="53">
        <v>108</v>
      </c>
      <c r="T26" s="16">
        <f t="shared" si="0"/>
        <v>33</v>
      </c>
      <c r="U26" s="53">
        <v>398</v>
      </c>
      <c r="V26" s="16">
        <f t="shared" si="1"/>
        <v>16</v>
      </c>
      <c r="W26" s="53">
        <v>8</v>
      </c>
      <c r="X26" s="53" t="s">
        <v>46</v>
      </c>
      <c r="Y26" s="53" t="s">
        <v>86</v>
      </c>
      <c r="Z26" s="53" t="s">
        <v>55</v>
      </c>
      <c r="AA26" s="53" t="s">
        <v>97</v>
      </c>
      <c r="AB26" s="53" t="s">
        <v>293</v>
      </c>
      <c r="AP26" s="27" t="s">
        <v>117</v>
      </c>
      <c r="AR26" s="27" t="s">
        <v>332</v>
      </c>
      <c r="AV26" s="27"/>
    </row>
    <row r="27" spans="1:48" x14ac:dyDescent="0.15">
      <c r="A27" s="53" t="s">
        <v>59</v>
      </c>
      <c r="B27" s="53" t="s">
        <v>256</v>
      </c>
      <c r="C27" s="62">
        <v>2019</v>
      </c>
      <c r="D27" s="131" t="s">
        <v>289</v>
      </c>
      <c r="E27" s="53" t="s">
        <v>314</v>
      </c>
      <c r="F27" s="53" t="s">
        <v>313</v>
      </c>
      <c r="G27" s="53" t="s">
        <v>36</v>
      </c>
      <c r="H27" s="53" t="s">
        <v>160</v>
      </c>
      <c r="I27" s="53" t="s">
        <v>159</v>
      </c>
      <c r="J27" s="53" t="s">
        <v>38</v>
      </c>
      <c r="K27" s="53" t="s">
        <v>161</v>
      </c>
      <c r="L27" s="53">
        <v>2</v>
      </c>
      <c r="N27" s="53">
        <v>4</v>
      </c>
      <c r="O27" s="53">
        <v>0.36</v>
      </c>
      <c r="P27" s="53">
        <v>0.4</v>
      </c>
      <c r="Q27" s="74">
        <f t="shared" si="2"/>
        <v>0.38</v>
      </c>
      <c r="R27" s="53">
        <v>17.100000000000001</v>
      </c>
      <c r="S27" s="53">
        <v>105</v>
      </c>
      <c r="T27" s="16">
        <f t="shared" si="0"/>
        <v>33</v>
      </c>
      <c r="U27" s="53">
        <v>398</v>
      </c>
      <c r="V27" s="16">
        <f t="shared" si="1"/>
        <v>16</v>
      </c>
      <c r="W27" s="53">
        <v>8</v>
      </c>
      <c r="X27" s="53" t="s">
        <v>46</v>
      </c>
      <c r="Y27" s="53" t="s">
        <v>86</v>
      </c>
      <c r="Z27" s="53" t="s">
        <v>55</v>
      </c>
      <c r="AA27" s="53" t="s">
        <v>97</v>
      </c>
      <c r="AB27" s="53" t="s">
        <v>293</v>
      </c>
      <c r="AP27" s="27" t="s">
        <v>118</v>
      </c>
      <c r="AR27" s="28" t="s">
        <v>153</v>
      </c>
      <c r="AV27" s="27"/>
    </row>
    <row r="28" spans="1:48" x14ac:dyDescent="0.15">
      <c r="A28" s="53" t="s">
        <v>59</v>
      </c>
      <c r="B28" s="53" t="s">
        <v>256</v>
      </c>
      <c r="C28" s="62">
        <v>2019</v>
      </c>
      <c r="D28" s="131" t="s">
        <v>289</v>
      </c>
      <c r="E28" s="53" t="s">
        <v>314</v>
      </c>
      <c r="F28" s="53" t="s">
        <v>313</v>
      </c>
      <c r="G28" s="53" t="s">
        <v>36</v>
      </c>
      <c r="H28" s="53" t="s">
        <v>160</v>
      </c>
      <c r="I28" s="53" t="s">
        <v>159</v>
      </c>
      <c r="J28" s="53" t="s">
        <v>38</v>
      </c>
      <c r="K28" s="53" t="s">
        <v>161</v>
      </c>
      <c r="L28" s="53">
        <v>3</v>
      </c>
      <c r="N28" s="53">
        <v>4</v>
      </c>
      <c r="O28" s="53">
        <v>0.39</v>
      </c>
      <c r="P28" s="53">
        <v>0.37</v>
      </c>
      <c r="Q28" s="74">
        <f t="shared" si="2"/>
        <v>0.38</v>
      </c>
      <c r="R28" s="53">
        <v>16.8</v>
      </c>
      <c r="S28" s="53">
        <v>111</v>
      </c>
      <c r="T28" s="16">
        <f t="shared" si="0"/>
        <v>33</v>
      </c>
      <c r="U28" s="53">
        <v>398</v>
      </c>
      <c r="V28" s="16">
        <f t="shared" si="1"/>
        <v>16</v>
      </c>
      <c r="W28" s="53">
        <v>8</v>
      </c>
      <c r="X28" s="53" t="s">
        <v>46</v>
      </c>
      <c r="Y28" s="53" t="s">
        <v>86</v>
      </c>
      <c r="Z28" s="53" t="s">
        <v>55</v>
      </c>
      <c r="AA28" s="53" t="s">
        <v>97</v>
      </c>
      <c r="AB28" s="53" t="s">
        <v>293</v>
      </c>
      <c r="AV28" s="27"/>
    </row>
    <row r="29" spans="1:48" x14ac:dyDescent="0.15">
      <c r="A29" s="53" t="s">
        <v>59</v>
      </c>
      <c r="B29" s="53" t="s">
        <v>256</v>
      </c>
      <c r="C29" s="62">
        <v>2019</v>
      </c>
      <c r="D29" s="131" t="s">
        <v>289</v>
      </c>
      <c r="E29" s="53" t="s">
        <v>314</v>
      </c>
      <c r="F29" s="53" t="s">
        <v>313</v>
      </c>
      <c r="G29" s="53" t="s">
        <v>36</v>
      </c>
      <c r="H29" s="53" t="s">
        <v>164</v>
      </c>
      <c r="I29" s="53" t="s">
        <v>159</v>
      </c>
      <c r="J29" s="53" t="s">
        <v>38</v>
      </c>
      <c r="K29" s="53" t="s">
        <v>161</v>
      </c>
      <c r="L29" s="53">
        <v>1</v>
      </c>
      <c r="N29" s="53">
        <v>1</v>
      </c>
      <c r="O29" s="53">
        <v>0.85</v>
      </c>
      <c r="P29" s="53">
        <v>0.92</v>
      </c>
      <c r="Q29" s="74">
        <f t="shared" si="2"/>
        <v>0.88500000000000001</v>
      </c>
      <c r="R29" s="53">
        <v>13.4</v>
      </c>
      <c r="S29" s="53">
        <v>110</v>
      </c>
      <c r="T29" s="16">
        <f t="shared" si="0"/>
        <v>33</v>
      </c>
      <c r="U29" s="53">
        <v>138</v>
      </c>
      <c r="V29" s="16">
        <f t="shared" si="1"/>
        <v>22</v>
      </c>
      <c r="W29" s="53">
        <v>4</v>
      </c>
      <c r="X29" s="53" t="s">
        <v>46</v>
      </c>
      <c r="Y29" s="53" t="s">
        <v>86</v>
      </c>
      <c r="Z29" s="53" t="s">
        <v>55</v>
      </c>
      <c r="AA29" s="53" t="s">
        <v>97</v>
      </c>
      <c r="AB29" s="53" t="s">
        <v>293</v>
      </c>
      <c r="AV29" s="27"/>
    </row>
    <row r="30" spans="1:48" x14ac:dyDescent="0.15">
      <c r="A30" s="53" t="s">
        <v>59</v>
      </c>
      <c r="B30" s="53" t="s">
        <v>256</v>
      </c>
      <c r="C30" s="62">
        <v>2019</v>
      </c>
      <c r="D30" s="131" t="s">
        <v>289</v>
      </c>
      <c r="E30" s="53" t="s">
        <v>314</v>
      </c>
      <c r="F30" s="53" t="s">
        <v>313</v>
      </c>
      <c r="G30" s="53" t="s">
        <v>36</v>
      </c>
      <c r="H30" s="53" t="s">
        <v>164</v>
      </c>
      <c r="I30" s="53" t="s">
        <v>159</v>
      </c>
      <c r="J30" s="53" t="s">
        <v>38</v>
      </c>
      <c r="K30" s="53" t="s">
        <v>161</v>
      </c>
      <c r="L30" s="53">
        <v>2</v>
      </c>
      <c r="N30" s="53">
        <v>1</v>
      </c>
      <c r="O30" s="53">
        <v>0.82</v>
      </c>
      <c r="P30" s="53">
        <v>0.86</v>
      </c>
      <c r="Q30" s="74">
        <f t="shared" si="2"/>
        <v>0.84</v>
      </c>
      <c r="R30" s="53">
        <v>13.2</v>
      </c>
      <c r="S30" s="53">
        <v>124</v>
      </c>
      <c r="T30" s="16">
        <f t="shared" si="0"/>
        <v>27</v>
      </c>
      <c r="U30" s="53">
        <v>138</v>
      </c>
      <c r="V30" s="16">
        <f t="shared" si="1"/>
        <v>22</v>
      </c>
      <c r="W30" s="53">
        <v>4</v>
      </c>
      <c r="X30" s="53" t="s">
        <v>46</v>
      </c>
      <c r="Y30" s="53" t="s">
        <v>86</v>
      </c>
      <c r="Z30" s="53" t="s">
        <v>55</v>
      </c>
      <c r="AA30" s="53" t="s">
        <v>97</v>
      </c>
      <c r="AB30" s="53" t="s">
        <v>293</v>
      </c>
      <c r="AV30" s="27"/>
    </row>
    <row r="31" spans="1:48" x14ac:dyDescent="0.15">
      <c r="A31" s="53" t="s">
        <v>59</v>
      </c>
      <c r="B31" s="53" t="s">
        <v>256</v>
      </c>
      <c r="C31" s="62">
        <v>2019</v>
      </c>
      <c r="D31" s="131" t="s">
        <v>289</v>
      </c>
      <c r="E31" s="53" t="s">
        <v>314</v>
      </c>
      <c r="F31" s="53" t="s">
        <v>313</v>
      </c>
      <c r="G31" s="53" t="s">
        <v>36</v>
      </c>
      <c r="H31" s="53" t="s">
        <v>164</v>
      </c>
      <c r="I31" s="53" t="s">
        <v>159</v>
      </c>
      <c r="J31" s="53" t="s">
        <v>38</v>
      </c>
      <c r="K31" s="53" t="s">
        <v>161</v>
      </c>
      <c r="L31" s="53">
        <v>3</v>
      </c>
      <c r="N31" s="53">
        <v>1</v>
      </c>
      <c r="O31" s="53">
        <v>0.88</v>
      </c>
      <c r="P31" s="53">
        <v>0.81</v>
      </c>
      <c r="Q31" s="74">
        <f t="shared" si="2"/>
        <v>0.84499999999999997</v>
      </c>
      <c r="R31" s="53">
        <v>13.6</v>
      </c>
      <c r="S31" s="53">
        <v>130</v>
      </c>
      <c r="T31" s="16">
        <f t="shared" si="0"/>
        <v>25</v>
      </c>
      <c r="U31" s="53">
        <v>138</v>
      </c>
      <c r="V31" s="16">
        <f t="shared" si="1"/>
        <v>22</v>
      </c>
      <c r="W31" s="53">
        <v>4</v>
      </c>
      <c r="X31" s="53" t="s">
        <v>46</v>
      </c>
      <c r="Y31" s="53" t="s">
        <v>86</v>
      </c>
      <c r="Z31" s="53" t="s">
        <v>55</v>
      </c>
      <c r="AA31" s="53" t="s">
        <v>97</v>
      </c>
      <c r="AB31" s="53" t="s">
        <v>293</v>
      </c>
      <c r="AV31" s="27"/>
    </row>
    <row r="32" spans="1:48" x14ac:dyDescent="0.15">
      <c r="A32" s="53" t="s">
        <v>59</v>
      </c>
      <c r="B32" s="53" t="s">
        <v>256</v>
      </c>
      <c r="C32" s="62">
        <v>2019</v>
      </c>
      <c r="D32" s="131" t="s">
        <v>289</v>
      </c>
      <c r="E32" s="53" t="s">
        <v>162</v>
      </c>
      <c r="F32" s="53" t="s">
        <v>313</v>
      </c>
      <c r="G32" s="53" t="s">
        <v>36</v>
      </c>
      <c r="H32" s="53" t="s">
        <v>160</v>
      </c>
      <c r="I32" s="53" t="s">
        <v>159</v>
      </c>
      <c r="J32" s="53" t="s">
        <v>38</v>
      </c>
      <c r="K32" s="53" t="s">
        <v>161</v>
      </c>
      <c r="L32" s="53">
        <v>1</v>
      </c>
      <c r="N32" s="53">
        <v>4</v>
      </c>
      <c r="O32" s="53">
        <v>0.33</v>
      </c>
      <c r="P32" s="53">
        <v>0.35</v>
      </c>
      <c r="Q32" s="74">
        <f t="shared" si="2"/>
        <v>0.33999999999999997</v>
      </c>
      <c r="R32" s="53">
        <v>14</v>
      </c>
      <c r="S32" s="53">
        <v>96</v>
      </c>
      <c r="T32" s="16">
        <f t="shared" si="0"/>
        <v>36</v>
      </c>
      <c r="U32" s="53">
        <v>398</v>
      </c>
      <c r="V32" s="16">
        <f t="shared" si="1"/>
        <v>16</v>
      </c>
      <c r="W32" s="53">
        <v>8</v>
      </c>
      <c r="X32" s="53" t="s">
        <v>46</v>
      </c>
      <c r="Y32" s="53" t="s">
        <v>55</v>
      </c>
      <c r="Z32" s="53" t="s">
        <v>69</v>
      </c>
      <c r="AA32" s="53" t="s">
        <v>78</v>
      </c>
      <c r="AB32" s="53" t="s">
        <v>293</v>
      </c>
      <c r="AV32" s="27"/>
    </row>
    <row r="33" spans="1:48" x14ac:dyDescent="0.15">
      <c r="A33" s="53" t="s">
        <v>59</v>
      </c>
      <c r="B33" s="53" t="s">
        <v>256</v>
      </c>
      <c r="C33" s="62">
        <v>2019</v>
      </c>
      <c r="D33" s="131" t="s">
        <v>289</v>
      </c>
      <c r="E33" s="53" t="s">
        <v>162</v>
      </c>
      <c r="F33" s="53" t="s">
        <v>313</v>
      </c>
      <c r="G33" s="53" t="s">
        <v>36</v>
      </c>
      <c r="H33" s="53" t="s">
        <v>160</v>
      </c>
      <c r="I33" s="53" t="s">
        <v>159</v>
      </c>
      <c r="J33" s="53" t="s">
        <v>38</v>
      </c>
      <c r="K33" s="53" t="s">
        <v>161</v>
      </c>
      <c r="L33" s="53">
        <v>2</v>
      </c>
      <c r="N33" s="53">
        <v>4</v>
      </c>
      <c r="O33" s="53">
        <v>0.35</v>
      </c>
      <c r="P33" s="53">
        <v>0.34</v>
      </c>
      <c r="Q33" s="74">
        <f t="shared" si="2"/>
        <v>0.34499999999999997</v>
      </c>
      <c r="R33" s="53">
        <v>14.4</v>
      </c>
      <c r="S33" s="53">
        <v>96</v>
      </c>
      <c r="T33" s="16">
        <f t="shared" si="0"/>
        <v>36</v>
      </c>
      <c r="U33" s="53">
        <v>398</v>
      </c>
      <c r="V33" s="16">
        <f t="shared" si="1"/>
        <v>16</v>
      </c>
      <c r="W33" s="53">
        <v>8</v>
      </c>
      <c r="X33" s="53" t="s">
        <v>46</v>
      </c>
      <c r="Y33" s="53" t="s">
        <v>55</v>
      </c>
      <c r="Z33" s="53" t="s">
        <v>69</v>
      </c>
      <c r="AA33" s="53" t="s">
        <v>78</v>
      </c>
      <c r="AB33" s="53" t="s">
        <v>293</v>
      </c>
      <c r="AV33" s="27"/>
    </row>
    <row r="34" spans="1:48" x14ac:dyDescent="0.15">
      <c r="A34" s="53" t="s">
        <v>59</v>
      </c>
      <c r="B34" s="53" t="s">
        <v>256</v>
      </c>
      <c r="C34" s="62">
        <v>2019</v>
      </c>
      <c r="D34" s="131" t="s">
        <v>289</v>
      </c>
      <c r="E34" s="53" t="s">
        <v>162</v>
      </c>
      <c r="F34" s="53" t="s">
        <v>313</v>
      </c>
      <c r="G34" s="53" t="s">
        <v>36</v>
      </c>
      <c r="H34" s="53" t="s">
        <v>160</v>
      </c>
      <c r="I34" s="53" t="s">
        <v>159</v>
      </c>
      <c r="J34" s="53" t="s">
        <v>38</v>
      </c>
      <c r="K34" s="53" t="s">
        <v>161</v>
      </c>
      <c r="L34" s="53">
        <v>3</v>
      </c>
      <c r="N34" s="53">
        <v>4</v>
      </c>
      <c r="O34" s="53">
        <v>0.33</v>
      </c>
      <c r="P34" s="53">
        <v>0.36</v>
      </c>
      <c r="Q34" s="74">
        <f t="shared" si="2"/>
        <v>0.34499999999999997</v>
      </c>
      <c r="R34" s="53">
        <v>14.1</v>
      </c>
      <c r="S34" s="53">
        <v>95</v>
      </c>
      <c r="T34" s="16">
        <f t="shared" si="0"/>
        <v>36</v>
      </c>
      <c r="U34" s="53">
        <v>398</v>
      </c>
      <c r="V34" s="16">
        <f t="shared" si="1"/>
        <v>16</v>
      </c>
      <c r="W34" s="53">
        <v>8</v>
      </c>
      <c r="X34" s="53" t="s">
        <v>46</v>
      </c>
      <c r="Y34" s="53" t="s">
        <v>55</v>
      </c>
      <c r="Z34" s="53" t="s">
        <v>69</v>
      </c>
      <c r="AA34" s="53" t="s">
        <v>78</v>
      </c>
      <c r="AB34" s="53" t="s">
        <v>293</v>
      </c>
      <c r="AV34" s="27"/>
    </row>
    <row r="35" spans="1:48" x14ac:dyDescent="0.15">
      <c r="A35" s="53" t="s">
        <v>59</v>
      </c>
      <c r="B35" s="53" t="s">
        <v>256</v>
      </c>
      <c r="C35" s="62">
        <v>2019</v>
      </c>
      <c r="D35" s="131" t="s">
        <v>289</v>
      </c>
      <c r="E35" s="53" t="s">
        <v>162</v>
      </c>
      <c r="F35" s="53" t="s">
        <v>313</v>
      </c>
      <c r="G35" s="53" t="s">
        <v>36</v>
      </c>
      <c r="H35" s="53" t="s">
        <v>164</v>
      </c>
      <c r="I35" s="53" t="s">
        <v>159</v>
      </c>
      <c r="J35" s="53" t="s">
        <v>38</v>
      </c>
      <c r="K35" s="53" t="s">
        <v>161</v>
      </c>
      <c r="L35" s="53">
        <v>1</v>
      </c>
      <c r="N35" s="53">
        <v>1</v>
      </c>
      <c r="O35" s="53">
        <v>0.49</v>
      </c>
      <c r="P35" s="53">
        <v>0.47</v>
      </c>
      <c r="Q35" s="74">
        <f t="shared" si="2"/>
        <v>0.48</v>
      </c>
      <c r="R35" s="53">
        <v>14.6</v>
      </c>
      <c r="S35" s="53">
        <v>155</v>
      </c>
      <c r="T35" s="16">
        <f t="shared" si="0"/>
        <v>18</v>
      </c>
      <c r="U35" s="53">
        <v>158</v>
      </c>
      <c r="V35" s="16">
        <f t="shared" si="1"/>
        <v>18</v>
      </c>
      <c r="W35" s="53">
        <v>2</v>
      </c>
      <c r="X35" s="53" t="s">
        <v>46</v>
      </c>
      <c r="Y35" s="53" t="s">
        <v>55</v>
      </c>
      <c r="Z35" s="53" t="s">
        <v>69</v>
      </c>
      <c r="AA35" s="53" t="s">
        <v>78</v>
      </c>
      <c r="AB35" s="53" t="s">
        <v>293</v>
      </c>
      <c r="AV35" s="27"/>
    </row>
    <row r="36" spans="1:48" x14ac:dyDescent="0.15">
      <c r="A36" s="53" t="s">
        <v>59</v>
      </c>
      <c r="B36" s="53" t="s">
        <v>256</v>
      </c>
      <c r="C36" s="62">
        <v>2019</v>
      </c>
      <c r="D36" s="131" t="s">
        <v>289</v>
      </c>
      <c r="E36" s="53" t="s">
        <v>162</v>
      </c>
      <c r="F36" s="53" t="s">
        <v>313</v>
      </c>
      <c r="G36" s="53" t="s">
        <v>36</v>
      </c>
      <c r="H36" s="53" t="s">
        <v>164</v>
      </c>
      <c r="I36" s="53" t="s">
        <v>159</v>
      </c>
      <c r="J36" s="53" t="s">
        <v>38</v>
      </c>
      <c r="K36" s="53" t="s">
        <v>161</v>
      </c>
      <c r="L36" s="53">
        <v>2</v>
      </c>
      <c r="N36" s="53">
        <v>1</v>
      </c>
      <c r="O36" s="53">
        <v>0.63</v>
      </c>
      <c r="P36" s="53">
        <v>0.6</v>
      </c>
      <c r="Q36" s="74">
        <f t="shared" si="2"/>
        <v>0.61499999999999999</v>
      </c>
      <c r="R36" s="53">
        <v>14.4</v>
      </c>
      <c r="S36" s="53">
        <v>155</v>
      </c>
      <c r="T36" s="16">
        <f t="shared" si="0"/>
        <v>18</v>
      </c>
      <c r="U36" s="53">
        <v>158</v>
      </c>
      <c r="V36" s="16">
        <f t="shared" si="1"/>
        <v>18</v>
      </c>
      <c r="W36" s="53">
        <v>2</v>
      </c>
      <c r="X36" s="53" t="s">
        <v>46</v>
      </c>
      <c r="Y36" s="53" t="s">
        <v>55</v>
      </c>
      <c r="Z36" s="53" t="s">
        <v>69</v>
      </c>
      <c r="AA36" s="53" t="s">
        <v>78</v>
      </c>
      <c r="AB36" s="53" t="s">
        <v>293</v>
      </c>
      <c r="AV36" s="27"/>
    </row>
    <row r="37" spans="1:48" x14ac:dyDescent="0.15">
      <c r="A37" s="53" t="s">
        <v>59</v>
      </c>
      <c r="B37" s="53" t="s">
        <v>256</v>
      </c>
      <c r="C37" s="62">
        <v>2019</v>
      </c>
      <c r="D37" s="131" t="s">
        <v>289</v>
      </c>
      <c r="E37" s="53" t="s">
        <v>162</v>
      </c>
      <c r="F37" s="53" t="s">
        <v>313</v>
      </c>
      <c r="G37" s="53" t="s">
        <v>36</v>
      </c>
      <c r="H37" s="53" t="s">
        <v>164</v>
      </c>
      <c r="I37" s="53" t="s">
        <v>159</v>
      </c>
      <c r="J37" s="53" t="s">
        <v>38</v>
      </c>
      <c r="K37" s="53" t="s">
        <v>161</v>
      </c>
      <c r="L37" s="53">
        <v>3</v>
      </c>
      <c r="N37" s="53">
        <v>1</v>
      </c>
      <c r="O37" s="53">
        <v>0.52</v>
      </c>
      <c r="P37" s="53">
        <v>0.61</v>
      </c>
      <c r="Q37" s="74">
        <f t="shared" si="2"/>
        <v>0.56499999999999995</v>
      </c>
      <c r="R37" s="53">
        <v>15.2</v>
      </c>
      <c r="S37" s="53">
        <v>155</v>
      </c>
      <c r="T37" s="16">
        <f t="shared" si="0"/>
        <v>18</v>
      </c>
      <c r="U37" s="53">
        <v>158</v>
      </c>
      <c r="V37" s="16">
        <f t="shared" si="1"/>
        <v>18</v>
      </c>
      <c r="W37" s="53">
        <v>2</v>
      </c>
      <c r="X37" s="53" t="s">
        <v>46</v>
      </c>
      <c r="Y37" s="53" t="s">
        <v>55</v>
      </c>
      <c r="Z37" s="53" t="s">
        <v>69</v>
      </c>
      <c r="AA37" s="53" t="s">
        <v>78</v>
      </c>
      <c r="AB37" s="53" t="s">
        <v>293</v>
      </c>
      <c r="AV37" s="27"/>
    </row>
    <row r="38" spans="1:48" x14ac:dyDescent="0.15">
      <c r="A38" s="53" t="s">
        <v>59</v>
      </c>
      <c r="B38" s="53" t="s">
        <v>256</v>
      </c>
      <c r="C38" s="62">
        <v>2019</v>
      </c>
      <c r="D38" s="131" t="s">
        <v>289</v>
      </c>
      <c r="E38" s="53" t="s">
        <v>310</v>
      </c>
      <c r="F38" s="53" t="s">
        <v>311</v>
      </c>
      <c r="G38" s="53" t="s">
        <v>36</v>
      </c>
      <c r="H38" s="53" t="s">
        <v>160</v>
      </c>
      <c r="I38" s="53" t="s">
        <v>159</v>
      </c>
      <c r="J38" s="53" t="s">
        <v>38</v>
      </c>
      <c r="K38" s="53" t="s">
        <v>161</v>
      </c>
      <c r="L38" s="53">
        <v>1</v>
      </c>
      <c r="N38" s="53">
        <v>3</v>
      </c>
      <c r="O38" s="53">
        <v>0.4</v>
      </c>
      <c r="P38" s="53">
        <v>0.36</v>
      </c>
      <c r="Q38" s="74">
        <f t="shared" si="2"/>
        <v>0.38</v>
      </c>
      <c r="R38" s="53">
        <v>15.7</v>
      </c>
      <c r="S38" s="53">
        <v>125</v>
      </c>
      <c r="T38" s="16">
        <f t="shared" si="0"/>
        <v>27</v>
      </c>
      <c r="U38" s="53">
        <v>399</v>
      </c>
      <c r="V38" s="16">
        <f t="shared" si="1"/>
        <v>16</v>
      </c>
      <c r="W38" s="53">
        <v>9</v>
      </c>
      <c r="X38" s="53" t="s">
        <v>39</v>
      </c>
      <c r="Y38" s="53" t="s">
        <v>69</v>
      </c>
      <c r="Z38" s="53" t="s">
        <v>55</v>
      </c>
      <c r="AA38" s="53" t="s">
        <v>90</v>
      </c>
      <c r="AB38" s="53" t="s">
        <v>293</v>
      </c>
      <c r="AV38" s="27"/>
    </row>
    <row r="39" spans="1:48" x14ac:dyDescent="0.15">
      <c r="A39" s="53" t="s">
        <v>59</v>
      </c>
      <c r="B39" s="53" t="s">
        <v>256</v>
      </c>
      <c r="C39" s="62">
        <v>2019</v>
      </c>
      <c r="D39" s="131" t="s">
        <v>289</v>
      </c>
      <c r="E39" s="53" t="s">
        <v>310</v>
      </c>
      <c r="F39" s="53" t="s">
        <v>311</v>
      </c>
      <c r="G39" s="53" t="s">
        <v>36</v>
      </c>
      <c r="H39" s="53" t="s">
        <v>160</v>
      </c>
      <c r="I39" s="53" t="s">
        <v>159</v>
      </c>
      <c r="J39" s="53" t="s">
        <v>38</v>
      </c>
      <c r="K39" s="53" t="s">
        <v>161</v>
      </c>
      <c r="L39" s="53">
        <v>2</v>
      </c>
      <c r="N39" s="53">
        <v>3</v>
      </c>
      <c r="O39" s="53">
        <v>0.5</v>
      </c>
      <c r="P39" s="53">
        <v>0.46</v>
      </c>
      <c r="Q39" s="74">
        <f t="shared" si="2"/>
        <v>0.48</v>
      </c>
      <c r="R39" s="53">
        <v>15.3</v>
      </c>
      <c r="S39" s="53">
        <v>135</v>
      </c>
      <c r="T39" s="16">
        <f t="shared" si="0"/>
        <v>25</v>
      </c>
      <c r="U39" s="53">
        <v>399</v>
      </c>
      <c r="V39" s="16">
        <f t="shared" si="1"/>
        <v>16</v>
      </c>
      <c r="W39" s="53">
        <v>9</v>
      </c>
      <c r="X39" s="53" t="s">
        <v>39</v>
      </c>
      <c r="Y39" s="53" t="s">
        <v>69</v>
      </c>
      <c r="Z39" s="53" t="s">
        <v>55</v>
      </c>
      <c r="AA39" s="53" t="s">
        <v>90</v>
      </c>
      <c r="AB39" s="53" t="s">
        <v>293</v>
      </c>
      <c r="AV39" s="27"/>
    </row>
    <row r="40" spans="1:48" x14ac:dyDescent="0.15">
      <c r="A40" s="53" t="s">
        <v>59</v>
      </c>
      <c r="B40" s="53" t="s">
        <v>256</v>
      </c>
      <c r="C40" s="62">
        <v>2019</v>
      </c>
      <c r="D40" s="131" t="s">
        <v>289</v>
      </c>
      <c r="E40" s="53" t="s">
        <v>310</v>
      </c>
      <c r="F40" s="53" t="s">
        <v>311</v>
      </c>
      <c r="G40" s="53" t="s">
        <v>36</v>
      </c>
      <c r="H40" s="53" t="s">
        <v>160</v>
      </c>
      <c r="I40" s="53" t="s">
        <v>159</v>
      </c>
      <c r="J40" s="53" t="s">
        <v>38</v>
      </c>
      <c r="K40" s="53" t="s">
        <v>161</v>
      </c>
      <c r="L40" s="53">
        <v>3</v>
      </c>
      <c r="N40" s="53">
        <v>3</v>
      </c>
      <c r="O40" s="53">
        <v>0.42</v>
      </c>
      <c r="P40" s="53">
        <v>0.5</v>
      </c>
      <c r="Q40" s="74">
        <f t="shared" si="2"/>
        <v>0.45999999999999996</v>
      </c>
      <c r="R40" s="53">
        <v>15.6</v>
      </c>
      <c r="S40" s="53">
        <v>132</v>
      </c>
      <c r="T40" s="16">
        <f t="shared" si="0"/>
        <v>25</v>
      </c>
      <c r="U40" s="53">
        <v>399</v>
      </c>
      <c r="V40" s="16">
        <f t="shared" si="1"/>
        <v>16</v>
      </c>
      <c r="W40" s="53">
        <v>9</v>
      </c>
      <c r="X40" s="53" t="s">
        <v>39</v>
      </c>
      <c r="Y40" s="53" t="s">
        <v>69</v>
      </c>
      <c r="Z40" s="53" t="s">
        <v>55</v>
      </c>
      <c r="AA40" s="53" t="s">
        <v>90</v>
      </c>
      <c r="AB40" s="53" t="s">
        <v>293</v>
      </c>
      <c r="AV40" s="27"/>
    </row>
    <row r="41" spans="1:48" x14ac:dyDescent="0.15">
      <c r="A41" s="53" t="s">
        <v>59</v>
      </c>
      <c r="B41" s="53" t="s">
        <v>256</v>
      </c>
      <c r="C41" s="62">
        <v>2019</v>
      </c>
      <c r="D41" s="131" t="s">
        <v>289</v>
      </c>
      <c r="E41" s="53" t="s">
        <v>310</v>
      </c>
      <c r="F41" s="53" t="s">
        <v>311</v>
      </c>
      <c r="G41" s="53" t="s">
        <v>36</v>
      </c>
      <c r="H41" s="53" t="s">
        <v>164</v>
      </c>
      <c r="I41" s="53" t="s">
        <v>159</v>
      </c>
      <c r="J41" s="53" t="s">
        <v>38</v>
      </c>
      <c r="K41" s="53" t="s">
        <v>161</v>
      </c>
      <c r="L41" s="53">
        <v>1</v>
      </c>
      <c r="N41" s="53">
        <v>3</v>
      </c>
      <c r="O41" s="53">
        <v>0.56999999999999995</v>
      </c>
      <c r="P41" s="53">
        <v>0.57999999999999996</v>
      </c>
      <c r="Q41" s="74">
        <f t="shared" si="2"/>
        <v>0.57499999999999996</v>
      </c>
      <c r="R41" s="53">
        <v>15.1</v>
      </c>
      <c r="S41" s="53">
        <v>133</v>
      </c>
      <c r="T41" s="16">
        <f t="shared" si="0"/>
        <v>25</v>
      </c>
      <c r="U41" s="53">
        <v>399</v>
      </c>
      <c r="V41" s="16">
        <f t="shared" si="1"/>
        <v>16</v>
      </c>
      <c r="W41" s="53">
        <v>11</v>
      </c>
      <c r="X41" s="53" t="s">
        <v>39</v>
      </c>
      <c r="Y41" s="53" t="s">
        <v>69</v>
      </c>
      <c r="Z41" s="53" t="s">
        <v>55</v>
      </c>
      <c r="AA41" s="53" t="s">
        <v>90</v>
      </c>
      <c r="AB41" s="53" t="s">
        <v>293</v>
      </c>
      <c r="AV41" s="27"/>
    </row>
    <row r="42" spans="1:48" x14ac:dyDescent="0.15">
      <c r="A42" s="53" t="s">
        <v>59</v>
      </c>
      <c r="B42" s="53" t="s">
        <v>256</v>
      </c>
      <c r="C42" s="62">
        <v>2019</v>
      </c>
      <c r="D42" s="131" t="s">
        <v>289</v>
      </c>
      <c r="E42" s="53" t="s">
        <v>310</v>
      </c>
      <c r="F42" s="53" t="s">
        <v>311</v>
      </c>
      <c r="G42" s="53" t="s">
        <v>36</v>
      </c>
      <c r="H42" s="53" t="s">
        <v>164</v>
      </c>
      <c r="I42" s="53" t="s">
        <v>159</v>
      </c>
      <c r="J42" s="53" t="s">
        <v>38</v>
      </c>
      <c r="K42" s="53" t="s">
        <v>161</v>
      </c>
      <c r="L42" s="53">
        <v>2</v>
      </c>
      <c r="N42" s="53">
        <v>3</v>
      </c>
      <c r="O42" s="53">
        <v>0.61</v>
      </c>
      <c r="P42" s="53">
        <v>0.63</v>
      </c>
      <c r="Q42" s="74">
        <f t="shared" si="2"/>
        <v>0.62</v>
      </c>
      <c r="R42" s="53">
        <v>14.8</v>
      </c>
      <c r="S42" s="53">
        <v>130</v>
      </c>
      <c r="T42" s="16">
        <f t="shared" si="0"/>
        <v>25</v>
      </c>
      <c r="U42" s="53">
        <v>399</v>
      </c>
      <c r="V42" s="16">
        <f t="shared" si="1"/>
        <v>16</v>
      </c>
      <c r="W42" s="53">
        <v>11</v>
      </c>
      <c r="X42" s="53" t="s">
        <v>39</v>
      </c>
      <c r="Y42" s="53" t="s">
        <v>69</v>
      </c>
      <c r="Z42" s="53" t="s">
        <v>55</v>
      </c>
      <c r="AA42" s="53" t="s">
        <v>90</v>
      </c>
      <c r="AB42" s="53" t="s">
        <v>293</v>
      </c>
      <c r="AV42" s="27"/>
    </row>
    <row r="43" spans="1:48" x14ac:dyDescent="0.15">
      <c r="A43" s="53" t="s">
        <v>59</v>
      </c>
      <c r="B43" s="53" t="s">
        <v>256</v>
      </c>
      <c r="C43" s="62">
        <v>2019</v>
      </c>
      <c r="D43" s="131" t="s">
        <v>289</v>
      </c>
      <c r="E43" s="53" t="s">
        <v>310</v>
      </c>
      <c r="F43" s="53" t="s">
        <v>311</v>
      </c>
      <c r="G43" s="53" t="s">
        <v>36</v>
      </c>
      <c r="H43" s="53" t="s">
        <v>164</v>
      </c>
      <c r="I43" s="53" t="s">
        <v>159</v>
      </c>
      <c r="J43" s="53" t="s">
        <v>38</v>
      </c>
      <c r="K43" s="53" t="s">
        <v>161</v>
      </c>
      <c r="L43" s="53">
        <v>3</v>
      </c>
      <c r="N43" s="53">
        <v>3</v>
      </c>
      <c r="O43" s="53">
        <v>0.5</v>
      </c>
      <c r="P43" s="53">
        <v>0.62</v>
      </c>
      <c r="Q43" s="74">
        <f t="shared" si="2"/>
        <v>0.56000000000000005</v>
      </c>
      <c r="R43" s="53">
        <v>14.7</v>
      </c>
      <c r="S43" s="53">
        <v>131</v>
      </c>
      <c r="T43" s="16">
        <f t="shared" si="0"/>
        <v>25</v>
      </c>
      <c r="U43" s="53">
        <v>399</v>
      </c>
      <c r="V43" s="16">
        <f t="shared" si="1"/>
        <v>16</v>
      </c>
      <c r="W43" s="53">
        <v>11</v>
      </c>
      <c r="X43" s="53" t="s">
        <v>39</v>
      </c>
      <c r="Y43" s="53" t="s">
        <v>69</v>
      </c>
      <c r="Z43" s="53" t="s">
        <v>55</v>
      </c>
      <c r="AA43" s="53" t="s">
        <v>90</v>
      </c>
      <c r="AB43" s="53" t="s">
        <v>293</v>
      </c>
      <c r="AV43" s="27"/>
    </row>
    <row r="44" spans="1:48" x14ac:dyDescent="0.15">
      <c r="A44" s="53" t="s">
        <v>59</v>
      </c>
      <c r="B44" s="53" t="s">
        <v>256</v>
      </c>
      <c r="C44" s="62">
        <v>2019</v>
      </c>
      <c r="D44" s="131" t="s">
        <v>289</v>
      </c>
      <c r="E44" s="53" t="s">
        <v>300</v>
      </c>
      <c r="F44" s="53" t="s">
        <v>301</v>
      </c>
      <c r="G44" s="53" t="s">
        <v>36</v>
      </c>
      <c r="H44" s="53" t="s">
        <v>160</v>
      </c>
      <c r="I44" s="53" t="s">
        <v>159</v>
      </c>
      <c r="J44" s="53" t="s">
        <v>38</v>
      </c>
      <c r="K44" s="53" t="s">
        <v>161</v>
      </c>
      <c r="L44" s="53">
        <v>1</v>
      </c>
      <c r="N44" s="53">
        <v>4</v>
      </c>
      <c r="O44" s="53">
        <v>0.28999999999999998</v>
      </c>
      <c r="P44" s="53">
        <v>0.25</v>
      </c>
      <c r="Q44" s="74">
        <f t="shared" si="2"/>
        <v>0.27</v>
      </c>
      <c r="R44" s="53">
        <v>19.2</v>
      </c>
      <c r="S44" s="53">
        <v>95</v>
      </c>
      <c r="T44" s="16">
        <f t="shared" si="0"/>
        <v>36</v>
      </c>
      <c r="U44" s="53">
        <v>486</v>
      </c>
      <c r="V44" s="16">
        <f t="shared" si="1"/>
        <v>16</v>
      </c>
      <c r="W44" s="53">
        <v>2</v>
      </c>
      <c r="X44" s="53" t="s">
        <v>39</v>
      </c>
      <c r="Y44" s="53" t="s">
        <v>69</v>
      </c>
      <c r="Z44" s="53" t="s">
        <v>78</v>
      </c>
      <c r="AA44" s="53" t="s">
        <v>90</v>
      </c>
      <c r="AB44" s="53" t="s">
        <v>293</v>
      </c>
      <c r="AV44" s="27"/>
    </row>
    <row r="45" spans="1:48" x14ac:dyDescent="0.15">
      <c r="A45" s="53" t="s">
        <v>59</v>
      </c>
      <c r="B45" s="53" t="s">
        <v>256</v>
      </c>
      <c r="C45" s="62">
        <v>2019</v>
      </c>
      <c r="D45" s="131" t="s">
        <v>289</v>
      </c>
      <c r="E45" s="53" t="s">
        <v>300</v>
      </c>
      <c r="F45" s="53" t="s">
        <v>301</v>
      </c>
      <c r="G45" s="53" t="s">
        <v>36</v>
      </c>
      <c r="H45" s="53" t="s">
        <v>160</v>
      </c>
      <c r="I45" s="53" t="s">
        <v>159</v>
      </c>
      <c r="J45" s="53" t="s">
        <v>38</v>
      </c>
      <c r="K45" s="53" t="s">
        <v>161</v>
      </c>
      <c r="L45" s="53">
        <v>2</v>
      </c>
      <c r="N45" s="53">
        <v>4</v>
      </c>
      <c r="O45" s="53">
        <v>0.27</v>
      </c>
      <c r="P45" s="53">
        <v>0.28000000000000003</v>
      </c>
      <c r="Q45" s="74">
        <f t="shared" si="2"/>
        <v>0.27500000000000002</v>
      </c>
      <c r="R45" s="53">
        <v>17.3</v>
      </c>
      <c r="S45" s="53">
        <v>98</v>
      </c>
      <c r="T45" s="16">
        <f t="shared" si="0"/>
        <v>36</v>
      </c>
      <c r="U45" s="53">
        <v>486</v>
      </c>
      <c r="V45" s="16">
        <f t="shared" si="1"/>
        <v>16</v>
      </c>
      <c r="W45" s="53">
        <v>2</v>
      </c>
      <c r="X45" s="53" t="s">
        <v>39</v>
      </c>
      <c r="Y45" s="53" t="s">
        <v>69</v>
      </c>
      <c r="Z45" s="53" t="s">
        <v>78</v>
      </c>
      <c r="AA45" s="53" t="s">
        <v>90</v>
      </c>
      <c r="AB45" s="53" t="s">
        <v>293</v>
      </c>
      <c r="AV45" s="27"/>
    </row>
    <row r="46" spans="1:48" x14ac:dyDescent="0.15">
      <c r="A46" s="53" t="s">
        <v>59</v>
      </c>
      <c r="B46" s="53" t="s">
        <v>256</v>
      </c>
      <c r="C46" s="62">
        <v>2019</v>
      </c>
      <c r="D46" s="131" t="s">
        <v>289</v>
      </c>
      <c r="E46" s="53" t="s">
        <v>300</v>
      </c>
      <c r="F46" s="53" t="s">
        <v>301</v>
      </c>
      <c r="G46" s="53" t="s">
        <v>36</v>
      </c>
      <c r="H46" s="53" t="s">
        <v>160</v>
      </c>
      <c r="I46" s="53" t="s">
        <v>159</v>
      </c>
      <c r="J46" s="53" t="s">
        <v>38</v>
      </c>
      <c r="K46" s="53" t="s">
        <v>161</v>
      </c>
      <c r="L46" s="53">
        <v>3</v>
      </c>
      <c r="N46" s="53">
        <v>4</v>
      </c>
      <c r="O46" s="53">
        <v>0.32</v>
      </c>
      <c r="P46" s="53">
        <v>0.41</v>
      </c>
      <c r="Q46" s="74">
        <f t="shared" si="2"/>
        <v>0.36499999999999999</v>
      </c>
      <c r="R46" s="53">
        <v>16.399999999999999</v>
      </c>
      <c r="S46" s="53">
        <v>98</v>
      </c>
      <c r="T46" s="16">
        <f t="shared" si="0"/>
        <v>36</v>
      </c>
      <c r="U46" s="53">
        <v>486</v>
      </c>
      <c r="V46" s="16">
        <f t="shared" si="1"/>
        <v>16</v>
      </c>
      <c r="W46" s="53">
        <v>2</v>
      </c>
      <c r="X46" s="53" t="s">
        <v>39</v>
      </c>
      <c r="Y46" s="53" t="s">
        <v>69</v>
      </c>
      <c r="Z46" s="53" t="s">
        <v>78</v>
      </c>
      <c r="AA46" s="53" t="s">
        <v>90</v>
      </c>
      <c r="AB46" s="53" t="s">
        <v>293</v>
      </c>
      <c r="AV46" s="27"/>
    </row>
    <row r="47" spans="1:48" x14ac:dyDescent="0.15">
      <c r="A47" s="53" t="s">
        <v>59</v>
      </c>
      <c r="B47" s="53" t="s">
        <v>256</v>
      </c>
      <c r="C47" s="62">
        <v>2019</v>
      </c>
      <c r="D47" s="131" t="s">
        <v>289</v>
      </c>
      <c r="E47" s="53" t="s">
        <v>300</v>
      </c>
      <c r="F47" s="53" t="s">
        <v>301</v>
      </c>
      <c r="G47" s="53" t="s">
        <v>36</v>
      </c>
      <c r="H47" s="53" t="s">
        <v>164</v>
      </c>
      <c r="I47" s="53" t="s">
        <v>159</v>
      </c>
      <c r="J47" s="53" t="s">
        <v>38</v>
      </c>
      <c r="K47" s="53" t="s">
        <v>161</v>
      </c>
      <c r="L47" s="53">
        <v>1</v>
      </c>
      <c r="N47" s="53">
        <v>1</v>
      </c>
      <c r="O47" s="53">
        <v>0.83</v>
      </c>
      <c r="P47" s="53">
        <v>0.85</v>
      </c>
      <c r="Q47" s="74">
        <f t="shared" si="2"/>
        <v>0.84</v>
      </c>
      <c r="R47" s="53">
        <v>13.5</v>
      </c>
      <c r="S47" s="53">
        <v>130</v>
      </c>
      <c r="T47" s="16">
        <f t="shared" si="0"/>
        <v>25</v>
      </c>
      <c r="U47" s="53">
        <v>105</v>
      </c>
      <c r="V47" s="16">
        <f t="shared" si="1"/>
        <v>33</v>
      </c>
      <c r="W47" s="53">
        <v>1</v>
      </c>
      <c r="X47" s="53" t="s">
        <v>39</v>
      </c>
      <c r="Y47" s="53" t="s">
        <v>69</v>
      </c>
      <c r="Z47" s="53" t="s">
        <v>78</v>
      </c>
      <c r="AA47" s="53" t="s">
        <v>90</v>
      </c>
      <c r="AB47" s="53" t="s">
        <v>293</v>
      </c>
      <c r="AV47" s="27"/>
    </row>
    <row r="48" spans="1:48" x14ac:dyDescent="0.15">
      <c r="A48" s="53" t="s">
        <v>59</v>
      </c>
      <c r="B48" s="53" t="s">
        <v>256</v>
      </c>
      <c r="C48" s="62">
        <v>2019</v>
      </c>
      <c r="D48" s="131" t="s">
        <v>289</v>
      </c>
      <c r="E48" s="53" t="s">
        <v>300</v>
      </c>
      <c r="F48" s="53" t="s">
        <v>301</v>
      </c>
      <c r="G48" s="53" t="s">
        <v>36</v>
      </c>
      <c r="H48" s="53" t="s">
        <v>164</v>
      </c>
      <c r="I48" s="53" t="s">
        <v>159</v>
      </c>
      <c r="J48" s="53" t="s">
        <v>38</v>
      </c>
      <c r="K48" s="53" t="s">
        <v>161</v>
      </c>
      <c r="L48" s="53">
        <v>2</v>
      </c>
      <c r="N48" s="53">
        <v>1</v>
      </c>
      <c r="O48" s="53">
        <v>0.76</v>
      </c>
      <c r="P48" s="53">
        <v>0.77</v>
      </c>
      <c r="Q48" s="74">
        <f t="shared" si="2"/>
        <v>0.76500000000000001</v>
      </c>
      <c r="R48" s="53">
        <v>14.9</v>
      </c>
      <c r="S48" s="53">
        <v>129</v>
      </c>
      <c r="T48" s="16">
        <f t="shared" si="0"/>
        <v>25</v>
      </c>
      <c r="U48" s="53">
        <v>105</v>
      </c>
      <c r="V48" s="16">
        <f t="shared" si="1"/>
        <v>33</v>
      </c>
      <c r="W48" s="53">
        <v>1</v>
      </c>
      <c r="X48" s="53" t="s">
        <v>39</v>
      </c>
      <c r="Y48" s="53" t="s">
        <v>69</v>
      </c>
      <c r="Z48" s="53" t="s">
        <v>78</v>
      </c>
      <c r="AA48" s="53" t="s">
        <v>90</v>
      </c>
      <c r="AB48" s="53" t="s">
        <v>293</v>
      </c>
      <c r="AV48" s="27"/>
    </row>
    <row r="49" spans="1:48" x14ac:dyDescent="0.15">
      <c r="A49" s="53" t="s">
        <v>59</v>
      </c>
      <c r="B49" s="53" t="s">
        <v>256</v>
      </c>
      <c r="C49" s="62">
        <v>2019</v>
      </c>
      <c r="D49" s="131" t="s">
        <v>289</v>
      </c>
      <c r="E49" s="53" t="s">
        <v>300</v>
      </c>
      <c r="F49" s="53" t="s">
        <v>301</v>
      </c>
      <c r="G49" s="53" t="s">
        <v>36</v>
      </c>
      <c r="H49" s="53" t="s">
        <v>164</v>
      </c>
      <c r="I49" s="53" t="s">
        <v>159</v>
      </c>
      <c r="J49" s="53" t="s">
        <v>38</v>
      </c>
      <c r="K49" s="53" t="s">
        <v>161</v>
      </c>
      <c r="L49" s="53">
        <v>3</v>
      </c>
      <c r="N49" s="53">
        <v>1</v>
      </c>
      <c r="O49" s="53">
        <v>0.74</v>
      </c>
      <c r="P49" s="53">
        <v>0.66</v>
      </c>
      <c r="Q49" s="74">
        <f t="shared" si="2"/>
        <v>0.7</v>
      </c>
      <c r="R49" s="53">
        <v>13.5</v>
      </c>
      <c r="S49" s="53">
        <v>136</v>
      </c>
      <c r="T49" s="16">
        <f t="shared" si="0"/>
        <v>25</v>
      </c>
      <c r="U49" s="53">
        <v>105</v>
      </c>
      <c r="V49" s="16">
        <f t="shared" si="1"/>
        <v>33</v>
      </c>
      <c r="W49" s="53">
        <v>1</v>
      </c>
      <c r="X49" s="53" t="s">
        <v>39</v>
      </c>
      <c r="Y49" s="53" t="s">
        <v>69</v>
      </c>
      <c r="Z49" s="53" t="s">
        <v>78</v>
      </c>
      <c r="AA49" s="53" t="s">
        <v>90</v>
      </c>
      <c r="AB49" s="53" t="s">
        <v>293</v>
      </c>
      <c r="AV49" s="27"/>
    </row>
    <row r="50" spans="1:48" x14ac:dyDescent="0.15">
      <c r="A50" s="53" t="s">
        <v>59</v>
      </c>
      <c r="B50" s="53" t="s">
        <v>256</v>
      </c>
      <c r="C50" s="62">
        <v>2019</v>
      </c>
      <c r="D50" s="131" t="s">
        <v>289</v>
      </c>
      <c r="E50" s="53" t="s">
        <v>317</v>
      </c>
      <c r="F50" s="53" t="s">
        <v>318</v>
      </c>
      <c r="G50" s="53" t="s">
        <v>36</v>
      </c>
      <c r="H50" s="53" t="s">
        <v>160</v>
      </c>
      <c r="I50" s="53" t="s">
        <v>159</v>
      </c>
      <c r="J50" s="53" t="s">
        <v>38</v>
      </c>
      <c r="K50" s="53" t="s">
        <v>161</v>
      </c>
      <c r="L50" s="53">
        <v>1</v>
      </c>
      <c r="N50" s="53">
        <v>2</v>
      </c>
      <c r="O50" s="53">
        <v>0.46</v>
      </c>
      <c r="P50" s="53">
        <v>0.56999999999999995</v>
      </c>
      <c r="Q50" s="74">
        <f t="shared" si="2"/>
        <v>0.51500000000000001</v>
      </c>
      <c r="R50" s="53">
        <v>14.2</v>
      </c>
      <c r="S50" s="53">
        <v>153</v>
      </c>
      <c r="T50" s="16">
        <f t="shared" si="0"/>
        <v>18</v>
      </c>
      <c r="U50" s="53">
        <v>298</v>
      </c>
      <c r="V50" s="16">
        <f t="shared" si="1"/>
        <v>16</v>
      </c>
      <c r="W50" s="53">
        <v>10</v>
      </c>
      <c r="X50" s="53" t="s">
        <v>46</v>
      </c>
      <c r="Y50" s="53" t="s">
        <v>55</v>
      </c>
      <c r="Z50" s="53" t="s">
        <v>97</v>
      </c>
      <c r="AA50" s="53" t="s">
        <v>86</v>
      </c>
      <c r="AB50" s="53" t="s">
        <v>293</v>
      </c>
      <c r="AV50" s="27"/>
    </row>
    <row r="51" spans="1:48" x14ac:dyDescent="0.15">
      <c r="A51" s="53" t="s">
        <v>59</v>
      </c>
      <c r="B51" s="53" t="s">
        <v>256</v>
      </c>
      <c r="C51" s="62">
        <v>2019</v>
      </c>
      <c r="D51" s="131" t="s">
        <v>289</v>
      </c>
      <c r="E51" s="53" t="s">
        <v>317</v>
      </c>
      <c r="F51" s="53" t="s">
        <v>318</v>
      </c>
      <c r="G51" s="53" t="s">
        <v>36</v>
      </c>
      <c r="H51" s="53" t="s">
        <v>160</v>
      </c>
      <c r="I51" s="53" t="s">
        <v>159</v>
      </c>
      <c r="J51" s="53" t="s">
        <v>38</v>
      </c>
      <c r="K51" s="53" t="s">
        <v>161</v>
      </c>
      <c r="L51" s="53">
        <v>2</v>
      </c>
      <c r="N51" s="53">
        <v>2</v>
      </c>
      <c r="O51" s="53">
        <v>0.56000000000000005</v>
      </c>
      <c r="P51" s="53">
        <v>0.53</v>
      </c>
      <c r="Q51" s="74">
        <f t="shared" si="2"/>
        <v>0.54500000000000004</v>
      </c>
      <c r="R51" s="53">
        <v>14.6</v>
      </c>
      <c r="S51" s="53">
        <v>160</v>
      </c>
      <c r="T51" s="16">
        <f t="shared" si="0"/>
        <v>18</v>
      </c>
      <c r="U51" s="53">
        <v>298</v>
      </c>
      <c r="V51" s="16">
        <f t="shared" si="1"/>
        <v>16</v>
      </c>
      <c r="W51" s="53">
        <v>10</v>
      </c>
      <c r="X51" s="53" t="s">
        <v>46</v>
      </c>
      <c r="Y51" s="53" t="s">
        <v>55</v>
      </c>
      <c r="Z51" s="53" t="s">
        <v>97</v>
      </c>
      <c r="AA51" s="53" t="s">
        <v>86</v>
      </c>
      <c r="AB51" s="53" t="s">
        <v>293</v>
      </c>
      <c r="AV51" s="27"/>
    </row>
    <row r="52" spans="1:48" x14ac:dyDescent="0.15">
      <c r="A52" s="53" t="s">
        <v>59</v>
      </c>
      <c r="B52" s="53" t="s">
        <v>256</v>
      </c>
      <c r="C52" s="62">
        <v>2019</v>
      </c>
      <c r="D52" s="131" t="s">
        <v>289</v>
      </c>
      <c r="E52" s="53" t="s">
        <v>317</v>
      </c>
      <c r="F52" s="53" t="s">
        <v>318</v>
      </c>
      <c r="G52" s="53" t="s">
        <v>36</v>
      </c>
      <c r="H52" s="53" t="s">
        <v>160</v>
      </c>
      <c r="I52" s="53" t="s">
        <v>159</v>
      </c>
      <c r="J52" s="53" t="s">
        <v>38</v>
      </c>
      <c r="K52" s="53" t="s">
        <v>161</v>
      </c>
      <c r="L52" s="53">
        <v>3</v>
      </c>
      <c r="N52" s="53">
        <v>2</v>
      </c>
      <c r="O52" s="53">
        <v>0.54</v>
      </c>
      <c r="P52" s="53">
        <v>0.51</v>
      </c>
      <c r="Q52" s="74">
        <f t="shared" si="2"/>
        <v>0.52500000000000002</v>
      </c>
      <c r="R52" s="53">
        <v>14.9</v>
      </c>
      <c r="S52" s="53">
        <v>158</v>
      </c>
      <c r="T52" s="16">
        <f t="shared" si="0"/>
        <v>18</v>
      </c>
      <c r="U52" s="53">
        <v>298</v>
      </c>
      <c r="V52" s="16">
        <f t="shared" si="1"/>
        <v>16</v>
      </c>
      <c r="W52" s="53">
        <v>10</v>
      </c>
      <c r="X52" s="53" t="s">
        <v>46</v>
      </c>
      <c r="Y52" s="53" t="s">
        <v>55</v>
      </c>
      <c r="Z52" s="53" t="s">
        <v>97</v>
      </c>
      <c r="AA52" s="53" t="s">
        <v>86</v>
      </c>
      <c r="AB52" s="53" t="s">
        <v>293</v>
      </c>
      <c r="AV52" s="27"/>
    </row>
    <row r="53" spans="1:48" x14ac:dyDescent="0.15">
      <c r="A53" s="53" t="s">
        <v>59</v>
      </c>
      <c r="B53" s="53" t="s">
        <v>256</v>
      </c>
      <c r="C53" s="62">
        <v>2019</v>
      </c>
      <c r="D53" s="131" t="s">
        <v>289</v>
      </c>
      <c r="E53" s="53" t="s">
        <v>317</v>
      </c>
      <c r="F53" s="53" t="s">
        <v>318</v>
      </c>
      <c r="G53" s="53" t="s">
        <v>36</v>
      </c>
      <c r="H53" s="53" t="s">
        <v>164</v>
      </c>
      <c r="I53" s="53" t="s">
        <v>159</v>
      </c>
      <c r="J53" s="53" t="s">
        <v>38</v>
      </c>
      <c r="K53" s="53" t="s">
        <v>161</v>
      </c>
      <c r="L53" s="53">
        <v>1</v>
      </c>
      <c r="N53" s="53">
        <v>4</v>
      </c>
      <c r="O53" s="53">
        <v>0.56000000000000005</v>
      </c>
      <c r="P53" s="53">
        <v>0.59</v>
      </c>
      <c r="Q53" s="74">
        <f t="shared" si="2"/>
        <v>0.57499999999999996</v>
      </c>
      <c r="R53" s="53">
        <v>13.9</v>
      </c>
      <c r="S53" s="53">
        <v>125</v>
      </c>
      <c r="T53" s="16">
        <f t="shared" si="0"/>
        <v>27</v>
      </c>
      <c r="U53" s="53">
        <v>358</v>
      </c>
      <c r="V53" s="16">
        <f t="shared" si="1"/>
        <v>16</v>
      </c>
      <c r="W53" s="53">
        <v>7</v>
      </c>
      <c r="X53" s="53" t="s">
        <v>46</v>
      </c>
      <c r="Y53" s="53" t="s">
        <v>55</v>
      </c>
      <c r="Z53" s="53" t="s">
        <v>97</v>
      </c>
      <c r="AA53" s="53" t="s">
        <v>86</v>
      </c>
      <c r="AB53" s="53" t="s">
        <v>293</v>
      </c>
      <c r="AV53" s="27"/>
    </row>
    <row r="54" spans="1:48" x14ac:dyDescent="0.15">
      <c r="A54" s="53" t="s">
        <v>59</v>
      </c>
      <c r="B54" s="53" t="s">
        <v>256</v>
      </c>
      <c r="C54" s="62">
        <v>2019</v>
      </c>
      <c r="D54" s="131" t="s">
        <v>289</v>
      </c>
      <c r="E54" s="53" t="s">
        <v>317</v>
      </c>
      <c r="F54" s="53" t="s">
        <v>318</v>
      </c>
      <c r="G54" s="53" t="s">
        <v>36</v>
      </c>
      <c r="H54" s="53" t="s">
        <v>164</v>
      </c>
      <c r="I54" s="53" t="s">
        <v>159</v>
      </c>
      <c r="J54" s="53" t="s">
        <v>38</v>
      </c>
      <c r="K54" s="53" t="s">
        <v>161</v>
      </c>
      <c r="L54" s="53">
        <v>2</v>
      </c>
      <c r="N54" s="53">
        <v>4</v>
      </c>
      <c r="O54" s="53">
        <v>0.6</v>
      </c>
      <c r="P54" s="53">
        <v>0.73</v>
      </c>
      <c r="Q54" s="74">
        <f t="shared" si="2"/>
        <v>0.66500000000000004</v>
      </c>
      <c r="R54" s="53">
        <v>13.5</v>
      </c>
      <c r="S54" s="53">
        <v>135</v>
      </c>
      <c r="T54" s="16">
        <f t="shared" si="0"/>
        <v>25</v>
      </c>
      <c r="U54" s="53">
        <v>358</v>
      </c>
      <c r="V54" s="16">
        <f t="shared" si="1"/>
        <v>16</v>
      </c>
      <c r="W54" s="53">
        <v>7</v>
      </c>
      <c r="X54" s="53" t="s">
        <v>46</v>
      </c>
      <c r="Y54" s="53" t="s">
        <v>55</v>
      </c>
      <c r="Z54" s="53" t="s">
        <v>97</v>
      </c>
      <c r="AA54" s="53" t="s">
        <v>86</v>
      </c>
      <c r="AB54" s="53" t="s">
        <v>293</v>
      </c>
      <c r="AV54" s="27"/>
    </row>
    <row r="55" spans="1:48" x14ac:dyDescent="0.15">
      <c r="A55" s="53" t="s">
        <v>59</v>
      </c>
      <c r="B55" s="53" t="s">
        <v>256</v>
      </c>
      <c r="C55" s="62">
        <v>2019</v>
      </c>
      <c r="D55" s="131" t="s">
        <v>289</v>
      </c>
      <c r="E55" s="53" t="s">
        <v>317</v>
      </c>
      <c r="F55" s="53" t="s">
        <v>318</v>
      </c>
      <c r="G55" s="53" t="s">
        <v>36</v>
      </c>
      <c r="H55" s="53" t="s">
        <v>164</v>
      </c>
      <c r="I55" s="53" t="s">
        <v>159</v>
      </c>
      <c r="J55" s="53" t="s">
        <v>38</v>
      </c>
      <c r="K55" s="53" t="s">
        <v>161</v>
      </c>
      <c r="L55" s="53">
        <v>3</v>
      </c>
      <c r="N55" s="53">
        <v>4</v>
      </c>
      <c r="O55" s="53">
        <v>0.57999999999999996</v>
      </c>
      <c r="P55" s="53">
        <v>0.65</v>
      </c>
      <c r="Q55" s="74">
        <f t="shared" si="2"/>
        <v>0.61499999999999999</v>
      </c>
      <c r="R55" s="53">
        <v>13.8</v>
      </c>
      <c r="S55" s="53">
        <v>135</v>
      </c>
      <c r="T55" s="16">
        <f t="shared" si="0"/>
        <v>25</v>
      </c>
      <c r="U55" s="53">
        <v>358</v>
      </c>
      <c r="V55" s="16">
        <f t="shared" si="1"/>
        <v>16</v>
      </c>
      <c r="W55" s="53">
        <v>7</v>
      </c>
      <c r="X55" s="53" t="s">
        <v>46</v>
      </c>
      <c r="Y55" s="53" t="s">
        <v>55</v>
      </c>
      <c r="Z55" s="53" t="s">
        <v>97</v>
      </c>
      <c r="AA55" s="53" t="s">
        <v>86</v>
      </c>
      <c r="AB55" s="53" t="s">
        <v>293</v>
      </c>
      <c r="AV55" s="27"/>
    </row>
    <row r="56" spans="1:48" x14ac:dyDescent="0.15">
      <c r="A56" s="53" t="s">
        <v>59</v>
      </c>
      <c r="B56" s="53" t="s">
        <v>256</v>
      </c>
      <c r="C56" s="62">
        <v>2019</v>
      </c>
      <c r="D56" s="131" t="s">
        <v>289</v>
      </c>
      <c r="E56" s="53" t="s">
        <v>307</v>
      </c>
      <c r="F56" s="53" t="s">
        <v>308</v>
      </c>
      <c r="G56" s="53" t="s">
        <v>36</v>
      </c>
      <c r="H56" s="53" t="s">
        <v>160</v>
      </c>
      <c r="I56" s="53" t="s">
        <v>159</v>
      </c>
      <c r="J56" s="53" t="s">
        <v>38</v>
      </c>
      <c r="K56" s="53" t="s">
        <v>161</v>
      </c>
      <c r="L56" s="53">
        <v>1</v>
      </c>
      <c r="N56" s="53">
        <v>4</v>
      </c>
      <c r="O56" s="53">
        <v>0.45</v>
      </c>
      <c r="P56" s="53">
        <v>0.51</v>
      </c>
      <c r="Q56" s="74">
        <f t="shared" si="2"/>
        <v>0.48</v>
      </c>
      <c r="R56" s="53">
        <v>16.5</v>
      </c>
      <c r="S56" s="53">
        <v>100</v>
      </c>
      <c r="T56" s="16">
        <f t="shared" si="0"/>
        <v>33</v>
      </c>
      <c r="U56" s="53">
        <v>518</v>
      </c>
      <c r="V56" s="16">
        <f t="shared" si="1"/>
        <v>16</v>
      </c>
      <c r="W56" s="53">
        <v>10</v>
      </c>
      <c r="X56" s="53" t="s">
        <v>39</v>
      </c>
      <c r="Y56" s="53" t="s">
        <v>55</v>
      </c>
      <c r="Z56" s="53" t="s">
        <v>69</v>
      </c>
      <c r="AA56" s="53" t="s">
        <v>90</v>
      </c>
      <c r="AB56" s="53" t="s">
        <v>293</v>
      </c>
      <c r="AV56" s="27"/>
    </row>
    <row r="57" spans="1:48" x14ac:dyDescent="0.15">
      <c r="A57" s="53" t="s">
        <v>59</v>
      </c>
      <c r="B57" s="53" t="s">
        <v>256</v>
      </c>
      <c r="C57" s="62">
        <v>2019</v>
      </c>
      <c r="D57" s="131" t="s">
        <v>289</v>
      </c>
      <c r="E57" s="53" t="s">
        <v>307</v>
      </c>
      <c r="F57" s="53" t="s">
        <v>308</v>
      </c>
      <c r="G57" s="53" t="s">
        <v>36</v>
      </c>
      <c r="H57" s="53" t="s">
        <v>160</v>
      </c>
      <c r="I57" s="53" t="s">
        <v>159</v>
      </c>
      <c r="J57" s="53" t="s">
        <v>38</v>
      </c>
      <c r="K57" s="53" t="s">
        <v>161</v>
      </c>
      <c r="L57" s="53">
        <v>2</v>
      </c>
      <c r="N57" s="53">
        <v>4</v>
      </c>
      <c r="O57" s="53">
        <v>0.39</v>
      </c>
      <c r="P57" s="53">
        <v>0.44</v>
      </c>
      <c r="Q57" s="74">
        <f t="shared" si="2"/>
        <v>0.41500000000000004</v>
      </c>
      <c r="R57" s="53">
        <v>15.9</v>
      </c>
      <c r="S57" s="53">
        <v>105</v>
      </c>
      <c r="T57" s="16">
        <f t="shared" si="0"/>
        <v>33</v>
      </c>
      <c r="U57" s="53">
        <v>518</v>
      </c>
      <c r="V57" s="16">
        <f t="shared" si="1"/>
        <v>16</v>
      </c>
      <c r="W57" s="53">
        <v>10</v>
      </c>
      <c r="X57" s="53" t="s">
        <v>39</v>
      </c>
      <c r="Y57" s="53" t="s">
        <v>55</v>
      </c>
      <c r="Z57" s="53" t="s">
        <v>69</v>
      </c>
      <c r="AA57" s="53" t="s">
        <v>90</v>
      </c>
      <c r="AB57" s="53" t="s">
        <v>293</v>
      </c>
      <c r="AV57" s="27"/>
    </row>
    <row r="58" spans="1:48" x14ac:dyDescent="0.15">
      <c r="A58" s="53" t="s">
        <v>59</v>
      </c>
      <c r="B58" s="53" t="s">
        <v>256</v>
      </c>
      <c r="C58" s="62">
        <v>2019</v>
      </c>
      <c r="D58" s="131" t="s">
        <v>289</v>
      </c>
      <c r="E58" s="53" t="s">
        <v>307</v>
      </c>
      <c r="F58" s="53" t="s">
        <v>308</v>
      </c>
      <c r="G58" s="53" t="s">
        <v>36</v>
      </c>
      <c r="H58" s="53" t="s">
        <v>160</v>
      </c>
      <c r="I58" s="53" t="s">
        <v>159</v>
      </c>
      <c r="J58" s="53" t="s">
        <v>38</v>
      </c>
      <c r="K58" s="53" t="s">
        <v>161</v>
      </c>
      <c r="L58" s="53">
        <v>3</v>
      </c>
      <c r="N58" s="53">
        <v>4</v>
      </c>
      <c r="O58" s="53">
        <v>0.46</v>
      </c>
      <c r="P58" s="53">
        <v>0.49</v>
      </c>
      <c r="Q58" s="74">
        <f t="shared" si="2"/>
        <v>0.47499999999999998</v>
      </c>
      <c r="R58" s="53">
        <v>16.7</v>
      </c>
      <c r="S58" s="53">
        <v>101</v>
      </c>
      <c r="T58" s="16">
        <f t="shared" si="0"/>
        <v>33</v>
      </c>
      <c r="U58" s="53">
        <v>518</v>
      </c>
      <c r="V58" s="16">
        <f t="shared" si="1"/>
        <v>16</v>
      </c>
      <c r="W58" s="53">
        <v>10</v>
      </c>
      <c r="X58" s="53" t="s">
        <v>39</v>
      </c>
      <c r="Y58" s="53" t="s">
        <v>55</v>
      </c>
      <c r="Z58" s="53" t="s">
        <v>69</v>
      </c>
      <c r="AA58" s="53" t="s">
        <v>90</v>
      </c>
      <c r="AB58" s="53" t="s">
        <v>293</v>
      </c>
      <c r="AV58" s="27"/>
    </row>
    <row r="59" spans="1:48" x14ac:dyDescent="0.15">
      <c r="A59" s="53" t="s">
        <v>59</v>
      </c>
      <c r="B59" s="53" t="s">
        <v>256</v>
      </c>
      <c r="C59" s="62">
        <v>2019</v>
      </c>
      <c r="D59" s="131" t="s">
        <v>289</v>
      </c>
      <c r="E59" s="53" t="s">
        <v>307</v>
      </c>
      <c r="F59" s="53" t="s">
        <v>308</v>
      </c>
      <c r="G59" s="53" t="s">
        <v>36</v>
      </c>
      <c r="H59" s="53" t="s">
        <v>164</v>
      </c>
      <c r="I59" s="53" t="s">
        <v>159</v>
      </c>
      <c r="J59" s="53" t="s">
        <v>38</v>
      </c>
      <c r="K59" s="53" t="s">
        <v>161</v>
      </c>
      <c r="L59" s="53">
        <v>1</v>
      </c>
      <c r="N59" s="53">
        <v>4</v>
      </c>
      <c r="O59" s="53">
        <v>0.75</v>
      </c>
      <c r="P59" s="53">
        <v>0.88</v>
      </c>
      <c r="Q59" s="74">
        <f t="shared" si="2"/>
        <v>0.81499999999999995</v>
      </c>
      <c r="R59" s="53">
        <v>12.9</v>
      </c>
      <c r="S59" s="53">
        <v>85</v>
      </c>
      <c r="T59" s="16">
        <f t="shared" si="0"/>
        <v>36</v>
      </c>
      <c r="U59" s="53">
        <v>321</v>
      </c>
      <c r="V59" s="16">
        <f t="shared" si="1"/>
        <v>16</v>
      </c>
      <c r="W59" s="53">
        <v>5</v>
      </c>
      <c r="X59" s="53" t="s">
        <v>46</v>
      </c>
      <c r="Y59" s="53" t="s">
        <v>55</v>
      </c>
      <c r="Z59" s="53" t="s">
        <v>69</v>
      </c>
      <c r="AA59" s="53" t="s">
        <v>90</v>
      </c>
      <c r="AB59" s="53" t="s">
        <v>293</v>
      </c>
      <c r="AV59" s="27"/>
    </row>
    <row r="60" spans="1:48" x14ac:dyDescent="0.15">
      <c r="A60" s="53" t="s">
        <v>59</v>
      </c>
      <c r="B60" s="53" t="s">
        <v>256</v>
      </c>
      <c r="C60" s="62">
        <v>2019</v>
      </c>
      <c r="D60" s="131" t="s">
        <v>289</v>
      </c>
      <c r="E60" s="53" t="s">
        <v>307</v>
      </c>
      <c r="F60" s="53" t="s">
        <v>308</v>
      </c>
      <c r="G60" s="53" t="s">
        <v>36</v>
      </c>
      <c r="H60" s="53" t="s">
        <v>164</v>
      </c>
      <c r="I60" s="53" t="s">
        <v>159</v>
      </c>
      <c r="J60" s="53" t="s">
        <v>38</v>
      </c>
      <c r="K60" s="53" t="s">
        <v>161</v>
      </c>
      <c r="L60" s="53">
        <v>2</v>
      </c>
      <c r="N60" s="53">
        <v>4</v>
      </c>
      <c r="O60" s="53">
        <v>0.7</v>
      </c>
      <c r="P60" s="53">
        <v>0.7</v>
      </c>
      <c r="Q60" s="74">
        <f t="shared" si="2"/>
        <v>0.7</v>
      </c>
      <c r="R60" s="53">
        <v>13.1</v>
      </c>
      <c r="S60" s="53">
        <v>90</v>
      </c>
      <c r="T60" s="16">
        <f t="shared" si="0"/>
        <v>36</v>
      </c>
      <c r="U60" s="53">
        <v>321</v>
      </c>
      <c r="V60" s="16">
        <f t="shared" si="1"/>
        <v>16</v>
      </c>
      <c r="W60" s="53">
        <v>5</v>
      </c>
      <c r="X60" s="53" t="s">
        <v>46</v>
      </c>
      <c r="Y60" s="53" t="s">
        <v>55</v>
      </c>
      <c r="Z60" s="53" t="s">
        <v>69</v>
      </c>
      <c r="AA60" s="53" t="s">
        <v>90</v>
      </c>
      <c r="AB60" s="53" t="s">
        <v>293</v>
      </c>
      <c r="AV60" s="27"/>
    </row>
    <row r="61" spans="1:48" x14ac:dyDescent="0.15">
      <c r="A61" s="53" t="s">
        <v>59</v>
      </c>
      <c r="B61" s="53" t="s">
        <v>256</v>
      </c>
      <c r="C61" s="62">
        <v>2019</v>
      </c>
      <c r="D61" s="131" t="s">
        <v>289</v>
      </c>
      <c r="E61" s="53" t="s">
        <v>307</v>
      </c>
      <c r="F61" s="53" t="s">
        <v>308</v>
      </c>
      <c r="G61" s="53" t="s">
        <v>36</v>
      </c>
      <c r="H61" s="53" t="s">
        <v>164</v>
      </c>
      <c r="I61" s="53" t="s">
        <v>159</v>
      </c>
      <c r="J61" s="53" t="s">
        <v>38</v>
      </c>
      <c r="K61" s="53" t="s">
        <v>161</v>
      </c>
      <c r="L61" s="53">
        <v>3</v>
      </c>
      <c r="N61" s="53">
        <v>4</v>
      </c>
      <c r="O61" s="53">
        <v>0.72</v>
      </c>
      <c r="P61" s="53">
        <v>0.77</v>
      </c>
      <c r="Q61" s="74">
        <f t="shared" si="2"/>
        <v>0.745</v>
      </c>
      <c r="R61" s="53">
        <v>13.2</v>
      </c>
      <c r="S61" s="53">
        <v>90</v>
      </c>
      <c r="T61" s="16">
        <f t="shared" si="0"/>
        <v>36</v>
      </c>
      <c r="U61" s="53">
        <v>321</v>
      </c>
      <c r="V61" s="16">
        <f t="shared" si="1"/>
        <v>16</v>
      </c>
      <c r="W61" s="53">
        <v>5</v>
      </c>
      <c r="X61" s="53" t="s">
        <v>46</v>
      </c>
      <c r="Y61" s="53" t="s">
        <v>55</v>
      </c>
      <c r="Z61" s="53" t="s">
        <v>69</v>
      </c>
      <c r="AA61" s="53" t="s">
        <v>90</v>
      </c>
      <c r="AB61" s="53" t="s">
        <v>293</v>
      </c>
      <c r="AV61" s="27"/>
    </row>
    <row r="62" spans="1:48" x14ac:dyDescent="0.15">
      <c r="C62" s="62"/>
      <c r="D62" s="131"/>
      <c r="Q62" s="74"/>
    </row>
    <row r="63" spans="1:48" x14ac:dyDescent="0.15">
      <c r="C63" s="62"/>
      <c r="D63" s="131"/>
      <c r="Q63" s="74"/>
    </row>
    <row r="64" spans="1:48" x14ac:dyDescent="0.15">
      <c r="C64" s="62"/>
      <c r="D64" s="131"/>
      <c r="Q64" s="74"/>
    </row>
    <row r="65" spans="3:17" x14ac:dyDescent="0.15">
      <c r="C65" s="62"/>
      <c r="D65" s="131"/>
      <c r="Q65" s="74"/>
    </row>
    <row r="66" spans="3:17" x14ac:dyDescent="0.15">
      <c r="C66" s="62"/>
      <c r="D66" s="131"/>
      <c r="Q66" s="74"/>
    </row>
    <row r="67" spans="3:17" x14ac:dyDescent="0.15">
      <c r="C67" s="62"/>
      <c r="D67" s="131"/>
      <c r="Q67" s="74"/>
    </row>
    <row r="68" spans="3:17" x14ac:dyDescent="0.15">
      <c r="C68" s="62"/>
      <c r="D68" s="131"/>
      <c r="Q68" s="74"/>
    </row>
    <row r="69" spans="3:17" x14ac:dyDescent="0.15">
      <c r="C69" s="62"/>
      <c r="D69" s="131"/>
      <c r="Q69" s="74"/>
    </row>
    <row r="70" spans="3:17" x14ac:dyDescent="0.15">
      <c r="C70" s="62"/>
      <c r="D70" s="131"/>
      <c r="Q70" s="74"/>
    </row>
    <row r="71" spans="3:17" x14ac:dyDescent="0.15">
      <c r="C71" s="62"/>
      <c r="D71" s="131"/>
      <c r="Q71" s="74"/>
    </row>
    <row r="72" spans="3:17" x14ac:dyDescent="0.15">
      <c r="C72" s="62"/>
      <c r="D72" s="131"/>
      <c r="Q72" s="74"/>
    </row>
    <row r="73" spans="3:17" x14ac:dyDescent="0.15">
      <c r="C73" s="62"/>
      <c r="D73" s="131"/>
      <c r="Q73" s="74"/>
    </row>
    <row r="74" spans="3:17" x14ac:dyDescent="0.15">
      <c r="C74" s="62"/>
      <c r="D74" s="131"/>
      <c r="Q74" s="74"/>
    </row>
    <row r="75" spans="3:17" x14ac:dyDescent="0.15">
      <c r="C75" s="62"/>
      <c r="D75" s="131"/>
      <c r="Q75" s="74"/>
    </row>
    <row r="76" spans="3:17" x14ac:dyDescent="0.15">
      <c r="C76" s="62"/>
      <c r="D76" s="131"/>
      <c r="Q76" s="74"/>
    </row>
    <row r="77" spans="3:17" x14ac:dyDescent="0.15">
      <c r="C77" s="62"/>
      <c r="D77" s="131"/>
      <c r="Q77" s="74"/>
    </row>
    <row r="78" spans="3:17" x14ac:dyDescent="0.15">
      <c r="C78" s="62"/>
      <c r="D78" s="131"/>
      <c r="Q78" s="74"/>
    </row>
    <row r="79" spans="3:17" x14ac:dyDescent="0.15">
      <c r="C79" s="62"/>
      <c r="D79" s="131"/>
      <c r="Q79" s="74"/>
    </row>
    <row r="80" spans="3:17" x14ac:dyDescent="0.15">
      <c r="C80" s="62"/>
      <c r="D80" s="131"/>
      <c r="Q80" s="74"/>
    </row>
    <row r="81" spans="3:17" x14ac:dyDescent="0.15">
      <c r="C81" s="62"/>
      <c r="D81" s="131"/>
      <c r="Q81" s="74"/>
    </row>
    <row r="82" spans="3:17" x14ac:dyDescent="0.15">
      <c r="C82" s="62"/>
      <c r="D82" s="131"/>
      <c r="Q82" s="74"/>
    </row>
    <row r="83" spans="3:17" x14ac:dyDescent="0.15">
      <c r="C83" s="62"/>
      <c r="Q83" s="74"/>
    </row>
    <row r="84" spans="3:17" x14ac:dyDescent="0.15">
      <c r="C84" s="62"/>
      <c r="Q84" s="74"/>
    </row>
    <row r="85" spans="3:17" x14ac:dyDescent="0.15">
      <c r="C85" s="62"/>
      <c r="Q85" s="74"/>
    </row>
    <row r="86" spans="3:17" x14ac:dyDescent="0.15">
      <c r="C86" s="62"/>
      <c r="Q86" s="74"/>
    </row>
    <row r="87" spans="3:17" x14ac:dyDescent="0.15">
      <c r="C87" s="62"/>
      <c r="Q87" s="74"/>
    </row>
    <row r="88" spans="3:17" x14ac:dyDescent="0.15">
      <c r="C88" s="62"/>
      <c r="Q88" s="74"/>
    </row>
    <row r="89" spans="3:17" x14ac:dyDescent="0.15">
      <c r="C89" s="62"/>
      <c r="Q89" s="74"/>
    </row>
    <row r="90" spans="3:17" x14ac:dyDescent="0.15">
      <c r="C90" s="62"/>
      <c r="Q90" s="74"/>
    </row>
    <row r="91" spans="3:17" x14ac:dyDescent="0.15">
      <c r="C91" s="62"/>
      <c r="Q91" s="74"/>
    </row>
    <row r="92" spans="3:17" x14ac:dyDescent="0.15">
      <c r="C92" s="62"/>
      <c r="Q92" s="74"/>
    </row>
    <row r="93" spans="3:17" x14ac:dyDescent="0.15">
      <c r="C93" s="62"/>
      <c r="Q93" s="74"/>
    </row>
    <row r="94" spans="3:17" x14ac:dyDescent="0.15">
      <c r="C94" s="62"/>
      <c r="Q94" s="74"/>
    </row>
    <row r="95" spans="3:17" x14ac:dyDescent="0.15">
      <c r="C95" s="62"/>
      <c r="Q95" s="74"/>
    </row>
    <row r="96" spans="3:17" x14ac:dyDescent="0.15">
      <c r="C96" s="62"/>
      <c r="Q96" s="74"/>
    </row>
    <row r="97" spans="3:22" x14ac:dyDescent="0.15">
      <c r="C97" s="62"/>
      <c r="Q97" s="74"/>
    </row>
    <row r="98" spans="3:22" x14ac:dyDescent="0.15">
      <c r="C98" s="62"/>
      <c r="Q98" s="74"/>
    </row>
    <row r="99" spans="3:22" x14ac:dyDescent="0.15">
      <c r="C99" s="62"/>
    </row>
    <row r="100" spans="3:22" x14ac:dyDescent="0.15">
      <c r="C100" s="62"/>
    </row>
    <row r="101" spans="3:22" x14ac:dyDescent="0.15">
      <c r="Q101" s="16" t="str">
        <f t="shared" ref="Q101:Q152" si="3">IF(OR(O101="",P101=""),"",AVERAGE(O101,P101))</f>
        <v/>
      </c>
      <c r="T101" s="16" t="str">
        <f t="shared" ref="T101:T152" si="4">IF(H101="","",IF(OR(H101="GREEN",H101="GK"),IF(S101&gt;=$AX$2,VLOOKUP(S101,$AX$2:$AY$12,2,1),""),IF(S101&gt;=$AZ$2,VLOOKUP(S101,$AZ$2:$BA$12,2,1),"")))</f>
        <v/>
      </c>
      <c r="V101" s="16" t="str">
        <f t="shared" ref="V101:V152" si="5">IF(J101="","",IF(OR(J101="GREEN",J101="GK"),IF(U101&gt;=$AX$2,VLOOKUP(U101,$AX$2:$AY$12,2,1),""),IF(U101&gt;=$AZ$2,VLOOKUP(U101,$AZ$2:$BA$12,2,1),"")))</f>
        <v/>
      </c>
    </row>
    <row r="102" spans="3:22" x14ac:dyDescent="0.15">
      <c r="Q102" s="16" t="str">
        <f t="shared" si="3"/>
        <v/>
      </c>
      <c r="T102" s="16" t="str">
        <f t="shared" si="4"/>
        <v/>
      </c>
      <c r="V102" s="16" t="str">
        <f t="shared" si="5"/>
        <v/>
      </c>
    </row>
    <row r="103" spans="3:22" x14ac:dyDescent="0.15">
      <c r="Q103" s="16" t="str">
        <f t="shared" si="3"/>
        <v/>
      </c>
      <c r="T103" s="16" t="str">
        <f t="shared" si="4"/>
        <v/>
      </c>
      <c r="V103" s="16" t="str">
        <f t="shared" si="5"/>
        <v/>
      </c>
    </row>
    <row r="104" spans="3:22" x14ac:dyDescent="0.15">
      <c r="Q104" s="16" t="str">
        <f t="shared" si="3"/>
        <v/>
      </c>
      <c r="T104" s="16" t="str">
        <f t="shared" si="4"/>
        <v/>
      </c>
      <c r="V104" s="16" t="str">
        <f t="shared" si="5"/>
        <v/>
      </c>
    </row>
    <row r="105" spans="3:22" x14ac:dyDescent="0.15">
      <c r="Q105" s="16" t="str">
        <f t="shared" si="3"/>
        <v/>
      </c>
      <c r="T105" s="16" t="str">
        <f t="shared" si="4"/>
        <v/>
      </c>
      <c r="V105" s="16" t="str">
        <f t="shared" si="5"/>
        <v/>
      </c>
    </row>
    <row r="106" spans="3:22" x14ac:dyDescent="0.15">
      <c r="Q106" s="16" t="str">
        <f t="shared" si="3"/>
        <v/>
      </c>
      <c r="T106" s="16" t="str">
        <f t="shared" si="4"/>
        <v/>
      </c>
      <c r="V106" s="16" t="str">
        <f t="shared" si="5"/>
        <v/>
      </c>
    </row>
    <row r="107" spans="3:22" x14ac:dyDescent="0.15">
      <c r="Q107" s="16" t="str">
        <f t="shared" si="3"/>
        <v/>
      </c>
      <c r="T107" s="16" t="str">
        <f t="shared" si="4"/>
        <v/>
      </c>
      <c r="V107" s="16" t="str">
        <f t="shared" si="5"/>
        <v/>
      </c>
    </row>
    <row r="108" spans="3:22" x14ac:dyDescent="0.15">
      <c r="Q108" s="16" t="str">
        <f t="shared" si="3"/>
        <v/>
      </c>
      <c r="T108" s="16" t="str">
        <f t="shared" si="4"/>
        <v/>
      </c>
      <c r="V108" s="16" t="str">
        <f t="shared" si="5"/>
        <v/>
      </c>
    </row>
    <row r="109" spans="3:22" x14ac:dyDescent="0.15">
      <c r="Q109" s="16" t="str">
        <f t="shared" si="3"/>
        <v/>
      </c>
      <c r="T109" s="16" t="str">
        <f t="shared" si="4"/>
        <v/>
      </c>
      <c r="V109" s="16" t="str">
        <f t="shared" si="5"/>
        <v/>
      </c>
    </row>
    <row r="110" spans="3:22" x14ac:dyDescent="0.15">
      <c r="Q110" s="16" t="str">
        <f t="shared" si="3"/>
        <v/>
      </c>
      <c r="T110" s="16" t="str">
        <f t="shared" si="4"/>
        <v/>
      </c>
      <c r="V110" s="16" t="str">
        <f t="shared" si="5"/>
        <v/>
      </c>
    </row>
    <row r="111" spans="3:22" x14ac:dyDescent="0.15">
      <c r="Q111" s="16" t="str">
        <f t="shared" si="3"/>
        <v/>
      </c>
      <c r="T111" s="16" t="str">
        <f t="shared" si="4"/>
        <v/>
      </c>
      <c r="V111" s="16" t="str">
        <f t="shared" si="5"/>
        <v/>
      </c>
    </row>
    <row r="112" spans="3:22"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row r="143" spans="17:22" x14ac:dyDescent="0.15">
      <c r="Q143" s="16" t="str">
        <f t="shared" si="3"/>
        <v/>
      </c>
      <c r="T143" s="16" t="str">
        <f t="shared" si="4"/>
        <v/>
      </c>
      <c r="V143" s="16" t="str">
        <f t="shared" si="5"/>
        <v/>
      </c>
    </row>
    <row r="144" spans="17:22" x14ac:dyDescent="0.15">
      <c r="Q144" s="16" t="str">
        <f t="shared" si="3"/>
        <v/>
      </c>
      <c r="T144" s="16" t="str">
        <f t="shared" si="4"/>
        <v/>
      </c>
      <c r="V144" s="16" t="str">
        <f t="shared" si="5"/>
        <v/>
      </c>
    </row>
    <row r="145" spans="17:22" x14ac:dyDescent="0.15">
      <c r="Q145" s="16" t="str">
        <f t="shared" si="3"/>
        <v/>
      </c>
      <c r="T145" s="16" t="str">
        <f t="shared" si="4"/>
        <v/>
      </c>
      <c r="V145" s="16" t="str">
        <f t="shared" si="5"/>
        <v/>
      </c>
    </row>
    <row r="146" spans="17:22" x14ac:dyDescent="0.15">
      <c r="Q146" s="16" t="str">
        <f t="shared" si="3"/>
        <v/>
      </c>
      <c r="T146" s="16" t="str">
        <f t="shared" si="4"/>
        <v/>
      </c>
      <c r="V146" s="16" t="str">
        <f t="shared" si="5"/>
        <v/>
      </c>
    </row>
    <row r="147" spans="17:22" x14ac:dyDescent="0.15">
      <c r="Q147" s="16" t="str">
        <f t="shared" si="3"/>
        <v/>
      </c>
      <c r="T147" s="16" t="str">
        <f t="shared" si="4"/>
        <v/>
      </c>
      <c r="V147" s="16" t="str">
        <f t="shared" si="5"/>
        <v/>
      </c>
    </row>
    <row r="148" spans="17:22" x14ac:dyDescent="0.15">
      <c r="Q148" s="16" t="str">
        <f t="shared" si="3"/>
        <v/>
      </c>
      <c r="T148" s="16" t="str">
        <f t="shared" si="4"/>
        <v/>
      </c>
      <c r="V148" s="16" t="str">
        <f t="shared" si="5"/>
        <v/>
      </c>
    </row>
    <row r="149" spans="17:22" x14ac:dyDescent="0.15">
      <c r="Q149" s="16" t="str">
        <f t="shared" si="3"/>
        <v/>
      </c>
      <c r="T149" s="16" t="str">
        <f t="shared" si="4"/>
        <v/>
      </c>
      <c r="V149" s="16" t="str">
        <f t="shared" si="5"/>
        <v/>
      </c>
    </row>
    <row r="150" spans="17:22" x14ac:dyDescent="0.15">
      <c r="Q150" s="16" t="str">
        <f t="shared" si="3"/>
        <v/>
      </c>
      <c r="T150" s="16" t="str">
        <f t="shared" si="4"/>
        <v/>
      </c>
      <c r="V150" s="16" t="str">
        <f t="shared" si="5"/>
        <v/>
      </c>
    </row>
    <row r="151" spans="17:22" x14ac:dyDescent="0.15">
      <c r="Q151" s="16" t="str">
        <f t="shared" si="3"/>
        <v/>
      </c>
      <c r="T151" s="16" t="str">
        <f t="shared" si="4"/>
        <v/>
      </c>
      <c r="V151" s="16" t="str">
        <f t="shared" si="5"/>
        <v/>
      </c>
    </row>
    <row r="152" spans="17:22" x14ac:dyDescent="0.15">
      <c r="Q152" s="16" t="str">
        <f t="shared" si="3"/>
        <v/>
      </c>
      <c r="T152" s="16" t="str">
        <f t="shared" si="4"/>
        <v/>
      </c>
      <c r="V152" s="16" t="str">
        <f t="shared" si="5"/>
        <v/>
      </c>
    </row>
  </sheetData>
  <autoFilter ref="A1:BA152" xr:uid="{00000000-0009-0000-0000-000000000000}"/>
  <phoneticPr fontId="3"/>
  <dataValidations count="19">
    <dataValidation type="list" allowBlank="1" showInputMessage="1" showErrorMessage="1" sqref="K2:K434" xr:uid="{5536B26A-D8B5-4A5E-BD01-CE1A0F0A7E1C}">
      <formula1>$AR$2:$AR$27</formula1>
    </dataValidation>
    <dataValidation type="list" allowBlank="1" showInputMessage="1" showErrorMessage="1" sqref="WVS983034:WVS983099 K65530:K65595 JG65530:JG65595 TC65530:TC65595 ACY65530:ACY65595 AMU65530:AMU65595 AWQ65530:AWQ65595 BGM65530:BGM65595 BQI65530:BQI65595 CAE65530:CAE65595 CKA65530:CKA65595 CTW65530:CTW65595 DDS65530:DDS65595 DNO65530:DNO65595 DXK65530:DXK65595 EHG65530:EHG65595 ERC65530:ERC65595 FAY65530:FAY65595 FKU65530:FKU65595 FUQ65530:FUQ65595 GEM65530:GEM65595 GOI65530:GOI65595 GYE65530:GYE65595 HIA65530:HIA65595 HRW65530:HRW65595 IBS65530:IBS65595 ILO65530:ILO65595 IVK65530:IVK65595 JFG65530:JFG65595 JPC65530:JPC65595 JYY65530:JYY65595 KIU65530:KIU65595 KSQ65530:KSQ65595 LCM65530:LCM65595 LMI65530:LMI65595 LWE65530:LWE65595 MGA65530:MGA65595 MPW65530:MPW65595 MZS65530:MZS65595 NJO65530:NJO65595 NTK65530:NTK65595 ODG65530:ODG65595 ONC65530:ONC65595 OWY65530:OWY65595 PGU65530:PGU65595 PQQ65530:PQQ65595 QAM65530:QAM65595 QKI65530:QKI65595 QUE65530:QUE65595 REA65530:REA65595 RNW65530:RNW65595 RXS65530:RXS65595 SHO65530:SHO65595 SRK65530:SRK65595 TBG65530:TBG65595 TLC65530:TLC65595 TUY65530:TUY65595 UEU65530:UEU65595 UOQ65530:UOQ65595 UYM65530:UYM65595 VII65530:VII65595 VSE65530:VSE65595 WCA65530:WCA65595 WLW65530:WLW65595 WVS65530:WVS65595 K131066:K131131 JG131066:JG131131 TC131066:TC131131 ACY131066:ACY131131 AMU131066:AMU131131 AWQ131066:AWQ131131 BGM131066:BGM131131 BQI131066:BQI131131 CAE131066:CAE131131 CKA131066:CKA131131 CTW131066:CTW131131 DDS131066:DDS131131 DNO131066:DNO131131 DXK131066:DXK131131 EHG131066:EHG131131 ERC131066:ERC131131 FAY131066:FAY131131 FKU131066:FKU131131 FUQ131066:FUQ131131 GEM131066:GEM131131 GOI131066:GOI131131 GYE131066:GYE131131 HIA131066:HIA131131 HRW131066:HRW131131 IBS131066:IBS131131 ILO131066:ILO131131 IVK131066:IVK131131 JFG131066:JFG131131 JPC131066:JPC131131 JYY131066:JYY131131 KIU131066:KIU131131 KSQ131066:KSQ131131 LCM131066:LCM131131 LMI131066:LMI131131 LWE131066:LWE131131 MGA131066:MGA131131 MPW131066:MPW131131 MZS131066:MZS131131 NJO131066:NJO131131 NTK131066:NTK131131 ODG131066:ODG131131 ONC131066:ONC131131 OWY131066:OWY131131 PGU131066:PGU131131 PQQ131066:PQQ131131 QAM131066:QAM131131 QKI131066:QKI131131 QUE131066:QUE131131 REA131066:REA131131 RNW131066:RNW131131 RXS131066:RXS131131 SHO131066:SHO131131 SRK131066:SRK131131 TBG131066:TBG131131 TLC131066:TLC131131 TUY131066:TUY131131 UEU131066:UEU131131 UOQ131066:UOQ131131 UYM131066:UYM131131 VII131066:VII131131 VSE131066:VSE131131 WCA131066:WCA131131 WLW131066:WLW131131 WVS131066:WVS131131 K196602:K196667 JG196602:JG196667 TC196602:TC196667 ACY196602:ACY196667 AMU196602:AMU196667 AWQ196602:AWQ196667 BGM196602:BGM196667 BQI196602:BQI196667 CAE196602:CAE196667 CKA196602:CKA196667 CTW196602:CTW196667 DDS196602:DDS196667 DNO196602:DNO196667 DXK196602:DXK196667 EHG196602:EHG196667 ERC196602:ERC196667 FAY196602:FAY196667 FKU196602:FKU196667 FUQ196602:FUQ196667 GEM196602:GEM196667 GOI196602:GOI196667 GYE196602:GYE196667 HIA196602:HIA196667 HRW196602:HRW196667 IBS196602:IBS196667 ILO196602:ILO196667 IVK196602:IVK196667 JFG196602:JFG196667 JPC196602:JPC196667 JYY196602:JYY196667 KIU196602:KIU196667 KSQ196602:KSQ196667 LCM196602:LCM196667 LMI196602:LMI196667 LWE196602:LWE196667 MGA196602:MGA196667 MPW196602:MPW196667 MZS196602:MZS196667 NJO196602:NJO196667 NTK196602:NTK196667 ODG196602:ODG196667 ONC196602:ONC196667 OWY196602:OWY196667 PGU196602:PGU196667 PQQ196602:PQQ196667 QAM196602:QAM196667 QKI196602:QKI196667 QUE196602:QUE196667 REA196602:REA196667 RNW196602:RNW196667 RXS196602:RXS196667 SHO196602:SHO196667 SRK196602:SRK196667 TBG196602:TBG196667 TLC196602:TLC196667 TUY196602:TUY196667 UEU196602:UEU196667 UOQ196602:UOQ196667 UYM196602:UYM196667 VII196602:VII196667 VSE196602:VSE196667 WCA196602:WCA196667 WLW196602:WLW196667 WVS196602:WVS196667 K262138:K262203 JG262138:JG262203 TC262138:TC262203 ACY262138:ACY262203 AMU262138:AMU262203 AWQ262138:AWQ262203 BGM262138:BGM262203 BQI262138:BQI262203 CAE262138:CAE262203 CKA262138:CKA262203 CTW262138:CTW262203 DDS262138:DDS262203 DNO262138:DNO262203 DXK262138:DXK262203 EHG262138:EHG262203 ERC262138:ERC262203 FAY262138:FAY262203 FKU262138:FKU262203 FUQ262138:FUQ262203 GEM262138:GEM262203 GOI262138:GOI262203 GYE262138:GYE262203 HIA262138:HIA262203 HRW262138:HRW262203 IBS262138:IBS262203 ILO262138:ILO262203 IVK262138:IVK262203 JFG262138:JFG262203 JPC262138:JPC262203 JYY262138:JYY262203 KIU262138:KIU262203 KSQ262138:KSQ262203 LCM262138:LCM262203 LMI262138:LMI262203 LWE262138:LWE262203 MGA262138:MGA262203 MPW262138:MPW262203 MZS262138:MZS262203 NJO262138:NJO262203 NTK262138:NTK262203 ODG262138:ODG262203 ONC262138:ONC262203 OWY262138:OWY262203 PGU262138:PGU262203 PQQ262138:PQQ262203 QAM262138:QAM262203 QKI262138:QKI262203 QUE262138:QUE262203 REA262138:REA262203 RNW262138:RNW262203 RXS262138:RXS262203 SHO262138:SHO262203 SRK262138:SRK262203 TBG262138:TBG262203 TLC262138:TLC262203 TUY262138:TUY262203 UEU262138:UEU262203 UOQ262138:UOQ262203 UYM262138:UYM262203 VII262138:VII262203 VSE262138:VSE262203 WCA262138:WCA262203 WLW262138:WLW262203 WVS262138:WVS262203 K327674:K327739 JG327674:JG327739 TC327674:TC327739 ACY327674:ACY327739 AMU327674:AMU327739 AWQ327674:AWQ327739 BGM327674:BGM327739 BQI327674:BQI327739 CAE327674:CAE327739 CKA327674:CKA327739 CTW327674:CTW327739 DDS327674:DDS327739 DNO327674:DNO327739 DXK327674:DXK327739 EHG327674:EHG327739 ERC327674:ERC327739 FAY327674:FAY327739 FKU327674:FKU327739 FUQ327674:FUQ327739 GEM327674:GEM327739 GOI327674:GOI327739 GYE327674:GYE327739 HIA327674:HIA327739 HRW327674:HRW327739 IBS327674:IBS327739 ILO327674:ILO327739 IVK327674:IVK327739 JFG327674:JFG327739 JPC327674:JPC327739 JYY327674:JYY327739 KIU327674:KIU327739 KSQ327674:KSQ327739 LCM327674:LCM327739 LMI327674:LMI327739 LWE327674:LWE327739 MGA327674:MGA327739 MPW327674:MPW327739 MZS327674:MZS327739 NJO327674:NJO327739 NTK327674:NTK327739 ODG327674:ODG327739 ONC327674:ONC327739 OWY327674:OWY327739 PGU327674:PGU327739 PQQ327674:PQQ327739 QAM327674:QAM327739 QKI327674:QKI327739 QUE327674:QUE327739 REA327674:REA327739 RNW327674:RNW327739 RXS327674:RXS327739 SHO327674:SHO327739 SRK327674:SRK327739 TBG327674:TBG327739 TLC327674:TLC327739 TUY327674:TUY327739 UEU327674:UEU327739 UOQ327674:UOQ327739 UYM327674:UYM327739 VII327674:VII327739 VSE327674:VSE327739 WCA327674:WCA327739 WLW327674:WLW327739 WVS327674:WVS327739 K393210:K393275 JG393210:JG393275 TC393210:TC393275 ACY393210:ACY393275 AMU393210:AMU393275 AWQ393210:AWQ393275 BGM393210:BGM393275 BQI393210:BQI393275 CAE393210:CAE393275 CKA393210:CKA393275 CTW393210:CTW393275 DDS393210:DDS393275 DNO393210:DNO393275 DXK393210:DXK393275 EHG393210:EHG393275 ERC393210:ERC393275 FAY393210:FAY393275 FKU393210:FKU393275 FUQ393210:FUQ393275 GEM393210:GEM393275 GOI393210:GOI393275 GYE393210:GYE393275 HIA393210:HIA393275 HRW393210:HRW393275 IBS393210:IBS393275 ILO393210:ILO393275 IVK393210:IVK393275 JFG393210:JFG393275 JPC393210:JPC393275 JYY393210:JYY393275 KIU393210:KIU393275 KSQ393210:KSQ393275 LCM393210:LCM393275 LMI393210:LMI393275 LWE393210:LWE393275 MGA393210:MGA393275 MPW393210:MPW393275 MZS393210:MZS393275 NJO393210:NJO393275 NTK393210:NTK393275 ODG393210:ODG393275 ONC393210:ONC393275 OWY393210:OWY393275 PGU393210:PGU393275 PQQ393210:PQQ393275 QAM393210:QAM393275 QKI393210:QKI393275 QUE393210:QUE393275 REA393210:REA393275 RNW393210:RNW393275 RXS393210:RXS393275 SHO393210:SHO393275 SRK393210:SRK393275 TBG393210:TBG393275 TLC393210:TLC393275 TUY393210:TUY393275 UEU393210:UEU393275 UOQ393210:UOQ393275 UYM393210:UYM393275 VII393210:VII393275 VSE393210:VSE393275 WCA393210:WCA393275 WLW393210:WLW393275 WVS393210:WVS393275 K458746:K458811 JG458746:JG458811 TC458746:TC458811 ACY458746:ACY458811 AMU458746:AMU458811 AWQ458746:AWQ458811 BGM458746:BGM458811 BQI458746:BQI458811 CAE458746:CAE458811 CKA458746:CKA458811 CTW458746:CTW458811 DDS458746:DDS458811 DNO458746:DNO458811 DXK458746:DXK458811 EHG458746:EHG458811 ERC458746:ERC458811 FAY458746:FAY458811 FKU458746:FKU458811 FUQ458746:FUQ458811 GEM458746:GEM458811 GOI458746:GOI458811 GYE458746:GYE458811 HIA458746:HIA458811 HRW458746:HRW458811 IBS458746:IBS458811 ILO458746:ILO458811 IVK458746:IVK458811 JFG458746:JFG458811 JPC458746:JPC458811 JYY458746:JYY458811 KIU458746:KIU458811 KSQ458746:KSQ458811 LCM458746:LCM458811 LMI458746:LMI458811 LWE458746:LWE458811 MGA458746:MGA458811 MPW458746:MPW458811 MZS458746:MZS458811 NJO458746:NJO458811 NTK458746:NTK458811 ODG458746:ODG458811 ONC458746:ONC458811 OWY458746:OWY458811 PGU458746:PGU458811 PQQ458746:PQQ458811 QAM458746:QAM458811 QKI458746:QKI458811 QUE458746:QUE458811 REA458746:REA458811 RNW458746:RNW458811 RXS458746:RXS458811 SHO458746:SHO458811 SRK458746:SRK458811 TBG458746:TBG458811 TLC458746:TLC458811 TUY458746:TUY458811 UEU458746:UEU458811 UOQ458746:UOQ458811 UYM458746:UYM458811 VII458746:VII458811 VSE458746:VSE458811 WCA458746:WCA458811 WLW458746:WLW458811 WVS458746:WVS458811 K524282:K524347 JG524282:JG524347 TC524282:TC524347 ACY524282:ACY524347 AMU524282:AMU524347 AWQ524282:AWQ524347 BGM524282:BGM524347 BQI524282:BQI524347 CAE524282:CAE524347 CKA524282:CKA524347 CTW524282:CTW524347 DDS524282:DDS524347 DNO524282:DNO524347 DXK524282:DXK524347 EHG524282:EHG524347 ERC524282:ERC524347 FAY524282:FAY524347 FKU524282:FKU524347 FUQ524282:FUQ524347 GEM524282:GEM524347 GOI524282:GOI524347 GYE524282:GYE524347 HIA524282:HIA524347 HRW524282:HRW524347 IBS524282:IBS524347 ILO524282:ILO524347 IVK524282:IVK524347 JFG524282:JFG524347 JPC524282:JPC524347 JYY524282:JYY524347 KIU524282:KIU524347 KSQ524282:KSQ524347 LCM524282:LCM524347 LMI524282:LMI524347 LWE524282:LWE524347 MGA524282:MGA524347 MPW524282:MPW524347 MZS524282:MZS524347 NJO524282:NJO524347 NTK524282:NTK524347 ODG524282:ODG524347 ONC524282:ONC524347 OWY524282:OWY524347 PGU524282:PGU524347 PQQ524282:PQQ524347 QAM524282:QAM524347 QKI524282:QKI524347 QUE524282:QUE524347 REA524282:REA524347 RNW524282:RNW524347 RXS524282:RXS524347 SHO524282:SHO524347 SRK524282:SRK524347 TBG524282:TBG524347 TLC524282:TLC524347 TUY524282:TUY524347 UEU524282:UEU524347 UOQ524282:UOQ524347 UYM524282:UYM524347 VII524282:VII524347 VSE524282:VSE524347 WCA524282:WCA524347 WLW524282:WLW524347 WVS524282:WVS524347 K589818:K589883 JG589818:JG589883 TC589818:TC589883 ACY589818:ACY589883 AMU589818:AMU589883 AWQ589818:AWQ589883 BGM589818:BGM589883 BQI589818:BQI589883 CAE589818:CAE589883 CKA589818:CKA589883 CTW589818:CTW589883 DDS589818:DDS589883 DNO589818:DNO589883 DXK589818:DXK589883 EHG589818:EHG589883 ERC589818:ERC589883 FAY589818:FAY589883 FKU589818:FKU589883 FUQ589818:FUQ589883 GEM589818:GEM589883 GOI589818:GOI589883 GYE589818:GYE589883 HIA589818:HIA589883 HRW589818:HRW589883 IBS589818:IBS589883 ILO589818:ILO589883 IVK589818:IVK589883 JFG589818:JFG589883 JPC589818:JPC589883 JYY589818:JYY589883 KIU589818:KIU589883 KSQ589818:KSQ589883 LCM589818:LCM589883 LMI589818:LMI589883 LWE589818:LWE589883 MGA589818:MGA589883 MPW589818:MPW589883 MZS589818:MZS589883 NJO589818:NJO589883 NTK589818:NTK589883 ODG589818:ODG589883 ONC589818:ONC589883 OWY589818:OWY589883 PGU589818:PGU589883 PQQ589818:PQQ589883 QAM589818:QAM589883 QKI589818:QKI589883 QUE589818:QUE589883 REA589818:REA589883 RNW589818:RNW589883 RXS589818:RXS589883 SHO589818:SHO589883 SRK589818:SRK589883 TBG589818:TBG589883 TLC589818:TLC589883 TUY589818:TUY589883 UEU589818:UEU589883 UOQ589818:UOQ589883 UYM589818:UYM589883 VII589818:VII589883 VSE589818:VSE589883 WCA589818:WCA589883 WLW589818:WLW589883 WVS589818:WVS589883 K655354:K655419 JG655354:JG655419 TC655354:TC655419 ACY655354:ACY655419 AMU655354:AMU655419 AWQ655354:AWQ655419 BGM655354:BGM655419 BQI655354:BQI655419 CAE655354:CAE655419 CKA655354:CKA655419 CTW655354:CTW655419 DDS655354:DDS655419 DNO655354:DNO655419 DXK655354:DXK655419 EHG655354:EHG655419 ERC655354:ERC655419 FAY655354:FAY655419 FKU655354:FKU655419 FUQ655354:FUQ655419 GEM655354:GEM655419 GOI655354:GOI655419 GYE655354:GYE655419 HIA655354:HIA655419 HRW655354:HRW655419 IBS655354:IBS655419 ILO655354:ILO655419 IVK655354:IVK655419 JFG655354:JFG655419 JPC655354:JPC655419 JYY655354:JYY655419 KIU655354:KIU655419 KSQ655354:KSQ655419 LCM655354:LCM655419 LMI655354:LMI655419 LWE655354:LWE655419 MGA655354:MGA655419 MPW655354:MPW655419 MZS655354:MZS655419 NJO655354:NJO655419 NTK655354:NTK655419 ODG655354:ODG655419 ONC655354:ONC655419 OWY655354:OWY655419 PGU655354:PGU655419 PQQ655354:PQQ655419 QAM655354:QAM655419 QKI655354:QKI655419 QUE655354:QUE655419 REA655354:REA655419 RNW655354:RNW655419 RXS655354:RXS655419 SHO655354:SHO655419 SRK655354:SRK655419 TBG655354:TBG655419 TLC655354:TLC655419 TUY655354:TUY655419 UEU655354:UEU655419 UOQ655354:UOQ655419 UYM655354:UYM655419 VII655354:VII655419 VSE655354:VSE655419 WCA655354:WCA655419 WLW655354:WLW655419 WVS655354:WVS655419 K720890:K720955 JG720890:JG720955 TC720890:TC720955 ACY720890:ACY720955 AMU720890:AMU720955 AWQ720890:AWQ720955 BGM720890:BGM720955 BQI720890:BQI720955 CAE720890:CAE720955 CKA720890:CKA720955 CTW720890:CTW720955 DDS720890:DDS720955 DNO720890:DNO720955 DXK720890:DXK720955 EHG720890:EHG720955 ERC720890:ERC720955 FAY720890:FAY720955 FKU720890:FKU720955 FUQ720890:FUQ720955 GEM720890:GEM720955 GOI720890:GOI720955 GYE720890:GYE720955 HIA720890:HIA720955 HRW720890:HRW720955 IBS720890:IBS720955 ILO720890:ILO720955 IVK720890:IVK720955 JFG720890:JFG720955 JPC720890:JPC720955 JYY720890:JYY720955 KIU720890:KIU720955 KSQ720890:KSQ720955 LCM720890:LCM720955 LMI720890:LMI720955 LWE720890:LWE720955 MGA720890:MGA720955 MPW720890:MPW720955 MZS720890:MZS720955 NJO720890:NJO720955 NTK720890:NTK720955 ODG720890:ODG720955 ONC720890:ONC720955 OWY720890:OWY720955 PGU720890:PGU720955 PQQ720890:PQQ720955 QAM720890:QAM720955 QKI720890:QKI720955 QUE720890:QUE720955 REA720890:REA720955 RNW720890:RNW720955 RXS720890:RXS720955 SHO720890:SHO720955 SRK720890:SRK720955 TBG720890:TBG720955 TLC720890:TLC720955 TUY720890:TUY720955 UEU720890:UEU720955 UOQ720890:UOQ720955 UYM720890:UYM720955 VII720890:VII720955 VSE720890:VSE720955 WCA720890:WCA720955 WLW720890:WLW720955 WVS720890:WVS720955 K786426:K786491 JG786426:JG786491 TC786426:TC786491 ACY786426:ACY786491 AMU786426:AMU786491 AWQ786426:AWQ786491 BGM786426:BGM786491 BQI786426:BQI786491 CAE786426:CAE786491 CKA786426:CKA786491 CTW786426:CTW786491 DDS786426:DDS786491 DNO786426:DNO786491 DXK786426:DXK786491 EHG786426:EHG786491 ERC786426:ERC786491 FAY786426:FAY786491 FKU786426:FKU786491 FUQ786426:FUQ786491 GEM786426:GEM786491 GOI786426:GOI786491 GYE786426:GYE786491 HIA786426:HIA786491 HRW786426:HRW786491 IBS786426:IBS786491 ILO786426:ILO786491 IVK786426:IVK786491 JFG786426:JFG786491 JPC786426:JPC786491 JYY786426:JYY786491 KIU786426:KIU786491 KSQ786426:KSQ786491 LCM786426:LCM786491 LMI786426:LMI786491 LWE786426:LWE786491 MGA786426:MGA786491 MPW786426:MPW786491 MZS786426:MZS786491 NJO786426:NJO786491 NTK786426:NTK786491 ODG786426:ODG786491 ONC786426:ONC786491 OWY786426:OWY786491 PGU786426:PGU786491 PQQ786426:PQQ786491 QAM786426:QAM786491 QKI786426:QKI786491 QUE786426:QUE786491 REA786426:REA786491 RNW786426:RNW786491 RXS786426:RXS786491 SHO786426:SHO786491 SRK786426:SRK786491 TBG786426:TBG786491 TLC786426:TLC786491 TUY786426:TUY786491 UEU786426:UEU786491 UOQ786426:UOQ786491 UYM786426:UYM786491 VII786426:VII786491 VSE786426:VSE786491 WCA786426:WCA786491 WLW786426:WLW786491 WVS786426:WVS786491 K851962:K852027 JG851962:JG852027 TC851962:TC852027 ACY851962:ACY852027 AMU851962:AMU852027 AWQ851962:AWQ852027 BGM851962:BGM852027 BQI851962:BQI852027 CAE851962:CAE852027 CKA851962:CKA852027 CTW851962:CTW852027 DDS851962:DDS852027 DNO851962:DNO852027 DXK851962:DXK852027 EHG851962:EHG852027 ERC851962:ERC852027 FAY851962:FAY852027 FKU851962:FKU852027 FUQ851962:FUQ852027 GEM851962:GEM852027 GOI851962:GOI852027 GYE851962:GYE852027 HIA851962:HIA852027 HRW851962:HRW852027 IBS851962:IBS852027 ILO851962:ILO852027 IVK851962:IVK852027 JFG851962:JFG852027 JPC851962:JPC852027 JYY851962:JYY852027 KIU851962:KIU852027 KSQ851962:KSQ852027 LCM851962:LCM852027 LMI851962:LMI852027 LWE851962:LWE852027 MGA851962:MGA852027 MPW851962:MPW852027 MZS851962:MZS852027 NJO851962:NJO852027 NTK851962:NTK852027 ODG851962:ODG852027 ONC851962:ONC852027 OWY851962:OWY852027 PGU851962:PGU852027 PQQ851962:PQQ852027 QAM851962:QAM852027 QKI851962:QKI852027 QUE851962:QUE852027 REA851962:REA852027 RNW851962:RNW852027 RXS851962:RXS852027 SHO851962:SHO852027 SRK851962:SRK852027 TBG851962:TBG852027 TLC851962:TLC852027 TUY851962:TUY852027 UEU851962:UEU852027 UOQ851962:UOQ852027 UYM851962:UYM852027 VII851962:VII852027 VSE851962:VSE852027 WCA851962:WCA852027 WLW851962:WLW852027 WVS851962:WVS852027 K917498:K917563 JG917498:JG917563 TC917498:TC917563 ACY917498:ACY917563 AMU917498:AMU917563 AWQ917498:AWQ917563 BGM917498:BGM917563 BQI917498:BQI917563 CAE917498:CAE917563 CKA917498:CKA917563 CTW917498:CTW917563 DDS917498:DDS917563 DNO917498:DNO917563 DXK917498:DXK917563 EHG917498:EHG917563 ERC917498:ERC917563 FAY917498:FAY917563 FKU917498:FKU917563 FUQ917498:FUQ917563 GEM917498:GEM917563 GOI917498:GOI917563 GYE917498:GYE917563 HIA917498:HIA917563 HRW917498:HRW917563 IBS917498:IBS917563 ILO917498:ILO917563 IVK917498:IVK917563 JFG917498:JFG917563 JPC917498:JPC917563 JYY917498:JYY917563 KIU917498:KIU917563 KSQ917498:KSQ917563 LCM917498:LCM917563 LMI917498:LMI917563 LWE917498:LWE917563 MGA917498:MGA917563 MPW917498:MPW917563 MZS917498:MZS917563 NJO917498:NJO917563 NTK917498:NTK917563 ODG917498:ODG917563 ONC917498:ONC917563 OWY917498:OWY917563 PGU917498:PGU917563 PQQ917498:PQQ917563 QAM917498:QAM917563 QKI917498:QKI917563 QUE917498:QUE917563 REA917498:REA917563 RNW917498:RNW917563 RXS917498:RXS917563 SHO917498:SHO917563 SRK917498:SRK917563 TBG917498:TBG917563 TLC917498:TLC917563 TUY917498:TUY917563 UEU917498:UEU917563 UOQ917498:UOQ917563 UYM917498:UYM917563 VII917498:VII917563 VSE917498:VSE917563 WCA917498:WCA917563 WLW917498:WLW917563 WVS917498:WVS917563 K983034:K983099 JG983034:JG983099 TC983034:TC983099 ACY983034:ACY983099 AMU983034:AMU983099 AWQ983034:AWQ983099 BGM983034:BGM983099 BQI983034:BQI983099 CAE983034:CAE983099 CKA983034:CKA983099 CTW983034:CTW983099 DDS983034:DDS983099 DNO983034:DNO983099 DXK983034:DXK983099 EHG983034:EHG983099 ERC983034:ERC983099 FAY983034:FAY983099 FKU983034:FKU983099 FUQ983034:FUQ983099 GEM983034:GEM983099 GOI983034:GOI983099 GYE983034:GYE983099 HIA983034:HIA983099 HRW983034:HRW983099 IBS983034:IBS983099 ILO983034:ILO983099 IVK983034:IVK983099 JFG983034:JFG983099 JPC983034:JPC983099 JYY983034:JYY983099 KIU983034:KIU983099 KSQ983034:KSQ983099 LCM983034:LCM983099 LMI983034:LMI983099 LWE983034:LWE983099 MGA983034:MGA983099 MPW983034:MPW983099 MZS983034:MZS983099 NJO983034:NJO983099 NTK983034:NTK983099 ODG983034:ODG983099 ONC983034:ONC983099 OWY983034:OWY983099 PGU983034:PGU983099 PQQ983034:PQQ983099 QAM983034:QAM983099 QKI983034:QKI983099 QUE983034:QUE983099 REA983034:REA983099 RNW983034:RNW983099 RXS983034:RXS983099 SHO983034:SHO983099 SRK983034:SRK983099 TBG983034:TBG983099 TLC983034:TLC983099 TUY983034:TUY983099 UEU983034:UEU983099 UOQ983034:UOQ983099 UYM983034:UYM983099 VII983034:VII983099 VSE983034:VSE983099 WCA983034:WCA983099 WLW983034:WLW983099 K435:K492 WVS2:WVS61 WLW2:WLW61 WCA2:WCA61 VSE2:VSE61 VII2:VII61 UYM2:UYM61 UOQ2:UOQ61 UEU2:UEU61 TUY2:TUY61 TLC2:TLC61 TBG2:TBG61 SRK2:SRK61 SHO2:SHO61 RXS2:RXS61 RNW2:RNW61 REA2:REA61 QUE2:QUE61 QKI2:QKI61 QAM2:QAM61 PQQ2:PQQ61 PGU2:PGU61 OWY2:OWY61 ONC2:ONC61 ODG2:ODG61 NTK2:NTK61 NJO2:NJO61 MZS2:MZS61 MPW2:MPW61 MGA2:MGA61 LWE2:LWE61 LMI2:LMI61 LCM2:LCM61 KSQ2:KSQ61 KIU2:KIU61 JYY2:JYY61 JPC2:JPC61 JFG2:JFG61 IVK2:IVK61 ILO2:ILO61 IBS2:IBS61 HRW2:HRW61 HIA2:HIA61 GYE2:GYE61 GOI2:GOI61 GEM2:GEM61 FUQ2:FUQ61 FKU2:FKU61 FAY2:FAY61 ERC2:ERC61 EHG2:EHG61 DXK2:DXK61 DNO2:DNO61 DDS2:DDS61 CTW2:CTW61 CKA2:CKA61 CAE2:CAE61 BQI2:BQI61 BGM2:BGM61 AWQ2:AWQ61 AMU2:AMU61 ACY2:ACY61 TC2:TC61 JG2:JG61" xr:uid="{E127DCB5-DA9D-4795-8421-B264C38A9AEB}">
      <formula1>$AR$2:$AR$25</formula1>
    </dataValidation>
    <dataValidation type="list" allowBlank="1" showInputMessage="1" showErrorMessage="1" sqref="WVR983034:WVR983099 J65530:J65595 JF65530:JF65595 TB65530:TB65595 ACX65530:ACX65595 AMT65530:AMT65595 AWP65530:AWP65595 BGL65530:BGL65595 BQH65530:BQH65595 CAD65530:CAD65595 CJZ65530:CJZ65595 CTV65530:CTV65595 DDR65530:DDR65595 DNN65530:DNN65595 DXJ65530:DXJ65595 EHF65530:EHF65595 ERB65530:ERB65595 FAX65530:FAX65595 FKT65530:FKT65595 FUP65530:FUP65595 GEL65530:GEL65595 GOH65530:GOH65595 GYD65530:GYD65595 HHZ65530:HHZ65595 HRV65530:HRV65595 IBR65530:IBR65595 ILN65530:ILN65595 IVJ65530:IVJ65595 JFF65530:JFF65595 JPB65530:JPB65595 JYX65530:JYX65595 KIT65530:KIT65595 KSP65530:KSP65595 LCL65530:LCL65595 LMH65530:LMH65595 LWD65530:LWD65595 MFZ65530:MFZ65595 MPV65530:MPV65595 MZR65530:MZR65595 NJN65530:NJN65595 NTJ65530:NTJ65595 ODF65530:ODF65595 ONB65530:ONB65595 OWX65530:OWX65595 PGT65530:PGT65595 PQP65530:PQP65595 QAL65530:QAL65595 QKH65530:QKH65595 QUD65530:QUD65595 RDZ65530:RDZ65595 RNV65530:RNV65595 RXR65530:RXR65595 SHN65530:SHN65595 SRJ65530:SRJ65595 TBF65530:TBF65595 TLB65530:TLB65595 TUX65530:TUX65595 UET65530:UET65595 UOP65530:UOP65595 UYL65530:UYL65595 VIH65530:VIH65595 VSD65530:VSD65595 WBZ65530:WBZ65595 WLV65530:WLV65595 WVR65530:WVR65595 J131066:J131131 JF131066:JF131131 TB131066:TB131131 ACX131066:ACX131131 AMT131066:AMT131131 AWP131066:AWP131131 BGL131066:BGL131131 BQH131066:BQH131131 CAD131066:CAD131131 CJZ131066:CJZ131131 CTV131066:CTV131131 DDR131066:DDR131131 DNN131066:DNN131131 DXJ131066:DXJ131131 EHF131066:EHF131131 ERB131066:ERB131131 FAX131066:FAX131131 FKT131066:FKT131131 FUP131066:FUP131131 GEL131066:GEL131131 GOH131066:GOH131131 GYD131066:GYD131131 HHZ131066:HHZ131131 HRV131066:HRV131131 IBR131066:IBR131131 ILN131066:ILN131131 IVJ131066:IVJ131131 JFF131066:JFF131131 JPB131066:JPB131131 JYX131066:JYX131131 KIT131066:KIT131131 KSP131066:KSP131131 LCL131066:LCL131131 LMH131066:LMH131131 LWD131066:LWD131131 MFZ131066:MFZ131131 MPV131066:MPV131131 MZR131066:MZR131131 NJN131066:NJN131131 NTJ131066:NTJ131131 ODF131066:ODF131131 ONB131066:ONB131131 OWX131066:OWX131131 PGT131066:PGT131131 PQP131066:PQP131131 QAL131066:QAL131131 QKH131066:QKH131131 QUD131066:QUD131131 RDZ131066:RDZ131131 RNV131066:RNV131131 RXR131066:RXR131131 SHN131066:SHN131131 SRJ131066:SRJ131131 TBF131066:TBF131131 TLB131066:TLB131131 TUX131066:TUX131131 UET131066:UET131131 UOP131066:UOP131131 UYL131066:UYL131131 VIH131066:VIH131131 VSD131066:VSD131131 WBZ131066:WBZ131131 WLV131066:WLV131131 WVR131066:WVR131131 J196602:J196667 JF196602:JF196667 TB196602:TB196667 ACX196602:ACX196667 AMT196602:AMT196667 AWP196602:AWP196667 BGL196602:BGL196667 BQH196602:BQH196667 CAD196602:CAD196667 CJZ196602:CJZ196667 CTV196602:CTV196667 DDR196602:DDR196667 DNN196602:DNN196667 DXJ196602:DXJ196667 EHF196602:EHF196667 ERB196602:ERB196667 FAX196602:FAX196667 FKT196602:FKT196667 FUP196602:FUP196667 GEL196602:GEL196667 GOH196602:GOH196667 GYD196602:GYD196667 HHZ196602:HHZ196667 HRV196602:HRV196667 IBR196602:IBR196667 ILN196602:ILN196667 IVJ196602:IVJ196667 JFF196602:JFF196667 JPB196602:JPB196667 JYX196602:JYX196667 KIT196602:KIT196667 KSP196602:KSP196667 LCL196602:LCL196667 LMH196602:LMH196667 LWD196602:LWD196667 MFZ196602:MFZ196667 MPV196602:MPV196667 MZR196602:MZR196667 NJN196602:NJN196667 NTJ196602:NTJ196667 ODF196602:ODF196667 ONB196602:ONB196667 OWX196602:OWX196667 PGT196602:PGT196667 PQP196602:PQP196667 QAL196602:QAL196667 QKH196602:QKH196667 QUD196602:QUD196667 RDZ196602:RDZ196667 RNV196602:RNV196667 RXR196602:RXR196667 SHN196602:SHN196667 SRJ196602:SRJ196667 TBF196602:TBF196667 TLB196602:TLB196667 TUX196602:TUX196667 UET196602:UET196667 UOP196602:UOP196667 UYL196602:UYL196667 VIH196602:VIH196667 VSD196602:VSD196667 WBZ196602:WBZ196667 WLV196602:WLV196667 WVR196602:WVR196667 J262138:J262203 JF262138:JF262203 TB262138:TB262203 ACX262138:ACX262203 AMT262138:AMT262203 AWP262138:AWP262203 BGL262138:BGL262203 BQH262138:BQH262203 CAD262138:CAD262203 CJZ262138:CJZ262203 CTV262138:CTV262203 DDR262138:DDR262203 DNN262138:DNN262203 DXJ262138:DXJ262203 EHF262138:EHF262203 ERB262138:ERB262203 FAX262138:FAX262203 FKT262138:FKT262203 FUP262138:FUP262203 GEL262138:GEL262203 GOH262138:GOH262203 GYD262138:GYD262203 HHZ262138:HHZ262203 HRV262138:HRV262203 IBR262138:IBR262203 ILN262138:ILN262203 IVJ262138:IVJ262203 JFF262138:JFF262203 JPB262138:JPB262203 JYX262138:JYX262203 KIT262138:KIT262203 KSP262138:KSP262203 LCL262138:LCL262203 LMH262138:LMH262203 LWD262138:LWD262203 MFZ262138:MFZ262203 MPV262138:MPV262203 MZR262138:MZR262203 NJN262138:NJN262203 NTJ262138:NTJ262203 ODF262138:ODF262203 ONB262138:ONB262203 OWX262138:OWX262203 PGT262138:PGT262203 PQP262138:PQP262203 QAL262138:QAL262203 QKH262138:QKH262203 QUD262138:QUD262203 RDZ262138:RDZ262203 RNV262138:RNV262203 RXR262138:RXR262203 SHN262138:SHN262203 SRJ262138:SRJ262203 TBF262138:TBF262203 TLB262138:TLB262203 TUX262138:TUX262203 UET262138:UET262203 UOP262138:UOP262203 UYL262138:UYL262203 VIH262138:VIH262203 VSD262138:VSD262203 WBZ262138:WBZ262203 WLV262138:WLV262203 WVR262138:WVR262203 J327674:J327739 JF327674:JF327739 TB327674:TB327739 ACX327674:ACX327739 AMT327674:AMT327739 AWP327674:AWP327739 BGL327674:BGL327739 BQH327674:BQH327739 CAD327674:CAD327739 CJZ327674:CJZ327739 CTV327674:CTV327739 DDR327674:DDR327739 DNN327674:DNN327739 DXJ327674:DXJ327739 EHF327674:EHF327739 ERB327674:ERB327739 FAX327674:FAX327739 FKT327674:FKT327739 FUP327674:FUP327739 GEL327674:GEL327739 GOH327674:GOH327739 GYD327674:GYD327739 HHZ327674:HHZ327739 HRV327674:HRV327739 IBR327674:IBR327739 ILN327674:ILN327739 IVJ327674:IVJ327739 JFF327674:JFF327739 JPB327674:JPB327739 JYX327674:JYX327739 KIT327674:KIT327739 KSP327674:KSP327739 LCL327674:LCL327739 LMH327674:LMH327739 LWD327674:LWD327739 MFZ327674:MFZ327739 MPV327674:MPV327739 MZR327674:MZR327739 NJN327674:NJN327739 NTJ327674:NTJ327739 ODF327674:ODF327739 ONB327674:ONB327739 OWX327674:OWX327739 PGT327674:PGT327739 PQP327674:PQP327739 QAL327674:QAL327739 QKH327674:QKH327739 QUD327674:QUD327739 RDZ327674:RDZ327739 RNV327674:RNV327739 RXR327674:RXR327739 SHN327674:SHN327739 SRJ327674:SRJ327739 TBF327674:TBF327739 TLB327674:TLB327739 TUX327674:TUX327739 UET327674:UET327739 UOP327674:UOP327739 UYL327674:UYL327739 VIH327674:VIH327739 VSD327674:VSD327739 WBZ327674:WBZ327739 WLV327674:WLV327739 WVR327674:WVR327739 J393210:J393275 JF393210:JF393275 TB393210:TB393275 ACX393210:ACX393275 AMT393210:AMT393275 AWP393210:AWP393275 BGL393210:BGL393275 BQH393210:BQH393275 CAD393210:CAD393275 CJZ393210:CJZ393275 CTV393210:CTV393275 DDR393210:DDR393275 DNN393210:DNN393275 DXJ393210:DXJ393275 EHF393210:EHF393275 ERB393210:ERB393275 FAX393210:FAX393275 FKT393210:FKT393275 FUP393210:FUP393275 GEL393210:GEL393275 GOH393210:GOH393275 GYD393210:GYD393275 HHZ393210:HHZ393275 HRV393210:HRV393275 IBR393210:IBR393275 ILN393210:ILN393275 IVJ393210:IVJ393275 JFF393210:JFF393275 JPB393210:JPB393275 JYX393210:JYX393275 KIT393210:KIT393275 KSP393210:KSP393275 LCL393210:LCL393275 LMH393210:LMH393275 LWD393210:LWD393275 MFZ393210:MFZ393275 MPV393210:MPV393275 MZR393210:MZR393275 NJN393210:NJN393275 NTJ393210:NTJ393275 ODF393210:ODF393275 ONB393210:ONB393275 OWX393210:OWX393275 PGT393210:PGT393275 PQP393210:PQP393275 QAL393210:QAL393275 QKH393210:QKH393275 QUD393210:QUD393275 RDZ393210:RDZ393275 RNV393210:RNV393275 RXR393210:RXR393275 SHN393210:SHN393275 SRJ393210:SRJ393275 TBF393210:TBF393275 TLB393210:TLB393275 TUX393210:TUX393275 UET393210:UET393275 UOP393210:UOP393275 UYL393210:UYL393275 VIH393210:VIH393275 VSD393210:VSD393275 WBZ393210:WBZ393275 WLV393210:WLV393275 WVR393210:WVR393275 J458746:J458811 JF458746:JF458811 TB458746:TB458811 ACX458746:ACX458811 AMT458746:AMT458811 AWP458746:AWP458811 BGL458746:BGL458811 BQH458746:BQH458811 CAD458746:CAD458811 CJZ458746:CJZ458811 CTV458746:CTV458811 DDR458746:DDR458811 DNN458746:DNN458811 DXJ458746:DXJ458811 EHF458746:EHF458811 ERB458746:ERB458811 FAX458746:FAX458811 FKT458746:FKT458811 FUP458746:FUP458811 GEL458746:GEL458811 GOH458746:GOH458811 GYD458746:GYD458811 HHZ458746:HHZ458811 HRV458746:HRV458811 IBR458746:IBR458811 ILN458746:ILN458811 IVJ458746:IVJ458811 JFF458746:JFF458811 JPB458746:JPB458811 JYX458746:JYX458811 KIT458746:KIT458811 KSP458746:KSP458811 LCL458746:LCL458811 LMH458746:LMH458811 LWD458746:LWD458811 MFZ458746:MFZ458811 MPV458746:MPV458811 MZR458746:MZR458811 NJN458746:NJN458811 NTJ458746:NTJ458811 ODF458746:ODF458811 ONB458746:ONB458811 OWX458746:OWX458811 PGT458746:PGT458811 PQP458746:PQP458811 QAL458746:QAL458811 QKH458746:QKH458811 QUD458746:QUD458811 RDZ458746:RDZ458811 RNV458746:RNV458811 RXR458746:RXR458811 SHN458746:SHN458811 SRJ458746:SRJ458811 TBF458746:TBF458811 TLB458746:TLB458811 TUX458746:TUX458811 UET458746:UET458811 UOP458746:UOP458811 UYL458746:UYL458811 VIH458746:VIH458811 VSD458746:VSD458811 WBZ458746:WBZ458811 WLV458746:WLV458811 WVR458746:WVR458811 J524282:J524347 JF524282:JF524347 TB524282:TB524347 ACX524282:ACX524347 AMT524282:AMT524347 AWP524282:AWP524347 BGL524282:BGL524347 BQH524282:BQH524347 CAD524282:CAD524347 CJZ524282:CJZ524347 CTV524282:CTV524347 DDR524282:DDR524347 DNN524282:DNN524347 DXJ524282:DXJ524347 EHF524282:EHF524347 ERB524282:ERB524347 FAX524282:FAX524347 FKT524282:FKT524347 FUP524282:FUP524347 GEL524282:GEL524347 GOH524282:GOH524347 GYD524282:GYD524347 HHZ524282:HHZ524347 HRV524282:HRV524347 IBR524282:IBR524347 ILN524282:ILN524347 IVJ524282:IVJ524347 JFF524282:JFF524347 JPB524282:JPB524347 JYX524282:JYX524347 KIT524282:KIT524347 KSP524282:KSP524347 LCL524282:LCL524347 LMH524282:LMH524347 LWD524282:LWD524347 MFZ524282:MFZ524347 MPV524282:MPV524347 MZR524282:MZR524347 NJN524282:NJN524347 NTJ524282:NTJ524347 ODF524282:ODF524347 ONB524282:ONB524347 OWX524282:OWX524347 PGT524282:PGT524347 PQP524282:PQP524347 QAL524282:QAL524347 QKH524282:QKH524347 QUD524282:QUD524347 RDZ524282:RDZ524347 RNV524282:RNV524347 RXR524282:RXR524347 SHN524282:SHN524347 SRJ524282:SRJ524347 TBF524282:TBF524347 TLB524282:TLB524347 TUX524282:TUX524347 UET524282:UET524347 UOP524282:UOP524347 UYL524282:UYL524347 VIH524282:VIH524347 VSD524282:VSD524347 WBZ524282:WBZ524347 WLV524282:WLV524347 WVR524282:WVR524347 J589818:J589883 JF589818:JF589883 TB589818:TB589883 ACX589818:ACX589883 AMT589818:AMT589883 AWP589818:AWP589883 BGL589818:BGL589883 BQH589818:BQH589883 CAD589818:CAD589883 CJZ589818:CJZ589883 CTV589818:CTV589883 DDR589818:DDR589883 DNN589818:DNN589883 DXJ589818:DXJ589883 EHF589818:EHF589883 ERB589818:ERB589883 FAX589818:FAX589883 FKT589818:FKT589883 FUP589818:FUP589883 GEL589818:GEL589883 GOH589818:GOH589883 GYD589818:GYD589883 HHZ589818:HHZ589883 HRV589818:HRV589883 IBR589818:IBR589883 ILN589818:ILN589883 IVJ589818:IVJ589883 JFF589818:JFF589883 JPB589818:JPB589883 JYX589818:JYX589883 KIT589818:KIT589883 KSP589818:KSP589883 LCL589818:LCL589883 LMH589818:LMH589883 LWD589818:LWD589883 MFZ589818:MFZ589883 MPV589818:MPV589883 MZR589818:MZR589883 NJN589818:NJN589883 NTJ589818:NTJ589883 ODF589818:ODF589883 ONB589818:ONB589883 OWX589818:OWX589883 PGT589818:PGT589883 PQP589818:PQP589883 QAL589818:QAL589883 QKH589818:QKH589883 QUD589818:QUD589883 RDZ589818:RDZ589883 RNV589818:RNV589883 RXR589818:RXR589883 SHN589818:SHN589883 SRJ589818:SRJ589883 TBF589818:TBF589883 TLB589818:TLB589883 TUX589818:TUX589883 UET589818:UET589883 UOP589818:UOP589883 UYL589818:UYL589883 VIH589818:VIH589883 VSD589818:VSD589883 WBZ589818:WBZ589883 WLV589818:WLV589883 WVR589818:WVR589883 J655354:J655419 JF655354:JF655419 TB655354:TB655419 ACX655354:ACX655419 AMT655354:AMT655419 AWP655354:AWP655419 BGL655354:BGL655419 BQH655354:BQH655419 CAD655354:CAD655419 CJZ655354:CJZ655419 CTV655354:CTV655419 DDR655354:DDR655419 DNN655354:DNN655419 DXJ655354:DXJ655419 EHF655354:EHF655419 ERB655354:ERB655419 FAX655354:FAX655419 FKT655354:FKT655419 FUP655354:FUP655419 GEL655354:GEL655419 GOH655354:GOH655419 GYD655354:GYD655419 HHZ655354:HHZ655419 HRV655354:HRV655419 IBR655354:IBR655419 ILN655354:ILN655419 IVJ655354:IVJ655419 JFF655354:JFF655419 JPB655354:JPB655419 JYX655354:JYX655419 KIT655354:KIT655419 KSP655354:KSP655419 LCL655354:LCL655419 LMH655354:LMH655419 LWD655354:LWD655419 MFZ655354:MFZ655419 MPV655354:MPV655419 MZR655354:MZR655419 NJN655354:NJN655419 NTJ655354:NTJ655419 ODF655354:ODF655419 ONB655354:ONB655419 OWX655354:OWX655419 PGT655354:PGT655419 PQP655354:PQP655419 QAL655354:QAL655419 QKH655354:QKH655419 QUD655354:QUD655419 RDZ655354:RDZ655419 RNV655354:RNV655419 RXR655354:RXR655419 SHN655354:SHN655419 SRJ655354:SRJ655419 TBF655354:TBF655419 TLB655354:TLB655419 TUX655354:TUX655419 UET655354:UET655419 UOP655354:UOP655419 UYL655354:UYL655419 VIH655354:VIH655419 VSD655354:VSD655419 WBZ655354:WBZ655419 WLV655354:WLV655419 WVR655354:WVR655419 J720890:J720955 JF720890:JF720955 TB720890:TB720955 ACX720890:ACX720955 AMT720890:AMT720955 AWP720890:AWP720955 BGL720890:BGL720955 BQH720890:BQH720955 CAD720890:CAD720955 CJZ720890:CJZ720955 CTV720890:CTV720955 DDR720890:DDR720955 DNN720890:DNN720955 DXJ720890:DXJ720955 EHF720890:EHF720955 ERB720890:ERB720955 FAX720890:FAX720955 FKT720890:FKT720955 FUP720890:FUP720955 GEL720890:GEL720955 GOH720890:GOH720955 GYD720890:GYD720955 HHZ720890:HHZ720955 HRV720890:HRV720955 IBR720890:IBR720955 ILN720890:ILN720955 IVJ720890:IVJ720955 JFF720890:JFF720955 JPB720890:JPB720955 JYX720890:JYX720955 KIT720890:KIT720955 KSP720890:KSP720955 LCL720890:LCL720955 LMH720890:LMH720955 LWD720890:LWD720955 MFZ720890:MFZ720955 MPV720890:MPV720955 MZR720890:MZR720955 NJN720890:NJN720955 NTJ720890:NTJ720955 ODF720890:ODF720955 ONB720890:ONB720955 OWX720890:OWX720955 PGT720890:PGT720955 PQP720890:PQP720955 QAL720890:QAL720955 QKH720890:QKH720955 QUD720890:QUD720955 RDZ720890:RDZ720955 RNV720890:RNV720955 RXR720890:RXR720955 SHN720890:SHN720955 SRJ720890:SRJ720955 TBF720890:TBF720955 TLB720890:TLB720955 TUX720890:TUX720955 UET720890:UET720955 UOP720890:UOP720955 UYL720890:UYL720955 VIH720890:VIH720955 VSD720890:VSD720955 WBZ720890:WBZ720955 WLV720890:WLV720955 WVR720890:WVR720955 J786426:J786491 JF786426:JF786491 TB786426:TB786491 ACX786426:ACX786491 AMT786426:AMT786491 AWP786426:AWP786491 BGL786426:BGL786491 BQH786426:BQH786491 CAD786426:CAD786491 CJZ786426:CJZ786491 CTV786426:CTV786491 DDR786426:DDR786491 DNN786426:DNN786491 DXJ786426:DXJ786491 EHF786426:EHF786491 ERB786426:ERB786491 FAX786426:FAX786491 FKT786426:FKT786491 FUP786426:FUP786491 GEL786426:GEL786491 GOH786426:GOH786491 GYD786426:GYD786491 HHZ786426:HHZ786491 HRV786426:HRV786491 IBR786426:IBR786491 ILN786426:ILN786491 IVJ786426:IVJ786491 JFF786426:JFF786491 JPB786426:JPB786491 JYX786426:JYX786491 KIT786426:KIT786491 KSP786426:KSP786491 LCL786426:LCL786491 LMH786426:LMH786491 LWD786426:LWD786491 MFZ786426:MFZ786491 MPV786426:MPV786491 MZR786426:MZR786491 NJN786426:NJN786491 NTJ786426:NTJ786491 ODF786426:ODF786491 ONB786426:ONB786491 OWX786426:OWX786491 PGT786426:PGT786491 PQP786426:PQP786491 QAL786426:QAL786491 QKH786426:QKH786491 QUD786426:QUD786491 RDZ786426:RDZ786491 RNV786426:RNV786491 RXR786426:RXR786491 SHN786426:SHN786491 SRJ786426:SRJ786491 TBF786426:TBF786491 TLB786426:TLB786491 TUX786426:TUX786491 UET786426:UET786491 UOP786426:UOP786491 UYL786426:UYL786491 VIH786426:VIH786491 VSD786426:VSD786491 WBZ786426:WBZ786491 WLV786426:WLV786491 WVR786426:WVR786491 J851962:J852027 JF851962:JF852027 TB851962:TB852027 ACX851962:ACX852027 AMT851962:AMT852027 AWP851962:AWP852027 BGL851962:BGL852027 BQH851962:BQH852027 CAD851962:CAD852027 CJZ851962:CJZ852027 CTV851962:CTV852027 DDR851962:DDR852027 DNN851962:DNN852027 DXJ851962:DXJ852027 EHF851962:EHF852027 ERB851962:ERB852027 FAX851962:FAX852027 FKT851962:FKT852027 FUP851962:FUP852027 GEL851962:GEL852027 GOH851962:GOH852027 GYD851962:GYD852027 HHZ851962:HHZ852027 HRV851962:HRV852027 IBR851962:IBR852027 ILN851962:ILN852027 IVJ851962:IVJ852027 JFF851962:JFF852027 JPB851962:JPB852027 JYX851962:JYX852027 KIT851962:KIT852027 KSP851962:KSP852027 LCL851962:LCL852027 LMH851962:LMH852027 LWD851962:LWD852027 MFZ851962:MFZ852027 MPV851962:MPV852027 MZR851962:MZR852027 NJN851962:NJN852027 NTJ851962:NTJ852027 ODF851962:ODF852027 ONB851962:ONB852027 OWX851962:OWX852027 PGT851962:PGT852027 PQP851962:PQP852027 QAL851962:QAL852027 QKH851962:QKH852027 QUD851962:QUD852027 RDZ851962:RDZ852027 RNV851962:RNV852027 RXR851962:RXR852027 SHN851962:SHN852027 SRJ851962:SRJ852027 TBF851962:TBF852027 TLB851962:TLB852027 TUX851962:TUX852027 UET851962:UET852027 UOP851962:UOP852027 UYL851962:UYL852027 VIH851962:VIH852027 VSD851962:VSD852027 WBZ851962:WBZ852027 WLV851962:WLV852027 WVR851962:WVR852027 J917498:J917563 JF917498:JF917563 TB917498:TB917563 ACX917498:ACX917563 AMT917498:AMT917563 AWP917498:AWP917563 BGL917498:BGL917563 BQH917498:BQH917563 CAD917498:CAD917563 CJZ917498:CJZ917563 CTV917498:CTV917563 DDR917498:DDR917563 DNN917498:DNN917563 DXJ917498:DXJ917563 EHF917498:EHF917563 ERB917498:ERB917563 FAX917498:FAX917563 FKT917498:FKT917563 FUP917498:FUP917563 GEL917498:GEL917563 GOH917498:GOH917563 GYD917498:GYD917563 HHZ917498:HHZ917563 HRV917498:HRV917563 IBR917498:IBR917563 ILN917498:ILN917563 IVJ917498:IVJ917563 JFF917498:JFF917563 JPB917498:JPB917563 JYX917498:JYX917563 KIT917498:KIT917563 KSP917498:KSP917563 LCL917498:LCL917563 LMH917498:LMH917563 LWD917498:LWD917563 MFZ917498:MFZ917563 MPV917498:MPV917563 MZR917498:MZR917563 NJN917498:NJN917563 NTJ917498:NTJ917563 ODF917498:ODF917563 ONB917498:ONB917563 OWX917498:OWX917563 PGT917498:PGT917563 PQP917498:PQP917563 QAL917498:QAL917563 QKH917498:QKH917563 QUD917498:QUD917563 RDZ917498:RDZ917563 RNV917498:RNV917563 RXR917498:RXR917563 SHN917498:SHN917563 SRJ917498:SRJ917563 TBF917498:TBF917563 TLB917498:TLB917563 TUX917498:TUX917563 UET917498:UET917563 UOP917498:UOP917563 UYL917498:UYL917563 VIH917498:VIH917563 VSD917498:VSD917563 WBZ917498:WBZ917563 WLV917498:WLV917563 WVR917498:WVR917563 J983034:J983099 JF983034:JF983099 TB983034:TB983099 ACX983034:ACX983099 AMT983034:AMT983099 AWP983034:AWP983099 BGL983034:BGL983099 BQH983034:BQH983099 CAD983034:CAD983099 CJZ983034:CJZ983099 CTV983034:CTV983099 DDR983034:DDR983099 DNN983034:DNN983099 DXJ983034:DXJ983099 EHF983034:EHF983099 ERB983034:ERB983099 FAX983034:FAX983099 FKT983034:FKT983099 FUP983034:FUP983099 GEL983034:GEL983099 GOH983034:GOH983099 GYD983034:GYD983099 HHZ983034:HHZ983099 HRV983034:HRV983099 IBR983034:IBR983099 ILN983034:ILN983099 IVJ983034:IVJ983099 JFF983034:JFF983099 JPB983034:JPB983099 JYX983034:JYX983099 KIT983034:KIT983099 KSP983034:KSP983099 LCL983034:LCL983099 LMH983034:LMH983099 LWD983034:LWD983099 MFZ983034:MFZ983099 MPV983034:MPV983099 MZR983034:MZR983099 NJN983034:NJN983099 NTJ983034:NTJ983099 ODF983034:ODF983099 ONB983034:ONB983099 OWX983034:OWX983099 PGT983034:PGT983099 PQP983034:PQP983099 QAL983034:QAL983099 QKH983034:QKH983099 QUD983034:QUD983099 RDZ983034:RDZ983099 RNV983034:RNV983099 RXR983034:RXR983099 SHN983034:SHN983099 SRJ983034:SRJ983099 TBF983034:TBF983099 TLB983034:TLB983099 TUX983034:TUX983099 UET983034:UET983099 UOP983034:UOP983099 UYL983034:UYL983099 VIH983034:VIH983099 VSD983034:VSD983099 WBZ983034:WBZ983099 WLV983034:WLV983099 WLV2:WLV61 WBZ2:WBZ61 VSD2:VSD61 VIH2:VIH61 UYL2:UYL61 UOP2:UOP61 UET2:UET61 TUX2:TUX61 TLB2:TLB61 TBF2:TBF61 SRJ2:SRJ61 SHN2:SHN61 RXR2:RXR61 RNV2:RNV61 RDZ2:RDZ61 QUD2:QUD61 QKH2:QKH61 QAL2:QAL61 PQP2:PQP61 PGT2:PGT61 OWX2:OWX61 ONB2:ONB61 ODF2:ODF61 NTJ2:NTJ61 NJN2:NJN61 MZR2:MZR61 MPV2:MPV61 MFZ2:MFZ61 LWD2:LWD61 LMH2:LMH61 LCL2:LCL61 KSP2:KSP61 KIT2:KIT61 JYX2:JYX61 JPB2:JPB61 JFF2:JFF61 IVJ2:IVJ61 ILN2:ILN61 IBR2:IBR61 HRV2:HRV61 HHZ2:HHZ61 GYD2:GYD61 GOH2:GOH61 GEL2:GEL61 FUP2:FUP61 FKT2:FKT61 FAX2:FAX61 ERB2:ERB61 EHF2:EHF61 DXJ2:DXJ61 DNN2:DNN61 DDR2:DDR61 CTV2:CTV61 CJZ2:CJZ61 CAD2:CAD61 BQH2:BQH61 BGL2:BGL61 AWP2:AWP61 AMT2:AMT61 ACX2:ACX61 TB2:TB61 JF2:JF61 J62:J492 WVR2:WVR61" xr:uid="{AA05726A-25A2-4146-A946-44C5D6716D56}">
      <formula1>$AP$2:$AP$27</formula1>
    </dataValidation>
    <dataValidation type="list" allowBlank="1" showInputMessage="1" showErrorMessage="1" sqref="WVP983034:WVP983099 H65530:H65595 JD65530:JD65595 SZ65530:SZ65595 ACV65530:ACV65595 AMR65530:AMR65595 AWN65530:AWN65595 BGJ65530:BGJ65595 BQF65530:BQF65595 CAB65530:CAB65595 CJX65530:CJX65595 CTT65530:CTT65595 DDP65530:DDP65595 DNL65530:DNL65595 DXH65530:DXH65595 EHD65530:EHD65595 EQZ65530:EQZ65595 FAV65530:FAV65595 FKR65530:FKR65595 FUN65530:FUN65595 GEJ65530:GEJ65595 GOF65530:GOF65595 GYB65530:GYB65595 HHX65530:HHX65595 HRT65530:HRT65595 IBP65530:IBP65595 ILL65530:ILL65595 IVH65530:IVH65595 JFD65530:JFD65595 JOZ65530:JOZ65595 JYV65530:JYV65595 KIR65530:KIR65595 KSN65530:KSN65595 LCJ65530:LCJ65595 LMF65530:LMF65595 LWB65530:LWB65595 MFX65530:MFX65595 MPT65530:MPT65595 MZP65530:MZP65595 NJL65530:NJL65595 NTH65530:NTH65595 ODD65530:ODD65595 OMZ65530:OMZ65595 OWV65530:OWV65595 PGR65530:PGR65595 PQN65530:PQN65595 QAJ65530:QAJ65595 QKF65530:QKF65595 QUB65530:QUB65595 RDX65530:RDX65595 RNT65530:RNT65595 RXP65530:RXP65595 SHL65530:SHL65595 SRH65530:SRH65595 TBD65530:TBD65595 TKZ65530:TKZ65595 TUV65530:TUV65595 UER65530:UER65595 UON65530:UON65595 UYJ65530:UYJ65595 VIF65530:VIF65595 VSB65530:VSB65595 WBX65530:WBX65595 WLT65530:WLT65595 WVP65530:WVP65595 H131066:H131131 JD131066:JD131131 SZ131066:SZ131131 ACV131066:ACV131131 AMR131066:AMR131131 AWN131066:AWN131131 BGJ131066:BGJ131131 BQF131066:BQF131131 CAB131066:CAB131131 CJX131066:CJX131131 CTT131066:CTT131131 DDP131066:DDP131131 DNL131066:DNL131131 DXH131066:DXH131131 EHD131066:EHD131131 EQZ131066:EQZ131131 FAV131066:FAV131131 FKR131066:FKR131131 FUN131066:FUN131131 GEJ131066:GEJ131131 GOF131066:GOF131131 GYB131066:GYB131131 HHX131066:HHX131131 HRT131066:HRT131131 IBP131066:IBP131131 ILL131066:ILL131131 IVH131066:IVH131131 JFD131066:JFD131131 JOZ131066:JOZ131131 JYV131066:JYV131131 KIR131066:KIR131131 KSN131066:KSN131131 LCJ131066:LCJ131131 LMF131066:LMF131131 LWB131066:LWB131131 MFX131066:MFX131131 MPT131066:MPT131131 MZP131066:MZP131131 NJL131066:NJL131131 NTH131066:NTH131131 ODD131066:ODD131131 OMZ131066:OMZ131131 OWV131066:OWV131131 PGR131066:PGR131131 PQN131066:PQN131131 QAJ131066:QAJ131131 QKF131066:QKF131131 QUB131066:QUB131131 RDX131066:RDX131131 RNT131066:RNT131131 RXP131066:RXP131131 SHL131066:SHL131131 SRH131066:SRH131131 TBD131066:TBD131131 TKZ131066:TKZ131131 TUV131066:TUV131131 UER131066:UER131131 UON131066:UON131131 UYJ131066:UYJ131131 VIF131066:VIF131131 VSB131066:VSB131131 WBX131066:WBX131131 WLT131066:WLT131131 WVP131066:WVP131131 H196602:H196667 JD196602:JD196667 SZ196602:SZ196667 ACV196602:ACV196667 AMR196602:AMR196667 AWN196602:AWN196667 BGJ196602:BGJ196667 BQF196602:BQF196667 CAB196602:CAB196667 CJX196602:CJX196667 CTT196602:CTT196667 DDP196602:DDP196667 DNL196602:DNL196667 DXH196602:DXH196667 EHD196602:EHD196667 EQZ196602:EQZ196667 FAV196602:FAV196667 FKR196602:FKR196667 FUN196602:FUN196667 GEJ196602:GEJ196667 GOF196602:GOF196667 GYB196602:GYB196667 HHX196602:HHX196667 HRT196602:HRT196667 IBP196602:IBP196667 ILL196602:ILL196667 IVH196602:IVH196667 JFD196602:JFD196667 JOZ196602:JOZ196667 JYV196602:JYV196667 KIR196602:KIR196667 KSN196602:KSN196667 LCJ196602:LCJ196667 LMF196602:LMF196667 LWB196602:LWB196667 MFX196602:MFX196667 MPT196602:MPT196667 MZP196602:MZP196667 NJL196602:NJL196667 NTH196602:NTH196667 ODD196602:ODD196667 OMZ196602:OMZ196667 OWV196602:OWV196667 PGR196602:PGR196667 PQN196602:PQN196667 QAJ196602:QAJ196667 QKF196602:QKF196667 QUB196602:QUB196667 RDX196602:RDX196667 RNT196602:RNT196667 RXP196602:RXP196667 SHL196602:SHL196667 SRH196602:SRH196667 TBD196602:TBD196667 TKZ196602:TKZ196667 TUV196602:TUV196667 UER196602:UER196667 UON196602:UON196667 UYJ196602:UYJ196667 VIF196602:VIF196667 VSB196602:VSB196667 WBX196602:WBX196667 WLT196602:WLT196667 WVP196602:WVP196667 H262138:H262203 JD262138:JD262203 SZ262138:SZ262203 ACV262138:ACV262203 AMR262138:AMR262203 AWN262138:AWN262203 BGJ262138:BGJ262203 BQF262138:BQF262203 CAB262138:CAB262203 CJX262138:CJX262203 CTT262138:CTT262203 DDP262138:DDP262203 DNL262138:DNL262203 DXH262138:DXH262203 EHD262138:EHD262203 EQZ262138:EQZ262203 FAV262138:FAV262203 FKR262138:FKR262203 FUN262138:FUN262203 GEJ262138:GEJ262203 GOF262138:GOF262203 GYB262138:GYB262203 HHX262138:HHX262203 HRT262138:HRT262203 IBP262138:IBP262203 ILL262138:ILL262203 IVH262138:IVH262203 JFD262138:JFD262203 JOZ262138:JOZ262203 JYV262138:JYV262203 KIR262138:KIR262203 KSN262138:KSN262203 LCJ262138:LCJ262203 LMF262138:LMF262203 LWB262138:LWB262203 MFX262138:MFX262203 MPT262138:MPT262203 MZP262138:MZP262203 NJL262138:NJL262203 NTH262138:NTH262203 ODD262138:ODD262203 OMZ262138:OMZ262203 OWV262138:OWV262203 PGR262138:PGR262203 PQN262138:PQN262203 QAJ262138:QAJ262203 QKF262138:QKF262203 QUB262138:QUB262203 RDX262138:RDX262203 RNT262138:RNT262203 RXP262138:RXP262203 SHL262138:SHL262203 SRH262138:SRH262203 TBD262138:TBD262203 TKZ262138:TKZ262203 TUV262138:TUV262203 UER262138:UER262203 UON262138:UON262203 UYJ262138:UYJ262203 VIF262138:VIF262203 VSB262138:VSB262203 WBX262138:WBX262203 WLT262138:WLT262203 WVP262138:WVP262203 H327674:H327739 JD327674:JD327739 SZ327674:SZ327739 ACV327674:ACV327739 AMR327674:AMR327739 AWN327674:AWN327739 BGJ327674:BGJ327739 BQF327674:BQF327739 CAB327674:CAB327739 CJX327674:CJX327739 CTT327674:CTT327739 DDP327674:DDP327739 DNL327674:DNL327739 DXH327674:DXH327739 EHD327674:EHD327739 EQZ327674:EQZ327739 FAV327674:FAV327739 FKR327674:FKR327739 FUN327674:FUN327739 GEJ327674:GEJ327739 GOF327674:GOF327739 GYB327674:GYB327739 HHX327674:HHX327739 HRT327674:HRT327739 IBP327674:IBP327739 ILL327674:ILL327739 IVH327674:IVH327739 JFD327674:JFD327739 JOZ327674:JOZ327739 JYV327674:JYV327739 KIR327674:KIR327739 KSN327674:KSN327739 LCJ327674:LCJ327739 LMF327674:LMF327739 LWB327674:LWB327739 MFX327674:MFX327739 MPT327674:MPT327739 MZP327674:MZP327739 NJL327674:NJL327739 NTH327674:NTH327739 ODD327674:ODD327739 OMZ327674:OMZ327739 OWV327674:OWV327739 PGR327674:PGR327739 PQN327674:PQN327739 QAJ327674:QAJ327739 QKF327674:QKF327739 QUB327674:QUB327739 RDX327674:RDX327739 RNT327674:RNT327739 RXP327674:RXP327739 SHL327674:SHL327739 SRH327674:SRH327739 TBD327674:TBD327739 TKZ327674:TKZ327739 TUV327674:TUV327739 UER327674:UER327739 UON327674:UON327739 UYJ327674:UYJ327739 VIF327674:VIF327739 VSB327674:VSB327739 WBX327674:WBX327739 WLT327674:WLT327739 WVP327674:WVP327739 H393210:H393275 JD393210:JD393275 SZ393210:SZ393275 ACV393210:ACV393275 AMR393210:AMR393275 AWN393210:AWN393275 BGJ393210:BGJ393275 BQF393210:BQF393275 CAB393210:CAB393275 CJX393210:CJX393275 CTT393210:CTT393275 DDP393210:DDP393275 DNL393210:DNL393275 DXH393210:DXH393275 EHD393210:EHD393275 EQZ393210:EQZ393275 FAV393210:FAV393275 FKR393210:FKR393275 FUN393210:FUN393275 GEJ393210:GEJ393275 GOF393210:GOF393275 GYB393210:GYB393275 HHX393210:HHX393275 HRT393210:HRT393275 IBP393210:IBP393275 ILL393210:ILL393275 IVH393210:IVH393275 JFD393210:JFD393275 JOZ393210:JOZ393275 JYV393210:JYV393275 KIR393210:KIR393275 KSN393210:KSN393275 LCJ393210:LCJ393275 LMF393210:LMF393275 LWB393210:LWB393275 MFX393210:MFX393275 MPT393210:MPT393275 MZP393210:MZP393275 NJL393210:NJL393275 NTH393210:NTH393275 ODD393210:ODD393275 OMZ393210:OMZ393275 OWV393210:OWV393275 PGR393210:PGR393275 PQN393210:PQN393275 QAJ393210:QAJ393275 QKF393210:QKF393275 QUB393210:QUB393275 RDX393210:RDX393275 RNT393210:RNT393275 RXP393210:RXP393275 SHL393210:SHL393275 SRH393210:SRH393275 TBD393210:TBD393275 TKZ393210:TKZ393275 TUV393210:TUV393275 UER393210:UER393275 UON393210:UON393275 UYJ393210:UYJ393275 VIF393210:VIF393275 VSB393210:VSB393275 WBX393210:WBX393275 WLT393210:WLT393275 WVP393210:WVP393275 H458746:H458811 JD458746:JD458811 SZ458746:SZ458811 ACV458746:ACV458811 AMR458746:AMR458811 AWN458746:AWN458811 BGJ458746:BGJ458811 BQF458746:BQF458811 CAB458746:CAB458811 CJX458746:CJX458811 CTT458746:CTT458811 DDP458746:DDP458811 DNL458746:DNL458811 DXH458746:DXH458811 EHD458746:EHD458811 EQZ458746:EQZ458811 FAV458746:FAV458811 FKR458746:FKR458811 FUN458746:FUN458811 GEJ458746:GEJ458811 GOF458746:GOF458811 GYB458746:GYB458811 HHX458746:HHX458811 HRT458746:HRT458811 IBP458746:IBP458811 ILL458746:ILL458811 IVH458746:IVH458811 JFD458746:JFD458811 JOZ458746:JOZ458811 JYV458746:JYV458811 KIR458746:KIR458811 KSN458746:KSN458811 LCJ458746:LCJ458811 LMF458746:LMF458811 LWB458746:LWB458811 MFX458746:MFX458811 MPT458746:MPT458811 MZP458746:MZP458811 NJL458746:NJL458811 NTH458746:NTH458811 ODD458746:ODD458811 OMZ458746:OMZ458811 OWV458746:OWV458811 PGR458746:PGR458811 PQN458746:PQN458811 QAJ458746:QAJ458811 QKF458746:QKF458811 QUB458746:QUB458811 RDX458746:RDX458811 RNT458746:RNT458811 RXP458746:RXP458811 SHL458746:SHL458811 SRH458746:SRH458811 TBD458746:TBD458811 TKZ458746:TKZ458811 TUV458746:TUV458811 UER458746:UER458811 UON458746:UON458811 UYJ458746:UYJ458811 VIF458746:VIF458811 VSB458746:VSB458811 WBX458746:WBX458811 WLT458746:WLT458811 WVP458746:WVP458811 H524282:H524347 JD524282:JD524347 SZ524282:SZ524347 ACV524282:ACV524347 AMR524282:AMR524347 AWN524282:AWN524347 BGJ524282:BGJ524347 BQF524282:BQF524347 CAB524282:CAB524347 CJX524282:CJX524347 CTT524282:CTT524347 DDP524282:DDP524347 DNL524282:DNL524347 DXH524282:DXH524347 EHD524282:EHD524347 EQZ524282:EQZ524347 FAV524282:FAV524347 FKR524282:FKR524347 FUN524282:FUN524347 GEJ524282:GEJ524347 GOF524282:GOF524347 GYB524282:GYB524347 HHX524282:HHX524347 HRT524282:HRT524347 IBP524282:IBP524347 ILL524282:ILL524347 IVH524282:IVH524347 JFD524282:JFD524347 JOZ524282:JOZ524347 JYV524282:JYV524347 KIR524282:KIR524347 KSN524282:KSN524347 LCJ524282:LCJ524347 LMF524282:LMF524347 LWB524282:LWB524347 MFX524282:MFX524347 MPT524282:MPT524347 MZP524282:MZP524347 NJL524282:NJL524347 NTH524282:NTH524347 ODD524282:ODD524347 OMZ524282:OMZ524347 OWV524282:OWV524347 PGR524282:PGR524347 PQN524282:PQN524347 QAJ524282:QAJ524347 QKF524282:QKF524347 QUB524282:QUB524347 RDX524282:RDX524347 RNT524282:RNT524347 RXP524282:RXP524347 SHL524282:SHL524347 SRH524282:SRH524347 TBD524282:TBD524347 TKZ524282:TKZ524347 TUV524282:TUV524347 UER524282:UER524347 UON524282:UON524347 UYJ524282:UYJ524347 VIF524282:VIF524347 VSB524282:VSB524347 WBX524282:WBX524347 WLT524282:WLT524347 WVP524282:WVP524347 H589818:H589883 JD589818:JD589883 SZ589818:SZ589883 ACV589818:ACV589883 AMR589818:AMR589883 AWN589818:AWN589883 BGJ589818:BGJ589883 BQF589818:BQF589883 CAB589818:CAB589883 CJX589818:CJX589883 CTT589818:CTT589883 DDP589818:DDP589883 DNL589818:DNL589883 DXH589818:DXH589883 EHD589818:EHD589883 EQZ589818:EQZ589883 FAV589818:FAV589883 FKR589818:FKR589883 FUN589818:FUN589883 GEJ589818:GEJ589883 GOF589818:GOF589883 GYB589818:GYB589883 HHX589818:HHX589883 HRT589818:HRT589883 IBP589818:IBP589883 ILL589818:ILL589883 IVH589818:IVH589883 JFD589818:JFD589883 JOZ589818:JOZ589883 JYV589818:JYV589883 KIR589818:KIR589883 KSN589818:KSN589883 LCJ589818:LCJ589883 LMF589818:LMF589883 LWB589818:LWB589883 MFX589818:MFX589883 MPT589818:MPT589883 MZP589818:MZP589883 NJL589818:NJL589883 NTH589818:NTH589883 ODD589818:ODD589883 OMZ589818:OMZ589883 OWV589818:OWV589883 PGR589818:PGR589883 PQN589818:PQN589883 QAJ589818:QAJ589883 QKF589818:QKF589883 QUB589818:QUB589883 RDX589818:RDX589883 RNT589818:RNT589883 RXP589818:RXP589883 SHL589818:SHL589883 SRH589818:SRH589883 TBD589818:TBD589883 TKZ589818:TKZ589883 TUV589818:TUV589883 UER589818:UER589883 UON589818:UON589883 UYJ589818:UYJ589883 VIF589818:VIF589883 VSB589818:VSB589883 WBX589818:WBX589883 WLT589818:WLT589883 WVP589818:WVP589883 H655354:H655419 JD655354:JD655419 SZ655354:SZ655419 ACV655354:ACV655419 AMR655354:AMR655419 AWN655354:AWN655419 BGJ655354:BGJ655419 BQF655354:BQF655419 CAB655354:CAB655419 CJX655354:CJX655419 CTT655354:CTT655419 DDP655354:DDP655419 DNL655354:DNL655419 DXH655354:DXH655419 EHD655354:EHD655419 EQZ655354:EQZ655419 FAV655354:FAV655419 FKR655354:FKR655419 FUN655354:FUN655419 GEJ655354:GEJ655419 GOF655354:GOF655419 GYB655354:GYB655419 HHX655354:HHX655419 HRT655354:HRT655419 IBP655354:IBP655419 ILL655354:ILL655419 IVH655354:IVH655419 JFD655354:JFD655419 JOZ655354:JOZ655419 JYV655354:JYV655419 KIR655354:KIR655419 KSN655354:KSN655419 LCJ655354:LCJ655419 LMF655354:LMF655419 LWB655354:LWB655419 MFX655354:MFX655419 MPT655354:MPT655419 MZP655354:MZP655419 NJL655354:NJL655419 NTH655354:NTH655419 ODD655354:ODD655419 OMZ655354:OMZ655419 OWV655354:OWV655419 PGR655354:PGR655419 PQN655354:PQN655419 QAJ655354:QAJ655419 QKF655354:QKF655419 QUB655354:QUB655419 RDX655354:RDX655419 RNT655354:RNT655419 RXP655354:RXP655419 SHL655354:SHL655419 SRH655354:SRH655419 TBD655354:TBD655419 TKZ655354:TKZ655419 TUV655354:TUV655419 UER655354:UER655419 UON655354:UON655419 UYJ655354:UYJ655419 VIF655354:VIF655419 VSB655354:VSB655419 WBX655354:WBX655419 WLT655354:WLT655419 WVP655354:WVP655419 H720890:H720955 JD720890:JD720955 SZ720890:SZ720955 ACV720890:ACV720955 AMR720890:AMR720955 AWN720890:AWN720955 BGJ720890:BGJ720955 BQF720890:BQF720955 CAB720890:CAB720955 CJX720890:CJX720955 CTT720890:CTT720955 DDP720890:DDP720955 DNL720890:DNL720955 DXH720890:DXH720955 EHD720890:EHD720955 EQZ720890:EQZ720955 FAV720890:FAV720955 FKR720890:FKR720955 FUN720890:FUN720955 GEJ720890:GEJ720955 GOF720890:GOF720955 GYB720890:GYB720955 HHX720890:HHX720955 HRT720890:HRT720955 IBP720890:IBP720955 ILL720890:ILL720955 IVH720890:IVH720955 JFD720890:JFD720955 JOZ720890:JOZ720955 JYV720890:JYV720955 KIR720890:KIR720955 KSN720890:KSN720955 LCJ720890:LCJ720955 LMF720890:LMF720955 LWB720890:LWB720955 MFX720890:MFX720955 MPT720890:MPT720955 MZP720890:MZP720955 NJL720890:NJL720955 NTH720890:NTH720955 ODD720890:ODD720955 OMZ720890:OMZ720955 OWV720890:OWV720955 PGR720890:PGR720955 PQN720890:PQN720955 QAJ720890:QAJ720955 QKF720890:QKF720955 QUB720890:QUB720955 RDX720890:RDX720955 RNT720890:RNT720955 RXP720890:RXP720955 SHL720890:SHL720955 SRH720890:SRH720955 TBD720890:TBD720955 TKZ720890:TKZ720955 TUV720890:TUV720955 UER720890:UER720955 UON720890:UON720955 UYJ720890:UYJ720955 VIF720890:VIF720955 VSB720890:VSB720955 WBX720890:WBX720955 WLT720890:WLT720955 WVP720890:WVP720955 H786426:H786491 JD786426:JD786491 SZ786426:SZ786491 ACV786426:ACV786491 AMR786426:AMR786491 AWN786426:AWN786491 BGJ786426:BGJ786491 BQF786426:BQF786491 CAB786426:CAB786491 CJX786426:CJX786491 CTT786426:CTT786491 DDP786426:DDP786491 DNL786426:DNL786491 DXH786426:DXH786491 EHD786426:EHD786491 EQZ786426:EQZ786491 FAV786426:FAV786491 FKR786426:FKR786491 FUN786426:FUN786491 GEJ786426:GEJ786491 GOF786426:GOF786491 GYB786426:GYB786491 HHX786426:HHX786491 HRT786426:HRT786491 IBP786426:IBP786491 ILL786426:ILL786491 IVH786426:IVH786491 JFD786426:JFD786491 JOZ786426:JOZ786491 JYV786426:JYV786491 KIR786426:KIR786491 KSN786426:KSN786491 LCJ786426:LCJ786491 LMF786426:LMF786491 LWB786426:LWB786491 MFX786426:MFX786491 MPT786426:MPT786491 MZP786426:MZP786491 NJL786426:NJL786491 NTH786426:NTH786491 ODD786426:ODD786491 OMZ786426:OMZ786491 OWV786426:OWV786491 PGR786426:PGR786491 PQN786426:PQN786491 QAJ786426:QAJ786491 QKF786426:QKF786491 QUB786426:QUB786491 RDX786426:RDX786491 RNT786426:RNT786491 RXP786426:RXP786491 SHL786426:SHL786491 SRH786426:SRH786491 TBD786426:TBD786491 TKZ786426:TKZ786491 TUV786426:TUV786491 UER786426:UER786491 UON786426:UON786491 UYJ786426:UYJ786491 VIF786426:VIF786491 VSB786426:VSB786491 WBX786426:WBX786491 WLT786426:WLT786491 WVP786426:WVP786491 H851962:H852027 JD851962:JD852027 SZ851962:SZ852027 ACV851962:ACV852027 AMR851962:AMR852027 AWN851962:AWN852027 BGJ851962:BGJ852027 BQF851962:BQF852027 CAB851962:CAB852027 CJX851962:CJX852027 CTT851962:CTT852027 DDP851962:DDP852027 DNL851962:DNL852027 DXH851962:DXH852027 EHD851962:EHD852027 EQZ851962:EQZ852027 FAV851962:FAV852027 FKR851962:FKR852027 FUN851962:FUN852027 GEJ851962:GEJ852027 GOF851962:GOF852027 GYB851962:GYB852027 HHX851962:HHX852027 HRT851962:HRT852027 IBP851962:IBP852027 ILL851962:ILL852027 IVH851962:IVH852027 JFD851962:JFD852027 JOZ851962:JOZ852027 JYV851962:JYV852027 KIR851962:KIR852027 KSN851962:KSN852027 LCJ851962:LCJ852027 LMF851962:LMF852027 LWB851962:LWB852027 MFX851962:MFX852027 MPT851962:MPT852027 MZP851962:MZP852027 NJL851962:NJL852027 NTH851962:NTH852027 ODD851962:ODD852027 OMZ851962:OMZ852027 OWV851962:OWV852027 PGR851962:PGR852027 PQN851962:PQN852027 QAJ851962:QAJ852027 QKF851962:QKF852027 QUB851962:QUB852027 RDX851962:RDX852027 RNT851962:RNT852027 RXP851962:RXP852027 SHL851962:SHL852027 SRH851962:SRH852027 TBD851962:TBD852027 TKZ851962:TKZ852027 TUV851962:TUV852027 UER851962:UER852027 UON851962:UON852027 UYJ851962:UYJ852027 VIF851962:VIF852027 VSB851962:VSB852027 WBX851962:WBX852027 WLT851962:WLT852027 WVP851962:WVP852027 H917498:H917563 JD917498:JD917563 SZ917498:SZ917563 ACV917498:ACV917563 AMR917498:AMR917563 AWN917498:AWN917563 BGJ917498:BGJ917563 BQF917498:BQF917563 CAB917498:CAB917563 CJX917498:CJX917563 CTT917498:CTT917563 DDP917498:DDP917563 DNL917498:DNL917563 DXH917498:DXH917563 EHD917498:EHD917563 EQZ917498:EQZ917563 FAV917498:FAV917563 FKR917498:FKR917563 FUN917498:FUN917563 GEJ917498:GEJ917563 GOF917498:GOF917563 GYB917498:GYB917563 HHX917498:HHX917563 HRT917498:HRT917563 IBP917498:IBP917563 ILL917498:ILL917563 IVH917498:IVH917563 JFD917498:JFD917563 JOZ917498:JOZ917563 JYV917498:JYV917563 KIR917498:KIR917563 KSN917498:KSN917563 LCJ917498:LCJ917563 LMF917498:LMF917563 LWB917498:LWB917563 MFX917498:MFX917563 MPT917498:MPT917563 MZP917498:MZP917563 NJL917498:NJL917563 NTH917498:NTH917563 ODD917498:ODD917563 OMZ917498:OMZ917563 OWV917498:OWV917563 PGR917498:PGR917563 PQN917498:PQN917563 QAJ917498:QAJ917563 QKF917498:QKF917563 QUB917498:QUB917563 RDX917498:RDX917563 RNT917498:RNT917563 RXP917498:RXP917563 SHL917498:SHL917563 SRH917498:SRH917563 TBD917498:TBD917563 TKZ917498:TKZ917563 TUV917498:TUV917563 UER917498:UER917563 UON917498:UON917563 UYJ917498:UYJ917563 VIF917498:VIF917563 VSB917498:VSB917563 WBX917498:WBX917563 WLT917498:WLT917563 WVP917498:WVP917563 H983034:H983099 JD983034:JD983099 SZ983034:SZ983099 ACV983034:ACV983099 AMR983034:AMR983099 AWN983034:AWN983099 BGJ983034:BGJ983099 BQF983034:BQF983099 CAB983034:CAB983099 CJX983034:CJX983099 CTT983034:CTT983099 DDP983034:DDP983099 DNL983034:DNL983099 DXH983034:DXH983099 EHD983034:EHD983099 EQZ983034:EQZ983099 FAV983034:FAV983099 FKR983034:FKR983099 FUN983034:FUN983099 GEJ983034:GEJ983099 GOF983034:GOF983099 GYB983034:GYB983099 HHX983034:HHX983099 HRT983034:HRT983099 IBP983034:IBP983099 ILL983034:ILL983099 IVH983034:IVH983099 JFD983034:JFD983099 JOZ983034:JOZ983099 JYV983034:JYV983099 KIR983034:KIR983099 KSN983034:KSN983099 LCJ983034:LCJ983099 LMF983034:LMF983099 LWB983034:LWB983099 MFX983034:MFX983099 MPT983034:MPT983099 MZP983034:MZP983099 NJL983034:NJL983099 NTH983034:NTH983099 ODD983034:ODD983099 OMZ983034:OMZ983099 OWV983034:OWV983099 PGR983034:PGR983099 PQN983034:PQN983099 QAJ983034:QAJ983099 QKF983034:QKF983099 QUB983034:QUB983099 RDX983034:RDX983099 RNT983034:RNT983099 RXP983034:RXP983099 SHL983034:SHL983099 SRH983034:SRH983099 TBD983034:TBD983099 TKZ983034:TKZ983099 TUV983034:TUV983099 UER983034:UER983099 UON983034:UON983099 UYJ983034:UYJ983099 VIF983034:VIF983099 VSB983034:VSB983099 WBX983034:WBX983099 WLT983034:WLT983099 WLT2:WLT61 WBX2:WBX61 VSB2:VSB61 VIF2:VIF61 UYJ2:UYJ61 UON2:UON61 UER2:UER61 TUV2:TUV61 TKZ2:TKZ61 TBD2:TBD61 SRH2:SRH61 SHL2:SHL61 RXP2:RXP61 RNT2:RNT61 RDX2:RDX61 QUB2:QUB61 QKF2:QKF61 QAJ2:QAJ61 PQN2:PQN61 PGR2:PGR61 OWV2:OWV61 OMZ2:OMZ61 ODD2:ODD61 NTH2:NTH61 NJL2:NJL61 MZP2:MZP61 MPT2:MPT61 MFX2:MFX61 LWB2:LWB61 LMF2:LMF61 LCJ2:LCJ61 KSN2:KSN61 KIR2:KIR61 JYV2:JYV61 JOZ2:JOZ61 JFD2:JFD61 IVH2:IVH61 ILL2:ILL61 IBP2:IBP61 HRT2:HRT61 HHX2:HHX61 GYB2:GYB61 GOF2:GOF61 GEJ2:GEJ61 FUN2:FUN61 FKR2:FKR61 FAV2:FAV61 EQZ2:EQZ61 EHD2:EHD61 DXH2:DXH61 DNL2:DNL61 DDP2:DDP61 CTT2:CTT61 CJX2:CJX61 CAB2:CAB61 BQF2:BQF61 BGJ2:BGJ61 AWN2:AWN61 AMR2:AMR61 ACV2:ACV61 SZ2:SZ61 JD2:JD61 WVP2:WVP61" xr:uid="{C0BA632B-2CC0-43BB-A0F1-375F14ACDBE2}">
      <formula1>$AL$4:$AL$12</formula1>
    </dataValidation>
    <dataValidation type="list" allowBlank="1" showInputMessage="1" showErrorMessage="1" sqref="A64355:A64420 IW64355:IW64420 SS64355:SS64420 ACO64355:ACO64420 AMK64355:AMK64420 AWG64355:AWG64420 BGC64355:BGC64420 BPY64355:BPY64420 BZU64355:BZU64420 CJQ64355:CJQ64420 CTM64355:CTM64420 DDI64355:DDI64420 DNE64355:DNE64420 DXA64355:DXA64420 EGW64355:EGW64420 EQS64355:EQS64420 FAO64355:FAO64420 FKK64355:FKK64420 FUG64355:FUG64420 GEC64355:GEC64420 GNY64355:GNY64420 GXU64355:GXU64420 HHQ64355:HHQ64420 HRM64355:HRM64420 IBI64355:IBI64420 ILE64355:ILE64420 IVA64355:IVA64420 JEW64355:JEW64420 JOS64355:JOS64420 JYO64355:JYO64420 KIK64355:KIK64420 KSG64355:KSG64420 LCC64355:LCC64420 LLY64355:LLY64420 LVU64355:LVU64420 MFQ64355:MFQ64420 MPM64355:MPM64420 MZI64355:MZI64420 NJE64355:NJE64420 NTA64355:NTA64420 OCW64355:OCW64420 OMS64355:OMS64420 OWO64355:OWO64420 PGK64355:PGK64420 PQG64355:PQG64420 QAC64355:QAC64420 QJY64355:QJY64420 QTU64355:QTU64420 RDQ64355:RDQ64420 RNM64355:RNM64420 RXI64355:RXI64420 SHE64355:SHE64420 SRA64355:SRA64420 TAW64355:TAW64420 TKS64355:TKS64420 TUO64355:TUO64420 UEK64355:UEK64420 UOG64355:UOG64420 UYC64355:UYC64420 VHY64355:VHY64420 VRU64355:VRU64420 WBQ64355:WBQ64420 WLM64355:WLM64420 WVI64355:WVI64420 A129891:A129956 IW129891:IW129956 SS129891:SS129956 ACO129891:ACO129956 AMK129891:AMK129956 AWG129891:AWG129956 BGC129891:BGC129956 BPY129891:BPY129956 BZU129891:BZU129956 CJQ129891:CJQ129956 CTM129891:CTM129956 DDI129891:DDI129956 DNE129891:DNE129956 DXA129891:DXA129956 EGW129891:EGW129956 EQS129891:EQS129956 FAO129891:FAO129956 FKK129891:FKK129956 FUG129891:FUG129956 GEC129891:GEC129956 GNY129891:GNY129956 GXU129891:GXU129956 HHQ129891:HHQ129956 HRM129891:HRM129956 IBI129891:IBI129956 ILE129891:ILE129956 IVA129891:IVA129956 JEW129891:JEW129956 JOS129891:JOS129956 JYO129891:JYO129956 KIK129891:KIK129956 KSG129891:KSG129956 LCC129891:LCC129956 LLY129891:LLY129956 LVU129891:LVU129956 MFQ129891:MFQ129956 MPM129891:MPM129956 MZI129891:MZI129956 NJE129891:NJE129956 NTA129891:NTA129956 OCW129891:OCW129956 OMS129891:OMS129956 OWO129891:OWO129956 PGK129891:PGK129956 PQG129891:PQG129956 QAC129891:QAC129956 QJY129891:QJY129956 QTU129891:QTU129956 RDQ129891:RDQ129956 RNM129891:RNM129956 RXI129891:RXI129956 SHE129891:SHE129956 SRA129891:SRA129956 TAW129891:TAW129956 TKS129891:TKS129956 TUO129891:TUO129956 UEK129891:UEK129956 UOG129891:UOG129956 UYC129891:UYC129956 VHY129891:VHY129956 VRU129891:VRU129956 WBQ129891:WBQ129956 WLM129891:WLM129956 WVI129891:WVI129956 A195427:A195492 IW195427:IW195492 SS195427:SS195492 ACO195427:ACO195492 AMK195427:AMK195492 AWG195427:AWG195492 BGC195427:BGC195492 BPY195427:BPY195492 BZU195427:BZU195492 CJQ195427:CJQ195492 CTM195427:CTM195492 DDI195427:DDI195492 DNE195427:DNE195492 DXA195427:DXA195492 EGW195427:EGW195492 EQS195427:EQS195492 FAO195427:FAO195492 FKK195427:FKK195492 FUG195427:FUG195492 GEC195427:GEC195492 GNY195427:GNY195492 GXU195427:GXU195492 HHQ195427:HHQ195492 HRM195427:HRM195492 IBI195427:IBI195492 ILE195427:ILE195492 IVA195427:IVA195492 JEW195427:JEW195492 JOS195427:JOS195492 JYO195427:JYO195492 KIK195427:KIK195492 KSG195427:KSG195492 LCC195427:LCC195492 LLY195427:LLY195492 LVU195427:LVU195492 MFQ195427:MFQ195492 MPM195427:MPM195492 MZI195427:MZI195492 NJE195427:NJE195492 NTA195427:NTA195492 OCW195427:OCW195492 OMS195427:OMS195492 OWO195427:OWO195492 PGK195427:PGK195492 PQG195427:PQG195492 QAC195427:QAC195492 QJY195427:QJY195492 QTU195427:QTU195492 RDQ195427:RDQ195492 RNM195427:RNM195492 RXI195427:RXI195492 SHE195427:SHE195492 SRA195427:SRA195492 TAW195427:TAW195492 TKS195427:TKS195492 TUO195427:TUO195492 UEK195427:UEK195492 UOG195427:UOG195492 UYC195427:UYC195492 VHY195427:VHY195492 VRU195427:VRU195492 WBQ195427:WBQ195492 WLM195427:WLM195492 WVI195427:WVI195492 A260963:A261028 IW260963:IW261028 SS260963:SS261028 ACO260963:ACO261028 AMK260963:AMK261028 AWG260963:AWG261028 BGC260963:BGC261028 BPY260963:BPY261028 BZU260963:BZU261028 CJQ260963:CJQ261028 CTM260963:CTM261028 DDI260963:DDI261028 DNE260963:DNE261028 DXA260963:DXA261028 EGW260963:EGW261028 EQS260963:EQS261028 FAO260963:FAO261028 FKK260963:FKK261028 FUG260963:FUG261028 GEC260963:GEC261028 GNY260963:GNY261028 GXU260963:GXU261028 HHQ260963:HHQ261028 HRM260963:HRM261028 IBI260963:IBI261028 ILE260963:ILE261028 IVA260963:IVA261028 JEW260963:JEW261028 JOS260963:JOS261028 JYO260963:JYO261028 KIK260963:KIK261028 KSG260963:KSG261028 LCC260963:LCC261028 LLY260963:LLY261028 LVU260963:LVU261028 MFQ260963:MFQ261028 MPM260963:MPM261028 MZI260963:MZI261028 NJE260963:NJE261028 NTA260963:NTA261028 OCW260963:OCW261028 OMS260963:OMS261028 OWO260963:OWO261028 PGK260963:PGK261028 PQG260963:PQG261028 QAC260963:QAC261028 QJY260963:QJY261028 QTU260963:QTU261028 RDQ260963:RDQ261028 RNM260963:RNM261028 RXI260963:RXI261028 SHE260963:SHE261028 SRA260963:SRA261028 TAW260963:TAW261028 TKS260963:TKS261028 TUO260963:TUO261028 UEK260963:UEK261028 UOG260963:UOG261028 UYC260963:UYC261028 VHY260963:VHY261028 VRU260963:VRU261028 WBQ260963:WBQ261028 WLM260963:WLM261028 WVI260963:WVI261028 A326499:A326564 IW326499:IW326564 SS326499:SS326564 ACO326499:ACO326564 AMK326499:AMK326564 AWG326499:AWG326564 BGC326499:BGC326564 BPY326499:BPY326564 BZU326499:BZU326564 CJQ326499:CJQ326564 CTM326499:CTM326564 DDI326499:DDI326564 DNE326499:DNE326564 DXA326499:DXA326564 EGW326499:EGW326564 EQS326499:EQS326564 FAO326499:FAO326564 FKK326499:FKK326564 FUG326499:FUG326564 GEC326499:GEC326564 GNY326499:GNY326564 GXU326499:GXU326564 HHQ326499:HHQ326564 HRM326499:HRM326564 IBI326499:IBI326564 ILE326499:ILE326564 IVA326499:IVA326564 JEW326499:JEW326564 JOS326499:JOS326564 JYO326499:JYO326564 KIK326499:KIK326564 KSG326499:KSG326564 LCC326499:LCC326564 LLY326499:LLY326564 LVU326499:LVU326564 MFQ326499:MFQ326564 MPM326499:MPM326564 MZI326499:MZI326564 NJE326499:NJE326564 NTA326499:NTA326564 OCW326499:OCW326564 OMS326499:OMS326564 OWO326499:OWO326564 PGK326499:PGK326564 PQG326499:PQG326564 QAC326499:QAC326564 QJY326499:QJY326564 QTU326499:QTU326564 RDQ326499:RDQ326564 RNM326499:RNM326564 RXI326499:RXI326564 SHE326499:SHE326564 SRA326499:SRA326564 TAW326499:TAW326564 TKS326499:TKS326564 TUO326499:TUO326564 UEK326499:UEK326564 UOG326499:UOG326564 UYC326499:UYC326564 VHY326499:VHY326564 VRU326499:VRU326564 WBQ326499:WBQ326564 WLM326499:WLM326564 WVI326499:WVI326564 A392035:A392100 IW392035:IW392100 SS392035:SS392100 ACO392035:ACO392100 AMK392035:AMK392100 AWG392035:AWG392100 BGC392035:BGC392100 BPY392035:BPY392100 BZU392035:BZU392100 CJQ392035:CJQ392100 CTM392035:CTM392100 DDI392035:DDI392100 DNE392035:DNE392100 DXA392035:DXA392100 EGW392035:EGW392100 EQS392035:EQS392100 FAO392035:FAO392100 FKK392035:FKK392100 FUG392035:FUG392100 GEC392035:GEC392100 GNY392035:GNY392100 GXU392035:GXU392100 HHQ392035:HHQ392100 HRM392035:HRM392100 IBI392035:IBI392100 ILE392035:ILE392100 IVA392035:IVA392100 JEW392035:JEW392100 JOS392035:JOS392100 JYO392035:JYO392100 KIK392035:KIK392100 KSG392035:KSG392100 LCC392035:LCC392100 LLY392035:LLY392100 LVU392035:LVU392100 MFQ392035:MFQ392100 MPM392035:MPM392100 MZI392035:MZI392100 NJE392035:NJE392100 NTA392035:NTA392100 OCW392035:OCW392100 OMS392035:OMS392100 OWO392035:OWO392100 PGK392035:PGK392100 PQG392035:PQG392100 QAC392035:QAC392100 QJY392035:QJY392100 QTU392035:QTU392100 RDQ392035:RDQ392100 RNM392035:RNM392100 RXI392035:RXI392100 SHE392035:SHE392100 SRA392035:SRA392100 TAW392035:TAW392100 TKS392035:TKS392100 TUO392035:TUO392100 UEK392035:UEK392100 UOG392035:UOG392100 UYC392035:UYC392100 VHY392035:VHY392100 VRU392035:VRU392100 WBQ392035:WBQ392100 WLM392035:WLM392100 WVI392035:WVI392100 A457571:A457636 IW457571:IW457636 SS457571:SS457636 ACO457571:ACO457636 AMK457571:AMK457636 AWG457571:AWG457636 BGC457571:BGC457636 BPY457571:BPY457636 BZU457571:BZU457636 CJQ457571:CJQ457636 CTM457571:CTM457636 DDI457571:DDI457636 DNE457571:DNE457636 DXA457571:DXA457636 EGW457571:EGW457636 EQS457571:EQS457636 FAO457571:FAO457636 FKK457571:FKK457636 FUG457571:FUG457636 GEC457571:GEC457636 GNY457571:GNY457636 GXU457571:GXU457636 HHQ457571:HHQ457636 HRM457571:HRM457636 IBI457571:IBI457636 ILE457571:ILE457636 IVA457571:IVA457636 JEW457571:JEW457636 JOS457571:JOS457636 JYO457571:JYO457636 KIK457571:KIK457636 KSG457571:KSG457636 LCC457571:LCC457636 LLY457571:LLY457636 LVU457571:LVU457636 MFQ457571:MFQ457636 MPM457571:MPM457636 MZI457571:MZI457636 NJE457571:NJE457636 NTA457571:NTA457636 OCW457571:OCW457636 OMS457571:OMS457636 OWO457571:OWO457636 PGK457571:PGK457636 PQG457571:PQG457636 QAC457571:QAC457636 QJY457571:QJY457636 QTU457571:QTU457636 RDQ457571:RDQ457636 RNM457571:RNM457636 RXI457571:RXI457636 SHE457571:SHE457636 SRA457571:SRA457636 TAW457571:TAW457636 TKS457571:TKS457636 TUO457571:TUO457636 UEK457571:UEK457636 UOG457571:UOG457636 UYC457571:UYC457636 VHY457571:VHY457636 VRU457571:VRU457636 WBQ457571:WBQ457636 WLM457571:WLM457636 WVI457571:WVI457636 A523107:A523172 IW523107:IW523172 SS523107:SS523172 ACO523107:ACO523172 AMK523107:AMK523172 AWG523107:AWG523172 BGC523107:BGC523172 BPY523107:BPY523172 BZU523107:BZU523172 CJQ523107:CJQ523172 CTM523107:CTM523172 DDI523107:DDI523172 DNE523107:DNE523172 DXA523107:DXA523172 EGW523107:EGW523172 EQS523107:EQS523172 FAO523107:FAO523172 FKK523107:FKK523172 FUG523107:FUG523172 GEC523107:GEC523172 GNY523107:GNY523172 GXU523107:GXU523172 HHQ523107:HHQ523172 HRM523107:HRM523172 IBI523107:IBI523172 ILE523107:ILE523172 IVA523107:IVA523172 JEW523107:JEW523172 JOS523107:JOS523172 JYO523107:JYO523172 KIK523107:KIK523172 KSG523107:KSG523172 LCC523107:LCC523172 LLY523107:LLY523172 LVU523107:LVU523172 MFQ523107:MFQ523172 MPM523107:MPM523172 MZI523107:MZI523172 NJE523107:NJE523172 NTA523107:NTA523172 OCW523107:OCW523172 OMS523107:OMS523172 OWO523107:OWO523172 PGK523107:PGK523172 PQG523107:PQG523172 QAC523107:QAC523172 QJY523107:QJY523172 QTU523107:QTU523172 RDQ523107:RDQ523172 RNM523107:RNM523172 RXI523107:RXI523172 SHE523107:SHE523172 SRA523107:SRA523172 TAW523107:TAW523172 TKS523107:TKS523172 TUO523107:TUO523172 UEK523107:UEK523172 UOG523107:UOG523172 UYC523107:UYC523172 VHY523107:VHY523172 VRU523107:VRU523172 WBQ523107:WBQ523172 WLM523107:WLM523172 WVI523107:WVI523172 A588643:A588708 IW588643:IW588708 SS588643:SS588708 ACO588643:ACO588708 AMK588643:AMK588708 AWG588643:AWG588708 BGC588643:BGC588708 BPY588643:BPY588708 BZU588643:BZU588708 CJQ588643:CJQ588708 CTM588643:CTM588708 DDI588643:DDI588708 DNE588643:DNE588708 DXA588643:DXA588708 EGW588643:EGW588708 EQS588643:EQS588708 FAO588643:FAO588708 FKK588643:FKK588708 FUG588643:FUG588708 GEC588643:GEC588708 GNY588643:GNY588708 GXU588643:GXU588708 HHQ588643:HHQ588708 HRM588643:HRM588708 IBI588643:IBI588708 ILE588643:ILE588708 IVA588643:IVA588708 JEW588643:JEW588708 JOS588643:JOS588708 JYO588643:JYO588708 KIK588643:KIK588708 KSG588643:KSG588708 LCC588643:LCC588708 LLY588643:LLY588708 LVU588643:LVU588708 MFQ588643:MFQ588708 MPM588643:MPM588708 MZI588643:MZI588708 NJE588643:NJE588708 NTA588643:NTA588708 OCW588643:OCW588708 OMS588643:OMS588708 OWO588643:OWO588708 PGK588643:PGK588708 PQG588643:PQG588708 QAC588643:QAC588708 QJY588643:QJY588708 QTU588643:QTU588708 RDQ588643:RDQ588708 RNM588643:RNM588708 RXI588643:RXI588708 SHE588643:SHE588708 SRA588643:SRA588708 TAW588643:TAW588708 TKS588643:TKS588708 TUO588643:TUO588708 UEK588643:UEK588708 UOG588643:UOG588708 UYC588643:UYC588708 VHY588643:VHY588708 VRU588643:VRU588708 WBQ588643:WBQ588708 WLM588643:WLM588708 WVI588643:WVI588708 A654179:A654244 IW654179:IW654244 SS654179:SS654244 ACO654179:ACO654244 AMK654179:AMK654244 AWG654179:AWG654244 BGC654179:BGC654244 BPY654179:BPY654244 BZU654179:BZU654244 CJQ654179:CJQ654244 CTM654179:CTM654244 DDI654179:DDI654244 DNE654179:DNE654244 DXA654179:DXA654244 EGW654179:EGW654244 EQS654179:EQS654244 FAO654179:FAO654244 FKK654179:FKK654244 FUG654179:FUG654244 GEC654179:GEC654244 GNY654179:GNY654244 GXU654179:GXU654244 HHQ654179:HHQ654244 HRM654179:HRM654244 IBI654179:IBI654244 ILE654179:ILE654244 IVA654179:IVA654244 JEW654179:JEW654244 JOS654179:JOS654244 JYO654179:JYO654244 KIK654179:KIK654244 KSG654179:KSG654244 LCC654179:LCC654244 LLY654179:LLY654244 LVU654179:LVU654244 MFQ654179:MFQ654244 MPM654179:MPM654244 MZI654179:MZI654244 NJE654179:NJE654244 NTA654179:NTA654244 OCW654179:OCW654244 OMS654179:OMS654244 OWO654179:OWO654244 PGK654179:PGK654244 PQG654179:PQG654244 QAC654179:QAC654244 QJY654179:QJY654244 QTU654179:QTU654244 RDQ654179:RDQ654244 RNM654179:RNM654244 RXI654179:RXI654244 SHE654179:SHE654244 SRA654179:SRA654244 TAW654179:TAW654244 TKS654179:TKS654244 TUO654179:TUO654244 UEK654179:UEK654244 UOG654179:UOG654244 UYC654179:UYC654244 VHY654179:VHY654244 VRU654179:VRU654244 WBQ654179:WBQ654244 WLM654179:WLM654244 WVI654179:WVI654244 A719715:A719780 IW719715:IW719780 SS719715:SS719780 ACO719715:ACO719780 AMK719715:AMK719780 AWG719715:AWG719780 BGC719715:BGC719780 BPY719715:BPY719780 BZU719715:BZU719780 CJQ719715:CJQ719780 CTM719715:CTM719780 DDI719715:DDI719780 DNE719715:DNE719780 DXA719715:DXA719780 EGW719715:EGW719780 EQS719715:EQS719780 FAO719715:FAO719780 FKK719715:FKK719780 FUG719715:FUG719780 GEC719715:GEC719780 GNY719715:GNY719780 GXU719715:GXU719780 HHQ719715:HHQ719780 HRM719715:HRM719780 IBI719715:IBI719780 ILE719715:ILE719780 IVA719715:IVA719780 JEW719715:JEW719780 JOS719715:JOS719780 JYO719715:JYO719780 KIK719715:KIK719780 KSG719715:KSG719780 LCC719715:LCC719780 LLY719715:LLY719780 LVU719715:LVU719780 MFQ719715:MFQ719780 MPM719715:MPM719780 MZI719715:MZI719780 NJE719715:NJE719780 NTA719715:NTA719780 OCW719715:OCW719780 OMS719715:OMS719780 OWO719715:OWO719780 PGK719715:PGK719780 PQG719715:PQG719780 QAC719715:QAC719780 QJY719715:QJY719780 QTU719715:QTU719780 RDQ719715:RDQ719780 RNM719715:RNM719780 RXI719715:RXI719780 SHE719715:SHE719780 SRA719715:SRA719780 TAW719715:TAW719780 TKS719715:TKS719780 TUO719715:TUO719780 UEK719715:UEK719780 UOG719715:UOG719780 UYC719715:UYC719780 VHY719715:VHY719780 VRU719715:VRU719780 WBQ719715:WBQ719780 WLM719715:WLM719780 WVI719715:WVI719780 A785251:A785316 IW785251:IW785316 SS785251:SS785316 ACO785251:ACO785316 AMK785251:AMK785316 AWG785251:AWG785316 BGC785251:BGC785316 BPY785251:BPY785316 BZU785251:BZU785316 CJQ785251:CJQ785316 CTM785251:CTM785316 DDI785251:DDI785316 DNE785251:DNE785316 DXA785251:DXA785316 EGW785251:EGW785316 EQS785251:EQS785316 FAO785251:FAO785316 FKK785251:FKK785316 FUG785251:FUG785316 GEC785251:GEC785316 GNY785251:GNY785316 GXU785251:GXU785316 HHQ785251:HHQ785316 HRM785251:HRM785316 IBI785251:IBI785316 ILE785251:ILE785316 IVA785251:IVA785316 JEW785251:JEW785316 JOS785251:JOS785316 JYO785251:JYO785316 KIK785251:KIK785316 KSG785251:KSG785316 LCC785251:LCC785316 LLY785251:LLY785316 LVU785251:LVU785316 MFQ785251:MFQ785316 MPM785251:MPM785316 MZI785251:MZI785316 NJE785251:NJE785316 NTA785251:NTA785316 OCW785251:OCW785316 OMS785251:OMS785316 OWO785251:OWO785316 PGK785251:PGK785316 PQG785251:PQG785316 QAC785251:QAC785316 QJY785251:QJY785316 QTU785251:QTU785316 RDQ785251:RDQ785316 RNM785251:RNM785316 RXI785251:RXI785316 SHE785251:SHE785316 SRA785251:SRA785316 TAW785251:TAW785316 TKS785251:TKS785316 TUO785251:TUO785316 UEK785251:UEK785316 UOG785251:UOG785316 UYC785251:UYC785316 VHY785251:VHY785316 VRU785251:VRU785316 WBQ785251:WBQ785316 WLM785251:WLM785316 WVI785251:WVI785316 A850787:A850852 IW850787:IW850852 SS850787:SS850852 ACO850787:ACO850852 AMK850787:AMK850852 AWG850787:AWG850852 BGC850787:BGC850852 BPY850787:BPY850852 BZU850787:BZU850852 CJQ850787:CJQ850852 CTM850787:CTM850852 DDI850787:DDI850852 DNE850787:DNE850852 DXA850787:DXA850852 EGW850787:EGW850852 EQS850787:EQS850852 FAO850787:FAO850852 FKK850787:FKK850852 FUG850787:FUG850852 GEC850787:GEC850852 GNY850787:GNY850852 GXU850787:GXU850852 HHQ850787:HHQ850852 HRM850787:HRM850852 IBI850787:IBI850852 ILE850787:ILE850852 IVA850787:IVA850852 JEW850787:JEW850852 JOS850787:JOS850852 JYO850787:JYO850852 KIK850787:KIK850852 KSG850787:KSG850852 LCC850787:LCC850852 LLY850787:LLY850852 LVU850787:LVU850852 MFQ850787:MFQ850852 MPM850787:MPM850852 MZI850787:MZI850852 NJE850787:NJE850852 NTA850787:NTA850852 OCW850787:OCW850852 OMS850787:OMS850852 OWO850787:OWO850852 PGK850787:PGK850852 PQG850787:PQG850852 QAC850787:QAC850852 QJY850787:QJY850852 QTU850787:QTU850852 RDQ850787:RDQ850852 RNM850787:RNM850852 RXI850787:RXI850852 SHE850787:SHE850852 SRA850787:SRA850852 TAW850787:TAW850852 TKS850787:TKS850852 TUO850787:TUO850852 UEK850787:UEK850852 UOG850787:UOG850852 UYC850787:UYC850852 VHY850787:VHY850852 VRU850787:VRU850852 WBQ850787:WBQ850852 WLM850787:WLM850852 WVI850787:WVI850852 A916323:A916388 IW916323:IW916388 SS916323:SS916388 ACO916323:ACO916388 AMK916323:AMK916388 AWG916323:AWG916388 BGC916323:BGC916388 BPY916323:BPY916388 BZU916323:BZU916388 CJQ916323:CJQ916388 CTM916323:CTM916388 DDI916323:DDI916388 DNE916323:DNE916388 DXA916323:DXA916388 EGW916323:EGW916388 EQS916323:EQS916388 FAO916323:FAO916388 FKK916323:FKK916388 FUG916323:FUG916388 GEC916323:GEC916388 GNY916323:GNY916388 GXU916323:GXU916388 HHQ916323:HHQ916388 HRM916323:HRM916388 IBI916323:IBI916388 ILE916323:ILE916388 IVA916323:IVA916388 JEW916323:JEW916388 JOS916323:JOS916388 JYO916323:JYO916388 KIK916323:KIK916388 KSG916323:KSG916388 LCC916323:LCC916388 LLY916323:LLY916388 LVU916323:LVU916388 MFQ916323:MFQ916388 MPM916323:MPM916388 MZI916323:MZI916388 NJE916323:NJE916388 NTA916323:NTA916388 OCW916323:OCW916388 OMS916323:OMS916388 OWO916323:OWO916388 PGK916323:PGK916388 PQG916323:PQG916388 QAC916323:QAC916388 QJY916323:QJY916388 QTU916323:QTU916388 RDQ916323:RDQ916388 RNM916323:RNM916388 RXI916323:RXI916388 SHE916323:SHE916388 SRA916323:SRA916388 TAW916323:TAW916388 TKS916323:TKS916388 TUO916323:TUO916388 UEK916323:UEK916388 UOG916323:UOG916388 UYC916323:UYC916388 VHY916323:VHY916388 VRU916323:VRU916388 WBQ916323:WBQ916388 WLM916323:WLM916388 WVI916323:WVI916388 A981859:A981924 IW981859:IW981924 SS981859:SS981924 ACO981859:ACO981924 AMK981859:AMK981924 AWG981859:AWG981924 BGC981859:BGC981924 BPY981859:BPY981924 BZU981859:BZU981924 CJQ981859:CJQ981924 CTM981859:CTM981924 DDI981859:DDI981924 DNE981859:DNE981924 DXA981859:DXA981924 EGW981859:EGW981924 EQS981859:EQS981924 FAO981859:FAO981924 FKK981859:FKK981924 FUG981859:FUG981924 GEC981859:GEC981924 GNY981859:GNY981924 GXU981859:GXU981924 HHQ981859:HHQ981924 HRM981859:HRM981924 IBI981859:IBI981924 ILE981859:ILE981924 IVA981859:IVA981924 JEW981859:JEW981924 JOS981859:JOS981924 JYO981859:JYO981924 KIK981859:KIK981924 KSG981859:KSG981924 LCC981859:LCC981924 LLY981859:LLY981924 LVU981859:LVU981924 MFQ981859:MFQ981924 MPM981859:MPM981924 MZI981859:MZI981924 NJE981859:NJE981924 NTA981859:NTA981924 OCW981859:OCW981924 OMS981859:OMS981924 OWO981859:OWO981924 PGK981859:PGK981924 PQG981859:PQG981924 QAC981859:QAC981924 QJY981859:QJY981924 QTU981859:QTU981924 RDQ981859:RDQ981924 RNM981859:RNM981924 RXI981859:RXI981924 SHE981859:SHE981924 SRA981859:SRA981924 TAW981859:TAW981924 TKS981859:TKS981924 TUO981859:TUO981924 UEK981859:UEK981924 UOG981859:UOG981924 UYC981859:UYC981924 VHY981859:VHY981924 VRU981859:VRU981924 WBQ981859:WBQ981924 WLM981859:WLM981924 WVI981859:WVI981924 A1047395:A1047460 IW1047395:IW1047460 SS1047395:SS1047460 ACO1047395:ACO1047460 AMK1047395:AMK1047460 AWG1047395:AWG1047460 BGC1047395:BGC1047460 BPY1047395:BPY1047460 BZU1047395:BZU1047460 CJQ1047395:CJQ1047460 CTM1047395:CTM1047460 DDI1047395:DDI1047460 DNE1047395:DNE1047460 DXA1047395:DXA1047460 EGW1047395:EGW1047460 EQS1047395:EQS1047460 FAO1047395:FAO1047460 FKK1047395:FKK1047460 FUG1047395:FUG1047460 GEC1047395:GEC1047460 GNY1047395:GNY1047460 GXU1047395:GXU1047460 HHQ1047395:HHQ1047460 HRM1047395:HRM1047460 IBI1047395:IBI1047460 ILE1047395:ILE1047460 IVA1047395:IVA1047460 JEW1047395:JEW1047460 JOS1047395:JOS1047460 JYO1047395:JYO1047460 KIK1047395:KIK1047460 KSG1047395:KSG1047460 LCC1047395:LCC1047460 LLY1047395:LLY1047460 LVU1047395:LVU1047460 MFQ1047395:MFQ1047460 MPM1047395:MPM1047460 MZI1047395:MZI1047460 NJE1047395:NJE1047460 NTA1047395:NTA1047460 OCW1047395:OCW1047460 OMS1047395:OMS1047460 OWO1047395:OWO1047460 PGK1047395:PGK1047460 PQG1047395:PQG1047460 QAC1047395:QAC1047460 QJY1047395:QJY1047460 QTU1047395:QTU1047460 RDQ1047395:RDQ1047460 RNM1047395:RNM1047460 RXI1047395:RXI1047460 SHE1047395:SHE1047460 SRA1047395:SRA1047460 TAW1047395:TAW1047460 TKS1047395:TKS1047460 TUO1047395:TUO1047460 UEK1047395:UEK1047460 UOG1047395:UOG1047460 UYC1047395:UYC1047460 VHY1047395:VHY1047460 VRU1047395:VRU1047460 WBQ1047395:WBQ1047460 WLM1047395:WLM1047460 WVI1047395:WVI1047460 WVI983034:WVI983105 A65530:A65601 IW65530:IW65601 SS65530:SS65601 ACO65530:ACO65601 AMK65530:AMK65601 AWG65530:AWG65601 BGC65530:BGC65601 BPY65530:BPY65601 BZU65530:BZU65601 CJQ65530:CJQ65601 CTM65530:CTM65601 DDI65530:DDI65601 DNE65530:DNE65601 DXA65530:DXA65601 EGW65530:EGW65601 EQS65530:EQS65601 FAO65530:FAO65601 FKK65530:FKK65601 FUG65530:FUG65601 GEC65530:GEC65601 GNY65530:GNY65601 GXU65530:GXU65601 HHQ65530:HHQ65601 HRM65530:HRM65601 IBI65530:IBI65601 ILE65530:ILE65601 IVA65530:IVA65601 JEW65530:JEW65601 JOS65530:JOS65601 JYO65530:JYO65601 KIK65530:KIK65601 KSG65530:KSG65601 LCC65530:LCC65601 LLY65530:LLY65601 LVU65530:LVU65601 MFQ65530:MFQ65601 MPM65530:MPM65601 MZI65530:MZI65601 NJE65530:NJE65601 NTA65530:NTA65601 OCW65530:OCW65601 OMS65530:OMS65601 OWO65530:OWO65601 PGK65530:PGK65601 PQG65530:PQG65601 QAC65530:QAC65601 QJY65530:QJY65601 QTU65530:QTU65601 RDQ65530:RDQ65601 RNM65530:RNM65601 RXI65530:RXI65601 SHE65530:SHE65601 SRA65530:SRA65601 TAW65530:TAW65601 TKS65530:TKS65601 TUO65530:TUO65601 UEK65530:UEK65601 UOG65530:UOG65601 UYC65530:UYC65601 VHY65530:VHY65601 VRU65530:VRU65601 WBQ65530:WBQ65601 WLM65530:WLM65601 WVI65530:WVI65601 A131066:A131137 IW131066:IW131137 SS131066:SS131137 ACO131066:ACO131137 AMK131066:AMK131137 AWG131066:AWG131137 BGC131066:BGC131137 BPY131066:BPY131137 BZU131066:BZU131137 CJQ131066:CJQ131137 CTM131066:CTM131137 DDI131066:DDI131137 DNE131066:DNE131137 DXA131066:DXA131137 EGW131066:EGW131137 EQS131066:EQS131137 FAO131066:FAO131137 FKK131066:FKK131137 FUG131066:FUG131137 GEC131066:GEC131137 GNY131066:GNY131137 GXU131066:GXU131137 HHQ131066:HHQ131137 HRM131066:HRM131137 IBI131066:IBI131137 ILE131066:ILE131137 IVA131066:IVA131137 JEW131066:JEW131137 JOS131066:JOS131137 JYO131066:JYO131137 KIK131066:KIK131137 KSG131066:KSG131137 LCC131066:LCC131137 LLY131066:LLY131137 LVU131066:LVU131137 MFQ131066:MFQ131137 MPM131066:MPM131137 MZI131066:MZI131137 NJE131066:NJE131137 NTA131066:NTA131137 OCW131066:OCW131137 OMS131066:OMS131137 OWO131066:OWO131137 PGK131066:PGK131137 PQG131066:PQG131137 QAC131066:QAC131137 QJY131066:QJY131137 QTU131066:QTU131137 RDQ131066:RDQ131137 RNM131066:RNM131137 RXI131066:RXI131137 SHE131066:SHE131137 SRA131066:SRA131137 TAW131066:TAW131137 TKS131066:TKS131137 TUO131066:TUO131137 UEK131066:UEK131137 UOG131066:UOG131137 UYC131066:UYC131137 VHY131066:VHY131137 VRU131066:VRU131137 WBQ131066:WBQ131137 WLM131066:WLM131137 WVI131066:WVI131137 A196602:A196673 IW196602:IW196673 SS196602:SS196673 ACO196602:ACO196673 AMK196602:AMK196673 AWG196602:AWG196673 BGC196602:BGC196673 BPY196602:BPY196673 BZU196602:BZU196673 CJQ196602:CJQ196673 CTM196602:CTM196673 DDI196602:DDI196673 DNE196602:DNE196673 DXA196602:DXA196673 EGW196602:EGW196673 EQS196602:EQS196673 FAO196602:FAO196673 FKK196602:FKK196673 FUG196602:FUG196673 GEC196602:GEC196673 GNY196602:GNY196673 GXU196602:GXU196673 HHQ196602:HHQ196673 HRM196602:HRM196673 IBI196602:IBI196673 ILE196602:ILE196673 IVA196602:IVA196673 JEW196602:JEW196673 JOS196602:JOS196673 JYO196602:JYO196673 KIK196602:KIK196673 KSG196602:KSG196673 LCC196602:LCC196673 LLY196602:LLY196673 LVU196602:LVU196673 MFQ196602:MFQ196673 MPM196602:MPM196673 MZI196602:MZI196673 NJE196602:NJE196673 NTA196602:NTA196673 OCW196602:OCW196673 OMS196602:OMS196673 OWO196602:OWO196673 PGK196602:PGK196673 PQG196602:PQG196673 QAC196602:QAC196673 QJY196602:QJY196673 QTU196602:QTU196673 RDQ196602:RDQ196673 RNM196602:RNM196673 RXI196602:RXI196673 SHE196602:SHE196673 SRA196602:SRA196673 TAW196602:TAW196673 TKS196602:TKS196673 TUO196602:TUO196673 UEK196602:UEK196673 UOG196602:UOG196673 UYC196602:UYC196673 VHY196602:VHY196673 VRU196602:VRU196673 WBQ196602:WBQ196673 WLM196602:WLM196673 WVI196602:WVI196673 A262138:A262209 IW262138:IW262209 SS262138:SS262209 ACO262138:ACO262209 AMK262138:AMK262209 AWG262138:AWG262209 BGC262138:BGC262209 BPY262138:BPY262209 BZU262138:BZU262209 CJQ262138:CJQ262209 CTM262138:CTM262209 DDI262138:DDI262209 DNE262138:DNE262209 DXA262138:DXA262209 EGW262138:EGW262209 EQS262138:EQS262209 FAO262138:FAO262209 FKK262138:FKK262209 FUG262138:FUG262209 GEC262138:GEC262209 GNY262138:GNY262209 GXU262138:GXU262209 HHQ262138:HHQ262209 HRM262138:HRM262209 IBI262138:IBI262209 ILE262138:ILE262209 IVA262138:IVA262209 JEW262138:JEW262209 JOS262138:JOS262209 JYO262138:JYO262209 KIK262138:KIK262209 KSG262138:KSG262209 LCC262138:LCC262209 LLY262138:LLY262209 LVU262138:LVU262209 MFQ262138:MFQ262209 MPM262138:MPM262209 MZI262138:MZI262209 NJE262138:NJE262209 NTA262138:NTA262209 OCW262138:OCW262209 OMS262138:OMS262209 OWO262138:OWO262209 PGK262138:PGK262209 PQG262138:PQG262209 QAC262138:QAC262209 QJY262138:QJY262209 QTU262138:QTU262209 RDQ262138:RDQ262209 RNM262138:RNM262209 RXI262138:RXI262209 SHE262138:SHE262209 SRA262138:SRA262209 TAW262138:TAW262209 TKS262138:TKS262209 TUO262138:TUO262209 UEK262138:UEK262209 UOG262138:UOG262209 UYC262138:UYC262209 VHY262138:VHY262209 VRU262138:VRU262209 WBQ262138:WBQ262209 WLM262138:WLM262209 WVI262138:WVI262209 A327674:A327745 IW327674:IW327745 SS327674:SS327745 ACO327674:ACO327745 AMK327674:AMK327745 AWG327674:AWG327745 BGC327674:BGC327745 BPY327674:BPY327745 BZU327674:BZU327745 CJQ327674:CJQ327745 CTM327674:CTM327745 DDI327674:DDI327745 DNE327674:DNE327745 DXA327674:DXA327745 EGW327674:EGW327745 EQS327674:EQS327745 FAO327674:FAO327745 FKK327674:FKK327745 FUG327674:FUG327745 GEC327674:GEC327745 GNY327674:GNY327745 GXU327674:GXU327745 HHQ327674:HHQ327745 HRM327674:HRM327745 IBI327674:IBI327745 ILE327674:ILE327745 IVA327674:IVA327745 JEW327674:JEW327745 JOS327674:JOS327745 JYO327674:JYO327745 KIK327674:KIK327745 KSG327674:KSG327745 LCC327674:LCC327745 LLY327674:LLY327745 LVU327674:LVU327745 MFQ327674:MFQ327745 MPM327674:MPM327745 MZI327674:MZI327745 NJE327674:NJE327745 NTA327674:NTA327745 OCW327674:OCW327745 OMS327674:OMS327745 OWO327674:OWO327745 PGK327674:PGK327745 PQG327674:PQG327745 QAC327674:QAC327745 QJY327674:QJY327745 QTU327674:QTU327745 RDQ327674:RDQ327745 RNM327674:RNM327745 RXI327674:RXI327745 SHE327674:SHE327745 SRA327674:SRA327745 TAW327674:TAW327745 TKS327674:TKS327745 TUO327674:TUO327745 UEK327674:UEK327745 UOG327674:UOG327745 UYC327674:UYC327745 VHY327674:VHY327745 VRU327674:VRU327745 WBQ327674:WBQ327745 WLM327674:WLM327745 WVI327674:WVI327745 A393210:A393281 IW393210:IW393281 SS393210:SS393281 ACO393210:ACO393281 AMK393210:AMK393281 AWG393210:AWG393281 BGC393210:BGC393281 BPY393210:BPY393281 BZU393210:BZU393281 CJQ393210:CJQ393281 CTM393210:CTM393281 DDI393210:DDI393281 DNE393210:DNE393281 DXA393210:DXA393281 EGW393210:EGW393281 EQS393210:EQS393281 FAO393210:FAO393281 FKK393210:FKK393281 FUG393210:FUG393281 GEC393210:GEC393281 GNY393210:GNY393281 GXU393210:GXU393281 HHQ393210:HHQ393281 HRM393210:HRM393281 IBI393210:IBI393281 ILE393210:ILE393281 IVA393210:IVA393281 JEW393210:JEW393281 JOS393210:JOS393281 JYO393210:JYO393281 KIK393210:KIK393281 KSG393210:KSG393281 LCC393210:LCC393281 LLY393210:LLY393281 LVU393210:LVU393281 MFQ393210:MFQ393281 MPM393210:MPM393281 MZI393210:MZI393281 NJE393210:NJE393281 NTA393210:NTA393281 OCW393210:OCW393281 OMS393210:OMS393281 OWO393210:OWO393281 PGK393210:PGK393281 PQG393210:PQG393281 QAC393210:QAC393281 QJY393210:QJY393281 QTU393210:QTU393281 RDQ393210:RDQ393281 RNM393210:RNM393281 RXI393210:RXI393281 SHE393210:SHE393281 SRA393210:SRA393281 TAW393210:TAW393281 TKS393210:TKS393281 TUO393210:TUO393281 UEK393210:UEK393281 UOG393210:UOG393281 UYC393210:UYC393281 VHY393210:VHY393281 VRU393210:VRU393281 WBQ393210:WBQ393281 WLM393210:WLM393281 WVI393210:WVI393281 A458746:A458817 IW458746:IW458817 SS458746:SS458817 ACO458746:ACO458817 AMK458746:AMK458817 AWG458746:AWG458817 BGC458746:BGC458817 BPY458746:BPY458817 BZU458746:BZU458817 CJQ458746:CJQ458817 CTM458746:CTM458817 DDI458746:DDI458817 DNE458746:DNE458817 DXA458746:DXA458817 EGW458746:EGW458817 EQS458746:EQS458817 FAO458746:FAO458817 FKK458746:FKK458817 FUG458746:FUG458817 GEC458746:GEC458817 GNY458746:GNY458817 GXU458746:GXU458817 HHQ458746:HHQ458817 HRM458746:HRM458817 IBI458746:IBI458817 ILE458746:ILE458817 IVA458746:IVA458817 JEW458746:JEW458817 JOS458746:JOS458817 JYO458746:JYO458817 KIK458746:KIK458817 KSG458746:KSG458817 LCC458746:LCC458817 LLY458746:LLY458817 LVU458746:LVU458817 MFQ458746:MFQ458817 MPM458746:MPM458817 MZI458746:MZI458817 NJE458746:NJE458817 NTA458746:NTA458817 OCW458746:OCW458817 OMS458746:OMS458817 OWO458746:OWO458817 PGK458746:PGK458817 PQG458746:PQG458817 QAC458746:QAC458817 QJY458746:QJY458817 QTU458746:QTU458817 RDQ458746:RDQ458817 RNM458746:RNM458817 RXI458746:RXI458817 SHE458746:SHE458817 SRA458746:SRA458817 TAW458746:TAW458817 TKS458746:TKS458817 TUO458746:TUO458817 UEK458746:UEK458817 UOG458746:UOG458817 UYC458746:UYC458817 VHY458746:VHY458817 VRU458746:VRU458817 WBQ458746:WBQ458817 WLM458746:WLM458817 WVI458746:WVI458817 A524282:A524353 IW524282:IW524353 SS524282:SS524353 ACO524282:ACO524353 AMK524282:AMK524353 AWG524282:AWG524353 BGC524282:BGC524353 BPY524282:BPY524353 BZU524282:BZU524353 CJQ524282:CJQ524353 CTM524282:CTM524353 DDI524282:DDI524353 DNE524282:DNE524353 DXA524282:DXA524353 EGW524282:EGW524353 EQS524282:EQS524353 FAO524282:FAO524353 FKK524282:FKK524353 FUG524282:FUG524353 GEC524282:GEC524353 GNY524282:GNY524353 GXU524282:GXU524353 HHQ524282:HHQ524353 HRM524282:HRM524353 IBI524282:IBI524353 ILE524282:ILE524353 IVA524282:IVA524353 JEW524282:JEW524353 JOS524282:JOS524353 JYO524282:JYO524353 KIK524282:KIK524353 KSG524282:KSG524353 LCC524282:LCC524353 LLY524282:LLY524353 LVU524282:LVU524353 MFQ524282:MFQ524353 MPM524282:MPM524353 MZI524282:MZI524353 NJE524282:NJE524353 NTA524282:NTA524353 OCW524282:OCW524353 OMS524282:OMS524353 OWO524282:OWO524353 PGK524282:PGK524353 PQG524282:PQG524353 QAC524282:QAC524353 QJY524282:QJY524353 QTU524282:QTU524353 RDQ524282:RDQ524353 RNM524282:RNM524353 RXI524282:RXI524353 SHE524282:SHE524353 SRA524282:SRA524353 TAW524282:TAW524353 TKS524282:TKS524353 TUO524282:TUO524353 UEK524282:UEK524353 UOG524282:UOG524353 UYC524282:UYC524353 VHY524282:VHY524353 VRU524282:VRU524353 WBQ524282:WBQ524353 WLM524282:WLM524353 WVI524282:WVI524353 A589818:A589889 IW589818:IW589889 SS589818:SS589889 ACO589818:ACO589889 AMK589818:AMK589889 AWG589818:AWG589889 BGC589818:BGC589889 BPY589818:BPY589889 BZU589818:BZU589889 CJQ589818:CJQ589889 CTM589818:CTM589889 DDI589818:DDI589889 DNE589818:DNE589889 DXA589818:DXA589889 EGW589818:EGW589889 EQS589818:EQS589889 FAO589818:FAO589889 FKK589818:FKK589889 FUG589818:FUG589889 GEC589818:GEC589889 GNY589818:GNY589889 GXU589818:GXU589889 HHQ589818:HHQ589889 HRM589818:HRM589889 IBI589818:IBI589889 ILE589818:ILE589889 IVA589818:IVA589889 JEW589818:JEW589889 JOS589818:JOS589889 JYO589818:JYO589889 KIK589818:KIK589889 KSG589818:KSG589889 LCC589818:LCC589889 LLY589818:LLY589889 LVU589818:LVU589889 MFQ589818:MFQ589889 MPM589818:MPM589889 MZI589818:MZI589889 NJE589818:NJE589889 NTA589818:NTA589889 OCW589818:OCW589889 OMS589818:OMS589889 OWO589818:OWO589889 PGK589818:PGK589889 PQG589818:PQG589889 QAC589818:QAC589889 QJY589818:QJY589889 QTU589818:QTU589889 RDQ589818:RDQ589889 RNM589818:RNM589889 RXI589818:RXI589889 SHE589818:SHE589889 SRA589818:SRA589889 TAW589818:TAW589889 TKS589818:TKS589889 TUO589818:TUO589889 UEK589818:UEK589889 UOG589818:UOG589889 UYC589818:UYC589889 VHY589818:VHY589889 VRU589818:VRU589889 WBQ589818:WBQ589889 WLM589818:WLM589889 WVI589818:WVI589889 A655354:A655425 IW655354:IW655425 SS655354:SS655425 ACO655354:ACO655425 AMK655354:AMK655425 AWG655354:AWG655425 BGC655354:BGC655425 BPY655354:BPY655425 BZU655354:BZU655425 CJQ655354:CJQ655425 CTM655354:CTM655425 DDI655354:DDI655425 DNE655354:DNE655425 DXA655354:DXA655425 EGW655354:EGW655425 EQS655354:EQS655425 FAO655354:FAO655425 FKK655354:FKK655425 FUG655354:FUG655425 GEC655354:GEC655425 GNY655354:GNY655425 GXU655354:GXU655425 HHQ655354:HHQ655425 HRM655354:HRM655425 IBI655354:IBI655425 ILE655354:ILE655425 IVA655354:IVA655425 JEW655354:JEW655425 JOS655354:JOS655425 JYO655354:JYO655425 KIK655354:KIK655425 KSG655354:KSG655425 LCC655354:LCC655425 LLY655354:LLY655425 LVU655354:LVU655425 MFQ655354:MFQ655425 MPM655354:MPM655425 MZI655354:MZI655425 NJE655354:NJE655425 NTA655354:NTA655425 OCW655354:OCW655425 OMS655354:OMS655425 OWO655354:OWO655425 PGK655354:PGK655425 PQG655354:PQG655425 QAC655354:QAC655425 QJY655354:QJY655425 QTU655354:QTU655425 RDQ655354:RDQ655425 RNM655354:RNM655425 RXI655354:RXI655425 SHE655354:SHE655425 SRA655354:SRA655425 TAW655354:TAW655425 TKS655354:TKS655425 TUO655354:TUO655425 UEK655354:UEK655425 UOG655354:UOG655425 UYC655354:UYC655425 VHY655354:VHY655425 VRU655354:VRU655425 WBQ655354:WBQ655425 WLM655354:WLM655425 WVI655354:WVI655425 A720890:A720961 IW720890:IW720961 SS720890:SS720961 ACO720890:ACO720961 AMK720890:AMK720961 AWG720890:AWG720961 BGC720890:BGC720961 BPY720890:BPY720961 BZU720890:BZU720961 CJQ720890:CJQ720961 CTM720890:CTM720961 DDI720890:DDI720961 DNE720890:DNE720961 DXA720890:DXA720961 EGW720890:EGW720961 EQS720890:EQS720961 FAO720890:FAO720961 FKK720890:FKK720961 FUG720890:FUG720961 GEC720890:GEC720961 GNY720890:GNY720961 GXU720890:GXU720961 HHQ720890:HHQ720961 HRM720890:HRM720961 IBI720890:IBI720961 ILE720890:ILE720961 IVA720890:IVA720961 JEW720890:JEW720961 JOS720890:JOS720961 JYO720890:JYO720961 KIK720890:KIK720961 KSG720890:KSG720961 LCC720890:LCC720961 LLY720890:LLY720961 LVU720890:LVU720961 MFQ720890:MFQ720961 MPM720890:MPM720961 MZI720890:MZI720961 NJE720890:NJE720961 NTA720890:NTA720961 OCW720890:OCW720961 OMS720890:OMS720961 OWO720890:OWO720961 PGK720890:PGK720961 PQG720890:PQG720961 QAC720890:QAC720961 QJY720890:QJY720961 QTU720890:QTU720961 RDQ720890:RDQ720961 RNM720890:RNM720961 RXI720890:RXI720961 SHE720890:SHE720961 SRA720890:SRA720961 TAW720890:TAW720961 TKS720890:TKS720961 TUO720890:TUO720961 UEK720890:UEK720961 UOG720890:UOG720961 UYC720890:UYC720961 VHY720890:VHY720961 VRU720890:VRU720961 WBQ720890:WBQ720961 WLM720890:WLM720961 WVI720890:WVI720961 A786426:A786497 IW786426:IW786497 SS786426:SS786497 ACO786426:ACO786497 AMK786426:AMK786497 AWG786426:AWG786497 BGC786426:BGC786497 BPY786426:BPY786497 BZU786426:BZU786497 CJQ786426:CJQ786497 CTM786426:CTM786497 DDI786426:DDI786497 DNE786426:DNE786497 DXA786426:DXA786497 EGW786426:EGW786497 EQS786426:EQS786497 FAO786426:FAO786497 FKK786426:FKK786497 FUG786426:FUG786497 GEC786426:GEC786497 GNY786426:GNY786497 GXU786426:GXU786497 HHQ786426:HHQ786497 HRM786426:HRM786497 IBI786426:IBI786497 ILE786426:ILE786497 IVA786426:IVA786497 JEW786426:JEW786497 JOS786426:JOS786497 JYO786426:JYO786497 KIK786426:KIK786497 KSG786426:KSG786497 LCC786426:LCC786497 LLY786426:LLY786497 LVU786426:LVU786497 MFQ786426:MFQ786497 MPM786426:MPM786497 MZI786426:MZI786497 NJE786426:NJE786497 NTA786426:NTA786497 OCW786426:OCW786497 OMS786426:OMS786497 OWO786426:OWO786497 PGK786426:PGK786497 PQG786426:PQG786497 QAC786426:QAC786497 QJY786426:QJY786497 QTU786426:QTU786497 RDQ786426:RDQ786497 RNM786426:RNM786497 RXI786426:RXI786497 SHE786426:SHE786497 SRA786426:SRA786497 TAW786426:TAW786497 TKS786426:TKS786497 TUO786426:TUO786497 UEK786426:UEK786497 UOG786426:UOG786497 UYC786426:UYC786497 VHY786426:VHY786497 VRU786426:VRU786497 WBQ786426:WBQ786497 WLM786426:WLM786497 WVI786426:WVI786497 A851962:A852033 IW851962:IW852033 SS851962:SS852033 ACO851962:ACO852033 AMK851962:AMK852033 AWG851962:AWG852033 BGC851962:BGC852033 BPY851962:BPY852033 BZU851962:BZU852033 CJQ851962:CJQ852033 CTM851962:CTM852033 DDI851962:DDI852033 DNE851962:DNE852033 DXA851962:DXA852033 EGW851962:EGW852033 EQS851962:EQS852033 FAO851962:FAO852033 FKK851962:FKK852033 FUG851962:FUG852033 GEC851962:GEC852033 GNY851962:GNY852033 GXU851962:GXU852033 HHQ851962:HHQ852033 HRM851962:HRM852033 IBI851962:IBI852033 ILE851962:ILE852033 IVA851962:IVA852033 JEW851962:JEW852033 JOS851962:JOS852033 JYO851962:JYO852033 KIK851962:KIK852033 KSG851962:KSG852033 LCC851962:LCC852033 LLY851962:LLY852033 LVU851962:LVU852033 MFQ851962:MFQ852033 MPM851962:MPM852033 MZI851962:MZI852033 NJE851962:NJE852033 NTA851962:NTA852033 OCW851962:OCW852033 OMS851962:OMS852033 OWO851962:OWO852033 PGK851962:PGK852033 PQG851962:PQG852033 QAC851962:QAC852033 QJY851962:QJY852033 QTU851962:QTU852033 RDQ851962:RDQ852033 RNM851962:RNM852033 RXI851962:RXI852033 SHE851962:SHE852033 SRA851962:SRA852033 TAW851962:TAW852033 TKS851962:TKS852033 TUO851962:TUO852033 UEK851962:UEK852033 UOG851962:UOG852033 UYC851962:UYC852033 VHY851962:VHY852033 VRU851962:VRU852033 WBQ851962:WBQ852033 WLM851962:WLM852033 WVI851962:WVI852033 A917498:A917569 IW917498:IW917569 SS917498:SS917569 ACO917498:ACO917569 AMK917498:AMK917569 AWG917498:AWG917569 BGC917498:BGC917569 BPY917498:BPY917569 BZU917498:BZU917569 CJQ917498:CJQ917569 CTM917498:CTM917569 DDI917498:DDI917569 DNE917498:DNE917569 DXA917498:DXA917569 EGW917498:EGW917569 EQS917498:EQS917569 FAO917498:FAO917569 FKK917498:FKK917569 FUG917498:FUG917569 GEC917498:GEC917569 GNY917498:GNY917569 GXU917498:GXU917569 HHQ917498:HHQ917569 HRM917498:HRM917569 IBI917498:IBI917569 ILE917498:ILE917569 IVA917498:IVA917569 JEW917498:JEW917569 JOS917498:JOS917569 JYO917498:JYO917569 KIK917498:KIK917569 KSG917498:KSG917569 LCC917498:LCC917569 LLY917498:LLY917569 LVU917498:LVU917569 MFQ917498:MFQ917569 MPM917498:MPM917569 MZI917498:MZI917569 NJE917498:NJE917569 NTA917498:NTA917569 OCW917498:OCW917569 OMS917498:OMS917569 OWO917498:OWO917569 PGK917498:PGK917569 PQG917498:PQG917569 QAC917498:QAC917569 QJY917498:QJY917569 QTU917498:QTU917569 RDQ917498:RDQ917569 RNM917498:RNM917569 RXI917498:RXI917569 SHE917498:SHE917569 SRA917498:SRA917569 TAW917498:TAW917569 TKS917498:TKS917569 TUO917498:TUO917569 UEK917498:UEK917569 UOG917498:UOG917569 UYC917498:UYC917569 VHY917498:VHY917569 VRU917498:VRU917569 WBQ917498:WBQ917569 WLM917498:WLM917569 WVI917498:WVI917569 A983034:A983105 IW983034:IW983105 SS983034:SS983105 ACO983034:ACO983105 AMK983034:AMK983105 AWG983034:AWG983105 BGC983034:BGC983105 BPY983034:BPY983105 BZU983034:BZU983105 CJQ983034:CJQ983105 CTM983034:CTM983105 DDI983034:DDI983105 DNE983034:DNE983105 DXA983034:DXA983105 EGW983034:EGW983105 EQS983034:EQS983105 FAO983034:FAO983105 FKK983034:FKK983105 FUG983034:FUG983105 GEC983034:GEC983105 GNY983034:GNY983105 GXU983034:GXU983105 HHQ983034:HHQ983105 HRM983034:HRM983105 IBI983034:IBI983105 ILE983034:ILE983105 IVA983034:IVA983105 JEW983034:JEW983105 JOS983034:JOS983105 JYO983034:JYO983105 KIK983034:KIK983105 KSG983034:KSG983105 LCC983034:LCC983105 LLY983034:LLY983105 LVU983034:LVU983105 MFQ983034:MFQ983105 MPM983034:MPM983105 MZI983034:MZI983105 NJE983034:NJE983105 NTA983034:NTA983105 OCW983034:OCW983105 OMS983034:OMS983105 OWO983034:OWO983105 PGK983034:PGK983105 PQG983034:PQG983105 QAC983034:QAC983105 QJY983034:QJY983105 QTU983034:QTU983105 RDQ983034:RDQ983105 RNM983034:RNM983105 RXI983034:RXI983105 SHE983034:SHE983105 SRA983034:SRA983105 TAW983034:TAW983105 TKS983034:TKS983105 TUO983034:TUO983105 UEK983034:UEK983105 UOG983034:UOG983105 UYC983034:UYC983105 VHY983034:VHY983105 VRU983034:VRU983105 WBQ983034:WBQ983105 WLM983034:WLM983105 A2:A492 SS2:SS65 ACO2:ACO65 AMK2:AMK65 AWG2:AWG65 BGC2:BGC65 BPY2:BPY65 BZU2:BZU65 CJQ2:CJQ65 CTM2:CTM65 DDI2:DDI65 DNE2:DNE65 DXA2:DXA65 EGW2:EGW65 EQS2:EQS65 FAO2:FAO65 FKK2:FKK65 FUG2:FUG65 GEC2:GEC65 GNY2:GNY65 GXU2:GXU65 HHQ2:HHQ65 HRM2:HRM65 IBI2:IBI65 ILE2:ILE65 IVA2:IVA65 JEW2:JEW65 JOS2:JOS65 JYO2:JYO65 KIK2:KIK65 KSG2:KSG65 LCC2:LCC65 LLY2:LLY65 LVU2:LVU65 MFQ2:MFQ65 MPM2:MPM65 MZI2:MZI65 NJE2:NJE65 NTA2:NTA65 OCW2:OCW65 OMS2:OMS65 OWO2:OWO65 PGK2:PGK65 PQG2:PQG65 QAC2:QAC65 QJY2:QJY65 QTU2:QTU65 RDQ2:RDQ65 RNM2:RNM65 RXI2:RXI65 SHE2:SHE65 SRA2:SRA65 TAW2:TAW65 TKS2:TKS65 TUO2:TUO65 UEK2:UEK65 UOG2:UOG65 UYC2:UYC65 VHY2:VHY65 VRU2:VRU65 WBQ2:WBQ65 WLM2:WLM65 WVI2:WVI65 IW2:IW65" xr:uid="{A40BE6BB-F13A-4B75-9E34-F85C8EC7EB2E}">
      <formula1>$AE$2:$AE$19</formula1>
    </dataValidation>
    <dataValidation type="list" allowBlank="1" showInputMessage="1" showErrorMessage="1" sqref="X64355:X64420 JT64355:JT64420 TP64355:TP64420 ADL64355:ADL64420 ANH64355:ANH64420 AXD64355:AXD64420 BGZ64355:BGZ64420 BQV64355:BQV64420 CAR64355:CAR64420 CKN64355:CKN64420 CUJ64355:CUJ64420 DEF64355:DEF64420 DOB64355:DOB64420 DXX64355:DXX64420 EHT64355:EHT64420 ERP64355:ERP64420 FBL64355:FBL64420 FLH64355:FLH64420 FVD64355:FVD64420 GEZ64355:GEZ64420 GOV64355:GOV64420 GYR64355:GYR64420 HIN64355:HIN64420 HSJ64355:HSJ64420 ICF64355:ICF64420 IMB64355:IMB64420 IVX64355:IVX64420 JFT64355:JFT64420 JPP64355:JPP64420 JZL64355:JZL64420 KJH64355:KJH64420 KTD64355:KTD64420 LCZ64355:LCZ64420 LMV64355:LMV64420 LWR64355:LWR64420 MGN64355:MGN64420 MQJ64355:MQJ64420 NAF64355:NAF64420 NKB64355:NKB64420 NTX64355:NTX64420 ODT64355:ODT64420 ONP64355:ONP64420 OXL64355:OXL64420 PHH64355:PHH64420 PRD64355:PRD64420 QAZ64355:QAZ64420 QKV64355:QKV64420 QUR64355:QUR64420 REN64355:REN64420 ROJ64355:ROJ64420 RYF64355:RYF64420 SIB64355:SIB64420 SRX64355:SRX64420 TBT64355:TBT64420 TLP64355:TLP64420 TVL64355:TVL64420 UFH64355:UFH64420 UPD64355:UPD64420 UYZ64355:UYZ64420 VIV64355:VIV64420 VSR64355:VSR64420 WCN64355:WCN64420 WMJ64355:WMJ64420 WWF64355:WWF64420 X129891:X129956 JT129891:JT129956 TP129891:TP129956 ADL129891:ADL129956 ANH129891:ANH129956 AXD129891:AXD129956 BGZ129891:BGZ129956 BQV129891:BQV129956 CAR129891:CAR129956 CKN129891:CKN129956 CUJ129891:CUJ129956 DEF129891:DEF129956 DOB129891:DOB129956 DXX129891:DXX129956 EHT129891:EHT129956 ERP129891:ERP129956 FBL129891:FBL129956 FLH129891:FLH129956 FVD129891:FVD129956 GEZ129891:GEZ129956 GOV129891:GOV129956 GYR129891:GYR129956 HIN129891:HIN129956 HSJ129891:HSJ129956 ICF129891:ICF129956 IMB129891:IMB129956 IVX129891:IVX129956 JFT129891:JFT129956 JPP129891:JPP129956 JZL129891:JZL129956 KJH129891:KJH129956 KTD129891:KTD129956 LCZ129891:LCZ129956 LMV129891:LMV129956 LWR129891:LWR129956 MGN129891:MGN129956 MQJ129891:MQJ129956 NAF129891:NAF129956 NKB129891:NKB129956 NTX129891:NTX129956 ODT129891:ODT129956 ONP129891:ONP129956 OXL129891:OXL129956 PHH129891:PHH129956 PRD129891:PRD129956 QAZ129891:QAZ129956 QKV129891:QKV129956 QUR129891:QUR129956 REN129891:REN129956 ROJ129891:ROJ129956 RYF129891:RYF129956 SIB129891:SIB129956 SRX129891:SRX129956 TBT129891:TBT129956 TLP129891:TLP129956 TVL129891:TVL129956 UFH129891:UFH129956 UPD129891:UPD129956 UYZ129891:UYZ129956 VIV129891:VIV129956 VSR129891:VSR129956 WCN129891:WCN129956 WMJ129891:WMJ129956 WWF129891:WWF129956 X195427:X195492 JT195427:JT195492 TP195427:TP195492 ADL195427:ADL195492 ANH195427:ANH195492 AXD195427:AXD195492 BGZ195427:BGZ195492 BQV195427:BQV195492 CAR195427:CAR195492 CKN195427:CKN195492 CUJ195427:CUJ195492 DEF195427:DEF195492 DOB195427:DOB195492 DXX195427:DXX195492 EHT195427:EHT195492 ERP195427:ERP195492 FBL195427:FBL195492 FLH195427:FLH195492 FVD195427:FVD195492 GEZ195427:GEZ195492 GOV195427:GOV195492 GYR195427:GYR195492 HIN195427:HIN195492 HSJ195427:HSJ195492 ICF195427:ICF195492 IMB195427:IMB195492 IVX195427:IVX195492 JFT195427:JFT195492 JPP195427:JPP195492 JZL195427:JZL195492 KJH195427:KJH195492 KTD195427:KTD195492 LCZ195427:LCZ195492 LMV195427:LMV195492 LWR195427:LWR195492 MGN195427:MGN195492 MQJ195427:MQJ195492 NAF195427:NAF195492 NKB195427:NKB195492 NTX195427:NTX195492 ODT195427:ODT195492 ONP195427:ONP195492 OXL195427:OXL195492 PHH195427:PHH195492 PRD195427:PRD195492 QAZ195427:QAZ195492 QKV195427:QKV195492 QUR195427:QUR195492 REN195427:REN195492 ROJ195427:ROJ195492 RYF195427:RYF195492 SIB195427:SIB195492 SRX195427:SRX195492 TBT195427:TBT195492 TLP195427:TLP195492 TVL195427:TVL195492 UFH195427:UFH195492 UPD195427:UPD195492 UYZ195427:UYZ195492 VIV195427:VIV195492 VSR195427:VSR195492 WCN195427:WCN195492 WMJ195427:WMJ195492 WWF195427:WWF195492 X260963:X261028 JT260963:JT261028 TP260963:TP261028 ADL260963:ADL261028 ANH260963:ANH261028 AXD260963:AXD261028 BGZ260963:BGZ261028 BQV260963:BQV261028 CAR260963:CAR261028 CKN260963:CKN261028 CUJ260963:CUJ261028 DEF260963:DEF261028 DOB260963:DOB261028 DXX260963:DXX261028 EHT260963:EHT261028 ERP260963:ERP261028 FBL260963:FBL261028 FLH260963:FLH261028 FVD260963:FVD261028 GEZ260963:GEZ261028 GOV260963:GOV261028 GYR260963:GYR261028 HIN260963:HIN261028 HSJ260963:HSJ261028 ICF260963:ICF261028 IMB260963:IMB261028 IVX260963:IVX261028 JFT260963:JFT261028 JPP260963:JPP261028 JZL260963:JZL261028 KJH260963:KJH261028 KTD260963:KTD261028 LCZ260963:LCZ261028 LMV260963:LMV261028 LWR260963:LWR261028 MGN260963:MGN261028 MQJ260963:MQJ261028 NAF260963:NAF261028 NKB260963:NKB261028 NTX260963:NTX261028 ODT260963:ODT261028 ONP260963:ONP261028 OXL260963:OXL261028 PHH260963:PHH261028 PRD260963:PRD261028 QAZ260963:QAZ261028 QKV260963:QKV261028 QUR260963:QUR261028 REN260963:REN261028 ROJ260963:ROJ261028 RYF260963:RYF261028 SIB260963:SIB261028 SRX260963:SRX261028 TBT260963:TBT261028 TLP260963:TLP261028 TVL260963:TVL261028 UFH260963:UFH261028 UPD260963:UPD261028 UYZ260963:UYZ261028 VIV260963:VIV261028 VSR260963:VSR261028 WCN260963:WCN261028 WMJ260963:WMJ261028 WWF260963:WWF261028 X326499:X326564 JT326499:JT326564 TP326499:TP326564 ADL326499:ADL326564 ANH326499:ANH326564 AXD326499:AXD326564 BGZ326499:BGZ326564 BQV326499:BQV326564 CAR326499:CAR326564 CKN326499:CKN326564 CUJ326499:CUJ326564 DEF326499:DEF326564 DOB326499:DOB326564 DXX326499:DXX326564 EHT326499:EHT326564 ERP326499:ERP326564 FBL326499:FBL326564 FLH326499:FLH326564 FVD326499:FVD326564 GEZ326499:GEZ326564 GOV326499:GOV326564 GYR326499:GYR326564 HIN326499:HIN326564 HSJ326499:HSJ326564 ICF326499:ICF326564 IMB326499:IMB326564 IVX326499:IVX326564 JFT326499:JFT326564 JPP326499:JPP326564 JZL326499:JZL326564 KJH326499:KJH326564 KTD326499:KTD326564 LCZ326499:LCZ326564 LMV326499:LMV326564 LWR326499:LWR326564 MGN326499:MGN326564 MQJ326499:MQJ326564 NAF326499:NAF326564 NKB326499:NKB326564 NTX326499:NTX326564 ODT326499:ODT326564 ONP326499:ONP326564 OXL326499:OXL326564 PHH326499:PHH326564 PRD326499:PRD326564 QAZ326499:QAZ326564 QKV326499:QKV326564 QUR326499:QUR326564 REN326499:REN326564 ROJ326499:ROJ326564 RYF326499:RYF326564 SIB326499:SIB326564 SRX326499:SRX326564 TBT326499:TBT326564 TLP326499:TLP326564 TVL326499:TVL326564 UFH326499:UFH326564 UPD326499:UPD326564 UYZ326499:UYZ326564 VIV326499:VIV326564 VSR326499:VSR326564 WCN326499:WCN326564 WMJ326499:WMJ326564 WWF326499:WWF326564 X392035:X392100 JT392035:JT392100 TP392035:TP392100 ADL392035:ADL392100 ANH392035:ANH392100 AXD392035:AXD392100 BGZ392035:BGZ392100 BQV392035:BQV392100 CAR392035:CAR392100 CKN392035:CKN392100 CUJ392035:CUJ392100 DEF392035:DEF392100 DOB392035:DOB392100 DXX392035:DXX392100 EHT392035:EHT392100 ERP392035:ERP392100 FBL392035:FBL392100 FLH392035:FLH392100 FVD392035:FVD392100 GEZ392035:GEZ392100 GOV392035:GOV392100 GYR392035:GYR392100 HIN392035:HIN392100 HSJ392035:HSJ392100 ICF392035:ICF392100 IMB392035:IMB392100 IVX392035:IVX392100 JFT392035:JFT392100 JPP392035:JPP392100 JZL392035:JZL392100 KJH392035:KJH392100 KTD392035:KTD392100 LCZ392035:LCZ392100 LMV392035:LMV392100 LWR392035:LWR392100 MGN392035:MGN392100 MQJ392035:MQJ392100 NAF392035:NAF392100 NKB392035:NKB392100 NTX392035:NTX392100 ODT392035:ODT392100 ONP392035:ONP392100 OXL392035:OXL392100 PHH392035:PHH392100 PRD392035:PRD392100 QAZ392035:QAZ392100 QKV392035:QKV392100 QUR392035:QUR392100 REN392035:REN392100 ROJ392035:ROJ392100 RYF392035:RYF392100 SIB392035:SIB392100 SRX392035:SRX392100 TBT392035:TBT392100 TLP392035:TLP392100 TVL392035:TVL392100 UFH392035:UFH392100 UPD392035:UPD392100 UYZ392035:UYZ392100 VIV392035:VIV392100 VSR392035:VSR392100 WCN392035:WCN392100 WMJ392035:WMJ392100 WWF392035:WWF392100 X457571:X457636 JT457571:JT457636 TP457571:TP457636 ADL457571:ADL457636 ANH457571:ANH457636 AXD457571:AXD457636 BGZ457571:BGZ457636 BQV457571:BQV457636 CAR457571:CAR457636 CKN457571:CKN457636 CUJ457571:CUJ457636 DEF457571:DEF457636 DOB457571:DOB457636 DXX457571:DXX457636 EHT457571:EHT457636 ERP457571:ERP457636 FBL457571:FBL457636 FLH457571:FLH457636 FVD457571:FVD457636 GEZ457571:GEZ457636 GOV457571:GOV457636 GYR457571:GYR457636 HIN457571:HIN457636 HSJ457571:HSJ457636 ICF457571:ICF457636 IMB457571:IMB457636 IVX457571:IVX457636 JFT457571:JFT457636 JPP457571:JPP457636 JZL457571:JZL457636 KJH457571:KJH457636 KTD457571:KTD457636 LCZ457571:LCZ457636 LMV457571:LMV457636 LWR457571:LWR457636 MGN457571:MGN457636 MQJ457571:MQJ457636 NAF457571:NAF457636 NKB457571:NKB457636 NTX457571:NTX457636 ODT457571:ODT457636 ONP457571:ONP457636 OXL457571:OXL457636 PHH457571:PHH457636 PRD457571:PRD457636 QAZ457571:QAZ457636 QKV457571:QKV457636 QUR457571:QUR457636 REN457571:REN457636 ROJ457571:ROJ457636 RYF457571:RYF457636 SIB457571:SIB457636 SRX457571:SRX457636 TBT457571:TBT457636 TLP457571:TLP457636 TVL457571:TVL457636 UFH457571:UFH457636 UPD457571:UPD457636 UYZ457571:UYZ457636 VIV457571:VIV457636 VSR457571:VSR457636 WCN457571:WCN457636 WMJ457571:WMJ457636 WWF457571:WWF457636 X523107:X523172 JT523107:JT523172 TP523107:TP523172 ADL523107:ADL523172 ANH523107:ANH523172 AXD523107:AXD523172 BGZ523107:BGZ523172 BQV523107:BQV523172 CAR523107:CAR523172 CKN523107:CKN523172 CUJ523107:CUJ523172 DEF523107:DEF523172 DOB523107:DOB523172 DXX523107:DXX523172 EHT523107:EHT523172 ERP523107:ERP523172 FBL523107:FBL523172 FLH523107:FLH523172 FVD523107:FVD523172 GEZ523107:GEZ523172 GOV523107:GOV523172 GYR523107:GYR523172 HIN523107:HIN523172 HSJ523107:HSJ523172 ICF523107:ICF523172 IMB523107:IMB523172 IVX523107:IVX523172 JFT523107:JFT523172 JPP523107:JPP523172 JZL523107:JZL523172 KJH523107:KJH523172 KTD523107:KTD523172 LCZ523107:LCZ523172 LMV523107:LMV523172 LWR523107:LWR523172 MGN523107:MGN523172 MQJ523107:MQJ523172 NAF523107:NAF523172 NKB523107:NKB523172 NTX523107:NTX523172 ODT523107:ODT523172 ONP523107:ONP523172 OXL523107:OXL523172 PHH523107:PHH523172 PRD523107:PRD523172 QAZ523107:QAZ523172 QKV523107:QKV523172 QUR523107:QUR523172 REN523107:REN523172 ROJ523107:ROJ523172 RYF523107:RYF523172 SIB523107:SIB523172 SRX523107:SRX523172 TBT523107:TBT523172 TLP523107:TLP523172 TVL523107:TVL523172 UFH523107:UFH523172 UPD523107:UPD523172 UYZ523107:UYZ523172 VIV523107:VIV523172 VSR523107:VSR523172 WCN523107:WCN523172 WMJ523107:WMJ523172 WWF523107:WWF523172 X588643:X588708 JT588643:JT588708 TP588643:TP588708 ADL588643:ADL588708 ANH588643:ANH588708 AXD588643:AXD588708 BGZ588643:BGZ588708 BQV588643:BQV588708 CAR588643:CAR588708 CKN588643:CKN588708 CUJ588643:CUJ588708 DEF588643:DEF588708 DOB588643:DOB588708 DXX588643:DXX588708 EHT588643:EHT588708 ERP588643:ERP588708 FBL588643:FBL588708 FLH588643:FLH588708 FVD588643:FVD588708 GEZ588643:GEZ588708 GOV588643:GOV588708 GYR588643:GYR588708 HIN588643:HIN588708 HSJ588643:HSJ588708 ICF588643:ICF588708 IMB588643:IMB588708 IVX588643:IVX588708 JFT588643:JFT588708 JPP588643:JPP588708 JZL588643:JZL588708 KJH588643:KJH588708 KTD588643:KTD588708 LCZ588643:LCZ588708 LMV588643:LMV588708 LWR588643:LWR588708 MGN588643:MGN588708 MQJ588643:MQJ588708 NAF588643:NAF588708 NKB588643:NKB588708 NTX588643:NTX588708 ODT588643:ODT588708 ONP588643:ONP588708 OXL588643:OXL588708 PHH588643:PHH588708 PRD588643:PRD588708 QAZ588643:QAZ588708 QKV588643:QKV588708 QUR588643:QUR588708 REN588643:REN588708 ROJ588643:ROJ588708 RYF588643:RYF588708 SIB588643:SIB588708 SRX588643:SRX588708 TBT588643:TBT588708 TLP588643:TLP588708 TVL588643:TVL588708 UFH588643:UFH588708 UPD588643:UPD588708 UYZ588643:UYZ588708 VIV588643:VIV588708 VSR588643:VSR588708 WCN588643:WCN588708 WMJ588643:WMJ588708 WWF588643:WWF588708 X654179:X654244 JT654179:JT654244 TP654179:TP654244 ADL654179:ADL654244 ANH654179:ANH654244 AXD654179:AXD654244 BGZ654179:BGZ654244 BQV654179:BQV654244 CAR654179:CAR654244 CKN654179:CKN654244 CUJ654179:CUJ654244 DEF654179:DEF654244 DOB654179:DOB654244 DXX654179:DXX654244 EHT654179:EHT654244 ERP654179:ERP654244 FBL654179:FBL654244 FLH654179:FLH654244 FVD654179:FVD654244 GEZ654179:GEZ654244 GOV654179:GOV654244 GYR654179:GYR654244 HIN654179:HIN654244 HSJ654179:HSJ654244 ICF654179:ICF654244 IMB654179:IMB654244 IVX654179:IVX654244 JFT654179:JFT654244 JPP654179:JPP654244 JZL654179:JZL654244 KJH654179:KJH654244 KTD654179:KTD654244 LCZ654179:LCZ654244 LMV654179:LMV654244 LWR654179:LWR654244 MGN654179:MGN654244 MQJ654179:MQJ654244 NAF654179:NAF654244 NKB654179:NKB654244 NTX654179:NTX654244 ODT654179:ODT654244 ONP654179:ONP654244 OXL654179:OXL654244 PHH654179:PHH654244 PRD654179:PRD654244 QAZ654179:QAZ654244 QKV654179:QKV654244 QUR654179:QUR654244 REN654179:REN654244 ROJ654179:ROJ654244 RYF654179:RYF654244 SIB654179:SIB654244 SRX654179:SRX654244 TBT654179:TBT654244 TLP654179:TLP654244 TVL654179:TVL654244 UFH654179:UFH654244 UPD654179:UPD654244 UYZ654179:UYZ654244 VIV654179:VIV654244 VSR654179:VSR654244 WCN654179:WCN654244 WMJ654179:WMJ654244 WWF654179:WWF654244 X719715:X719780 JT719715:JT719780 TP719715:TP719780 ADL719715:ADL719780 ANH719715:ANH719780 AXD719715:AXD719780 BGZ719715:BGZ719780 BQV719715:BQV719780 CAR719715:CAR719780 CKN719715:CKN719780 CUJ719715:CUJ719780 DEF719715:DEF719780 DOB719715:DOB719780 DXX719715:DXX719780 EHT719715:EHT719780 ERP719715:ERP719780 FBL719715:FBL719780 FLH719715:FLH719780 FVD719715:FVD719780 GEZ719715:GEZ719780 GOV719715:GOV719780 GYR719715:GYR719780 HIN719715:HIN719780 HSJ719715:HSJ719780 ICF719715:ICF719780 IMB719715:IMB719780 IVX719715:IVX719780 JFT719715:JFT719780 JPP719715:JPP719780 JZL719715:JZL719780 KJH719715:KJH719780 KTD719715:KTD719780 LCZ719715:LCZ719780 LMV719715:LMV719780 LWR719715:LWR719780 MGN719715:MGN719780 MQJ719715:MQJ719780 NAF719715:NAF719780 NKB719715:NKB719780 NTX719715:NTX719780 ODT719715:ODT719780 ONP719715:ONP719780 OXL719715:OXL719780 PHH719715:PHH719780 PRD719715:PRD719780 QAZ719715:QAZ719780 QKV719715:QKV719780 QUR719715:QUR719780 REN719715:REN719780 ROJ719715:ROJ719780 RYF719715:RYF719780 SIB719715:SIB719780 SRX719715:SRX719780 TBT719715:TBT719780 TLP719715:TLP719780 TVL719715:TVL719780 UFH719715:UFH719780 UPD719715:UPD719780 UYZ719715:UYZ719780 VIV719715:VIV719780 VSR719715:VSR719780 WCN719715:WCN719780 WMJ719715:WMJ719780 WWF719715:WWF719780 X785251:X785316 JT785251:JT785316 TP785251:TP785316 ADL785251:ADL785316 ANH785251:ANH785316 AXD785251:AXD785316 BGZ785251:BGZ785316 BQV785251:BQV785316 CAR785251:CAR785316 CKN785251:CKN785316 CUJ785251:CUJ785316 DEF785251:DEF785316 DOB785251:DOB785316 DXX785251:DXX785316 EHT785251:EHT785316 ERP785251:ERP785316 FBL785251:FBL785316 FLH785251:FLH785316 FVD785251:FVD785316 GEZ785251:GEZ785316 GOV785251:GOV785316 GYR785251:GYR785316 HIN785251:HIN785316 HSJ785251:HSJ785316 ICF785251:ICF785316 IMB785251:IMB785316 IVX785251:IVX785316 JFT785251:JFT785316 JPP785251:JPP785316 JZL785251:JZL785316 KJH785251:KJH785316 KTD785251:KTD785316 LCZ785251:LCZ785316 LMV785251:LMV785316 LWR785251:LWR785316 MGN785251:MGN785316 MQJ785251:MQJ785316 NAF785251:NAF785316 NKB785251:NKB785316 NTX785251:NTX785316 ODT785251:ODT785316 ONP785251:ONP785316 OXL785251:OXL785316 PHH785251:PHH785316 PRD785251:PRD785316 QAZ785251:QAZ785316 QKV785251:QKV785316 QUR785251:QUR785316 REN785251:REN785316 ROJ785251:ROJ785316 RYF785251:RYF785316 SIB785251:SIB785316 SRX785251:SRX785316 TBT785251:TBT785316 TLP785251:TLP785316 TVL785251:TVL785316 UFH785251:UFH785316 UPD785251:UPD785316 UYZ785251:UYZ785316 VIV785251:VIV785316 VSR785251:VSR785316 WCN785251:WCN785316 WMJ785251:WMJ785316 WWF785251:WWF785316 X850787:X850852 JT850787:JT850852 TP850787:TP850852 ADL850787:ADL850852 ANH850787:ANH850852 AXD850787:AXD850852 BGZ850787:BGZ850852 BQV850787:BQV850852 CAR850787:CAR850852 CKN850787:CKN850852 CUJ850787:CUJ850852 DEF850787:DEF850852 DOB850787:DOB850852 DXX850787:DXX850852 EHT850787:EHT850852 ERP850787:ERP850852 FBL850787:FBL850852 FLH850787:FLH850852 FVD850787:FVD850852 GEZ850787:GEZ850852 GOV850787:GOV850852 GYR850787:GYR850852 HIN850787:HIN850852 HSJ850787:HSJ850852 ICF850787:ICF850852 IMB850787:IMB850852 IVX850787:IVX850852 JFT850787:JFT850852 JPP850787:JPP850852 JZL850787:JZL850852 KJH850787:KJH850852 KTD850787:KTD850852 LCZ850787:LCZ850852 LMV850787:LMV850852 LWR850787:LWR850852 MGN850787:MGN850852 MQJ850787:MQJ850852 NAF850787:NAF850852 NKB850787:NKB850852 NTX850787:NTX850852 ODT850787:ODT850852 ONP850787:ONP850852 OXL850787:OXL850852 PHH850787:PHH850852 PRD850787:PRD850852 QAZ850787:QAZ850852 QKV850787:QKV850852 QUR850787:QUR850852 REN850787:REN850852 ROJ850787:ROJ850852 RYF850787:RYF850852 SIB850787:SIB850852 SRX850787:SRX850852 TBT850787:TBT850852 TLP850787:TLP850852 TVL850787:TVL850852 UFH850787:UFH850852 UPD850787:UPD850852 UYZ850787:UYZ850852 VIV850787:VIV850852 VSR850787:VSR850852 WCN850787:WCN850852 WMJ850787:WMJ850852 WWF850787:WWF850852 X916323:X916388 JT916323:JT916388 TP916323:TP916388 ADL916323:ADL916388 ANH916323:ANH916388 AXD916323:AXD916388 BGZ916323:BGZ916388 BQV916323:BQV916388 CAR916323:CAR916388 CKN916323:CKN916388 CUJ916323:CUJ916388 DEF916323:DEF916388 DOB916323:DOB916388 DXX916323:DXX916388 EHT916323:EHT916388 ERP916323:ERP916388 FBL916323:FBL916388 FLH916323:FLH916388 FVD916323:FVD916388 GEZ916323:GEZ916388 GOV916323:GOV916388 GYR916323:GYR916388 HIN916323:HIN916388 HSJ916323:HSJ916388 ICF916323:ICF916388 IMB916323:IMB916388 IVX916323:IVX916388 JFT916323:JFT916388 JPP916323:JPP916388 JZL916323:JZL916388 KJH916323:KJH916388 KTD916323:KTD916388 LCZ916323:LCZ916388 LMV916323:LMV916388 LWR916323:LWR916388 MGN916323:MGN916388 MQJ916323:MQJ916388 NAF916323:NAF916388 NKB916323:NKB916388 NTX916323:NTX916388 ODT916323:ODT916388 ONP916323:ONP916388 OXL916323:OXL916388 PHH916323:PHH916388 PRD916323:PRD916388 QAZ916323:QAZ916388 QKV916323:QKV916388 QUR916323:QUR916388 REN916323:REN916388 ROJ916323:ROJ916388 RYF916323:RYF916388 SIB916323:SIB916388 SRX916323:SRX916388 TBT916323:TBT916388 TLP916323:TLP916388 TVL916323:TVL916388 UFH916323:UFH916388 UPD916323:UPD916388 UYZ916323:UYZ916388 VIV916323:VIV916388 VSR916323:VSR916388 WCN916323:WCN916388 WMJ916323:WMJ916388 WWF916323:WWF916388 X981859:X981924 JT981859:JT981924 TP981859:TP981924 ADL981859:ADL981924 ANH981859:ANH981924 AXD981859:AXD981924 BGZ981859:BGZ981924 BQV981859:BQV981924 CAR981859:CAR981924 CKN981859:CKN981924 CUJ981859:CUJ981924 DEF981859:DEF981924 DOB981859:DOB981924 DXX981859:DXX981924 EHT981859:EHT981924 ERP981859:ERP981924 FBL981859:FBL981924 FLH981859:FLH981924 FVD981859:FVD981924 GEZ981859:GEZ981924 GOV981859:GOV981924 GYR981859:GYR981924 HIN981859:HIN981924 HSJ981859:HSJ981924 ICF981859:ICF981924 IMB981859:IMB981924 IVX981859:IVX981924 JFT981859:JFT981924 JPP981859:JPP981924 JZL981859:JZL981924 KJH981859:KJH981924 KTD981859:KTD981924 LCZ981859:LCZ981924 LMV981859:LMV981924 LWR981859:LWR981924 MGN981859:MGN981924 MQJ981859:MQJ981924 NAF981859:NAF981924 NKB981859:NKB981924 NTX981859:NTX981924 ODT981859:ODT981924 ONP981859:ONP981924 OXL981859:OXL981924 PHH981859:PHH981924 PRD981859:PRD981924 QAZ981859:QAZ981924 QKV981859:QKV981924 QUR981859:QUR981924 REN981859:REN981924 ROJ981859:ROJ981924 RYF981859:RYF981924 SIB981859:SIB981924 SRX981859:SRX981924 TBT981859:TBT981924 TLP981859:TLP981924 TVL981859:TVL981924 UFH981859:UFH981924 UPD981859:UPD981924 UYZ981859:UYZ981924 VIV981859:VIV981924 VSR981859:VSR981924 WCN981859:WCN981924 WMJ981859:WMJ981924 WWF981859:WWF981924 X1047395:X1047460 JT1047395:JT1047460 TP1047395:TP1047460 ADL1047395:ADL1047460 ANH1047395:ANH1047460 AXD1047395:AXD1047460 BGZ1047395:BGZ1047460 BQV1047395:BQV1047460 CAR1047395:CAR1047460 CKN1047395:CKN1047460 CUJ1047395:CUJ1047460 DEF1047395:DEF1047460 DOB1047395:DOB1047460 DXX1047395:DXX1047460 EHT1047395:EHT1047460 ERP1047395:ERP1047460 FBL1047395:FBL1047460 FLH1047395:FLH1047460 FVD1047395:FVD1047460 GEZ1047395:GEZ1047460 GOV1047395:GOV1047460 GYR1047395:GYR1047460 HIN1047395:HIN1047460 HSJ1047395:HSJ1047460 ICF1047395:ICF1047460 IMB1047395:IMB1047460 IVX1047395:IVX1047460 JFT1047395:JFT1047460 JPP1047395:JPP1047460 JZL1047395:JZL1047460 KJH1047395:KJH1047460 KTD1047395:KTD1047460 LCZ1047395:LCZ1047460 LMV1047395:LMV1047460 LWR1047395:LWR1047460 MGN1047395:MGN1047460 MQJ1047395:MQJ1047460 NAF1047395:NAF1047460 NKB1047395:NKB1047460 NTX1047395:NTX1047460 ODT1047395:ODT1047460 ONP1047395:ONP1047460 OXL1047395:OXL1047460 PHH1047395:PHH1047460 PRD1047395:PRD1047460 QAZ1047395:QAZ1047460 QKV1047395:QKV1047460 QUR1047395:QUR1047460 REN1047395:REN1047460 ROJ1047395:ROJ1047460 RYF1047395:RYF1047460 SIB1047395:SIB1047460 SRX1047395:SRX1047460 TBT1047395:TBT1047460 TLP1047395:TLP1047460 TVL1047395:TVL1047460 UFH1047395:UFH1047460 UPD1047395:UPD1047460 UYZ1047395:UYZ1047460 VIV1047395:VIV1047460 VSR1047395:VSR1047460 WCN1047395:WCN1047460 WMJ1047395:WMJ1047460 WWF1047395:WWF1047460 WWF983034:WWF983099 X65530:X65595 JT65530:JT65595 TP65530:TP65595 ADL65530:ADL65595 ANH65530:ANH65595 AXD65530:AXD65595 BGZ65530:BGZ65595 BQV65530:BQV65595 CAR65530:CAR65595 CKN65530:CKN65595 CUJ65530:CUJ65595 DEF65530:DEF65595 DOB65530:DOB65595 DXX65530:DXX65595 EHT65530:EHT65595 ERP65530:ERP65595 FBL65530:FBL65595 FLH65530:FLH65595 FVD65530:FVD65595 GEZ65530:GEZ65595 GOV65530:GOV65595 GYR65530:GYR65595 HIN65530:HIN65595 HSJ65530:HSJ65595 ICF65530:ICF65595 IMB65530:IMB65595 IVX65530:IVX65595 JFT65530:JFT65595 JPP65530:JPP65595 JZL65530:JZL65595 KJH65530:KJH65595 KTD65530:KTD65595 LCZ65530:LCZ65595 LMV65530:LMV65595 LWR65530:LWR65595 MGN65530:MGN65595 MQJ65530:MQJ65595 NAF65530:NAF65595 NKB65530:NKB65595 NTX65530:NTX65595 ODT65530:ODT65595 ONP65530:ONP65595 OXL65530:OXL65595 PHH65530:PHH65595 PRD65530:PRD65595 QAZ65530:QAZ65595 QKV65530:QKV65595 QUR65530:QUR65595 REN65530:REN65595 ROJ65530:ROJ65595 RYF65530:RYF65595 SIB65530:SIB65595 SRX65530:SRX65595 TBT65530:TBT65595 TLP65530:TLP65595 TVL65530:TVL65595 UFH65530:UFH65595 UPD65530:UPD65595 UYZ65530:UYZ65595 VIV65530:VIV65595 VSR65530:VSR65595 WCN65530:WCN65595 WMJ65530:WMJ65595 WWF65530:WWF65595 X131066:X131131 JT131066:JT131131 TP131066:TP131131 ADL131066:ADL131131 ANH131066:ANH131131 AXD131066:AXD131131 BGZ131066:BGZ131131 BQV131066:BQV131131 CAR131066:CAR131131 CKN131066:CKN131131 CUJ131066:CUJ131131 DEF131066:DEF131131 DOB131066:DOB131131 DXX131066:DXX131131 EHT131066:EHT131131 ERP131066:ERP131131 FBL131066:FBL131131 FLH131066:FLH131131 FVD131066:FVD131131 GEZ131066:GEZ131131 GOV131066:GOV131131 GYR131066:GYR131131 HIN131066:HIN131131 HSJ131066:HSJ131131 ICF131066:ICF131131 IMB131066:IMB131131 IVX131066:IVX131131 JFT131066:JFT131131 JPP131066:JPP131131 JZL131066:JZL131131 KJH131066:KJH131131 KTD131066:KTD131131 LCZ131066:LCZ131131 LMV131066:LMV131131 LWR131066:LWR131131 MGN131066:MGN131131 MQJ131066:MQJ131131 NAF131066:NAF131131 NKB131066:NKB131131 NTX131066:NTX131131 ODT131066:ODT131131 ONP131066:ONP131131 OXL131066:OXL131131 PHH131066:PHH131131 PRD131066:PRD131131 QAZ131066:QAZ131131 QKV131066:QKV131131 QUR131066:QUR131131 REN131066:REN131131 ROJ131066:ROJ131131 RYF131066:RYF131131 SIB131066:SIB131131 SRX131066:SRX131131 TBT131066:TBT131131 TLP131066:TLP131131 TVL131066:TVL131131 UFH131066:UFH131131 UPD131066:UPD131131 UYZ131066:UYZ131131 VIV131066:VIV131131 VSR131066:VSR131131 WCN131066:WCN131131 WMJ131066:WMJ131131 WWF131066:WWF131131 X196602:X196667 JT196602:JT196667 TP196602:TP196667 ADL196602:ADL196667 ANH196602:ANH196667 AXD196602:AXD196667 BGZ196602:BGZ196667 BQV196602:BQV196667 CAR196602:CAR196667 CKN196602:CKN196667 CUJ196602:CUJ196667 DEF196602:DEF196667 DOB196602:DOB196667 DXX196602:DXX196667 EHT196602:EHT196667 ERP196602:ERP196667 FBL196602:FBL196667 FLH196602:FLH196667 FVD196602:FVD196667 GEZ196602:GEZ196667 GOV196602:GOV196667 GYR196602:GYR196667 HIN196602:HIN196667 HSJ196602:HSJ196667 ICF196602:ICF196667 IMB196602:IMB196667 IVX196602:IVX196667 JFT196602:JFT196667 JPP196602:JPP196667 JZL196602:JZL196667 KJH196602:KJH196667 KTD196602:KTD196667 LCZ196602:LCZ196667 LMV196602:LMV196667 LWR196602:LWR196667 MGN196602:MGN196667 MQJ196602:MQJ196667 NAF196602:NAF196667 NKB196602:NKB196667 NTX196602:NTX196667 ODT196602:ODT196667 ONP196602:ONP196667 OXL196602:OXL196667 PHH196602:PHH196667 PRD196602:PRD196667 QAZ196602:QAZ196667 QKV196602:QKV196667 QUR196602:QUR196667 REN196602:REN196667 ROJ196602:ROJ196667 RYF196602:RYF196667 SIB196602:SIB196667 SRX196602:SRX196667 TBT196602:TBT196667 TLP196602:TLP196667 TVL196602:TVL196667 UFH196602:UFH196667 UPD196602:UPD196667 UYZ196602:UYZ196667 VIV196602:VIV196667 VSR196602:VSR196667 WCN196602:WCN196667 WMJ196602:WMJ196667 WWF196602:WWF196667 X262138:X262203 JT262138:JT262203 TP262138:TP262203 ADL262138:ADL262203 ANH262138:ANH262203 AXD262138:AXD262203 BGZ262138:BGZ262203 BQV262138:BQV262203 CAR262138:CAR262203 CKN262138:CKN262203 CUJ262138:CUJ262203 DEF262138:DEF262203 DOB262138:DOB262203 DXX262138:DXX262203 EHT262138:EHT262203 ERP262138:ERP262203 FBL262138:FBL262203 FLH262138:FLH262203 FVD262138:FVD262203 GEZ262138:GEZ262203 GOV262138:GOV262203 GYR262138:GYR262203 HIN262138:HIN262203 HSJ262138:HSJ262203 ICF262138:ICF262203 IMB262138:IMB262203 IVX262138:IVX262203 JFT262138:JFT262203 JPP262138:JPP262203 JZL262138:JZL262203 KJH262138:KJH262203 KTD262138:KTD262203 LCZ262138:LCZ262203 LMV262138:LMV262203 LWR262138:LWR262203 MGN262138:MGN262203 MQJ262138:MQJ262203 NAF262138:NAF262203 NKB262138:NKB262203 NTX262138:NTX262203 ODT262138:ODT262203 ONP262138:ONP262203 OXL262138:OXL262203 PHH262138:PHH262203 PRD262138:PRD262203 QAZ262138:QAZ262203 QKV262138:QKV262203 QUR262138:QUR262203 REN262138:REN262203 ROJ262138:ROJ262203 RYF262138:RYF262203 SIB262138:SIB262203 SRX262138:SRX262203 TBT262138:TBT262203 TLP262138:TLP262203 TVL262138:TVL262203 UFH262138:UFH262203 UPD262138:UPD262203 UYZ262138:UYZ262203 VIV262138:VIV262203 VSR262138:VSR262203 WCN262138:WCN262203 WMJ262138:WMJ262203 WWF262138:WWF262203 X327674:X327739 JT327674:JT327739 TP327674:TP327739 ADL327674:ADL327739 ANH327674:ANH327739 AXD327674:AXD327739 BGZ327674:BGZ327739 BQV327674:BQV327739 CAR327674:CAR327739 CKN327674:CKN327739 CUJ327674:CUJ327739 DEF327674:DEF327739 DOB327674:DOB327739 DXX327674:DXX327739 EHT327674:EHT327739 ERP327674:ERP327739 FBL327674:FBL327739 FLH327674:FLH327739 FVD327674:FVD327739 GEZ327674:GEZ327739 GOV327674:GOV327739 GYR327674:GYR327739 HIN327674:HIN327739 HSJ327674:HSJ327739 ICF327674:ICF327739 IMB327674:IMB327739 IVX327674:IVX327739 JFT327674:JFT327739 JPP327674:JPP327739 JZL327674:JZL327739 KJH327674:KJH327739 KTD327674:KTD327739 LCZ327674:LCZ327739 LMV327674:LMV327739 LWR327674:LWR327739 MGN327674:MGN327739 MQJ327674:MQJ327739 NAF327674:NAF327739 NKB327674:NKB327739 NTX327674:NTX327739 ODT327674:ODT327739 ONP327674:ONP327739 OXL327674:OXL327739 PHH327674:PHH327739 PRD327674:PRD327739 QAZ327674:QAZ327739 QKV327674:QKV327739 QUR327674:QUR327739 REN327674:REN327739 ROJ327674:ROJ327739 RYF327674:RYF327739 SIB327674:SIB327739 SRX327674:SRX327739 TBT327674:TBT327739 TLP327674:TLP327739 TVL327674:TVL327739 UFH327674:UFH327739 UPD327674:UPD327739 UYZ327674:UYZ327739 VIV327674:VIV327739 VSR327674:VSR327739 WCN327674:WCN327739 WMJ327674:WMJ327739 WWF327674:WWF327739 X393210:X393275 JT393210:JT393275 TP393210:TP393275 ADL393210:ADL393275 ANH393210:ANH393275 AXD393210:AXD393275 BGZ393210:BGZ393275 BQV393210:BQV393275 CAR393210:CAR393275 CKN393210:CKN393275 CUJ393210:CUJ393275 DEF393210:DEF393275 DOB393210:DOB393275 DXX393210:DXX393275 EHT393210:EHT393275 ERP393210:ERP393275 FBL393210:FBL393275 FLH393210:FLH393275 FVD393210:FVD393275 GEZ393210:GEZ393275 GOV393210:GOV393275 GYR393210:GYR393275 HIN393210:HIN393275 HSJ393210:HSJ393275 ICF393210:ICF393275 IMB393210:IMB393275 IVX393210:IVX393275 JFT393210:JFT393275 JPP393210:JPP393275 JZL393210:JZL393275 KJH393210:KJH393275 KTD393210:KTD393275 LCZ393210:LCZ393275 LMV393210:LMV393275 LWR393210:LWR393275 MGN393210:MGN393275 MQJ393210:MQJ393275 NAF393210:NAF393275 NKB393210:NKB393275 NTX393210:NTX393275 ODT393210:ODT393275 ONP393210:ONP393275 OXL393210:OXL393275 PHH393210:PHH393275 PRD393210:PRD393275 QAZ393210:QAZ393275 QKV393210:QKV393275 QUR393210:QUR393275 REN393210:REN393275 ROJ393210:ROJ393275 RYF393210:RYF393275 SIB393210:SIB393275 SRX393210:SRX393275 TBT393210:TBT393275 TLP393210:TLP393275 TVL393210:TVL393275 UFH393210:UFH393275 UPD393210:UPD393275 UYZ393210:UYZ393275 VIV393210:VIV393275 VSR393210:VSR393275 WCN393210:WCN393275 WMJ393210:WMJ393275 WWF393210:WWF393275 X458746:X458811 JT458746:JT458811 TP458746:TP458811 ADL458746:ADL458811 ANH458746:ANH458811 AXD458746:AXD458811 BGZ458746:BGZ458811 BQV458746:BQV458811 CAR458746:CAR458811 CKN458746:CKN458811 CUJ458746:CUJ458811 DEF458746:DEF458811 DOB458746:DOB458811 DXX458746:DXX458811 EHT458746:EHT458811 ERP458746:ERP458811 FBL458746:FBL458811 FLH458746:FLH458811 FVD458746:FVD458811 GEZ458746:GEZ458811 GOV458746:GOV458811 GYR458746:GYR458811 HIN458746:HIN458811 HSJ458746:HSJ458811 ICF458746:ICF458811 IMB458746:IMB458811 IVX458746:IVX458811 JFT458746:JFT458811 JPP458746:JPP458811 JZL458746:JZL458811 KJH458746:KJH458811 KTD458746:KTD458811 LCZ458746:LCZ458811 LMV458746:LMV458811 LWR458746:LWR458811 MGN458746:MGN458811 MQJ458746:MQJ458811 NAF458746:NAF458811 NKB458746:NKB458811 NTX458746:NTX458811 ODT458746:ODT458811 ONP458746:ONP458811 OXL458746:OXL458811 PHH458746:PHH458811 PRD458746:PRD458811 QAZ458746:QAZ458811 QKV458746:QKV458811 QUR458746:QUR458811 REN458746:REN458811 ROJ458746:ROJ458811 RYF458746:RYF458811 SIB458746:SIB458811 SRX458746:SRX458811 TBT458746:TBT458811 TLP458746:TLP458811 TVL458746:TVL458811 UFH458746:UFH458811 UPD458746:UPD458811 UYZ458746:UYZ458811 VIV458746:VIV458811 VSR458746:VSR458811 WCN458746:WCN458811 WMJ458746:WMJ458811 WWF458746:WWF458811 X524282:X524347 JT524282:JT524347 TP524282:TP524347 ADL524282:ADL524347 ANH524282:ANH524347 AXD524282:AXD524347 BGZ524282:BGZ524347 BQV524282:BQV524347 CAR524282:CAR524347 CKN524282:CKN524347 CUJ524282:CUJ524347 DEF524282:DEF524347 DOB524282:DOB524347 DXX524282:DXX524347 EHT524282:EHT524347 ERP524282:ERP524347 FBL524282:FBL524347 FLH524282:FLH524347 FVD524282:FVD524347 GEZ524282:GEZ524347 GOV524282:GOV524347 GYR524282:GYR524347 HIN524282:HIN524347 HSJ524282:HSJ524347 ICF524282:ICF524347 IMB524282:IMB524347 IVX524282:IVX524347 JFT524282:JFT524347 JPP524282:JPP524347 JZL524282:JZL524347 KJH524282:KJH524347 KTD524282:KTD524347 LCZ524282:LCZ524347 LMV524282:LMV524347 LWR524282:LWR524347 MGN524282:MGN524347 MQJ524282:MQJ524347 NAF524282:NAF524347 NKB524282:NKB524347 NTX524282:NTX524347 ODT524282:ODT524347 ONP524282:ONP524347 OXL524282:OXL524347 PHH524282:PHH524347 PRD524282:PRD524347 QAZ524282:QAZ524347 QKV524282:QKV524347 QUR524282:QUR524347 REN524282:REN524347 ROJ524282:ROJ524347 RYF524282:RYF524347 SIB524282:SIB524347 SRX524282:SRX524347 TBT524282:TBT524347 TLP524282:TLP524347 TVL524282:TVL524347 UFH524282:UFH524347 UPD524282:UPD524347 UYZ524282:UYZ524347 VIV524282:VIV524347 VSR524282:VSR524347 WCN524282:WCN524347 WMJ524282:WMJ524347 WWF524282:WWF524347 X589818:X589883 JT589818:JT589883 TP589818:TP589883 ADL589818:ADL589883 ANH589818:ANH589883 AXD589818:AXD589883 BGZ589818:BGZ589883 BQV589818:BQV589883 CAR589818:CAR589883 CKN589818:CKN589883 CUJ589818:CUJ589883 DEF589818:DEF589883 DOB589818:DOB589883 DXX589818:DXX589883 EHT589818:EHT589883 ERP589818:ERP589883 FBL589818:FBL589883 FLH589818:FLH589883 FVD589818:FVD589883 GEZ589818:GEZ589883 GOV589818:GOV589883 GYR589818:GYR589883 HIN589818:HIN589883 HSJ589818:HSJ589883 ICF589818:ICF589883 IMB589818:IMB589883 IVX589818:IVX589883 JFT589818:JFT589883 JPP589818:JPP589883 JZL589818:JZL589883 KJH589818:KJH589883 KTD589818:KTD589883 LCZ589818:LCZ589883 LMV589818:LMV589883 LWR589818:LWR589883 MGN589818:MGN589883 MQJ589818:MQJ589883 NAF589818:NAF589883 NKB589818:NKB589883 NTX589818:NTX589883 ODT589818:ODT589883 ONP589818:ONP589883 OXL589818:OXL589883 PHH589818:PHH589883 PRD589818:PRD589883 QAZ589818:QAZ589883 QKV589818:QKV589883 QUR589818:QUR589883 REN589818:REN589883 ROJ589818:ROJ589883 RYF589818:RYF589883 SIB589818:SIB589883 SRX589818:SRX589883 TBT589818:TBT589883 TLP589818:TLP589883 TVL589818:TVL589883 UFH589818:UFH589883 UPD589818:UPD589883 UYZ589818:UYZ589883 VIV589818:VIV589883 VSR589818:VSR589883 WCN589818:WCN589883 WMJ589818:WMJ589883 WWF589818:WWF589883 X655354:X655419 JT655354:JT655419 TP655354:TP655419 ADL655354:ADL655419 ANH655354:ANH655419 AXD655354:AXD655419 BGZ655354:BGZ655419 BQV655354:BQV655419 CAR655354:CAR655419 CKN655354:CKN655419 CUJ655354:CUJ655419 DEF655354:DEF655419 DOB655354:DOB655419 DXX655354:DXX655419 EHT655354:EHT655419 ERP655354:ERP655419 FBL655354:FBL655419 FLH655354:FLH655419 FVD655354:FVD655419 GEZ655354:GEZ655419 GOV655354:GOV655419 GYR655354:GYR655419 HIN655354:HIN655419 HSJ655354:HSJ655419 ICF655354:ICF655419 IMB655354:IMB655419 IVX655354:IVX655419 JFT655354:JFT655419 JPP655354:JPP655419 JZL655354:JZL655419 KJH655354:KJH655419 KTD655354:KTD655419 LCZ655354:LCZ655419 LMV655354:LMV655419 LWR655354:LWR655419 MGN655354:MGN655419 MQJ655354:MQJ655419 NAF655354:NAF655419 NKB655354:NKB655419 NTX655354:NTX655419 ODT655354:ODT655419 ONP655354:ONP655419 OXL655354:OXL655419 PHH655354:PHH655419 PRD655354:PRD655419 QAZ655354:QAZ655419 QKV655354:QKV655419 QUR655354:QUR655419 REN655354:REN655419 ROJ655354:ROJ655419 RYF655354:RYF655419 SIB655354:SIB655419 SRX655354:SRX655419 TBT655354:TBT655419 TLP655354:TLP655419 TVL655354:TVL655419 UFH655354:UFH655419 UPD655354:UPD655419 UYZ655354:UYZ655419 VIV655354:VIV655419 VSR655354:VSR655419 WCN655354:WCN655419 WMJ655354:WMJ655419 WWF655354:WWF655419 X720890:X720955 JT720890:JT720955 TP720890:TP720955 ADL720890:ADL720955 ANH720890:ANH720955 AXD720890:AXD720955 BGZ720890:BGZ720955 BQV720890:BQV720955 CAR720890:CAR720955 CKN720890:CKN720955 CUJ720890:CUJ720955 DEF720890:DEF720955 DOB720890:DOB720955 DXX720890:DXX720955 EHT720890:EHT720955 ERP720890:ERP720955 FBL720890:FBL720955 FLH720890:FLH720955 FVD720890:FVD720955 GEZ720890:GEZ720955 GOV720890:GOV720955 GYR720890:GYR720955 HIN720890:HIN720955 HSJ720890:HSJ720955 ICF720890:ICF720955 IMB720890:IMB720955 IVX720890:IVX720955 JFT720890:JFT720955 JPP720890:JPP720955 JZL720890:JZL720955 KJH720890:KJH720955 KTD720890:KTD720955 LCZ720890:LCZ720955 LMV720890:LMV720955 LWR720890:LWR720955 MGN720890:MGN720955 MQJ720890:MQJ720955 NAF720890:NAF720955 NKB720890:NKB720955 NTX720890:NTX720955 ODT720890:ODT720955 ONP720890:ONP720955 OXL720890:OXL720955 PHH720890:PHH720955 PRD720890:PRD720955 QAZ720890:QAZ720955 QKV720890:QKV720955 QUR720890:QUR720955 REN720890:REN720955 ROJ720890:ROJ720955 RYF720890:RYF720955 SIB720890:SIB720955 SRX720890:SRX720955 TBT720890:TBT720955 TLP720890:TLP720955 TVL720890:TVL720955 UFH720890:UFH720955 UPD720890:UPD720955 UYZ720890:UYZ720955 VIV720890:VIV720955 VSR720890:VSR720955 WCN720890:WCN720955 WMJ720890:WMJ720955 WWF720890:WWF720955 X786426:X786491 JT786426:JT786491 TP786426:TP786491 ADL786426:ADL786491 ANH786426:ANH786491 AXD786426:AXD786491 BGZ786426:BGZ786491 BQV786426:BQV786491 CAR786426:CAR786491 CKN786426:CKN786491 CUJ786426:CUJ786491 DEF786426:DEF786491 DOB786426:DOB786491 DXX786426:DXX786491 EHT786426:EHT786491 ERP786426:ERP786491 FBL786426:FBL786491 FLH786426:FLH786491 FVD786426:FVD786491 GEZ786426:GEZ786491 GOV786426:GOV786491 GYR786426:GYR786491 HIN786426:HIN786491 HSJ786426:HSJ786491 ICF786426:ICF786491 IMB786426:IMB786491 IVX786426:IVX786491 JFT786426:JFT786491 JPP786426:JPP786491 JZL786426:JZL786491 KJH786426:KJH786491 KTD786426:KTD786491 LCZ786426:LCZ786491 LMV786426:LMV786491 LWR786426:LWR786491 MGN786426:MGN786491 MQJ786426:MQJ786491 NAF786426:NAF786491 NKB786426:NKB786491 NTX786426:NTX786491 ODT786426:ODT786491 ONP786426:ONP786491 OXL786426:OXL786491 PHH786426:PHH786491 PRD786426:PRD786491 QAZ786426:QAZ786491 QKV786426:QKV786491 QUR786426:QUR786491 REN786426:REN786491 ROJ786426:ROJ786491 RYF786426:RYF786491 SIB786426:SIB786491 SRX786426:SRX786491 TBT786426:TBT786491 TLP786426:TLP786491 TVL786426:TVL786491 UFH786426:UFH786491 UPD786426:UPD786491 UYZ786426:UYZ786491 VIV786426:VIV786491 VSR786426:VSR786491 WCN786426:WCN786491 WMJ786426:WMJ786491 WWF786426:WWF786491 X851962:X852027 JT851962:JT852027 TP851962:TP852027 ADL851962:ADL852027 ANH851962:ANH852027 AXD851962:AXD852027 BGZ851962:BGZ852027 BQV851962:BQV852027 CAR851962:CAR852027 CKN851962:CKN852027 CUJ851962:CUJ852027 DEF851962:DEF852027 DOB851962:DOB852027 DXX851962:DXX852027 EHT851962:EHT852027 ERP851962:ERP852027 FBL851962:FBL852027 FLH851962:FLH852027 FVD851962:FVD852027 GEZ851962:GEZ852027 GOV851962:GOV852027 GYR851962:GYR852027 HIN851962:HIN852027 HSJ851962:HSJ852027 ICF851962:ICF852027 IMB851962:IMB852027 IVX851962:IVX852027 JFT851962:JFT852027 JPP851962:JPP852027 JZL851962:JZL852027 KJH851962:KJH852027 KTD851962:KTD852027 LCZ851962:LCZ852027 LMV851962:LMV852027 LWR851962:LWR852027 MGN851962:MGN852027 MQJ851962:MQJ852027 NAF851962:NAF852027 NKB851962:NKB852027 NTX851962:NTX852027 ODT851962:ODT852027 ONP851962:ONP852027 OXL851962:OXL852027 PHH851962:PHH852027 PRD851962:PRD852027 QAZ851962:QAZ852027 QKV851962:QKV852027 QUR851962:QUR852027 REN851962:REN852027 ROJ851962:ROJ852027 RYF851962:RYF852027 SIB851962:SIB852027 SRX851962:SRX852027 TBT851962:TBT852027 TLP851962:TLP852027 TVL851962:TVL852027 UFH851962:UFH852027 UPD851962:UPD852027 UYZ851962:UYZ852027 VIV851962:VIV852027 VSR851962:VSR852027 WCN851962:WCN852027 WMJ851962:WMJ852027 WWF851962:WWF852027 X917498:X917563 JT917498:JT917563 TP917498:TP917563 ADL917498:ADL917563 ANH917498:ANH917563 AXD917498:AXD917563 BGZ917498:BGZ917563 BQV917498:BQV917563 CAR917498:CAR917563 CKN917498:CKN917563 CUJ917498:CUJ917563 DEF917498:DEF917563 DOB917498:DOB917563 DXX917498:DXX917563 EHT917498:EHT917563 ERP917498:ERP917563 FBL917498:FBL917563 FLH917498:FLH917563 FVD917498:FVD917563 GEZ917498:GEZ917563 GOV917498:GOV917563 GYR917498:GYR917563 HIN917498:HIN917563 HSJ917498:HSJ917563 ICF917498:ICF917563 IMB917498:IMB917563 IVX917498:IVX917563 JFT917498:JFT917563 JPP917498:JPP917563 JZL917498:JZL917563 KJH917498:KJH917563 KTD917498:KTD917563 LCZ917498:LCZ917563 LMV917498:LMV917563 LWR917498:LWR917563 MGN917498:MGN917563 MQJ917498:MQJ917563 NAF917498:NAF917563 NKB917498:NKB917563 NTX917498:NTX917563 ODT917498:ODT917563 ONP917498:ONP917563 OXL917498:OXL917563 PHH917498:PHH917563 PRD917498:PRD917563 QAZ917498:QAZ917563 QKV917498:QKV917563 QUR917498:QUR917563 REN917498:REN917563 ROJ917498:ROJ917563 RYF917498:RYF917563 SIB917498:SIB917563 SRX917498:SRX917563 TBT917498:TBT917563 TLP917498:TLP917563 TVL917498:TVL917563 UFH917498:UFH917563 UPD917498:UPD917563 UYZ917498:UYZ917563 VIV917498:VIV917563 VSR917498:VSR917563 WCN917498:WCN917563 WMJ917498:WMJ917563 WWF917498:WWF917563 X983034:X983099 JT983034:JT983099 TP983034:TP983099 ADL983034:ADL983099 ANH983034:ANH983099 AXD983034:AXD983099 BGZ983034:BGZ983099 BQV983034:BQV983099 CAR983034:CAR983099 CKN983034:CKN983099 CUJ983034:CUJ983099 DEF983034:DEF983099 DOB983034:DOB983099 DXX983034:DXX983099 EHT983034:EHT983099 ERP983034:ERP983099 FBL983034:FBL983099 FLH983034:FLH983099 FVD983034:FVD983099 GEZ983034:GEZ983099 GOV983034:GOV983099 GYR983034:GYR983099 HIN983034:HIN983099 HSJ983034:HSJ983099 ICF983034:ICF983099 IMB983034:IMB983099 IVX983034:IVX983099 JFT983034:JFT983099 JPP983034:JPP983099 JZL983034:JZL983099 KJH983034:KJH983099 KTD983034:KTD983099 LCZ983034:LCZ983099 LMV983034:LMV983099 LWR983034:LWR983099 MGN983034:MGN983099 MQJ983034:MQJ983099 NAF983034:NAF983099 NKB983034:NKB983099 NTX983034:NTX983099 ODT983034:ODT983099 ONP983034:ONP983099 OXL983034:OXL983099 PHH983034:PHH983099 PRD983034:PRD983099 QAZ983034:QAZ983099 QKV983034:QKV983099 QUR983034:QUR983099 REN983034:REN983099 ROJ983034:ROJ983099 RYF983034:RYF983099 SIB983034:SIB983099 SRX983034:SRX983099 TBT983034:TBT983099 TLP983034:TLP983099 TVL983034:TVL983099 UFH983034:UFH983099 UPD983034:UPD983099 UYZ983034:UYZ983099 VIV983034:VIV983099 VSR983034:VSR983099 WCN983034:WCN983099 WMJ983034:WMJ983099 WWF2:WWF61 WMJ2:WMJ61 WCN2:WCN61 VSR2:VSR61 VIV2:VIV61 UYZ2:UYZ61 UPD2:UPD61 UFH2:UFH61 TVL2:TVL61 TLP2:TLP61 TBT2:TBT61 SRX2:SRX61 SIB2:SIB61 RYF2:RYF61 ROJ2:ROJ61 REN2:REN61 QUR2:QUR61 QKV2:QKV61 QAZ2:QAZ61 PRD2:PRD61 PHH2:PHH61 OXL2:OXL61 ONP2:ONP61 ODT2:ODT61 NTX2:NTX61 NKB2:NKB61 NAF2:NAF61 MQJ2:MQJ61 MGN2:MGN61 LWR2:LWR61 LMV2:LMV61 LCZ2:LCZ61 KTD2:KTD61 KJH2:KJH61 JZL2:JZL61 JPP2:JPP61 JFT2:JFT61 IVX2:IVX61 IMB2:IMB61 ICF2:ICF61 HSJ2:HSJ61 HIN2:HIN61 GYR2:GYR61 GOV2:GOV61 GEZ2:GEZ61 FVD2:FVD61 FLH2:FLH61 FBL2:FBL61 ERP2:ERP61 EHT2:EHT61 DXX2:DXX61 DOB2:DOB61 DEF2:DEF61 CUJ2:CUJ61 CKN2:CKN61 CAR2:CAR61 BQV2:BQV61 BGZ2:BGZ61 AXD2:AXD61 ANH2:ANH61 ADL2:ADL61 TP2:TP61 JT2:JT61 X2:X492" xr:uid="{FDB13E3B-CFCA-4350-B9F5-1ADF7287F58A}">
      <formula1>$AT$2:$AT$3</formula1>
    </dataValidation>
    <dataValidation type="list" allowBlank="1" showInputMessage="1" showErrorMessage="1" sqref="G64355:G64422 JC64355:JC64422 SY64355:SY64422 ACU64355:ACU64422 AMQ64355:AMQ64422 AWM64355:AWM64422 BGI64355:BGI64422 BQE64355:BQE64422 CAA64355:CAA64422 CJW64355:CJW64422 CTS64355:CTS64422 DDO64355:DDO64422 DNK64355:DNK64422 DXG64355:DXG64422 EHC64355:EHC64422 EQY64355:EQY64422 FAU64355:FAU64422 FKQ64355:FKQ64422 FUM64355:FUM64422 GEI64355:GEI64422 GOE64355:GOE64422 GYA64355:GYA64422 HHW64355:HHW64422 HRS64355:HRS64422 IBO64355:IBO64422 ILK64355:ILK64422 IVG64355:IVG64422 JFC64355:JFC64422 JOY64355:JOY64422 JYU64355:JYU64422 KIQ64355:KIQ64422 KSM64355:KSM64422 LCI64355:LCI64422 LME64355:LME64422 LWA64355:LWA64422 MFW64355:MFW64422 MPS64355:MPS64422 MZO64355:MZO64422 NJK64355:NJK64422 NTG64355:NTG64422 ODC64355:ODC64422 OMY64355:OMY64422 OWU64355:OWU64422 PGQ64355:PGQ64422 PQM64355:PQM64422 QAI64355:QAI64422 QKE64355:QKE64422 QUA64355:QUA64422 RDW64355:RDW64422 RNS64355:RNS64422 RXO64355:RXO64422 SHK64355:SHK64422 SRG64355:SRG64422 TBC64355:TBC64422 TKY64355:TKY64422 TUU64355:TUU64422 UEQ64355:UEQ64422 UOM64355:UOM64422 UYI64355:UYI64422 VIE64355:VIE64422 VSA64355:VSA64422 WBW64355:WBW64422 WLS64355:WLS64422 WVO64355:WVO64422 G129891:G129958 JC129891:JC129958 SY129891:SY129958 ACU129891:ACU129958 AMQ129891:AMQ129958 AWM129891:AWM129958 BGI129891:BGI129958 BQE129891:BQE129958 CAA129891:CAA129958 CJW129891:CJW129958 CTS129891:CTS129958 DDO129891:DDO129958 DNK129891:DNK129958 DXG129891:DXG129958 EHC129891:EHC129958 EQY129891:EQY129958 FAU129891:FAU129958 FKQ129891:FKQ129958 FUM129891:FUM129958 GEI129891:GEI129958 GOE129891:GOE129958 GYA129891:GYA129958 HHW129891:HHW129958 HRS129891:HRS129958 IBO129891:IBO129958 ILK129891:ILK129958 IVG129891:IVG129958 JFC129891:JFC129958 JOY129891:JOY129958 JYU129891:JYU129958 KIQ129891:KIQ129958 KSM129891:KSM129958 LCI129891:LCI129958 LME129891:LME129958 LWA129891:LWA129958 MFW129891:MFW129958 MPS129891:MPS129958 MZO129891:MZO129958 NJK129891:NJK129958 NTG129891:NTG129958 ODC129891:ODC129958 OMY129891:OMY129958 OWU129891:OWU129958 PGQ129891:PGQ129958 PQM129891:PQM129958 QAI129891:QAI129958 QKE129891:QKE129958 QUA129891:QUA129958 RDW129891:RDW129958 RNS129891:RNS129958 RXO129891:RXO129958 SHK129891:SHK129958 SRG129891:SRG129958 TBC129891:TBC129958 TKY129891:TKY129958 TUU129891:TUU129958 UEQ129891:UEQ129958 UOM129891:UOM129958 UYI129891:UYI129958 VIE129891:VIE129958 VSA129891:VSA129958 WBW129891:WBW129958 WLS129891:WLS129958 WVO129891:WVO129958 G195427:G195494 JC195427:JC195494 SY195427:SY195494 ACU195427:ACU195494 AMQ195427:AMQ195494 AWM195427:AWM195494 BGI195427:BGI195494 BQE195427:BQE195494 CAA195427:CAA195494 CJW195427:CJW195494 CTS195427:CTS195494 DDO195427:DDO195494 DNK195427:DNK195494 DXG195427:DXG195494 EHC195427:EHC195494 EQY195427:EQY195494 FAU195427:FAU195494 FKQ195427:FKQ195494 FUM195427:FUM195494 GEI195427:GEI195494 GOE195427:GOE195494 GYA195427:GYA195494 HHW195427:HHW195494 HRS195427:HRS195494 IBO195427:IBO195494 ILK195427:ILK195494 IVG195427:IVG195494 JFC195427:JFC195494 JOY195427:JOY195494 JYU195427:JYU195494 KIQ195427:KIQ195494 KSM195427:KSM195494 LCI195427:LCI195494 LME195427:LME195494 LWA195427:LWA195494 MFW195427:MFW195494 MPS195427:MPS195494 MZO195427:MZO195494 NJK195427:NJK195494 NTG195427:NTG195494 ODC195427:ODC195494 OMY195427:OMY195494 OWU195427:OWU195494 PGQ195427:PGQ195494 PQM195427:PQM195494 QAI195427:QAI195494 QKE195427:QKE195494 QUA195427:QUA195494 RDW195427:RDW195494 RNS195427:RNS195494 RXO195427:RXO195494 SHK195427:SHK195494 SRG195427:SRG195494 TBC195427:TBC195494 TKY195427:TKY195494 TUU195427:TUU195494 UEQ195427:UEQ195494 UOM195427:UOM195494 UYI195427:UYI195494 VIE195427:VIE195494 VSA195427:VSA195494 WBW195427:WBW195494 WLS195427:WLS195494 WVO195427:WVO195494 G260963:G261030 JC260963:JC261030 SY260963:SY261030 ACU260963:ACU261030 AMQ260963:AMQ261030 AWM260963:AWM261030 BGI260963:BGI261030 BQE260963:BQE261030 CAA260963:CAA261030 CJW260963:CJW261030 CTS260963:CTS261030 DDO260963:DDO261030 DNK260963:DNK261030 DXG260963:DXG261030 EHC260963:EHC261030 EQY260963:EQY261030 FAU260963:FAU261030 FKQ260963:FKQ261030 FUM260963:FUM261030 GEI260963:GEI261030 GOE260963:GOE261030 GYA260963:GYA261030 HHW260963:HHW261030 HRS260963:HRS261030 IBO260963:IBO261030 ILK260963:ILK261030 IVG260963:IVG261030 JFC260963:JFC261030 JOY260963:JOY261030 JYU260963:JYU261030 KIQ260963:KIQ261030 KSM260963:KSM261030 LCI260963:LCI261030 LME260963:LME261030 LWA260963:LWA261030 MFW260963:MFW261030 MPS260963:MPS261030 MZO260963:MZO261030 NJK260963:NJK261030 NTG260963:NTG261030 ODC260963:ODC261030 OMY260963:OMY261030 OWU260963:OWU261030 PGQ260963:PGQ261030 PQM260963:PQM261030 QAI260963:QAI261030 QKE260963:QKE261030 QUA260963:QUA261030 RDW260963:RDW261030 RNS260963:RNS261030 RXO260963:RXO261030 SHK260963:SHK261030 SRG260963:SRG261030 TBC260963:TBC261030 TKY260963:TKY261030 TUU260963:TUU261030 UEQ260963:UEQ261030 UOM260963:UOM261030 UYI260963:UYI261030 VIE260963:VIE261030 VSA260963:VSA261030 WBW260963:WBW261030 WLS260963:WLS261030 WVO260963:WVO261030 G326499:G326566 JC326499:JC326566 SY326499:SY326566 ACU326499:ACU326566 AMQ326499:AMQ326566 AWM326499:AWM326566 BGI326499:BGI326566 BQE326499:BQE326566 CAA326499:CAA326566 CJW326499:CJW326566 CTS326499:CTS326566 DDO326499:DDO326566 DNK326499:DNK326566 DXG326499:DXG326566 EHC326499:EHC326566 EQY326499:EQY326566 FAU326499:FAU326566 FKQ326499:FKQ326566 FUM326499:FUM326566 GEI326499:GEI326566 GOE326499:GOE326566 GYA326499:GYA326566 HHW326499:HHW326566 HRS326499:HRS326566 IBO326499:IBO326566 ILK326499:ILK326566 IVG326499:IVG326566 JFC326499:JFC326566 JOY326499:JOY326566 JYU326499:JYU326566 KIQ326499:KIQ326566 KSM326499:KSM326566 LCI326499:LCI326566 LME326499:LME326566 LWA326499:LWA326566 MFW326499:MFW326566 MPS326499:MPS326566 MZO326499:MZO326566 NJK326499:NJK326566 NTG326499:NTG326566 ODC326499:ODC326566 OMY326499:OMY326566 OWU326499:OWU326566 PGQ326499:PGQ326566 PQM326499:PQM326566 QAI326499:QAI326566 QKE326499:QKE326566 QUA326499:QUA326566 RDW326499:RDW326566 RNS326499:RNS326566 RXO326499:RXO326566 SHK326499:SHK326566 SRG326499:SRG326566 TBC326499:TBC326566 TKY326499:TKY326566 TUU326499:TUU326566 UEQ326499:UEQ326566 UOM326499:UOM326566 UYI326499:UYI326566 VIE326499:VIE326566 VSA326499:VSA326566 WBW326499:WBW326566 WLS326499:WLS326566 WVO326499:WVO326566 G392035:G392102 JC392035:JC392102 SY392035:SY392102 ACU392035:ACU392102 AMQ392035:AMQ392102 AWM392035:AWM392102 BGI392035:BGI392102 BQE392035:BQE392102 CAA392035:CAA392102 CJW392035:CJW392102 CTS392035:CTS392102 DDO392035:DDO392102 DNK392035:DNK392102 DXG392035:DXG392102 EHC392035:EHC392102 EQY392035:EQY392102 FAU392035:FAU392102 FKQ392035:FKQ392102 FUM392035:FUM392102 GEI392035:GEI392102 GOE392035:GOE392102 GYA392035:GYA392102 HHW392035:HHW392102 HRS392035:HRS392102 IBO392035:IBO392102 ILK392035:ILK392102 IVG392035:IVG392102 JFC392035:JFC392102 JOY392035:JOY392102 JYU392035:JYU392102 KIQ392035:KIQ392102 KSM392035:KSM392102 LCI392035:LCI392102 LME392035:LME392102 LWA392035:LWA392102 MFW392035:MFW392102 MPS392035:MPS392102 MZO392035:MZO392102 NJK392035:NJK392102 NTG392035:NTG392102 ODC392035:ODC392102 OMY392035:OMY392102 OWU392035:OWU392102 PGQ392035:PGQ392102 PQM392035:PQM392102 QAI392035:QAI392102 QKE392035:QKE392102 QUA392035:QUA392102 RDW392035:RDW392102 RNS392035:RNS392102 RXO392035:RXO392102 SHK392035:SHK392102 SRG392035:SRG392102 TBC392035:TBC392102 TKY392035:TKY392102 TUU392035:TUU392102 UEQ392035:UEQ392102 UOM392035:UOM392102 UYI392035:UYI392102 VIE392035:VIE392102 VSA392035:VSA392102 WBW392035:WBW392102 WLS392035:WLS392102 WVO392035:WVO392102 G457571:G457638 JC457571:JC457638 SY457571:SY457638 ACU457571:ACU457638 AMQ457571:AMQ457638 AWM457571:AWM457638 BGI457571:BGI457638 BQE457571:BQE457638 CAA457571:CAA457638 CJW457571:CJW457638 CTS457571:CTS457638 DDO457571:DDO457638 DNK457571:DNK457638 DXG457571:DXG457638 EHC457571:EHC457638 EQY457571:EQY457638 FAU457571:FAU457638 FKQ457571:FKQ457638 FUM457571:FUM457638 GEI457571:GEI457638 GOE457571:GOE457638 GYA457571:GYA457638 HHW457571:HHW457638 HRS457571:HRS457638 IBO457571:IBO457638 ILK457571:ILK457638 IVG457571:IVG457638 JFC457571:JFC457638 JOY457571:JOY457638 JYU457571:JYU457638 KIQ457571:KIQ457638 KSM457571:KSM457638 LCI457571:LCI457638 LME457571:LME457638 LWA457571:LWA457638 MFW457571:MFW457638 MPS457571:MPS457638 MZO457571:MZO457638 NJK457571:NJK457638 NTG457571:NTG457638 ODC457571:ODC457638 OMY457571:OMY457638 OWU457571:OWU457638 PGQ457571:PGQ457638 PQM457571:PQM457638 QAI457571:QAI457638 QKE457571:QKE457638 QUA457571:QUA457638 RDW457571:RDW457638 RNS457571:RNS457638 RXO457571:RXO457638 SHK457571:SHK457638 SRG457571:SRG457638 TBC457571:TBC457638 TKY457571:TKY457638 TUU457571:TUU457638 UEQ457571:UEQ457638 UOM457571:UOM457638 UYI457571:UYI457638 VIE457571:VIE457638 VSA457571:VSA457638 WBW457571:WBW457638 WLS457571:WLS457638 WVO457571:WVO457638 G523107:G523174 JC523107:JC523174 SY523107:SY523174 ACU523107:ACU523174 AMQ523107:AMQ523174 AWM523107:AWM523174 BGI523107:BGI523174 BQE523107:BQE523174 CAA523107:CAA523174 CJW523107:CJW523174 CTS523107:CTS523174 DDO523107:DDO523174 DNK523107:DNK523174 DXG523107:DXG523174 EHC523107:EHC523174 EQY523107:EQY523174 FAU523107:FAU523174 FKQ523107:FKQ523174 FUM523107:FUM523174 GEI523107:GEI523174 GOE523107:GOE523174 GYA523107:GYA523174 HHW523107:HHW523174 HRS523107:HRS523174 IBO523107:IBO523174 ILK523107:ILK523174 IVG523107:IVG523174 JFC523107:JFC523174 JOY523107:JOY523174 JYU523107:JYU523174 KIQ523107:KIQ523174 KSM523107:KSM523174 LCI523107:LCI523174 LME523107:LME523174 LWA523107:LWA523174 MFW523107:MFW523174 MPS523107:MPS523174 MZO523107:MZO523174 NJK523107:NJK523174 NTG523107:NTG523174 ODC523107:ODC523174 OMY523107:OMY523174 OWU523107:OWU523174 PGQ523107:PGQ523174 PQM523107:PQM523174 QAI523107:QAI523174 QKE523107:QKE523174 QUA523107:QUA523174 RDW523107:RDW523174 RNS523107:RNS523174 RXO523107:RXO523174 SHK523107:SHK523174 SRG523107:SRG523174 TBC523107:TBC523174 TKY523107:TKY523174 TUU523107:TUU523174 UEQ523107:UEQ523174 UOM523107:UOM523174 UYI523107:UYI523174 VIE523107:VIE523174 VSA523107:VSA523174 WBW523107:WBW523174 WLS523107:WLS523174 WVO523107:WVO523174 G588643:G588710 JC588643:JC588710 SY588643:SY588710 ACU588643:ACU588710 AMQ588643:AMQ588710 AWM588643:AWM588710 BGI588643:BGI588710 BQE588643:BQE588710 CAA588643:CAA588710 CJW588643:CJW588710 CTS588643:CTS588710 DDO588643:DDO588710 DNK588643:DNK588710 DXG588643:DXG588710 EHC588643:EHC588710 EQY588643:EQY588710 FAU588643:FAU588710 FKQ588643:FKQ588710 FUM588643:FUM588710 GEI588643:GEI588710 GOE588643:GOE588710 GYA588643:GYA588710 HHW588643:HHW588710 HRS588643:HRS588710 IBO588643:IBO588710 ILK588643:ILK588710 IVG588643:IVG588710 JFC588643:JFC588710 JOY588643:JOY588710 JYU588643:JYU588710 KIQ588643:KIQ588710 KSM588643:KSM588710 LCI588643:LCI588710 LME588643:LME588710 LWA588643:LWA588710 MFW588643:MFW588710 MPS588643:MPS588710 MZO588643:MZO588710 NJK588643:NJK588710 NTG588643:NTG588710 ODC588643:ODC588710 OMY588643:OMY588710 OWU588643:OWU588710 PGQ588643:PGQ588710 PQM588643:PQM588710 QAI588643:QAI588710 QKE588643:QKE588710 QUA588643:QUA588710 RDW588643:RDW588710 RNS588643:RNS588710 RXO588643:RXO588710 SHK588643:SHK588710 SRG588643:SRG588710 TBC588643:TBC588710 TKY588643:TKY588710 TUU588643:TUU588710 UEQ588643:UEQ588710 UOM588643:UOM588710 UYI588643:UYI588710 VIE588643:VIE588710 VSA588643:VSA588710 WBW588643:WBW588710 WLS588643:WLS588710 WVO588643:WVO588710 G654179:G654246 JC654179:JC654246 SY654179:SY654246 ACU654179:ACU654246 AMQ654179:AMQ654246 AWM654179:AWM654246 BGI654179:BGI654246 BQE654179:BQE654246 CAA654179:CAA654246 CJW654179:CJW654246 CTS654179:CTS654246 DDO654179:DDO654246 DNK654179:DNK654246 DXG654179:DXG654246 EHC654179:EHC654246 EQY654179:EQY654246 FAU654179:FAU654246 FKQ654179:FKQ654246 FUM654179:FUM654246 GEI654179:GEI654246 GOE654179:GOE654246 GYA654179:GYA654246 HHW654179:HHW654246 HRS654179:HRS654246 IBO654179:IBO654246 ILK654179:ILK654246 IVG654179:IVG654246 JFC654179:JFC654246 JOY654179:JOY654246 JYU654179:JYU654246 KIQ654179:KIQ654246 KSM654179:KSM654246 LCI654179:LCI654246 LME654179:LME654246 LWA654179:LWA654246 MFW654179:MFW654246 MPS654179:MPS654246 MZO654179:MZO654246 NJK654179:NJK654246 NTG654179:NTG654246 ODC654179:ODC654246 OMY654179:OMY654246 OWU654179:OWU654246 PGQ654179:PGQ654246 PQM654179:PQM654246 QAI654179:QAI654246 QKE654179:QKE654246 QUA654179:QUA654246 RDW654179:RDW654246 RNS654179:RNS654246 RXO654179:RXO654246 SHK654179:SHK654246 SRG654179:SRG654246 TBC654179:TBC654246 TKY654179:TKY654246 TUU654179:TUU654246 UEQ654179:UEQ654246 UOM654179:UOM654246 UYI654179:UYI654246 VIE654179:VIE654246 VSA654179:VSA654246 WBW654179:WBW654246 WLS654179:WLS654246 WVO654179:WVO654246 G719715:G719782 JC719715:JC719782 SY719715:SY719782 ACU719715:ACU719782 AMQ719715:AMQ719782 AWM719715:AWM719782 BGI719715:BGI719782 BQE719715:BQE719782 CAA719715:CAA719782 CJW719715:CJW719782 CTS719715:CTS719782 DDO719715:DDO719782 DNK719715:DNK719782 DXG719715:DXG719782 EHC719715:EHC719782 EQY719715:EQY719782 FAU719715:FAU719782 FKQ719715:FKQ719782 FUM719715:FUM719782 GEI719715:GEI719782 GOE719715:GOE719782 GYA719715:GYA719782 HHW719715:HHW719782 HRS719715:HRS719782 IBO719715:IBO719782 ILK719715:ILK719782 IVG719715:IVG719782 JFC719715:JFC719782 JOY719715:JOY719782 JYU719715:JYU719782 KIQ719715:KIQ719782 KSM719715:KSM719782 LCI719715:LCI719782 LME719715:LME719782 LWA719715:LWA719782 MFW719715:MFW719782 MPS719715:MPS719782 MZO719715:MZO719782 NJK719715:NJK719782 NTG719715:NTG719782 ODC719715:ODC719782 OMY719715:OMY719782 OWU719715:OWU719782 PGQ719715:PGQ719782 PQM719715:PQM719782 QAI719715:QAI719782 QKE719715:QKE719782 QUA719715:QUA719782 RDW719715:RDW719782 RNS719715:RNS719782 RXO719715:RXO719782 SHK719715:SHK719782 SRG719715:SRG719782 TBC719715:TBC719782 TKY719715:TKY719782 TUU719715:TUU719782 UEQ719715:UEQ719782 UOM719715:UOM719782 UYI719715:UYI719782 VIE719715:VIE719782 VSA719715:VSA719782 WBW719715:WBW719782 WLS719715:WLS719782 WVO719715:WVO719782 G785251:G785318 JC785251:JC785318 SY785251:SY785318 ACU785251:ACU785318 AMQ785251:AMQ785318 AWM785251:AWM785318 BGI785251:BGI785318 BQE785251:BQE785318 CAA785251:CAA785318 CJW785251:CJW785318 CTS785251:CTS785318 DDO785251:DDO785318 DNK785251:DNK785318 DXG785251:DXG785318 EHC785251:EHC785318 EQY785251:EQY785318 FAU785251:FAU785318 FKQ785251:FKQ785318 FUM785251:FUM785318 GEI785251:GEI785318 GOE785251:GOE785318 GYA785251:GYA785318 HHW785251:HHW785318 HRS785251:HRS785318 IBO785251:IBO785318 ILK785251:ILK785318 IVG785251:IVG785318 JFC785251:JFC785318 JOY785251:JOY785318 JYU785251:JYU785318 KIQ785251:KIQ785318 KSM785251:KSM785318 LCI785251:LCI785318 LME785251:LME785318 LWA785251:LWA785318 MFW785251:MFW785318 MPS785251:MPS785318 MZO785251:MZO785318 NJK785251:NJK785318 NTG785251:NTG785318 ODC785251:ODC785318 OMY785251:OMY785318 OWU785251:OWU785318 PGQ785251:PGQ785318 PQM785251:PQM785318 QAI785251:QAI785318 QKE785251:QKE785318 QUA785251:QUA785318 RDW785251:RDW785318 RNS785251:RNS785318 RXO785251:RXO785318 SHK785251:SHK785318 SRG785251:SRG785318 TBC785251:TBC785318 TKY785251:TKY785318 TUU785251:TUU785318 UEQ785251:UEQ785318 UOM785251:UOM785318 UYI785251:UYI785318 VIE785251:VIE785318 VSA785251:VSA785318 WBW785251:WBW785318 WLS785251:WLS785318 WVO785251:WVO785318 G850787:G850854 JC850787:JC850854 SY850787:SY850854 ACU850787:ACU850854 AMQ850787:AMQ850854 AWM850787:AWM850854 BGI850787:BGI850854 BQE850787:BQE850854 CAA850787:CAA850854 CJW850787:CJW850854 CTS850787:CTS850854 DDO850787:DDO850854 DNK850787:DNK850854 DXG850787:DXG850854 EHC850787:EHC850854 EQY850787:EQY850854 FAU850787:FAU850854 FKQ850787:FKQ850854 FUM850787:FUM850854 GEI850787:GEI850854 GOE850787:GOE850854 GYA850787:GYA850854 HHW850787:HHW850854 HRS850787:HRS850854 IBO850787:IBO850854 ILK850787:ILK850854 IVG850787:IVG850854 JFC850787:JFC850854 JOY850787:JOY850854 JYU850787:JYU850854 KIQ850787:KIQ850854 KSM850787:KSM850854 LCI850787:LCI850854 LME850787:LME850854 LWA850787:LWA850854 MFW850787:MFW850854 MPS850787:MPS850854 MZO850787:MZO850854 NJK850787:NJK850854 NTG850787:NTG850854 ODC850787:ODC850854 OMY850787:OMY850854 OWU850787:OWU850854 PGQ850787:PGQ850854 PQM850787:PQM850854 QAI850787:QAI850854 QKE850787:QKE850854 QUA850787:QUA850854 RDW850787:RDW850854 RNS850787:RNS850854 RXO850787:RXO850854 SHK850787:SHK850854 SRG850787:SRG850854 TBC850787:TBC850854 TKY850787:TKY850854 TUU850787:TUU850854 UEQ850787:UEQ850854 UOM850787:UOM850854 UYI850787:UYI850854 VIE850787:VIE850854 VSA850787:VSA850854 WBW850787:WBW850854 WLS850787:WLS850854 WVO850787:WVO850854 G916323:G916390 JC916323:JC916390 SY916323:SY916390 ACU916323:ACU916390 AMQ916323:AMQ916390 AWM916323:AWM916390 BGI916323:BGI916390 BQE916323:BQE916390 CAA916323:CAA916390 CJW916323:CJW916390 CTS916323:CTS916390 DDO916323:DDO916390 DNK916323:DNK916390 DXG916323:DXG916390 EHC916323:EHC916390 EQY916323:EQY916390 FAU916323:FAU916390 FKQ916323:FKQ916390 FUM916323:FUM916390 GEI916323:GEI916390 GOE916323:GOE916390 GYA916323:GYA916390 HHW916323:HHW916390 HRS916323:HRS916390 IBO916323:IBO916390 ILK916323:ILK916390 IVG916323:IVG916390 JFC916323:JFC916390 JOY916323:JOY916390 JYU916323:JYU916390 KIQ916323:KIQ916390 KSM916323:KSM916390 LCI916323:LCI916390 LME916323:LME916390 LWA916323:LWA916390 MFW916323:MFW916390 MPS916323:MPS916390 MZO916323:MZO916390 NJK916323:NJK916390 NTG916323:NTG916390 ODC916323:ODC916390 OMY916323:OMY916390 OWU916323:OWU916390 PGQ916323:PGQ916390 PQM916323:PQM916390 QAI916323:QAI916390 QKE916323:QKE916390 QUA916323:QUA916390 RDW916323:RDW916390 RNS916323:RNS916390 RXO916323:RXO916390 SHK916323:SHK916390 SRG916323:SRG916390 TBC916323:TBC916390 TKY916323:TKY916390 TUU916323:TUU916390 UEQ916323:UEQ916390 UOM916323:UOM916390 UYI916323:UYI916390 VIE916323:VIE916390 VSA916323:VSA916390 WBW916323:WBW916390 WLS916323:WLS916390 WVO916323:WVO916390 G981859:G981926 JC981859:JC981926 SY981859:SY981926 ACU981859:ACU981926 AMQ981859:AMQ981926 AWM981859:AWM981926 BGI981859:BGI981926 BQE981859:BQE981926 CAA981859:CAA981926 CJW981859:CJW981926 CTS981859:CTS981926 DDO981859:DDO981926 DNK981859:DNK981926 DXG981859:DXG981926 EHC981859:EHC981926 EQY981859:EQY981926 FAU981859:FAU981926 FKQ981859:FKQ981926 FUM981859:FUM981926 GEI981859:GEI981926 GOE981859:GOE981926 GYA981859:GYA981926 HHW981859:HHW981926 HRS981859:HRS981926 IBO981859:IBO981926 ILK981859:ILK981926 IVG981859:IVG981926 JFC981859:JFC981926 JOY981859:JOY981926 JYU981859:JYU981926 KIQ981859:KIQ981926 KSM981859:KSM981926 LCI981859:LCI981926 LME981859:LME981926 LWA981859:LWA981926 MFW981859:MFW981926 MPS981859:MPS981926 MZO981859:MZO981926 NJK981859:NJK981926 NTG981859:NTG981926 ODC981859:ODC981926 OMY981859:OMY981926 OWU981859:OWU981926 PGQ981859:PGQ981926 PQM981859:PQM981926 QAI981859:QAI981926 QKE981859:QKE981926 QUA981859:QUA981926 RDW981859:RDW981926 RNS981859:RNS981926 RXO981859:RXO981926 SHK981859:SHK981926 SRG981859:SRG981926 TBC981859:TBC981926 TKY981859:TKY981926 TUU981859:TUU981926 UEQ981859:UEQ981926 UOM981859:UOM981926 UYI981859:UYI981926 VIE981859:VIE981926 VSA981859:VSA981926 WBW981859:WBW981926 WLS981859:WLS981926 WVO981859:WVO981926 G1047395:G1047462 JC1047395:JC1047462 SY1047395:SY1047462 ACU1047395:ACU1047462 AMQ1047395:AMQ1047462 AWM1047395:AWM1047462 BGI1047395:BGI1047462 BQE1047395:BQE1047462 CAA1047395:CAA1047462 CJW1047395:CJW1047462 CTS1047395:CTS1047462 DDO1047395:DDO1047462 DNK1047395:DNK1047462 DXG1047395:DXG1047462 EHC1047395:EHC1047462 EQY1047395:EQY1047462 FAU1047395:FAU1047462 FKQ1047395:FKQ1047462 FUM1047395:FUM1047462 GEI1047395:GEI1047462 GOE1047395:GOE1047462 GYA1047395:GYA1047462 HHW1047395:HHW1047462 HRS1047395:HRS1047462 IBO1047395:IBO1047462 ILK1047395:ILK1047462 IVG1047395:IVG1047462 JFC1047395:JFC1047462 JOY1047395:JOY1047462 JYU1047395:JYU1047462 KIQ1047395:KIQ1047462 KSM1047395:KSM1047462 LCI1047395:LCI1047462 LME1047395:LME1047462 LWA1047395:LWA1047462 MFW1047395:MFW1047462 MPS1047395:MPS1047462 MZO1047395:MZO1047462 NJK1047395:NJK1047462 NTG1047395:NTG1047462 ODC1047395:ODC1047462 OMY1047395:OMY1047462 OWU1047395:OWU1047462 PGQ1047395:PGQ1047462 PQM1047395:PQM1047462 QAI1047395:QAI1047462 QKE1047395:QKE1047462 QUA1047395:QUA1047462 RDW1047395:RDW1047462 RNS1047395:RNS1047462 RXO1047395:RXO1047462 SHK1047395:SHK1047462 SRG1047395:SRG1047462 TBC1047395:TBC1047462 TKY1047395:TKY1047462 TUU1047395:TUU1047462 UEQ1047395:UEQ1047462 UOM1047395:UOM1047462 UYI1047395:UYI1047462 VIE1047395:VIE1047462 VSA1047395:VSA1047462 WBW1047395:WBW1047462 WLS1047395:WLS1047462 WVO1047395:WVO1047462 WVO983034:WVO983105 G65530:G65601 JC65530:JC65601 SY65530:SY65601 ACU65530:ACU65601 AMQ65530:AMQ65601 AWM65530:AWM65601 BGI65530:BGI65601 BQE65530:BQE65601 CAA65530:CAA65601 CJW65530:CJW65601 CTS65530:CTS65601 DDO65530:DDO65601 DNK65530:DNK65601 DXG65530:DXG65601 EHC65530:EHC65601 EQY65530:EQY65601 FAU65530:FAU65601 FKQ65530:FKQ65601 FUM65530:FUM65601 GEI65530:GEI65601 GOE65530:GOE65601 GYA65530:GYA65601 HHW65530:HHW65601 HRS65530:HRS65601 IBO65530:IBO65601 ILK65530:ILK65601 IVG65530:IVG65601 JFC65530:JFC65601 JOY65530:JOY65601 JYU65530:JYU65601 KIQ65530:KIQ65601 KSM65530:KSM65601 LCI65530:LCI65601 LME65530:LME65601 LWA65530:LWA65601 MFW65530:MFW65601 MPS65530:MPS65601 MZO65530:MZO65601 NJK65530:NJK65601 NTG65530:NTG65601 ODC65530:ODC65601 OMY65530:OMY65601 OWU65530:OWU65601 PGQ65530:PGQ65601 PQM65530:PQM65601 QAI65530:QAI65601 QKE65530:QKE65601 QUA65530:QUA65601 RDW65530:RDW65601 RNS65530:RNS65601 RXO65530:RXO65601 SHK65530:SHK65601 SRG65530:SRG65601 TBC65530:TBC65601 TKY65530:TKY65601 TUU65530:TUU65601 UEQ65530:UEQ65601 UOM65530:UOM65601 UYI65530:UYI65601 VIE65530:VIE65601 VSA65530:VSA65601 WBW65530:WBW65601 WLS65530:WLS65601 WVO65530:WVO65601 G131066:G131137 JC131066:JC131137 SY131066:SY131137 ACU131066:ACU131137 AMQ131066:AMQ131137 AWM131066:AWM131137 BGI131066:BGI131137 BQE131066:BQE131137 CAA131066:CAA131137 CJW131066:CJW131137 CTS131066:CTS131137 DDO131066:DDO131137 DNK131066:DNK131137 DXG131066:DXG131137 EHC131066:EHC131137 EQY131066:EQY131137 FAU131066:FAU131137 FKQ131066:FKQ131137 FUM131066:FUM131137 GEI131066:GEI131137 GOE131066:GOE131137 GYA131066:GYA131137 HHW131066:HHW131137 HRS131066:HRS131137 IBO131066:IBO131137 ILK131066:ILK131137 IVG131066:IVG131137 JFC131066:JFC131137 JOY131066:JOY131137 JYU131066:JYU131137 KIQ131066:KIQ131137 KSM131066:KSM131137 LCI131066:LCI131137 LME131066:LME131137 LWA131066:LWA131137 MFW131066:MFW131137 MPS131066:MPS131137 MZO131066:MZO131137 NJK131066:NJK131137 NTG131066:NTG131137 ODC131066:ODC131137 OMY131066:OMY131137 OWU131066:OWU131137 PGQ131066:PGQ131137 PQM131066:PQM131137 QAI131066:QAI131137 QKE131066:QKE131137 QUA131066:QUA131137 RDW131066:RDW131137 RNS131066:RNS131137 RXO131066:RXO131137 SHK131066:SHK131137 SRG131066:SRG131137 TBC131066:TBC131137 TKY131066:TKY131137 TUU131066:TUU131137 UEQ131066:UEQ131137 UOM131066:UOM131137 UYI131066:UYI131137 VIE131066:VIE131137 VSA131066:VSA131137 WBW131066:WBW131137 WLS131066:WLS131137 WVO131066:WVO131137 G196602:G196673 JC196602:JC196673 SY196602:SY196673 ACU196602:ACU196673 AMQ196602:AMQ196673 AWM196602:AWM196673 BGI196602:BGI196673 BQE196602:BQE196673 CAA196602:CAA196673 CJW196602:CJW196673 CTS196602:CTS196673 DDO196602:DDO196673 DNK196602:DNK196673 DXG196602:DXG196673 EHC196602:EHC196673 EQY196602:EQY196673 FAU196602:FAU196673 FKQ196602:FKQ196673 FUM196602:FUM196673 GEI196602:GEI196673 GOE196602:GOE196673 GYA196602:GYA196673 HHW196602:HHW196673 HRS196602:HRS196673 IBO196602:IBO196673 ILK196602:ILK196673 IVG196602:IVG196673 JFC196602:JFC196673 JOY196602:JOY196673 JYU196602:JYU196673 KIQ196602:KIQ196673 KSM196602:KSM196673 LCI196602:LCI196673 LME196602:LME196673 LWA196602:LWA196673 MFW196602:MFW196673 MPS196602:MPS196673 MZO196602:MZO196673 NJK196602:NJK196673 NTG196602:NTG196673 ODC196602:ODC196673 OMY196602:OMY196673 OWU196602:OWU196673 PGQ196602:PGQ196673 PQM196602:PQM196673 QAI196602:QAI196673 QKE196602:QKE196673 QUA196602:QUA196673 RDW196602:RDW196673 RNS196602:RNS196673 RXO196602:RXO196673 SHK196602:SHK196673 SRG196602:SRG196673 TBC196602:TBC196673 TKY196602:TKY196673 TUU196602:TUU196673 UEQ196602:UEQ196673 UOM196602:UOM196673 UYI196602:UYI196673 VIE196602:VIE196673 VSA196602:VSA196673 WBW196602:WBW196673 WLS196602:WLS196673 WVO196602:WVO196673 G262138:G262209 JC262138:JC262209 SY262138:SY262209 ACU262138:ACU262209 AMQ262138:AMQ262209 AWM262138:AWM262209 BGI262138:BGI262209 BQE262138:BQE262209 CAA262138:CAA262209 CJW262138:CJW262209 CTS262138:CTS262209 DDO262138:DDO262209 DNK262138:DNK262209 DXG262138:DXG262209 EHC262138:EHC262209 EQY262138:EQY262209 FAU262138:FAU262209 FKQ262138:FKQ262209 FUM262138:FUM262209 GEI262138:GEI262209 GOE262138:GOE262209 GYA262138:GYA262209 HHW262138:HHW262209 HRS262138:HRS262209 IBO262138:IBO262209 ILK262138:ILK262209 IVG262138:IVG262209 JFC262138:JFC262209 JOY262138:JOY262209 JYU262138:JYU262209 KIQ262138:KIQ262209 KSM262138:KSM262209 LCI262138:LCI262209 LME262138:LME262209 LWA262138:LWA262209 MFW262138:MFW262209 MPS262138:MPS262209 MZO262138:MZO262209 NJK262138:NJK262209 NTG262138:NTG262209 ODC262138:ODC262209 OMY262138:OMY262209 OWU262138:OWU262209 PGQ262138:PGQ262209 PQM262138:PQM262209 QAI262138:QAI262209 QKE262138:QKE262209 QUA262138:QUA262209 RDW262138:RDW262209 RNS262138:RNS262209 RXO262138:RXO262209 SHK262138:SHK262209 SRG262138:SRG262209 TBC262138:TBC262209 TKY262138:TKY262209 TUU262138:TUU262209 UEQ262138:UEQ262209 UOM262138:UOM262209 UYI262138:UYI262209 VIE262138:VIE262209 VSA262138:VSA262209 WBW262138:WBW262209 WLS262138:WLS262209 WVO262138:WVO262209 G327674:G327745 JC327674:JC327745 SY327674:SY327745 ACU327674:ACU327745 AMQ327674:AMQ327745 AWM327674:AWM327745 BGI327674:BGI327745 BQE327674:BQE327745 CAA327674:CAA327745 CJW327674:CJW327745 CTS327674:CTS327745 DDO327674:DDO327745 DNK327674:DNK327745 DXG327674:DXG327745 EHC327674:EHC327745 EQY327674:EQY327745 FAU327674:FAU327745 FKQ327674:FKQ327745 FUM327674:FUM327745 GEI327674:GEI327745 GOE327674:GOE327745 GYA327674:GYA327745 HHW327674:HHW327745 HRS327674:HRS327745 IBO327674:IBO327745 ILK327674:ILK327745 IVG327674:IVG327745 JFC327674:JFC327745 JOY327674:JOY327745 JYU327674:JYU327745 KIQ327674:KIQ327745 KSM327674:KSM327745 LCI327674:LCI327745 LME327674:LME327745 LWA327674:LWA327745 MFW327674:MFW327745 MPS327674:MPS327745 MZO327674:MZO327745 NJK327674:NJK327745 NTG327674:NTG327745 ODC327674:ODC327745 OMY327674:OMY327745 OWU327674:OWU327745 PGQ327674:PGQ327745 PQM327674:PQM327745 QAI327674:QAI327745 QKE327674:QKE327745 QUA327674:QUA327745 RDW327674:RDW327745 RNS327674:RNS327745 RXO327674:RXO327745 SHK327674:SHK327745 SRG327674:SRG327745 TBC327674:TBC327745 TKY327674:TKY327745 TUU327674:TUU327745 UEQ327674:UEQ327745 UOM327674:UOM327745 UYI327674:UYI327745 VIE327674:VIE327745 VSA327674:VSA327745 WBW327674:WBW327745 WLS327674:WLS327745 WVO327674:WVO327745 G393210:G393281 JC393210:JC393281 SY393210:SY393281 ACU393210:ACU393281 AMQ393210:AMQ393281 AWM393210:AWM393281 BGI393210:BGI393281 BQE393210:BQE393281 CAA393210:CAA393281 CJW393210:CJW393281 CTS393210:CTS393281 DDO393210:DDO393281 DNK393210:DNK393281 DXG393210:DXG393281 EHC393210:EHC393281 EQY393210:EQY393281 FAU393210:FAU393281 FKQ393210:FKQ393281 FUM393210:FUM393281 GEI393210:GEI393281 GOE393210:GOE393281 GYA393210:GYA393281 HHW393210:HHW393281 HRS393210:HRS393281 IBO393210:IBO393281 ILK393210:ILK393281 IVG393210:IVG393281 JFC393210:JFC393281 JOY393210:JOY393281 JYU393210:JYU393281 KIQ393210:KIQ393281 KSM393210:KSM393281 LCI393210:LCI393281 LME393210:LME393281 LWA393210:LWA393281 MFW393210:MFW393281 MPS393210:MPS393281 MZO393210:MZO393281 NJK393210:NJK393281 NTG393210:NTG393281 ODC393210:ODC393281 OMY393210:OMY393281 OWU393210:OWU393281 PGQ393210:PGQ393281 PQM393210:PQM393281 QAI393210:QAI393281 QKE393210:QKE393281 QUA393210:QUA393281 RDW393210:RDW393281 RNS393210:RNS393281 RXO393210:RXO393281 SHK393210:SHK393281 SRG393210:SRG393281 TBC393210:TBC393281 TKY393210:TKY393281 TUU393210:TUU393281 UEQ393210:UEQ393281 UOM393210:UOM393281 UYI393210:UYI393281 VIE393210:VIE393281 VSA393210:VSA393281 WBW393210:WBW393281 WLS393210:WLS393281 WVO393210:WVO393281 G458746:G458817 JC458746:JC458817 SY458746:SY458817 ACU458746:ACU458817 AMQ458746:AMQ458817 AWM458746:AWM458817 BGI458746:BGI458817 BQE458746:BQE458817 CAA458746:CAA458817 CJW458746:CJW458817 CTS458746:CTS458817 DDO458746:DDO458817 DNK458746:DNK458817 DXG458746:DXG458817 EHC458746:EHC458817 EQY458746:EQY458817 FAU458746:FAU458817 FKQ458746:FKQ458817 FUM458746:FUM458817 GEI458746:GEI458817 GOE458746:GOE458817 GYA458746:GYA458817 HHW458746:HHW458817 HRS458746:HRS458817 IBO458746:IBO458817 ILK458746:ILK458817 IVG458746:IVG458817 JFC458746:JFC458817 JOY458746:JOY458817 JYU458746:JYU458817 KIQ458746:KIQ458817 KSM458746:KSM458817 LCI458746:LCI458817 LME458746:LME458817 LWA458746:LWA458817 MFW458746:MFW458817 MPS458746:MPS458817 MZO458746:MZO458817 NJK458746:NJK458817 NTG458746:NTG458817 ODC458746:ODC458817 OMY458746:OMY458817 OWU458746:OWU458817 PGQ458746:PGQ458817 PQM458746:PQM458817 QAI458746:QAI458817 QKE458746:QKE458817 QUA458746:QUA458817 RDW458746:RDW458817 RNS458746:RNS458817 RXO458746:RXO458817 SHK458746:SHK458817 SRG458746:SRG458817 TBC458746:TBC458817 TKY458746:TKY458817 TUU458746:TUU458817 UEQ458746:UEQ458817 UOM458746:UOM458817 UYI458746:UYI458817 VIE458746:VIE458817 VSA458746:VSA458817 WBW458746:WBW458817 WLS458746:WLS458817 WVO458746:WVO458817 G524282:G524353 JC524282:JC524353 SY524282:SY524353 ACU524282:ACU524353 AMQ524282:AMQ524353 AWM524282:AWM524353 BGI524282:BGI524353 BQE524282:BQE524353 CAA524282:CAA524353 CJW524282:CJW524353 CTS524282:CTS524353 DDO524282:DDO524353 DNK524282:DNK524353 DXG524282:DXG524353 EHC524282:EHC524353 EQY524282:EQY524353 FAU524282:FAU524353 FKQ524282:FKQ524353 FUM524282:FUM524353 GEI524282:GEI524353 GOE524282:GOE524353 GYA524282:GYA524353 HHW524282:HHW524353 HRS524282:HRS524353 IBO524282:IBO524353 ILK524282:ILK524353 IVG524282:IVG524353 JFC524282:JFC524353 JOY524282:JOY524353 JYU524282:JYU524353 KIQ524282:KIQ524353 KSM524282:KSM524353 LCI524282:LCI524353 LME524282:LME524353 LWA524282:LWA524353 MFW524282:MFW524353 MPS524282:MPS524353 MZO524282:MZO524353 NJK524282:NJK524353 NTG524282:NTG524353 ODC524282:ODC524353 OMY524282:OMY524353 OWU524282:OWU524353 PGQ524282:PGQ524353 PQM524282:PQM524353 QAI524282:QAI524353 QKE524282:QKE524353 QUA524282:QUA524353 RDW524282:RDW524353 RNS524282:RNS524353 RXO524282:RXO524353 SHK524282:SHK524353 SRG524282:SRG524353 TBC524282:TBC524353 TKY524282:TKY524353 TUU524282:TUU524353 UEQ524282:UEQ524353 UOM524282:UOM524353 UYI524282:UYI524353 VIE524282:VIE524353 VSA524282:VSA524353 WBW524282:WBW524353 WLS524282:WLS524353 WVO524282:WVO524353 G589818:G589889 JC589818:JC589889 SY589818:SY589889 ACU589818:ACU589889 AMQ589818:AMQ589889 AWM589818:AWM589889 BGI589818:BGI589889 BQE589818:BQE589889 CAA589818:CAA589889 CJW589818:CJW589889 CTS589818:CTS589889 DDO589818:DDO589889 DNK589818:DNK589889 DXG589818:DXG589889 EHC589818:EHC589889 EQY589818:EQY589889 FAU589818:FAU589889 FKQ589818:FKQ589889 FUM589818:FUM589889 GEI589818:GEI589889 GOE589818:GOE589889 GYA589818:GYA589889 HHW589818:HHW589889 HRS589818:HRS589889 IBO589818:IBO589889 ILK589818:ILK589889 IVG589818:IVG589889 JFC589818:JFC589889 JOY589818:JOY589889 JYU589818:JYU589889 KIQ589818:KIQ589889 KSM589818:KSM589889 LCI589818:LCI589889 LME589818:LME589889 LWA589818:LWA589889 MFW589818:MFW589889 MPS589818:MPS589889 MZO589818:MZO589889 NJK589818:NJK589889 NTG589818:NTG589889 ODC589818:ODC589889 OMY589818:OMY589889 OWU589818:OWU589889 PGQ589818:PGQ589889 PQM589818:PQM589889 QAI589818:QAI589889 QKE589818:QKE589889 QUA589818:QUA589889 RDW589818:RDW589889 RNS589818:RNS589889 RXO589818:RXO589889 SHK589818:SHK589889 SRG589818:SRG589889 TBC589818:TBC589889 TKY589818:TKY589889 TUU589818:TUU589889 UEQ589818:UEQ589889 UOM589818:UOM589889 UYI589818:UYI589889 VIE589818:VIE589889 VSA589818:VSA589889 WBW589818:WBW589889 WLS589818:WLS589889 WVO589818:WVO589889 G655354:G655425 JC655354:JC655425 SY655354:SY655425 ACU655354:ACU655425 AMQ655354:AMQ655425 AWM655354:AWM655425 BGI655354:BGI655425 BQE655354:BQE655425 CAA655354:CAA655425 CJW655354:CJW655425 CTS655354:CTS655425 DDO655354:DDO655425 DNK655354:DNK655425 DXG655354:DXG655425 EHC655354:EHC655425 EQY655354:EQY655425 FAU655354:FAU655425 FKQ655354:FKQ655425 FUM655354:FUM655425 GEI655354:GEI655425 GOE655354:GOE655425 GYA655354:GYA655425 HHW655354:HHW655425 HRS655354:HRS655425 IBO655354:IBO655425 ILK655354:ILK655425 IVG655354:IVG655425 JFC655354:JFC655425 JOY655354:JOY655425 JYU655354:JYU655425 KIQ655354:KIQ655425 KSM655354:KSM655425 LCI655354:LCI655425 LME655354:LME655425 LWA655354:LWA655425 MFW655354:MFW655425 MPS655354:MPS655425 MZO655354:MZO655425 NJK655354:NJK655425 NTG655354:NTG655425 ODC655354:ODC655425 OMY655354:OMY655425 OWU655354:OWU655425 PGQ655354:PGQ655425 PQM655354:PQM655425 QAI655354:QAI655425 QKE655354:QKE655425 QUA655354:QUA655425 RDW655354:RDW655425 RNS655354:RNS655425 RXO655354:RXO655425 SHK655354:SHK655425 SRG655354:SRG655425 TBC655354:TBC655425 TKY655354:TKY655425 TUU655354:TUU655425 UEQ655354:UEQ655425 UOM655354:UOM655425 UYI655354:UYI655425 VIE655354:VIE655425 VSA655354:VSA655425 WBW655354:WBW655425 WLS655354:WLS655425 WVO655354:WVO655425 G720890:G720961 JC720890:JC720961 SY720890:SY720961 ACU720890:ACU720961 AMQ720890:AMQ720961 AWM720890:AWM720961 BGI720890:BGI720961 BQE720890:BQE720961 CAA720890:CAA720961 CJW720890:CJW720961 CTS720890:CTS720961 DDO720890:DDO720961 DNK720890:DNK720961 DXG720890:DXG720961 EHC720890:EHC720961 EQY720890:EQY720961 FAU720890:FAU720961 FKQ720890:FKQ720961 FUM720890:FUM720961 GEI720890:GEI720961 GOE720890:GOE720961 GYA720890:GYA720961 HHW720890:HHW720961 HRS720890:HRS720961 IBO720890:IBO720961 ILK720890:ILK720961 IVG720890:IVG720961 JFC720890:JFC720961 JOY720890:JOY720961 JYU720890:JYU720961 KIQ720890:KIQ720961 KSM720890:KSM720961 LCI720890:LCI720961 LME720890:LME720961 LWA720890:LWA720961 MFW720890:MFW720961 MPS720890:MPS720961 MZO720890:MZO720961 NJK720890:NJK720961 NTG720890:NTG720961 ODC720890:ODC720961 OMY720890:OMY720961 OWU720890:OWU720961 PGQ720890:PGQ720961 PQM720890:PQM720961 QAI720890:QAI720961 QKE720890:QKE720961 QUA720890:QUA720961 RDW720890:RDW720961 RNS720890:RNS720961 RXO720890:RXO720961 SHK720890:SHK720961 SRG720890:SRG720961 TBC720890:TBC720961 TKY720890:TKY720961 TUU720890:TUU720961 UEQ720890:UEQ720961 UOM720890:UOM720961 UYI720890:UYI720961 VIE720890:VIE720961 VSA720890:VSA720961 WBW720890:WBW720961 WLS720890:WLS720961 WVO720890:WVO720961 G786426:G786497 JC786426:JC786497 SY786426:SY786497 ACU786426:ACU786497 AMQ786426:AMQ786497 AWM786426:AWM786497 BGI786426:BGI786497 BQE786426:BQE786497 CAA786426:CAA786497 CJW786426:CJW786497 CTS786426:CTS786497 DDO786426:DDO786497 DNK786426:DNK786497 DXG786426:DXG786497 EHC786426:EHC786497 EQY786426:EQY786497 FAU786426:FAU786497 FKQ786426:FKQ786497 FUM786426:FUM786497 GEI786426:GEI786497 GOE786426:GOE786497 GYA786426:GYA786497 HHW786426:HHW786497 HRS786426:HRS786497 IBO786426:IBO786497 ILK786426:ILK786497 IVG786426:IVG786497 JFC786426:JFC786497 JOY786426:JOY786497 JYU786426:JYU786497 KIQ786426:KIQ786497 KSM786426:KSM786497 LCI786426:LCI786497 LME786426:LME786497 LWA786426:LWA786497 MFW786426:MFW786497 MPS786426:MPS786497 MZO786426:MZO786497 NJK786426:NJK786497 NTG786426:NTG786497 ODC786426:ODC786497 OMY786426:OMY786497 OWU786426:OWU786497 PGQ786426:PGQ786497 PQM786426:PQM786497 QAI786426:QAI786497 QKE786426:QKE786497 QUA786426:QUA786497 RDW786426:RDW786497 RNS786426:RNS786497 RXO786426:RXO786497 SHK786426:SHK786497 SRG786426:SRG786497 TBC786426:TBC786497 TKY786426:TKY786497 TUU786426:TUU786497 UEQ786426:UEQ786497 UOM786426:UOM786497 UYI786426:UYI786497 VIE786426:VIE786497 VSA786426:VSA786497 WBW786426:WBW786497 WLS786426:WLS786497 WVO786426:WVO786497 G851962:G852033 JC851962:JC852033 SY851962:SY852033 ACU851962:ACU852033 AMQ851962:AMQ852033 AWM851962:AWM852033 BGI851962:BGI852033 BQE851962:BQE852033 CAA851962:CAA852033 CJW851962:CJW852033 CTS851962:CTS852033 DDO851962:DDO852033 DNK851962:DNK852033 DXG851962:DXG852033 EHC851962:EHC852033 EQY851962:EQY852033 FAU851962:FAU852033 FKQ851962:FKQ852033 FUM851962:FUM852033 GEI851962:GEI852033 GOE851962:GOE852033 GYA851962:GYA852033 HHW851962:HHW852033 HRS851962:HRS852033 IBO851962:IBO852033 ILK851962:ILK852033 IVG851962:IVG852033 JFC851962:JFC852033 JOY851962:JOY852033 JYU851962:JYU852033 KIQ851962:KIQ852033 KSM851962:KSM852033 LCI851962:LCI852033 LME851962:LME852033 LWA851962:LWA852033 MFW851962:MFW852033 MPS851962:MPS852033 MZO851962:MZO852033 NJK851962:NJK852033 NTG851962:NTG852033 ODC851962:ODC852033 OMY851962:OMY852033 OWU851962:OWU852033 PGQ851962:PGQ852033 PQM851962:PQM852033 QAI851962:QAI852033 QKE851962:QKE852033 QUA851962:QUA852033 RDW851962:RDW852033 RNS851962:RNS852033 RXO851962:RXO852033 SHK851962:SHK852033 SRG851962:SRG852033 TBC851962:TBC852033 TKY851962:TKY852033 TUU851962:TUU852033 UEQ851962:UEQ852033 UOM851962:UOM852033 UYI851962:UYI852033 VIE851962:VIE852033 VSA851962:VSA852033 WBW851962:WBW852033 WLS851962:WLS852033 WVO851962:WVO852033 G917498:G917569 JC917498:JC917569 SY917498:SY917569 ACU917498:ACU917569 AMQ917498:AMQ917569 AWM917498:AWM917569 BGI917498:BGI917569 BQE917498:BQE917569 CAA917498:CAA917569 CJW917498:CJW917569 CTS917498:CTS917569 DDO917498:DDO917569 DNK917498:DNK917569 DXG917498:DXG917569 EHC917498:EHC917569 EQY917498:EQY917569 FAU917498:FAU917569 FKQ917498:FKQ917569 FUM917498:FUM917569 GEI917498:GEI917569 GOE917498:GOE917569 GYA917498:GYA917569 HHW917498:HHW917569 HRS917498:HRS917569 IBO917498:IBO917569 ILK917498:ILK917569 IVG917498:IVG917569 JFC917498:JFC917569 JOY917498:JOY917569 JYU917498:JYU917569 KIQ917498:KIQ917569 KSM917498:KSM917569 LCI917498:LCI917569 LME917498:LME917569 LWA917498:LWA917569 MFW917498:MFW917569 MPS917498:MPS917569 MZO917498:MZO917569 NJK917498:NJK917569 NTG917498:NTG917569 ODC917498:ODC917569 OMY917498:OMY917569 OWU917498:OWU917569 PGQ917498:PGQ917569 PQM917498:PQM917569 QAI917498:QAI917569 QKE917498:QKE917569 QUA917498:QUA917569 RDW917498:RDW917569 RNS917498:RNS917569 RXO917498:RXO917569 SHK917498:SHK917569 SRG917498:SRG917569 TBC917498:TBC917569 TKY917498:TKY917569 TUU917498:TUU917569 UEQ917498:UEQ917569 UOM917498:UOM917569 UYI917498:UYI917569 VIE917498:VIE917569 VSA917498:VSA917569 WBW917498:WBW917569 WLS917498:WLS917569 WVO917498:WVO917569 G983034:G983105 JC983034:JC983105 SY983034:SY983105 ACU983034:ACU983105 AMQ983034:AMQ983105 AWM983034:AWM983105 BGI983034:BGI983105 BQE983034:BQE983105 CAA983034:CAA983105 CJW983034:CJW983105 CTS983034:CTS983105 DDO983034:DDO983105 DNK983034:DNK983105 DXG983034:DXG983105 EHC983034:EHC983105 EQY983034:EQY983105 FAU983034:FAU983105 FKQ983034:FKQ983105 FUM983034:FUM983105 GEI983034:GEI983105 GOE983034:GOE983105 GYA983034:GYA983105 HHW983034:HHW983105 HRS983034:HRS983105 IBO983034:IBO983105 ILK983034:ILK983105 IVG983034:IVG983105 JFC983034:JFC983105 JOY983034:JOY983105 JYU983034:JYU983105 KIQ983034:KIQ983105 KSM983034:KSM983105 LCI983034:LCI983105 LME983034:LME983105 LWA983034:LWA983105 MFW983034:MFW983105 MPS983034:MPS983105 MZO983034:MZO983105 NJK983034:NJK983105 NTG983034:NTG983105 ODC983034:ODC983105 OMY983034:OMY983105 OWU983034:OWU983105 PGQ983034:PGQ983105 PQM983034:PQM983105 QAI983034:QAI983105 QKE983034:QKE983105 QUA983034:QUA983105 RDW983034:RDW983105 RNS983034:RNS983105 RXO983034:RXO983105 SHK983034:SHK983105 SRG983034:SRG983105 TBC983034:TBC983105 TKY983034:TKY983105 TUU983034:TUU983105 UEQ983034:UEQ983105 UOM983034:UOM983105 UYI983034:UYI983105 VIE983034:VIE983105 VSA983034:VSA983105 WBW983034:WBW983105 WLS983034:WLS983105 G2:G492 SY2:SY65 ACU2:ACU65 AMQ2:AMQ65 AWM2:AWM65 BGI2:BGI65 BQE2:BQE65 CAA2:CAA65 CJW2:CJW65 CTS2:CTS65 DDO2:DDO65 DNK2:DNK65 DXG2:DXG65 EHC2:EHC65 EQY2:EQY65 FAU2:FAU65 FKQ2:FKQ65 FUM2:FUM65 GEI2:GEI65 GOE2:GOE65 GYA2:GYA65 HHW2:HHW65 HRS2:HRS65 IBO2:IBO65 ILK2:ILK65 IVG2:IVG65 JFC2:JFC65 JOY2:JOY65 JYU2:JYU65 KIQ2:KIQ65 KSM2:KSM65 LCI2:LCI65 LME2:LME65 LWA2:LWA65 MFW2:MFW65 MPS2:MPS65 MZO2:MZO65 NJK2:NJK65 NTG2:NTG65 ODC2:ODC65 OMY2:OMY65 OWU2:OWU65 PGQ2:PGQ65 PQM2:PQM65 QAI2:QAI65 QKE2:QKE65 QUA2:QUA65 RDW2:RDW65 RNS2:RNS65 RXO2:RXO65 SHK2:SHK65 SRG2:SRG65 TBC2:TBC65 TKY2:TKY65 TUU2:TUU65 UEQ2:UEQ65 UOM2:UOM65 UYI2:UYI65 VIE2:VIE65 VSA2:VSA65 WBW2:WBW65 WLS2:WLS65 WVO2:WVO65 JC2:JC65" xr:uid="{A4CBE835-C55E-4C0E-A5F3-279D13254E08}">
      <formula1>$AJ$2:$AJ$4</formula1>
    </dataValidation>
    <dataValidation type="list" allowBlank="1" showInputMessage="1" showErrorMessage="1" sqref="I64355:I64420 JE64355:JE64420 TA64355:TA64420 ACW64355:ACW64420 AMS64355:AMS64420 AWO64355:AWO64420 BGK64355:BGK64420 BQG64355:BQG64420 CAC64355:CAC64420 CJY64355:CJY64420 CTU64355:CTU64420 DDQ64355:DDQ64420 DNM64355:DNM64420 DXI64355:DXI64420 EHE64355:EHE64420 ERA64355:ERA64420 FAW64355:FAW64420 FKS64355:FKS64420 FUO64355:FUO64420 GEK64355:GEK64420 GOG64355:GOG64420 GYC64355:GYC64420 HHY64355:HHY64420 HRU64355:HRU64420 IBQ64355:IBQ64420 ILM64355:ILM64420 IVI64355:IVI64420 JFE64355:JFE64420 JPA64355:JPA64420 JYW64355:JYW64420 KIS64355:KIS64420 KSO64355:KSO64420 LCK64355:LCK64420 LMG64355:LMG64420 LWC64355:LWC64420 MFY64355:MFY64420 MPU64355:MPU64420 MZQ64355:MZQ64420 NJM64355:NJM64420 NTI64355:NTI64420 ODE64355:ODE64420 ONA64355:ONA64420 OWW64355:OWW64420 PGS64355:PGS64420 PQO64355:PQO64420 QAK64355:QAK64420 QKG64355:QKG64420 QUC64355:QUC64420 RDY64355:RDY64420 RNU64355:RNU64420 RXQ64355:RXQ64420 SHM64355:SHM64420 SRI64355:SRI64420 TBE64355:TBE64420 TLA64355:TLA64420 TUW64355:TUW64420 UES64355:UES64420 UOO64355:UOO64420 UYK64355:UYK64420 VIG64355:VIG64420 VSC64355:VSC64420 WBY64355:WBY64420 WLU64355:WLU64420 WVQ64355:WVQ64420 I129891:I129956 JE129891:JE129956 TA129891:TA129956 ACW129891:ACW129956 AMS129891:AMS129956 AWO129891:AWO129956 BGK129891:BGK129956 BQG129891:BQG129956 CAC129891:CAC129956 CJY129891:CJY129956 CTU129891:CTU129956 DDQ129891:DDQ129956 DNM129891:DNM129956 DXI129891:DXI129956 EHE129891:EHE129956 ERA129891:ERA129956 FAW129891:FAW129956 FKS129891:FKS129956 FUO129891:FUO129956 GEK129891:GEK129956 GOG129891:GOG129956 GYC129891:GYC129956 HHY129891:HHY129956 HRU129891:HRU129956 IBQ129891:IBQ129956 ILM129891:ILM129956 IVI129891:IVI129956 JFE129891:JFE129956 JPA129891:JPA129956 JYW129891:JYW129956 KIS129891:KIS129956 KSO129891:KSO129956 LCK129891:LCK129956 LMG129891:LMG129956 LWC129891:LWC129956 MFY129891:MFY129956 MPU129891:MPU129956 MZQ129891:MZQ129956 NJM129891:NJM129956 NTI129891:NTI129956 ODE129891:ODE129956 ONA129891:ONA129956 OWW129891:OWW129956 PGS129891:PGS129956 PQO129891:PQO129956 QAK129891:QAK129956 QKG129891:QKG129956 QUC129891:QUC129956 RDY129891:RDY129956 RNU129891:RNU129956 RXQ129891:RXQ129956 SHM129891:SHM129956 SRI129891:SRI129956 TBE129891:TBE129956 TLA129891:TLA129956 TUW129891:TUW129956 UES129891:UES129956 UOO129891:UOO129956 UYK129891:UYK129956 VIG129891:VIG129956 VSC129891:VSC129956 WBY129891:WBY129956 WLU129891:WLU129956 WVQ129891:WVQ129956 I195427:I195492 JE195427:JE195492 TA195427:TA195492 ACW195427:ACW195492 AMS195427:AMS195492 AWO195427:AWO195492 BGK195427:BGK195492 BQG195427:BQG195492 CAC195427:CAC195492 CJY195427:CJY195492 CTU195427:CTU195492 DDQ195427:DDQ195492 DNM195427:DNM195492 DXI195427:DXI195492 EHE195427:EHE195492 ERA195427:ERA195492 FAW195427:FAW195492 FKS195427:FKS195492 FUO195427:FUO195492 GEK195427:GEK195492 GOG195427:GOG195492 GYC195427:GYC195492 HHY195427:HHY195492 HRU195427:HRU195492 IBQ195427:IBQ195492 ILM195427:ILM195492 IVI195427:IVI195492 JFE195427:JFE195492 JPA195427:JPA195492 JYW195427:JYW195492 KIS195427:KIS195492 KSO195427:KSO195492 LCK195427:LCK195492 LMG195427:LMG195492 LWC195427:LWC195492 MFY195427:MFY195492 MPU195427:MPU195492 MZQ195427:MZQ195492 NJM195427:NJM195492 NTI195427:NTI195492 ODE195427:ODE195492 ONA195427:ONA195492 OWW195427:OWW195492 PGS195427:PGS195492 PQO195427:PQO195492 QAK195427:QAK195492 QKG195427:QKG195492 QUC195427:QUC195492 RDY195427:RDY195492 RNU195427:RNU195492 RXQ195427:RXQ195492 SHM195427:SHM195492 SRI195427:SRI195492 TBE195427:TBE195492 TLA195427:TLA195492 TUW195427:TUW195492 UES195427:UES195492 UOO195427:UOO195492 UYK195427:UYK195492 VIG195427:VIG195492 VSC195427:VSC195492 WBY195427:WBY195492 WLU195427:WLU195492 WVQ195427:WVQ195492 I260963:I261028 JE260963:JE261028 TA260963:TA261028 ACW260963:ACW261028 AMS260963:AMS261028 AWO260963:AWO261028 BGK260963:BGK261028 BQG260963:BQG261028 CAC260963:CAC261028 CJY260963:CJY261028 CTU260963:CTU261028 DDQ260963:DDQ261028 DNM260963:DNM261028 DXI260963:DXI261028 EHE260963:EHE261028 ERA260963:ERA261028 FAW260963:FAW261028 FKS260963:FKS261028 FUO260963:FUO261028 GEK260963:GEK261028 GOG260963:GOG261028 GYC260963:GYC261028 HHY260963:HHY261028 HRU260963:HRU261028 IBQ260963:IBQ261028 ILM260963:ILM261028 IVI260963:IVI261028 JFE260963:JFE261028 JPA260963:JPA261028 JYW260963:JYW261028 KIS260963:KIS261028 KSO260963:KSO261028 LCK260963:LCK261028 LMG260963:LMG261028 LWC260963:LWC261028 MFY260963:MFY261028 MPU260963:MPU261028 MZQ260963:MZQ261028 NJM260963:NJM261028 NTI260963:NTI261028 ODE260963:ODE261028 ONA260963:ONA261028 OWW260963:OWW261028 PGS260963:PGS261028 PQO260963:PQO261028 QAK260963:QAK261028 QKG260963:QKG261028 QUC260963:QUC261028 RDY260963:RDY261028 RNU260963:RNU261028 RXQ260963:RXQ261028 SHM260963:SHM261028 SRI260963:SRI261028 TBE260963:TBE261028 TLA260963:TLA261028 TUW260963:TUW261028 UES260963:UES261028 UOO260963:UOO261028 UYK260963:UYK261028 VIG260963:VIG261028 VSC260963:VSC261028 WBY260963:WBY261028 WLU260963:WLU261028 WVQ260963:WVQ261028 I326499:I326564 JE326499:JE326564 TA326499:TA326564 ACW326499:ACW326564 AMS326499:AMS326564 AWO326499:AWO326564 BGK326499:BGK326564 BQG326499:BQG326564 CAC326499:CAC326564 CJY326499:CJY326564 CTU326499:CTU326564 DDQ326499:DDQ326564 DNM326499:DNM326564 DXI326499:DXI326564 EHE326499:EHE326564 ERA326499:ERA326564 FAW326499:FAW326564 FKS326499:FKS326564 FUO326499:FUO326564 GEK326499:GEK326564 GOG326499:GOG326564 GYC326499:GYC326564 HHY326499:HHY326564 HRU326499:HRU326564 IBQ326499:IBQ326564 ILM326499:ILM326564 IVI326499:IVI326564 JFE326499:JFE326564 JPA326499:JPA326564 JYW326499:JYW326564 KIS326499:KIS326564 KSO326499:KSO326564 LCK326499:LCK326564 LMG326499:LMG326564 LWC326499:LWC326564 MFY326499:MFY326564 MPU326499:MPU326564 MZQ326499:MZQ326564 NJM326499:NJM326564 NTI326499:NTI326564 ODE326499:ODE326564 ONA326499:ONA326564 OWW326499:OWW326564 PGS326499:PGS326564 PQO326499:PQO326564 QAK326499:QAK326564 QKG326499:QKG326564 QUC326499:QUC326564 RDY326499:RDY326564 RNU326499:RNU326564 RXQ326499:RXQ326564 SHM326499:SHM326564 SRI326499:SRI326564 TBE326499:TBE326564 TLA326499:TLA326564 TUW326499:TUW326564 UES326499:UES326564 UOO326499:UOO326564 UYK326499:UYK326564 VIG326499:VIG326564 VSC326499:VSC326564 WBY326499:WBY326564 WLU326499:WLU326564 WVQ326499:WVQ326564 I392035:I392100 JE392035:JE392100 TA392035:TA392100 ACW392035:ACW392100 AMS392035:AMS392100 AWO392035:AWO392100 BGK392035:BGK392100 BQG392035:BQG392100 CAC392035:CAC392100 CJY392035:CJY392100 CTU392035:CTU392100 DDQ392035:DDQ392100 DNM392035:DNM392100 DXI392035:DXI392100 EHE392035:EHE392100 ERA392035:ERA392100 FAW392035:FAW392100 FKS392035:FKS392100 FUO392035:FUO392100 GEK392035:GEK392100 GOG392035:GOG392100 GYC392035:GYC392100 HHY392035:HHY392100 HRU392035:HRU392100 IBQ392035:IBQ392100 ILM392035:ILM392100 IVI392035:IVI392100 JFE392035:JFE392100 JPA392035:JPA392100 JYW392035:JYW392100 KIS392035:KIS392100 KSO392035:KSO392100 LCK392035:LCK392100 LMG392035:LMG392100 LWC392035:LWC392100 MFY392035:MFY392100 MPU392035:MPU392100 MZQ392035:MZQ392100 NJM392035:NJM392100 NTI392035:NTI392100 ODE392035:ODE392100 ONA392035:ONA392100 OWW392035:OWW392100 PGS392035:PGS392100 PQO392035:PQO392100 QAK392035:QAK392100 QKG392035:QKG392100 QUC392035:QUC392100 RDY392035:RDY392100 RNU392035:RNU392100 RXQ392035:RXQ392100 SHM392035:SHM392100 SRI392035:SRI392100 TBE392035:TBE392100 TLA392035:TLA392100 TUW392035:TUW392100 UES392035:UES392100 UOO392035:UOO392100 UYK392035:UYK392100 VIG392035:VIG392100 VSC392035:VSC392100 WBY392035:WBY392100 WLU392035:WLU392100 WVQ392035:WVQ392100 I457571:I457636 JE457571:JE457636 TA457571:TA457636 ACW457571:ACW457636 AMS457571:AMS457636 AWO457571:AWO457636 BGK457571:BGK457636 BQG457571:BQG457636 CAC457571:CAC457636 CJY457571:CJY457636 CTU457571:CTU457636 DDQ457571:DDQ457636 DNM457571:DNM457636 DXI457571:DXI457636 EHE457571:EHE457636 ERA457571:ERA457636 FAW457571:FAW457636 FKS457571:FKS457636 FUO457571:FUO457636 GEK457571:GEK457636 GOG457571:GOG457636 GYC457571:GYC457636 HHY457571:HHY457636 HRU457571:HRU457636 IBQ457571:IBQ457636 ILM457571:ILM457636 IVI457571:IVI457636 JFE457571:JFE457636 JPA457571:JPA457636 JYW457571:JYW457636 KIS457571:KIS457636 KSO457571:KSO457636 LCK457571:LCK457636 LMG457571:LMG457636 LWC457571:LWC457636 MFY457571:MFY457636 MPU457571:MPU457636 MZQ457571:MZQ457636 NJM457571:NJM457636 NTI457571:NTI457636 ODE457571:ODE457636 ONA457571:ONA457636 OWW457571:OWW457636 PGS457571:PGS457636 PQO457571:PQO457636 QAK457571:QAK457636 QKG457571:QKG457636 QUC457571:QUC457636 RDY457571:RDY457636 RNU457571:RNU457636 RXQ457571:RXQ457636 SHM457571:SHM457636 SRI457571:SRI457636 TBE457571:TBE457636 TLA457571:TLA457636 TUW457571:TUW457636 UES457571:UES457636 UOO457571:UOO457636 UYK457571:UYK457636 VIG457571:VIG457636 VSC457571:VSC457636 WBY457571:WBY457636 WLU457571:WLU457636 WVQ457571:WVQ457636 I523107:I523172 JE523107:JE523172 TA523107:TA523172 ACW523107:ACW523172 AMS523107:AMS523172 AWO523107:AWO523172 BGK523107:BGK523172 BQG523107:BQG523172 CAC523107:CAC523172 CJY523107:CJY523172 CTU523107:CTU523172 DDQ523107:DDQ523172 DNM523107:DNM523172 DXI523107:DXI523172 EHE523107:EHE523172 ERA523107:ERA523172 FAW523107:FAW523172 FKS523107:FKS523172 FUO523107:FUO523172 GEK523107:GEK523172 GOG523107:GOG523172 GYC523107:GYC523172 HHY523107:HHY523172 HRU523107:HRU523172 IBQ523107:IBQ523172 ILM523107:ILM523172 IVI523107:IVI523172 JFE523107:JFE523172 JPA523107:JPA523172 JYW523107:JYW523172 KIS523107:KIS523172 KSO523107:KSO523172 LCK523107:LCK523172 LMG523107:LMG523172 LWC523107:LWC523172 MFY523107:MFY523172 MPU523107:MPU523172 MZQ523107:MZQ523172 NJM523107:NJM523172 NTI523107:NTI523172 ODE523107:ODE523172 ONA523107:ONA523172 OWW523107:OWW523172 PGS523107:PGS523172 PQO523107:PQO523172 QAK523107:QAK523172 QKG523107:QKG523172 QUC523107:QUC523172 RDY523107:RDY523172 RNU523107:RNU523172 RXQ523107:RXQ523172 SHM523107:SHM523172 SRI523107:SRI523172 TBE523107:TBE523172 TLA523107:TLA523172 TUW523107:TUW523172 UES523107:UES523172 UOO523107:UOO523172 UYK523107:UYK523172 VIG523107:VIG523172 VSC523107:VSC523172 WBY523107:WBY523172 WLU523107:WLU523172 WVQ523107:WVQ523172 I588643:I588708 JE588643:JE588708 TA588643:TA588708 ACW588643:ACW588708 AMS588643:AMS588708 AWO588643:AWO588708 BGK588643:BGK588708 BQG588643:BQG588708 CAC588643:CAC588708 CJY588643:CJY588708 CTU588643:CTU588708 DDQ588643:DDQ588708 DNM588643:DNM588708 DXI588643:DXI588708 EHE588643:EHE588708 ERA588643:ERA588708 FAW588643:FAW588708 FKS588643:FKS588708 FUO588643:FUO588708 GEK588643:GEK588708 GOG588643:GOG588708 GYC588643:GYC588708 HHY588643:HHY588708 HRU588643:HRU588708 IBQ588643:IBQ588708 ILM588643:ILM588708 IVI588643:IVI588708 JFE588643:JFE588708 JPA588643:JPA588708 JYW588643:JYW588708 KIS588643:KIS588708 KSO588643:KSO588708 LCK588643:LCK588708 LMG588643:LMG588708 LWC588643:LWC588708 MFY588643:MFY588708 MPU588643:MPU588708 MZQ588643:MZQ588708 NJM588643:NJM588708 NTI588643:NTI588708 ODE588643:ODE588708 ONA588643:ONA588708 OWW588643:OWW588708 PGS588643:PGS588708 PQO588643:PQO588708 QAK588643:QAK588708 QKG588643:QKG588708 QUC588643:QUC588708 RDY588643:RDY588708 RNU588643:RNU588708 RXQ588643:RXQ588708 SHM588643:SHM588708 SRI588643:SRI588708 TBE588643:TBE588708 TLA588643:TLA588708 TUW588643:TUW588708 UES588643:UES588708 UOO588643:UOO588708 UYK588643:UYK588708 VIG588643:VIG588708 VSC588643:VSC588708 WBY588643:WBY588708 WLU588643:WLU588708 WVQ588643:WVQ588708 I654179:I654244 JE654179:JE654244 TA654179:TA654244 ACW654179:ACW654244 AMS654179:AMS654244 AWO654179:AWO654244 BGK654179:BGK654244 BQG654179:BQG654244 CAC654179:CAC654244 CJY654179:CJY654244 CTU654179:CTU654244 DDQ654179:DDQ654244 DNM654179:DNM654244 DXI654179:DXI654244 EHE654179:EHE654244 ERA654179:ERA654244 FAW654179:FAW654244 FKS654179:FKS654244 FUO654179:FUO654244 GEK654179:GEK654244 GOG654179:GOG654244 GYC654179:GYC654244 HHY654179:HHY654244 HRU654179:HRU654244 IBQ654179:IBQ654244 ILM654179:ILM654244 IVI654179:IVI654244 JFE654179:JFE654244 JPA654179:JPA654244 JYW654179:JYW654244 KIS654179:KIS654244 KSO654179:KSO654244 LCK654179:LCK654244 LMG654179:LMG654244 LWC654179:LWC654244 MFY654179:MFY654244 MPU654179:MPU654244 MZQ654179:MZQ654244 NJM654179:NJM654244 NTI654179:NTI654244 ODE654179:ODE654244 ONA654179:ONA654244 OWW654179:OWW654244 PGS654179:PGS654244 PQO654179:PQO654244 QAK654179:QAK654244 QKG654179:QKG654244 QUC654179:QUC654244 RDY654179:RDY654244 RNU654179:RNU654244 RXQ654179:RXQ654244 SHM654179:SHM654244 SRI654179:SRI654244 TBE654179:TBE654244 TLA654179:TLA654244 TUW654179:TUW654244 UES654179:UES654244 UOO654179:UOO654244 UYK654179:UYK654244 VIG654179:VIG654244 VSC654179:VSC654244 WBY654179:WBY654244 WLU654179:WLU654244 WVQ654179:WVQ654244 I719715:I719780 JE719715:JE719780 TA719715:TA719780 ACW719715:ACW719780 AMS719715:AMS719780 AWO719715:AWO719780 BGK719715:BGK719780 BQG719715:BQG719780 CAC719715:CAC719780 CJY719715:CJY719780 CTU719715:CTU719780 DDQ719715:DDQ719780 DNM719715:DNM719780 DXI719715:DXI719780 EHE719715:EHE719780 ERA719715:ERA719780 FAW719715:FAW719780 FKS719715:FKS719780 FUO719715:FUO719780 GEK719715:GEK719780 GOG719715:GOG719780 GYC719715:GYC719780 HHY719715:HHY719780 HRU719715:HRU719780 IBQ719715:IBQ719780 ILM719715:ILM719780 IVI719715:IVI719780 JFE719715:JFE719780 JPA719715:JPA719780 JYW719715:JYW719780 KIS719715:KIS719780 KSO719715:KSO719780 LCK719715:LCK719780 LMG719715:LMG719780 LWC719715:LWC719780 MFY719715:MFY719780 MPU719715:MPU719780 MZQ719715:MZQ719780 NJM719715:NJM719780 NTI719715:NTI719780 ODE719715:ODE719780 ONA719715:ONA719780 OWW719715:OWW719780 PGS719715:PGS719780 PQO719715:PQO719780 QAK719715:QAK719780 QKG719715:QKG719780 QUC719715:QUC719780 RDY719715:RDY719780 RNU719715:RNU719780 RXQ719715:RXQ719780 SHM719715:SHM719780 SRI719715:SRI719780 TBE719715:TBE719780 TLA719715:TLA719780 TUW719715:TUW719780 UES719715:UES719780 UOO719715:UOO719780 UYK719715:UYK719780 VIG719715:VIG719780 VSC719715:VSC719780 WBY719715:WBY719780 WLU719715:WLU719780 WVQ719715:WVQ719780 I785251:I785316 JE785251:JE785316 TA785251:TA785316 ACW785251:ACW785316 AMS785251:AMS785316 AWO785251:AWO785316 BGK785251:BGK785316 BQG785251:BQG785316 CAC785251:CAC785316 CJY785251:CJY785316 CTU785251:CTU785316 DDQ785251:DDQ785316 DNM785251:DNM785316 DXI785251:DXI785316 EHE785251:EHE785316 ERA785251:ERA785316 FAW785251:FAW785316 FKS785251:FKS785316 FUO785251:FUO785316 GEK785251:GEK785316 GOG785251:GOG785316 GYC785251:GYC785316 HHY785251:HHY785316 HRU785251:HRU785316 IBQ785251:IBQ785316 ILM785251:ILM785316 IVI785251:IVI785316 JFE785251:JFE785316 JPA785251:JPA785316 JYW785251:JYW785316 KIS785251:KIS785316 KSO785251:KSO785316 LCK785251:LCK785316 LMG785251:LMG785316 LWC785251:LWC785316 MFY785251:MFY785316 MPU785251:MPU785316 MZQ785251:MZQ785316 NJM785251:NJM785316 NTI785251:NTI785316 ODE785251:ODE785316 ONA785251:ONA785316 OWW785251:OWW785316 PGS785251:PGS785316 PQO785251:PQO785316 QAK785251:QAK785316 QKG785251:QKG785316 QUC785251:QUC785316 RDY785251:RDY785316 RNU785251:RNU785316 RXQ785251:RXQ785316 SHM785251:SHM785316 SRI785251:SRI785316 TBE785251:TBE785316 TLA785251:TLA785316 TUW785251:TUW785316 UES785251:UES785316 UOO785251:UOO785316 UYK785251:UYK785316 VIG785251:VIG785316 VSC785251:VSC785316 WBY785251:WBY785316 WLU785251:WLU785316 WVQ785251:WVQ785316 I850787:I850852 JE850787:JE850852 TA850787:TA850852 ACW850787:ACW850852 AMS850787:AMS850852 AWO850787:AWO850852 BGK850787:BGK850852 BQG850787:BQG850852 CAC850787:CAC850852 CJY850787:CJY850852 CTU850787:CTU850852 DDQ850787:DDQ850852 DNM850787:DNM850852 DXI850787:DXI850852 EHE850787:EHE850852 ERA850787:ERA850852 FAW850787:FAW850852 FKS850787:FKS850852 FUO850787:FUO850852 GEK850787:GEK850852 GOG850787:GOG850852 GYC850787:GYC850852 HHY850787:HHY850852 HRU850787:HRU850852 IBQ850787:IBQ850852 ILM850787:ILM850852 IVI850787:IVI850852 JFE850787:JFE850852 JPA850787:JPA850852 JYW850787:JYW850852 KIS850787:KIS850852 KSO850787:KSO850852 LCK850787:LCK850852 LMG850787:LMG850852 LWC850787:LWC850852 MFY850787:MFY850852 MPU850787:MPU850852 MZQ850787:MZQ850852 NJM850787:NJM850852 NTI850787:NTI850852 ODE850787:ODE850852 ONA850787:ONA850852 OWW850787:OWW850852 PGS850787:PGS850852 PQO850787:PQO850852 QAK850787:QAK850852 QKG850787:QKG850852 QUC850787:QUC850852 RDY850787:RDY850852 RNU850787:RNU850852 RXQ850787:RXQ850852 SHM850787:SHM850852 SRI850787:SRI850852 TBE850787:TBE850852 TLA850787:TLA850852 TUW850787:TUW850852 UES850787:UES850852 UOO850787:UOO850852 UYK850787:UYK850852 VIG850787:VIG850852 VSC850787:VSC850852 WBY850787:WBY850852 WLU850787:WLU850852 WVQ850787:WVQ850852 I916323:I916388 JE916323:JE916388 TA916323:TA916388 ACW916323:ACW916388 AMS916323:AMS916388 AWO916323:AWO916388 BGK916323:BGK916388 BQG916323:BQG916388 CAC916323:CAC916388 CJY916323:CJY916388 CTU916323:CTU916388 DDQ916323:DDQ916388 DNM916323:DNM916388 DXI916323:DXI916388 EHE916323:EHE916388 ERA916323:ERA916388 FAW916323:FAW916388 FKS916323:FKS916388 FUO916323:FUO916388 GEK916323:GEK916388 GOG916323:GOG916388 GYC916323:GYC916388 HHY916323:HHY916388 HRU916323:HRU916388 IBQ916323:IBQ916388 ILM916323:ILM916388 IVI916323:IVI916388 JFE916323:JFE916388 JPA916323:JPA916388 JYW916323:JYW916388 KIS916323:KIS916388 KSO916323:KSO916388 LCK916323:LCK916388 LMG916323:LMG916388 LWC916323:LWC916388 MFY916323:MFY916388 MPU916323:MPU916388 MZQ916323:MZQ916388 NJM916323:NJM916388 NTI916323:NTI916388 ODE916323:ODE916388 ONA916323:ONA916388 OWW916323:OWW916388 PGS916323:PGS916388 PQO916323:PQO916388 QAK916323:QAK916388 QKG916323:QKG916388 QUC916323:QUC916388 RDY916323:RDY916388 RNU916323:RNU916388 RXQ916323:RXQ916388 SHM916323:SHM916388 SRI916323:SRI916388 TBE916323:TBE916388 TLA916323:TLA916388 TUW916323:TUW916388 UES916323:UES916388 UOO916323:UOO916388 UYK916323:UYK916388 VIG916323:VIG916388 VSC916323:VSC916388 WBY916323:WBY916388 WLU916323:WLU916388 WVQ916323:WVQ916388 I981859:I981924 JE981859:JE981924 TA981859:TA981924 ACW981859:ACW981924 AMS981859:AMS981924 AWO981859:AWO981924 BGK981859:BGK981924 BQG981859:BQG981924 CAC981859:CAC981924 CJY981859:CJY981924 CTU981859:CTU981924 DDQ981859:DDQ981924 DNM981859:DNM981924 DXI981859:DXI981924 EHE981859:EHE981924 ERA981859:ERA981924 FAW981859:FAW981924 FKS981859:FKS981924 FUO981859:FUO981924 GEK981859:GEK981924 GOG981859:GOG981924 GYC981859:GYC981924 HHY981859:HHY981924 HRU981859:HRU981924 IBQ981859:IBQ981924 ILM981859:ILM981924 IVI981859:IVI981924 JFE981859:JFE981924 JPA981859:JPA981924 JYW981859:JYW981924 KIS981859:KIS981924 KSO981859:KSO981924 LCK981859:LCK981924 LMG981859:LMG981924 LWC981859:LWC981924 MFY981859:MFY981924 MPU981859:MPU981924 MZQ981859:MZQ981924 NJM981859:NJM981924 NTI981859:NTI981924 ODE981859:ODE981924 ONA981859:ONA981924 OWW981859:OWW981924 PGS981859:PGS981924 PQO981859:PQO981924 QAK981859:QAK981924 QKG981859:QKG981924 QUC981859:QUC981924 RDY981859:RDY981924 RNU981859:RNU981924 RXQ981859:RXQ981924 SHM981859:SHM981924 SRI981859:SRI981924 TBE981859:TBE981924 TLA981859:TLA981924 TUW981859:TUW981924 UES981859:UES981924 UOO981859:UOO981924 UYK981859:UYK981924 VIG981859:VIG981924 VSC981859:VSC981924 WBY981859:WBY981924 WLU981859:WLU981924 WVQ981859:WVQ981924 I1047395:I1047460 JE1047395:JE1047460 TA1047395:TA1047460 ACW1047395:ACW1047460 AMS1047395:AMS1047460 AWO1047395:AWO1047460 BGK1047395:BGK1047460 BQG1047395:BQG1047460 CAC1047395:CAC1047460 CJY1047395:CJY1047460 CTU1047395:CTU1047460 DDQ1047395:DDQ1047460 DNM1047395:DNM1047460 DXI1047395:DXI1047460 EHE1047395:EHE1047460 ERA1047395:ERA1047460 FAW1047395:FAW1047460 FKS1047395:FKS1047460 FUO1047395:FUO1047460 GEK1047395:GEK1047460 GOG1047395:GOG1047460 GYC1047395:GYC1047460 HHY1047395:HHY1047460 HRU1047395:HRU1047460 IBQ1047395:IBQ1047460 ILM1047395:ILM1047460 IVI1047395:IVI1047460 JFE1047395:JFE1047460 JPA1047395:JPA1047460 JYW1047395:JYW1047460 KIS1047395:KIS1047460 KSO1047395:KSO1047460 LCK1047395:LCK1047460 LMG1047395:LMG1047460 LWC1047395:LWC1047460 MFY1047395:MFY1047460 MPU1047395:MPU1047460 MZQ1047395:MZQ1047460 NJM1047395:NJM1047460 NTI1047395:NTI1047460 ODE1047395:ODE1047460 ONA1047395:ONA1047460 OWW1047395:OWW1047460 PGS1047395:PGS1047460 PQO1047395:PQO1047460 QAK1047395:QAK1047460 QKG1047395:QKG1047460 QUC1047395:QUC1047460 RDY1047395:RDY1047460 RNU1047395:RNU1047460 RXQ1047395:RXQ1047460 SHM1047395:SHM1047460 SRI1047395:SRI1047460 TBE1047395:TBE1047460 TLA1047395:TLA1047460 TUW1047395:TUW1047460 UES1047395:UES1047460 UOO1047395:UOO1047460 UYK1047395:UYK1047460 VIG1047395:VIG1047460 VSC1047395:VSC1047460 WBY1047395:WBY1047460 WLU1047395:WLU1047460 WVQ1047395:WVQ1047460 WVQ983034:WVQ983099 I65530:I65595 JE65530:JE65595 TA65530:TA65595 ACW65530:ACW65595 AMS65530:AMS65595 AWO65530:AWO65595 BGK65530:BGK65595 BQG65530:BQG65595 CAC65530:CAC65595 CJY65530:CJY65595 CTU65530:CTU65595 DDQ65530:DDQ65595 DNM65530:DNM65595 DXI65530:DXI65595 EHE65530:EHE65595 ERA65530:ERA65595 FAW65530:FAW65595 FKS65530:FKS65595 FUO65530:FUO65595 GEK65530:GEK65595 GOG65530:GOG65595 GYC65530:GYC65595 HHY65530:HHY65595 HRU65530:HRU65595 IBQ65530:IBQ65595 ILM65530:ILM65595 IVI65530:IVI65595 JFE65530:JFE65595 JPA65530:JPA65595 JYW65530:JYW65595 KIS65530:KIS65595 KSO65530:KSO65595 LCK65530:LCK65595 LMG65530:LMG65595 LWC65530:LWC65595 MFY65530:MFY65595 MPU65530:MPU65595 MZQ65530:MZQ65595 NJM65530:NJM65595 NTI65530:NTI65595 ODE65530:ODE65595 ONA65530:ONA65595 OWW65530:OWW65595 PGS65530:PGS65595 PQO65530:PQO65595 QAK65530:QAK65595 QKG65530:QKG65595 QUC65530:QUC65595 RDY65530:RDY65595 RNU65530:RNU65595 RXQ65530:RXQ65595 SHM65530:SHM65595 SRI65530:SRI65595 TBE65530:TBE65595 TLA65530:TLA65595 TUW65530:TUW65595 UES65530:UES65595 UOO65530:UOO65595 UYK65530:UYK65595 VIG65530:VIG65595 VSC65530:VSC65595 WBY65530:WBY65595 WLU65530:WLU65595 WVQ65530:WVQ65595 I131066:I131131 JE131066:JE131131 TA131066:TA131131 ACW131066:ACW131131 AMS131066:AMS131131 AWO131066:AWO131131 BGK131066:BGK131131 BQG131066:BQG131131 CAC131066:CAC131131 CJY131066:CJY131131 CTU131066:CTU131131 DDQ131066:DDQ131131 DNM131066:DNM131131 DXI131066:DXI131131 EHE131066:EHE131131 ERA131066:ERA131131 FAW131066:FAW131131 FKS131066:FKS131131 FUO131066:FUO131131 GEK131066:GEK131131 GOG131066:GOG131131 GYC131066:GYC131131 HHY131066:HHY131131 HRU131066:HRU131131 IBQ131066:IBQ131131 ILM131066:ILM131131 IVI131066:IVI131131 JFE131066:JFE131131 JPA131066:JPA131131 JYW131066:JYW131131 KIS131066:KIS131131 KSO131066:KSO131131 LCK131066:LCK131131 LMG131066:LMG131131 LWC131066:LWC131131 MFY131066:MFY131131 MPU131066:MPU131131 MZQ131066:MZQ131131 NJM131066:NJM131131 NTI131066:NTI131131 ODE131066:ODE131131 ONA131066:ONA131131 OWW131066:OWW131131 PGS131066:PGS131131 PQO131066:PQO131131 QAK131066:QAK131131 QKG131066:QKG131131 QUC131066:QUC131131 RDY131066:RDY131131 RNU131066:RNU131131 RXQ131066:RXQ131131 SHM131066:SHM131131 SRI131066:SRI131131 TBE131066:TBE131131 TLA131066:TLA131131 TUW131066:TUW131131 UES131066:UES131131 UOO131066:UOO131131 UYK131066:UYK131131 VIG131066:VIG131131 VSC131066:VSC131131 WBY131066:WBY131131 WLU131066:WLU131131 WVQ131066:WVQ131131 I196602:I196667 JE196602:JE196667 TA196602:TA196667 ACW196602:ACW196667 AMS196602:AMS196667 AWO196602:AWO196667 BGK196602:BGK196667 BQG196602:BQG196667 CAC196602:CAC196667 CJY196602:CJY196667 CTU196602:CTU196667 DDQ196602:DDQ196667 DNM196602:DNM196667 DXI196602:DXI196667 EHE196602:EHE196667 ERA196602:ERA196667 FAW196602:FAW196667 FKS196602:FKS196667 FUO196602:FUO196667 GEK196602:GEK196667 GOG196602:GOG196667 GYC196602:GYC196667 HHY196602:HHY196667 HRU196602:HRU196667 IBQ196602:IBQ196667 ILM196602:ILM196667 IVI196602:IVI196667 JFE196602:JFE196667 JPA196602:JPA196667 JYW196602:JYW196667 KIS196602:KIS196667 KSO196602:KSO196667 LCK196602:LCK196667 LMG196602:LMG196667 LWC196602:LWC196667 MFY196602:MFY196667 MPU196602:MPU196667 MZQ196602:MZQ196667 NJM196602:NJM196667 NTI196602:NTI196667 ODE196602:ODE196667 ONA196602:ONA196667 OWW196602:OWW196667 PGS196602:PGS196667 PQO196602:PQO196667 QAK196602:QAK196667 QKG196602:QKG196667 QUC196602:QUC196667 RDY196602:RDY196667 RNU196602:RNU196667 RXQ196602:RXQ196667 SHM196602:SHM196667 SRI196602:SRI196667 TBE196602:TBE196667 TLA196602:TLA196667 TUW196602:TUW196667 UES196602:UES196667 UOO196602:UOO196667 UYK196602:UYK196667 VIG196602:VIG196667 VSC196602:VSC196667 WBY196602:WBY196667 WLU196602:WLU196667 WVQ196602:WVQ196667 I262138:I262203 JE262138:JE262203 TA262138:TA262203 ACW262138:ACW262203 AMS262138:AMS262203 AWO262138:AWO262203 BGK262138:BGK262203 BQG262138:BQG262203 CAC262138:CAC262203 CJY262138:CJY262203 CTU262138:CTU262203 DDQ262138:DDQ262203 DNM262138:DNM262203 DXI262138:DXI262203 EHE262138:EHE262203 ERA262138:ERA262203 FAW262138:FAW262203 FKS262138:FKS262203 FUO262138:FUO262203 GEK262138:GEK262203 GOG262138:GOG262203 GYC262138:GYC262203 HHY262138:HHY262203 HRU262138:HRU262203 IBQ262138:IBQ262203 ILM262138:ILM262203 IVI262138:IVI262203 JFE262138:JFE262203 JPA262138:JPA262203 JYW262138:JYW262203 KIS262138:KIS262203 KSO262138:KSO262203 LCK262138:LCK262203 LMG262138:LMG262203 LWC262138:LWC262203 MFY262138:MFY262203 MPU262138:MPU262203 MZQ262138:MZQ262203 NJM262138:NJM262203 NTI262138:NTI262203 ODE262138:ODE262203 ONA262138:ONA262203 OWW262138:OWW262203 PGS262138:PGS262203 PQO262138:PQO262203 QAK262138:QAK262203 QKG262138:QKG262203 QUC262138:QUC262203 RDY262138:RDY262203 RNU262138:RNU262203 RXQ262138:RXQ262203 SHM262138:SHM262203 SRI262138:SRI262203 TBE262138:TBE262203 TLA262138:TLA262203 TUW262138:TUW262203 UES262138:UES262203 UOO262138:UOO262203 UYK262138:UYK262203 VIG262138:VIG262203 VSC262138:VSC262203 WBY262138:WBY262203 WLU262138:WLU262203 WVQ262138:WVQ262203 I327674:I327739 JE327674:JE327739 TA327674:TA327739 ACW327674:ACW327739 AMS327674:AMS327739 AWO327674:AWO327739 BGK327674:BGK327739 BQG327674:BQG327739 CAC327674:CAC327739 CJY327674:CJY327739 CTU327674:CTU327739 DDQ327674:DDQ327739 DNM327674:DNM327739 DXI327674:DXI327739 EHE327674:EHE327739 ERA327674:ERA327739 FAW327674:FAW327739 FKS327674:FKS327739 FUO327674:FUO327739 GEK327674:GEK327739 GOG327674:GOG327739 GYC327674:GYC327739 HHY327674:HHY327739 HRU327674:HRU327739 IBQ327674:IBQ327739 ILM327674:ILM327739 IVI327674:IVI327739 JFE327674:JFE327739 JPA327674:JPA327739 JYW327674:JYW327739 KIS327674:KIS327739 KSO327674:KSO327739 LCK327674:LCK327739 LMG327674:LMG327739 LWC327674:LWC327739 MFY327674:MFY327739 MPU327674:MPU327739 MZQ327674:MZQ327739 NJM327674:NJM327739 NTI327674:NTI327739 ODE327674:ODE327739 ONA327674:ONA327739 OWW327674:OWW327739 PGS327674:PGS327739 PQO327674:PQO327739 QAK327674:QAK327739 QKG327674:QKG327739 QUC327674:QUC327739 RDY327674:RDY327739 RNU327674:RNU327739 RXQ327674:RXQ327739 SHM327674:SHM327739 SRI327674:SRI327739 TBE327674:TBE327739 TLA327674:TLA327739 TUW327674:TUW327739 UES327674:UES327739 UOO327674:UOO327739 UYK327674:UYK327739 VIG327674:VIG327739 VSC327674:VSC327739 WBY327674:WBY327739 WLU327674:WLU327739 WVQ327674:WVQ327739 I393210:I393275 JE393210:JE393275 TA393210:TA393275 ACW393210:ACW393275 AMS393210:AMS393275 AWO393210:AWO393275 BGK393210:BGK393275 BQG393210:BQG393275 CAC393210:CAC393275 CJY393210:CJY393275 CTU393210:CTU393275 DDQ393210:DDQ393275 DNM393210:DNM393275 DXI393210:DXI393275 EHE393210:EHE393275 ERA393210:ERA393275 FAW393210:FAW393275 FKS393210:FKS393275 FUO393210:FUO393275 GEK393210:GEK393275 GOG393210:GOG393275 GYC393210:GYC393275 HHY393210:HHY393275 HRU393210:HRU393275 IBQ393210:IBQ393275 ILM393210:ILM393275 IVI393210:IVI393275 JFE393210:JFE393275 JPA393210:JPA393275 JYW393210:JYW393275 KIS393210:KIS393275 KSO393210:KSO393275 LCK393210:LCK393275 LMG393210:LMG393275 LWC393210:LWC393275 MFY393210:MFY393275 MPU393210:MPU393275 MZQ393210:MZQ393275 NJM393210:NJM393275 NTI393210:NTI393275 ODE393210:ODE393275 ONA393210:ONA393275 OWW393210:OWW393275 PGS393210:PGS393275 PQO393210:PQO393275 QAK393210:QAK393275 QKG393210:QKG393275 QUC393210:QUC393275 RDY393210:RDY393275 RNU393210:RNU393275 RXQ393210:RXQ393275 SHM393210:SHM393275 SRI393210:SRI393275 TBE393210:TBE393275 TLA393210:TLA393275 TUW393210:TUW393275 UES393210:UES393275 UOO393210:UOO393275 UYK393210:UYK393275 VIG393210:VIG393275 VSC393210:VSC393275 WBY393210:WBY393275 WLU393210:WLU393275 WVQ393210:WVQ393275 I458746:I458811 JE458746:JE458811 TA458746:TA458811 ACW458746:ACW458811 AMS458746:AMS458811 AWO458746:AWO458811 BGK458746:BGK458811 BQG458746:BQG458811 CAC458746:CAC458811 CJY458746:CJY458811 CTU458746:CTU458811 DDQ458746:DDQ458811 DNM458746:DNM458811 DXI458746:DXI458811 EHE458746:EHE458811 ERA458746:ERA458811 FAW458746:FAW458811 FKS458746:FKS458811 FUO458746:FUO458811 GEK458746:GEK458811 GOG458746:GOG458811 GYC458746:GYC458811 HHY458746:HHY458811 HRU458746:HRU458811 IBQ458746:IBQ458811 ILM458746:ILM458811 IVI458746:IVI458811 JFE458746:JFE458811 JPA458746:JPA458811 JYW458746:JYW458811 KIS458746:KIS458811 KSO458746:KSO458811 LCK458746:LCK458811 LMG458746:LMG458811 LWC458746:LWC458811 MFY458746:MFY458811 MPU458746:MPU458811 MZQ458746:MZQ458811 NJM458746:NJM458811 NTI458746:NTI458811 ODE458746:ODE458811 ONA458746:ONA458811 OWW458746:OWW458811 PGS458746:PGS458811 PQO458746:PQO458811 QAK458746:QAK458811 QKG458746:QKG458811 QUC458746:QUC458811 RDY458746:RDY458811 RNU458746:RNU458811 RXQ458746:RXQ458811 SHM458746:SHM458811 SRI458746:SRI458811 TBE458746:TBE458811 TLA458746:TLA458811 TUW458746:TUW458811 UES458746:UES458811 UOO458746:UOO458811 UYK458746:UYK458811 VIG458746:VIG458811 VSC458746:VSC458811 WBY458746:WBY458811 WLU458746:WLU458811 WVQ458746:WVQ458811 I524282:I524347 JE524282:JE524347 TA524282:TA524347 ACW524282:ACW524347 AMS524282:AMS524347 AWO524282:AWO524347 BGK524282:BGK524347 BQG524282:BQG524347 CAC524282:CAC524347 CJY524282:CJY524347 CTU524282:CTU524347 DDQ524282:DDQ524347 DNM524282:DNM524347 DXI524282:DXI524347 EHE524282:EHE524347 ERA524282:ERA524347 FAW524282:FAW524347 FKS524282:FKS524347 FUO524282:FUO524347 GEK524282:GEK524347 GOG524282:GOG524347 GYC524282:GYC524347 HHY524282:HHY524347 HRU524282:HRU524347 IBQ524282:IBQ524347 ILM524282:ILM524347 IVI524282:IVI524347 JFE524282:JFE524347 JPA524282:JPA524347 JYW524282:JYW524347 KIS524282:KIS524347 KSO524282:KSO524347 LCK524282:LCK524347 LMG524282:LMG524347 LWC524282:LWC524347 MFY524282:MFY524347 MPU524282:MPU524347 MZQ524282:MZQ524347 NJM524282:NJM524347 NTI524282:NTI524347 ODE524282:ODE524347 ONA524282:ONA524347 OWW524282:OWW524347 PGS524282:PGS524347 PQO524282:PQO524347 QAK524282:QAK524347 QKG524282:QKG524347 QUC524282:QUC524347 RDY524282:RDY524347 RNU524282:RNU524347 RXQ524282:RXQ524347 SHM524282:SHM524347 SRI524282:SRI524347 TBE524282:TBE524347 TLA524282:TLA524347 TUW524282:TUW524347 UES524282:UES524347 UOO524282:UOO524347 UYK524282:UYK524347 VIG524282:VIG524347 VSC524282:VSC524347 WBY524282:WBY524347 WLU524282:WLU524347 WVQ524282:WVQ524347 I589818:I589883 JE589818:JE589883 TA589818:TA589883 ACW589818:ACW589883 AMS589818:AMS589883 AWO589818:AWO589883 BGK589818:BGK589883 BQG589818:BQG589883 CAC589818:CAC589883 CJY589818:CJY589883 CTU589818:CTU589883 DDQ589818:DDQ589883 DNM589818:DNM589883 DXI589818:DXI589883 EHE589818:EHE589883 ERA589818:ERA589883 FAW589818:FAW589883 FKS589818:FKS589883 FUO589818:FUO589883 GEK589818:GEK589883 GOG589818:GOG589883 GYC589818:GYC589883 HHY589818:HHY589883 HRU589818:HRU589883 IBQ589818:IBQ589883 ILM589818:ILM589883 IVI589818:IVI589883 JFE589818:JFE589883 JPA589818:JPA589883 JYW589818:JYW589883 KIS589818:KIS589883 KSO589818:KSO589883 LCK589818:LCK589883 LMG589818:LMG589883 LWC589818:LWC589883 MFY589818:MFY589883 MPU589818:MPU589883 MZQ589818:MZQ589883 NJM589818:NJM589883 NTI589818:NTI589883 ODE589818:ODE589883 ONA589818:ONA589883 OWW589818:OWW589883 PGS589818:PGS589883 PQO589818:PQO589883 QAK589818:QAK589883 QKG589818:QKG589883 QUC589818:QUC589883 RDY589818:RDY589883 RNU589818:RNU589883 RXQ589818:RXQ589883 SHM589818:SHM589883 SRI589818:SRI589883 TBE589818:TBE589883 TLA589818:TLA589883 TUW589818:TUW589883 UES589818:UES589883 UOO589818:UOO589883 UYK589818:UYK589883 VIG589818:VIG589883 VSC589818:VSC589883 WBY589818:WBY589883 WLU589818:WLU589883 WVQ589818:WVQ589883 I655354:I655419 JE655354:JE655419 TA655354:TA655419 ACW655354:ACW655419 AMS655354:AMS655419 AWO655354:AWO655419 BGK655354:BGK655419 BQG655354:BQG655419 CAC655354:CAC655419 CJY655354:CJY655419 CTU655354:CTU655419 DDQ655354:DDQ655419 DNM655354:DNM655419 DXI655354:DXI655419 EHE655354:EHE655419 ERA655354:ERA655419 FAW655354:FAW655419 FKS655354:FKS655419 FUO655354:FUO655419 GEK655354:GEK655419 GOG655354:GOG655419 GYC655354:GYC655419 HHY655354:HHY655419 HRU655354:HRU655419 IBQ655354:IBQ655419 ILM655354:ILM655419 IVI655354:IVI655419 JFE655354:JFE655419 JPA655354:JPA655419 JYW655354:JYW655419 KIS655354:KIS655419 KSO655354:KSO655419 LCK655354:LCK655419 LMG655354:LMG655419 LWC655354:LWC655419 MFY655354:MFY655419 MPU655354:MPU655419 MZQ655354:MZQ655419 NJM655354:NJM655419 NTI655354:NTI655419 ODE655354:ODE655419 ONA655354:ONA655419 OWW655354:OWW655419 PGS655354:PGS655419 PQO655354:PQO655419 QAK655354:QAK655419 QKG655354:QKG655419 QUC655354:QUC655419 RDY655354:RDY655419 RNU655354:RNU655419 RXQ655354:RXQ655419 SHM655354:SHM655419 SRI655354:SRI655419 TBE655354:TBE655419 TLA655354:TLA655419 TUW655354:TUW655419 UES655354:UES655419 UOO655354:UOO655419 UYK655354:UYK655419 VIG655354:VIG655419 VSC655354:VSC655419 WBY655354:WBY655419 WLU655354:WLU655419 WVQ655354:WVQ655419 I720890:I720955 JE720890:JE720955 TA720890:TA720955 ACW720890:ACW720955 AMS720890:AMS720955 AWO720890:AWO720955 BGK720890:BGK720955 BQG720890:BQG720955 CAC720890:CAC720955 CJY720890:CJY720955 CTU720890:CTU720955 DDQ720890:DDQ720955 DNM720890:DNM720955 DXI720890:DXI720955 EHE720890:EHE720955 ERA720890:ERA720955 FAW720890:FAW720955 FKS720890:FKS720955 FUO720890:FUO720955 GEK720890:GEK720955 GOG720890:GOG720955 GYC720890:GYC720955 HHY720890:HHY720955 HRU720890:HRU720955 IBQ720890:IBQ720955 ILM720890:ILM720955 IVI720890:IVI720955 JFE720890:JFE720955 JPA720890:JPA720955 JYW720890:JYW720955 KIS720890:KIS720955 KSO720890:KSO720955 LCK720890:LCK720955 LMG720890:LMG720955 LWC720890:LWC720955 MFY720890:MFY720955 MPU720890:MPU720955 MZQ720890:MZQ720955 NJM720890:NJM720955 NTI720890:NTI720955 ODE720890:ODE720955 ONA720890:ONA720955 OWW720890:OWW720955 PGS720890:PGS720955 PQO720890:PQO720955 QAK720890:QAK720955 QKG720890:QKG720955 QUC720890:QUC720955 RDY720890:RDY720955 RNU720890:RNU720955 RXQ720890:RXQ720955 SHM720890:SHM720955 SRI720890:SRI720955 TBE720890:TBE720955 TLA720890:TLA720955 TUW720890:TUW720955 UES720890:UES720955 UOO720890:UOO720955 UYK720890:UYK720955 VIG720890:VIG720955 VSC720890:VSC720955 WBY720890:WBY720955 WLU720890:WLU720955 WVQ720890:WVQ720955 I786426:I786491 JE786426:JE786491 TA786426:TA786491 ACW786426:ACW786491 AMS786426:AMS786491 AWO786426:AWO786491 BGK786426:BGK786491 BQG786426:BQG786491 CAC786426:CAC786491 CJY786426:CJY786491 CTU786426:CTU786491 DDQ786426:DDQ786491 DNM786426:DNM786491 DXI786426:DXI786491 EHE786426:EHE786491 ERA786426:ERA786491 FAW786426:FAW786491 FKS786426:FKS786491 FUO786426:FUO786491 GEK786426:GEK786491 GOG786426:GOG786491 GYC786426:GYC786491 HHY786426:HHY786491 HRU786426:HRU786491 IBQ786426:IBQ786491 ILM786426:ILM786491 IVI786426:IVI786491 JFE786426:JFE786491 JPA786426:JPA786491 JYW786426:JYW786491 KIS786426:KIS786491 KSO786426:KSO786491 LCK786426:LCK786491 LMG786426:LMG786491 LWC786426:LWC786491 MFY786426:MFY786491 MPU786426:MPU786491 MZQ786426:MZQ786491 NJM786426:NJM786491 NTI786426:NTI786491 ODE786426:ODE786491 ONA786426:ONA786491 OWW786426:OWW786491 PGS786426:PGS786491 PQO786426:PQO786491 QAK786426:QAK786491 QKG786426:QKG786491 QUC786426:QUC786491 RDY786426:RDY786491 RNU786426:RNU786491 RXQ786426:RXQ786491 SHM786426:SHM786491 SRI786426:SRI786491 TBE786426:TBE786491 TLA786426:TLA786491 TUW786426:TUW786491 UES786426:UES786491 UOO786426:UOO786491 UYK786426:UYK786491 VIG786426:VIG786491 VSC786426:VSC786491 WBY786426:WBY786491 WLU786426:WLU786491 WVQ786426:WVQ786491 I851962:I852027 JE851962:JE852027 TA851962:TA852027 ACW851962:ACW852027 AMS851962:AMS852027 AWO851962:AWO852027 BGK851962:BGK852027 BQG851962:BQG852027 CAC851962:CAC852027 CJY851962:CJY852027 CTU851962:CTU852027 DDQ851962:DDQ852027 DNM851962:DNM852027 DXI851962:DXI852027 EHE851962:EHE852027 ERA851962:ERA852027 FAW851962:FAW852027 FKS851962:FKS852027 FUO851962:FUO852027 GEK851962:GEK852027 GOG851962:GOG852027 GYC851962:GYC852027 HHY851962:HHY852027 HRU851962:HRU852027 IBQ851962:IBQ852027 ILM851962:ILM852027 IVI851962:IVI852027 JFE851962:JFE852027 JPA851962:JPA852027 JYW851962:JYW852027 KIS851962:KIS852027 KSO851962:KSO852027 LCK851962:LCK852027 LMG851962:LMG852027 LWC851962:LWC852027 MFY851962:MFY852027 MPU851962:MPU852027 MZQ851962:MZQ852027 NJM851962:NJM852027 NTI851962:NTI852027 ODE851962:ODE852027 ONA851962:ONA852027 OWW851962:OWW852027 PGS851962:PGS852027 PQO851962:PQO852027 QAK851962:QAK852027 QKG851962:QKG852027 QUC851962:QUC852027 RDY851962:RDY852027 RNU851962:RNU852027 RXQ851962:RXQ852027 SHM851962:SHM852027 SRI851962:SRI852027 TBE851962:TBE852027 TLA851962:TLA852027 TUW851962:TUW852027 UES851962:UES852027 UOO851962:UOO852027 UYK851962:UYK852027 VIG851962:VIG852027 VSC851962:VSC852027 WBY851962:WBY852027 WLU851962:WLU852027 WVQ851962:WVQ852027 I917498:I917563 JE917498:JE917563 TA917498:TA917563 ACW917498:ACW917563 AMS917498:AMS917563 AWO917498:AWO917563 BGK917498:BGK917563 BQG917498:BQG917563 CAC917498:CAC917563 CJY917498:CJY917563 CTU917498:CTU917563 DDQ917498:DDQ917563 DNM917498:DNM917563 DXI917498:DXI917563 EHE917498:EHE917563 ERA917498:ERA917563 FAW917498:FAW917563 FKS917498:FKS917563 FUO917498:FUO917563 GEK917498:GEK917563 GOG917498:GOG917563 GYC917498:GYC917563 HHY917498:HHY917563 HRU917498:HRU917563 IBQ917498:IBQ917563 ILM917498:ILM917563 IVI917498:IVI917563 JFE917498:JFE917563 JPA917498:JPA917563 JYW917498:JYW917563 KIS917498:KIS917563 KSO917498:KSO917563 LCK917498:LCK917563 LMG917498:LMG917563 LWC917498:LWC917563 MFY917498:MFY917563 MPU917498:MPU917563 MZQ917498:MZQ917563 NJM917498:NJM917563 NTI917498:NTI917563 ODE917498:ODE917563 ONA917498:ONA917563 OWW917498:OWW917563 PGS917498:PGS917563 PQO917498:PQO917563 QAK917498:QAK917563 QKG917498:QKG917563 QUC917498:QUC917563 RDY917498:RDY917563 RNU917498:RNU917563 RXQ917498:RXQ917563 SHM917498:SHM917563 SRI917498:SRI917563 TBE917498:TBE917563 TLA917498:TLA917563 TUW917498:TUW917563 UES917498:UES917563 UOO917498:UOO917563 UYK917498:UYK917563 VIG917498:VIG917563 VSC917498:VSC917563 WBY917498:WBY917563 WLU917498:WLU917563 WVQ917498:WVQ917563 I983034:I983099 JE983034:JE983099 TA983034:TA983099 ACW983034:ACW983099 AMS983034:AMS983099 AWO983034:AWO983099 BGK983034:BGK983099 BQG983034:BQG983099 CAC983034:CAC983099 CJY983034:CJY983099 CTU983034:CTU983099 DDQ983034:DDQ983099 DNM983034:DNM983099 DXI983034:DXI983099 EHE983034:EHE983099 ERA983034:ERA983099 FAW983034:FAW983099 FKS983034:FKS983099 FUO983034:FUO983099 GEK983034:GEK983099 GOG983034:GOG983099 GYC983034:GYC983099 HHY983034:HHY983099 HRU983034:HRU983099 IBQ983034:IBQ983099 ILM983034:ILM983099 IVI983034:IVI983099 JFE983034:JFE983099 JPA983034:JPA983099 JYW983034:JYW983099 KIS983034:KIS983099 KSO983034:KSO983099 LCK983034:LCK983099 LMG983034:LMG983099 LWC983034:LWC983099 MFY983034:MFY983099 MPU983034:MPU983099 MZQ983034:MZQ983099 NJM983034:NJM983099 NTI983034:NTI983099 ODE983034:ODE983099 ONA983034:ONA983099 OWW983034:OWW983099 PGS983034:PGS983099 PQO983034:PQO983099 QAK983034:QAK983099 QKG983034:QKG983099 QUC983034:QUC983099 RDY983034:RDY983099 RNU983034:RNU983099 RXQ983034:RXQ983099 SHM983034:SHM983099 SRI983034:SRI983099 TBE983034:TBE983099 TLA983034:TLA983099 TUW983034:TUW983099 UES983034:UES983099 UOO983034:UOO983099 UYK983034:UYK983099 VIG983034:VIG983099 VSC983034:VSC983099 WBY983034:WBY983099 WLU983034:WLU983099 WVQ2:WVQ61 WLU2:WLU61 WBY2:WBY61 VSC2:VSC61 VIG2:VIG61 UYK2:UYK61 UOO2:UOO61 UES2:UES61 TUW2:TUW61 TLA2:TLA61 TBE2:TBE61 SRI2:SRI61 SHM2:SHM61 RXQ2:RXQ61 RNU2:RNU61 RDY2:RDY61 QUC2:QUC61 QKG2:QKG61 QAK2:QAK61 PQO2:PQO61 PGS2:PGS61 OWW2:OWW61 ONA2:ONA61 ODE2:ODE61 NTI2:NTI61 NJM2:NJM61 MZQ2:MZQ61 MPU2:MPU61 MFY2:MFY61 LWC2:LWC61 LMG2:LMG61 LCK2:LCK61 KSO2:KSO61 KIS2:KIS61 JYW2:JYW61 JPA2:JPA61 JFE2:JFE61 IVI2:IVI61 ILM2:ILM61 IBQ2:IBQ61 HRU2:HRU61 HHY2:HHY61 GYC2:GYC61 GOG2:GOG61 GEK2:GEK61 FUO2:FUO61 FKS2:FKS61 FAW2:FAW61 ERA2:ERA61 EHE2:EHE61 DXI2:DXI61 DNM2:DNM61 DDQ2:DDQ61 CTU2:CTU61 CJY2:CJY61 CAC2:CAC61 BQG2:BQG61 BGK2:BGK61 AWO2:AWO61 AMS2:AMS61 ACW2:ACW61 TA2:TA61 I2:I492 JE2:JE61" xr:uid="{CC2030C0-17E3-42F6-A11E-50893BFAAF25}">
      <formula1>$AN$5:$AN$6</formula1>
    </dataValidation>
    <dataValidation type="list" allowBlank="1" showInputMessage="1" showErrorMessage="1" sqref="J64355:J64420 JF64355:JF64420 TB64355:TB64420 ACX64355:ACX64420 AMT64355:AMT64420 AWP64355:AWP64420 BGL64355:BGL64420 BQH64355:BQH64420 CAD64355:CAD64420 CJZ64355:CJZ64420 CTV64355:CTV64420 DDR64355:DDR64420 DNN64355:DNN64420 DXJ64355:DXJ64420 EHF64355:EHF64420 ERB64355:ERB64420 FAX64355:FAX64420 FKT64355:FKT64420 FUP64355:FUP64420 GEL64355:GEL64420 GOH64355:GOH64420 GYD64355:GYD64420 HHZ64355:HHZ64420 HRV64355:HRV64420 IBR64355:IBR64420 ILN64355:ILN64420 IVJ64355:IVJ64420 JFF64355:JFF64420 JPB64355:JPB64420 JYX64355:JYX64420 KIT64355:KIT64420 KSP64355:KSP64420 LCL64355:LCL64420 LMH64355:LMH64420 LWD64355:LWD64420 MFZ64355:MFZ64420 MPV64355:MPV64420 MZR64355:MZR64420 NJN64355:NJN64420 NTJ64355:NTJ64420 ODF64355:ODF64420 ONB64355:ONB64420 OWX64355:OWX64420 PGT64355:PGT64420 PQP64355:PQP64420 QAL64355:QAL64420 QKH64355:QKH64420 QUD64355:QUD64420 RDZ64355:RDZ64420 RNV64355:RNV64420 RXR64355:RXR64420 SHN64355:SHN64420 SRJ64355:SRJ64420 TBF64355:TBF64420 TLB64355:TLB64420 TUX64355:TUX64420 UET64355:UET64420 UOP64355:UOP64420 UYL64355:UYL64420 VIH64355:VIH64420 VSD64355:VSD64420 WBZ64355:WBZ64420 WLV64355:WLV64420 WVR64355:WVR64420 J129891:J129956 JF129891:JF129956 TB129891:TB129956 ACX129891:ACX129956 AMT129891:AMT129956 AWP129891:AWP129956 BGL129891:BGL129956 BQH129891:BQH129956 CAD129891:CAD129956 CJZ129891:CJZ129956 CTV129891:CTV129956 DDR129891:DDR129956 DNN129891:DNN129956 DXJ129891:DXJ129956 EHF129891:EHF129956 ERB129891:ERB129956 FAX129891:FAX129956 FKT129891:FKT129956 FUP129891:FUP129956 GEL129891:GEL129956 GOH129891:GOH129956 GYD129891:GYD129956 HHZ129891:HHZ129956 HRV129891:HRV129956 IBR129891:IBR129956 ILN129891:ILN129956 IVJ129891:IVJ129956 JFF129891:JFF129956 JPB129891:JPB129956 JYX129891:JYX129956 KIT129891:KIT129956 KSP129891:KSP129956 LCL129891:LCL129956 LMH129891:LMH129956 LWD129891:LWD129956 MFZ129891:MFZ129956 MPV129891:MPV129956 MZR129891:MZR129956 NJN129891:NJN129956 NTJ129891:NTJ129956 ODF129891:ODF129956 ONB129891:ONB129956 OWX129891:OWX129956 PGT129891:PGT129956 PQP129891:PQP129956 QAL129891:QAL129956 QKH129891:QKH129956 QUD129891:QUD129956 RDZ129891:RDZ129956 RNV129891:RNV129956 RXR129891:RXR129956 SHN129891:SHN129956 SRJ129891:SRJ129956 TBF129891:TBF129956 TLB129891:TLB129956 TUX129891:TUX129956 UET129891:UET129956 UOP129891:UOP129956 UYL129891:UYL129956 VIH129891:VIH129956 VSD129891:VSD129956 WBZ129891:WBZ129956 WLV129891:WLV129956 WVR129891:WVR129956 J195427:J195492 JF195427:JF195492 TB195427:TB195492 ACX195427:ACX195492 AMT195427:AMT195492 AWP195427:AWP195492 BGL195427:BGL195492 BQH195427:BQH195492 CAD195427:CAD195492 CJZ195427:CJZ195492 CTV195427:CTV195492 DDR195427:DDR195492 DNN195427:DNN195492 DXJ195427:DXJ195492 EHF195427:EHF195492 ERB195427:ERB195492 FAX195427:FAX195492 FKT195427:FKT195492 FUP195427:FUP195492 GEL195427:GEL195492 GOH195427:GOH195492 GYD195427:GYD195492 HHZ195427:HHZ195492 HRV195427:HRV195492 IBR195427:IBR195492 ILN195427:ILN195492 IVJ195427:IVJ195492 JFF195427:JFF195492 JPB195427:JPB195492 JYX195427:JYX195492 KIT195427:KIT195492 KSP195427:KSP195492 LCL195427:LCL195492 LMH195427:LMH195492 LWD195427:LWD195492 MFZ195427:MFZ195492 MPV195427:MPV195492 MZR195427:MZR195492 NJN195427:NJN195492 NTJ195427:NTJ195492 ODF195427:ODF195492 ONB195427:ONB195492 OWX195427:OWX195492 PGT195427:PGT195492 PQP195427:PQP195492 QAL195427:QAL195492 QKH195427:QKH195492 QUD195427:QUD195492 RDZ195427:RDZ195492 RNV195427:RNV195492 RXR195427:RXR195492 SHN195427:SHN195492 SRJ195427:SRJ195492 TBF195427:TBF195492 TLB195427:TLB195492 TUX195427:TUX195492 UET195427:UET195492 UOP195427:UOP195492 UYL195427:UYL195492 VIH195427:VIH195492 VSD195427:VSD195492 WBZ195427:WBZ195492 WLV195427:WLV195492 WVR195427:WVR195492 J260963:J261028 JF260963:JF261028 TB260963:TB261028 ACX260963:ACX261028 AMT260963:AMT261028 AWP260963:AWP261028 BGL260963:BGL261028 BQH260963:BQH261028 CAD260963:CAD261028 CJZ260963:CJZ261028 CTV260963:CTV261028 DDR260963:DDR261028 DNN260963:DNN261028 DXJ260963:DXJ261028 EHF260963:EHF261028 ERB260963:ERB261028 FAX260963:FAX261028 FKT260963:FKT261028 FUP260963:FUP261028 GEL260963:GEL261028 GOH260963:GOH261028 GYD260963:GYD261028 HHZ260963:HHZ261028 HRV260963:HRV261028 IBR260963:IBR261028 ILN260963:ILN261028 IVJ260963:IVJ261028 JFF260963:JFF261028 JPB260963:JPB261028 JYX260963:JYX261028 KIT260963:KIT261028 KSP260963:KSP261028 LCL260963:LCL261028 LMH260963:LMH261028 LWD260963:LWD261028 MFZ260963:MFZ261028 MPV260963:MPV261028 MZR260963:MZR261028 NJN260963:NJN261028 NTJ260963:NTJ261028 ODF260963:ODF261028 ONB260963:ONB261028 OWX260963:OWX261028 PGT260963:PGT261028 PQP260963:PQP261028 QAL260963:QAL261028 QKH260963:QKH261028 QUD260963:QUD261028 RDZ260963:RDZ261028 RNV260963:RNV261028 RXR260963:RXR261028 SHN260963:SHN261028 SRJ260963:SRJ261028 TBF260963:TBF261028 TLB260963:TLB261028 TUX260963:TUX261028 UET260963:UET261028 UOP260963:UOP261028 UYL260963:UYL261028 VIH260963:VIH261028 VSD260963:VSD261028 WBZ260963:WBZ261028 WLV260963:WLV261028 WVR260963:WVR261028 J326499:J326564 JF326499:JF326564 TB326499:TB326564 ACX326499:ACX326564 AMT326499:AMT326564 AWP326499:AWP326564 BGL326499:BGL326564 BQH326499:BQH326564 CAD326499:CAD326564 CJZ326499:CJZ326564 CTV326499:CTV326564 DDR326499:DDR326564 DNN326499:DNN326564 DXJ326499:DXJ326564 EHF326499:EHF326564 ERB326499:ERB326564 FAX326499:FAX326564 FKT326499:FKT326564 FUP326499:FUP326564 GEL326499:GEL326564 GOH326499:GOH326564 GYD326499:GYD326564 HHZ326499:HHZ326564 HRV326499:HRV326564 IBR326499:IBR326564 ILN326499:ILN326564 IVJ326499:IVJ326564 JFF326499:JFF326564 JPB326499:JPB326564 JYX326499:JYX326564 KIT326499:KIT326564 KSP326499:KSP326564 LCL326499:LCL326564 LMH326499:LMH326564 LWD326499:LWD326564 MFZ326499:MFZ326564 MPV326499:MPV326564 MZR326499:MZR326564 NJN326499:NJN326564 NTJ326499:NTJ326564 ODF326499:ODF326564 ONB326499:ONB326564 OWX326499:OWX326564 PGT326499:PGT326564 PQP326499:PQP326564 QAL326499:QAL326564 QKH326499:QKH326564 QUD326499:QUD326564 RDZ326499:RDZ326564 RNV326499:RNV326564 RXR326499:RXR326564 SHN326499:SHN326564 SRJ326499:SRJ326564 TBF326499:TBF326564 TLB326499:TLB326564 TUX326499:TUX326564 UET326499:UET326564 UOP326499:UOP326564 UYL326499:UYL326564 VIH326499:VIH326564 VSD326499:VSD326564 WBZ326499:WBZ326564 WLV326499:WLV326564 WVR326499:WVR326564 J392035:J392100 JF392035:JF392100 TB392035:TB392100 ACX392035:ACX392100 AMT392035:AMT392100 AWP392035:AWP392100 BGL392035:BGL392100 BQH392035:BQH392100 CAD392035:CAD392100 CJZ392035:CJZ392100 CTV392035:CTV392100 DDR392035:DDR392100 DNN392035:DNN392100 DXJ392035:DXJ392100 EHF392035:EHF392100 ERB392035:ERB392100 FAX392035:FAX392100 FKT392035:FKT392100 FUP392035:FUP392100 GEL392035:GEL392100 GOH392035:GOH392100 GYD392035:GYD392100 HHZ392035:HHZ392100 HRV392035:HRV392100 IBR392035:IBR392100 ILN392035:ILN392100 IVJ392035:IVJ392100 JFF392035:JFF392100 JPB392035:JPB392100 JYX392035:JYX392100 KIT392035:KIT392100 KSP392035:KSP392100 LCL392035:LCL392100 LMH392035:LMH392100 LWD392035:LWD392100 MFZ392035:MFZ392100 MPV392035:MPV392100 MZR392035:MZR392100 NJN392035:NJN392100 NTJ392035:NTJ392100 ODF392035:ODF392100 ONB392035:ONB392100 OWX392035:OWX392100 PGT392035:PGT392100 PQP392035:PQP392100 QAL392035:QAL392100 QKH392035:QKH392100 QUD392035:QUD392100 RDZ392035:RDZ392100 RNV392035:RNV392100 RXR392035:RXR392100 SHN392035:SHN392100 SRJ392035:SRJ392100 TBF392035:TBF392100 TLB392035:TLB392100 TUX392035:TUX392100 UET392035:UET392100 UOP392035:UOP392100 UYL392035:UYL392100 VIH392035:VIH392100 VSD392035:VSD392100 WBZ392035:WBZ392100 WLV392035:WLV392100 WVR392035:WVR392100 J457571:J457636 JF457571:JF457636 TB457571:TB457636 ACX457571:ACX457636 AMT457571:AMT457636 AWP457571:AWP457636 BGL457571:BGL457636 BQH457571:BQH457636 CAD457571:CAD457636 CJZ457571:CJZ457636 CTV457571:CTV457636 DDR457571:DDR457636 DNN457571:DNN457636 DXJ457571:DXJ457636 EHF457571:EHF457636 ERB457571:ERB457636 FAX457571:FAX457636 FKT457571:FKT457636 FUP457571:FUP457636 GEL457571:GEL457636 GOH457571:GOH457636 GYD457571:GYD457636 HHZ457571:HHZ457636 HRV457571:HRV457636 IBR457571:IBR457636 ILN457571:ILN457636 IVJ457571:IVJ457636 JFF457571:JFF457636 JPB457571:JPB457636 JYX457571:JYX457636 KIT457571:KIT457636 KSP457571:KSP457636 LCL457571:LCL457636 LMH457571:LMH457636 LWD457571:LWD457636 MFZ457571:MFZ457636 MPV457571:MPV457636 MZR457571:MZR457636 NJN457571:NJN457636 NTJ457571:NTJ457636 ODF457571:ODF457636 ONB457571:ONB457636 OWX457571:OWX457636 PGT457571:PGT457636 PQP457571:PQP457636 QAL457571:QAL457636 QKH457571:QKH457636 QUD457571:QUD457636 RDZ457571:RDZ457636 RNV457571:RNV457636 RXR457571:RXR457636 SHN457571:SHN457636 SRJ457571:SRJ457636 TBF457571:TBF457636 TLB457571:TLB457636 TUX457571:TUX457636 UET457571:UET457636 UOP457571:UOP457636 UYL457571:UYL457636 VIH457571:VIH457636 VSD457571:VSD457636 WBZ457571:WBZ457636 WLV457571:WLV457636 WVR457571:WVR457636 J523107:J523172 JF523107:JF523172 TB523107:TB523172 ACX523107:ACX523172 AMT523107:AMT523172 AWP523107:AWP523172 BGL523107:BGL523172 BQH523107:BQH523172 CAD523107:CAD523172 CJZ523107:CJZ523172 CTV523107:CTV523172 DDR523107:DDR523172 DNN523107:DNN523172 DXJ523107:DXJ523172 EHF523107:EHF523172 ERB523107:ERB523172 FAX523107:FAX523172 FKT523107:FKT523172 FUP523107:FUP523172 GEL523107:GEL523172 GOH523107:GOH523172 GYD523107:GYD523172 HHZ523107:HHZ523172 HRV523107:HRV523172 IBR523107:IBR523172 ILN523107:ILN523172 IVJ523107:IVJ523172 JFF523107:JFF523172 JPB523107:JPB523172 JYX523107:JYX523172 KIT523107:KIT523172 KSP523107:KSP523172 LCL523107:LCL523172 LMH523107:LMH523172 LWD523107:LWD523172 MFZ523107:MFZ523172 MPV523107:MPV523172 MZR523107:MZR523172 NJN523107:NJN523172 NTJ523107:NTJ523172 ODF523107:ODF523172 ONB523107:ONB523172 OWX523107:OWX523172 PGT523107:PGT523172 PQP523107:PQP523172 QAL523107:QAL523172 QKH523107:QKH523172 QUD523107:QUD523172 RDZ523107:RDZ523172 RNV523107:RNV523172 RXR523107:RXR523172 SHN523107:SHN523172 SRJ523107:SRJ523172 TBF523107:TBF523172 TLB523107:TLB523172 TUX523107:TUX523172 UET523107:UET523172 UOP523107:UOP523172 UYL523107:UYL523172 VIH523107:VIH523172 VSD523107:VSD523172 WBZ523107:WBZ523172 WLV523107:WLV523172 WVR523107:WVR523172 J588643:J588708 JF588643:JF588708 TB588643:TB588708 ACX588643:ACX588708 AMT588643:AMT588708 AWP588643:AWP588708 BGL588643:BGL588708 BQH588643:BQH588708 CAD588643:CAD588708 CJZ588643:CJZ588708 CTV588643:CTV588708 DDR588643:DDR588708 DNN588643:DNN588708 DXJ588643:DXJ588708 EHF588643:EHF588708 ERB588643:ERB588708 FAX588643:FAX588708 FKT588643:FKT588708 FUP588643:FUP588708 GEL588643:GEL588708 GOH588643:GOH588708 GYD588643:GYD588708 HHZ588643:HHZ588708 HRV588643:HRV588708 IBR588643:IBR588708 ILN588643:ILN588708 IVJ588643:IVJ588708 JFF588643:JFF588708 JPB588643:JPB588708 JYX588643:JYX588708 KIT588643:KIT588708 KSP588643:KSP588708 LCL588643:LCL588708 LMH588643:LMH588708 LWD588643:LWD588708 MFZ588643:MFZ588708 MPV588643:MPV588708 MZR588643:MZR588708 NJN588643:NJN588708 NTJ588643:NTJ588708 ODF588643:ODF588708 ONB588643:ONB588708 OWX588643:OWX588708 PGT588643:PGT588708 PQP588643:PQP588708 QAL588643:QAL588708 QKH588643:QKH588708 QUD588643:QUD588708 RDZ588643:RDZ588708 RNV588643:RNV588708 RXR588643:RXR588708 SHN588643:SHN588708 SRJ588643:SRJ588708 TBF588643:TBF588708 TLB588643:TLB588708 TUX588643:TUX588708 UET588643:UET588708 UOP588643:UOP588708 UYL588643:UYL588708 VIH588643:VIH588708 VSD588643:VSD588708 WBZ588643:WBZ588708 WLV588643:WLV588708 WVR588643:WVR588708 J654179:J654244 JF654179:JF654244 TB654179:TB654244 ACX654179:ACX654244 AMT654179:AMT654244 AWP654179:AWP654244 BGL654179:BGL654244 BQH654179:BQH654244 CAD654179:CAD654244 CJZ654179:CJZ654244 CTV654179:CTV654244 DDR654179:DDR654244 DNN654179:DNN654244 DXJ654179:DXJ654244 EHF654179:EHF654244 ERB654179:ERB654244 FAX654179:FAX654244 FKT654179:FKT654244 FUP654179:FUP654244 GEL654179:GEL654244 GOH654179:GOH654244 GYD654179:GYD654244 HHZ654179:HHZ654244 HRV654179:HRV654244 IBR654179:IBR654244 ILN654179:ILN654244 IVJ654179:IVJ654244 JFF654179:JFF654244 JPB654179:JPB654244 JYX654179:JYX654244 KIT654179:KIT654244 KSP654179:KSP654244 LCL654179:LCL654244 LMH654179:LMH654244 LWD654179:LWD654244 MFZ654179:MFZ654244 MPV654179:MPV654244 MZR654179:MZR654244 NJN654179:NJN654244 NTJ654179:NTJ654244 ODF654179:ODF654244 ONB654179:ONB654244 OWX654179:OWX654244 PGT654179:PGT654244 PQP654179:PQP654244 QAL654179:QAL654244 QKH654179:QKH654244 QUD654179:QUD654244 RDZ654179:RDZ654244 RNV654179:RNV654244 RXR654179:RXR654244 SHN654179:SHN654244 SRJ654179:SRJ654244 TBF654179:TBF654244 TLB654179:TLB654244 TUX654179:TUX654244 UET654179:UET654244 UOP654179:UOP654244 UYL654179:UYL654244 VIH654179:VIH654244 VSD654179:VSD654244 WBZ654179:WBZ654244 WLV654179:WLV654244 WVR654179:WVR654244 J719715:J719780 JF719715:JF719780 TB719715:TB719780 ACX719715:ACX719780 AMT719715:AMT719780 AWP719715:AWP719780 BGL719715:BGL719780 BQH719715:BQH719780 CAD719715:CAD719780 CJZ719715:CJZ719780 CTV719715:CTV719780 DDR719715:DDR719780 DNN719715:DNN719780 DXJ719715:DXJ719780 EHF719715:EHF719780 ERB719715:ERB719780 FAX719715:FAX719780 FKT719715:FKT719780 FUP719715:FUP719780 GEL719715:GEL719780 GOH719715:GOH719780 GYD719715:GYD719780 HHZ719715:HHZ719780 HRV719715:HRV719780 IBR719715:IBR719780 ILN719715:ILN719780 IVJ719715:IVJ719780 JFF719715:JFF719780 JPB719715:JPB719780 JYX719715:JYX719780 KIT719715:KIT719780 KSP719715:KSP719780 LCL719715:LCL719780 LMH719715:LMH719780 LWD719715:LWD719780 MFZ719715:MFZ719780 MPV719715:MPV719780 MZR719715:MZR719780 NJN719715:NJN719780 NTJ719715:NTJ719780 ODF719715:ODF719780 ONB719715:ONB719780 OWX719715:OWX719780 PGT719715:PGT719780 PQP719715:PQP719780 QAL719715:QAL719780 QKH719715:QKH719780 QUD719715:QUD719780 RDZ719715:RDZ719780 RNV719715:RNV719780 RXR719715:RXR719780 SHN719715:SHN719780 SRJ719715:SRJ719780 TBF719715:TBF719780 TLB719715:TLB719780 TUX719715:TUX719780 UET719715:UET719780 UOP719715:UOP719780 UYL719715:UYL719780 VIH719715:VIH719780 VSD719715:VSD719780 WBZ719715:WBZ719780 WLV719715:WLV719780 WVR719715:WVR719780 J785251:J785316 JF785251:JF785316 TB785251:TB785316 ACX785251:ACX785316 AMT785251:AMT785316 AWP785251:AWP785316 BGL785251:BGL785316 BQH785251:BQH785316 CAD785251:CAD785316 CJZ785251:CJZ785316 CTV785251:CTV785316 DDR785251:DDR785316 DNN785251:DNN785316 DXJ785251:DXJ785316 EHF785251:EHF785316 ERB785251:ERB785316 FAX785251:FAX785316 FKT785251:FKT785316 FUP785251:FUP785316 GEL785251:GEL785316 GOH785251:GOH785316 GYD785251:GYD785316 HHZ785251:HHZ785316 HRV785251:HRV785316 IBR785251:IBR785316 ILN785251:ILN785316 IVJ785251:IVJ785316 JFF785251:JFF785316 JPB785251:JPB785316 JYX785251:JYX785316 KIT785251:KIT785316 KSP785251:KSP785316 LCL785251:LCL785316 LMH785251:LMH785316 LWD785251:LWD785316 MFZ785251:MFZ785316 MPV785251:MPV785316 MZR785251:MZR785316 NJN785251:NJN785316 NTJ785251:NTJ785316 ODF785251:ODF785316 ONB785251:ONB785316 OWX785251:OWX785316 PGT785251:PGT785316 PQP785251:PQP785316 QAL785251:QAL785316 QKH785251:QKH785316 QUD785251:QUD785316 RDZ785251:RDZ785316 RNV785251:RNV785316 RXR785251:RXR785316 SHN785251:SHN785316 SRJ785251:SRJ785316 TBF785251:TBF785316 TLB785251:TLB785316 TUX785251:TUX785316 UET785251:UET785316 UOP785251:UOP785316 UYL785251:UYL785316 VIH785251:VIH785316 VSD785251:VSD785316 WBZ785251:WBZ785316 WLV785251:WLV785316 WVR785251:WVR785316 J850787:J850852 JF850787:JF850852 TB850787:TB850852 ACX850787:ACX850852 AMT850787:AMT850852 AWP850787:AWP850852 BGL850787:BGL850852 BQH850787:BQH850852 CAD850787:CAD850852 CJZ850787:CJZ850852 CTV850787:CTV850852 DDR850787:DDR850852 DNN850787:DNN850852 DXJ850787:DXJ850852 EHF850787:EHF850852 ERB850787:ERB850852 FAX850787:FAX850852 FKT850787:FKT850852 FUP850787:FUP850852 GEL850787:GEL850852 GOH850787:GOH850852 GYD850787:GYD850852 HHZ850787:HHZ850852 HRV850787:HRV850852 IBR850787:IBR850852 ILN850787:ILN850852 IVJ850787:IVJ850852 JFF850787:JFF850852 JPB850787:JPB850852 JYX850787:JYX850852 KIT850787:KIT850852 KSP850787:KSP850852 LCL850787:LCL850852 LMH850787:LMH850852 LWD850787:LWD850852 MFZ850787:MFZ850852 MPV850787:MPV850852 MZR850787:MZR850852 NJN850787:NJN850852 NTJ850787:NTJ850852 ODF850787:ODF850852 ONB850787:ONB850852 OWX850787:OWX850852 PGT850787:PGT850852 PQP850787:PQP850852 QAL850787:QAL850852 QKH850787:QKH850852 QUD850787:QUD850852 RDZ850787:RDZ850852 RNV850787:RNV850852 RXR850787:RXR850852 SHN850787:SHN850852 SRJ850787:SRJ850852 TBF850787:TBF850852 TLB850787:TLB850852 TUX850787:TUX850852 UET850787:UET850852 UOP850787:UOP850852 UYL850787:UYL850852 VIH850787:VIH850852 VSD850787:VSD850852 WBZ850787:WBZ850852 WLV850787:WLV850852 WVR850787:WVR850852 J916323:J916388 JF916323:JF916388 TB916323:TB916388 ACX916323:ACX916388 AMT916323:AMT916388 AWP916323:AWP916388 BGL916323:BGL916388 BQH916323:BQH916388 CAD916323:CAD916388 CJZ916323:CJZ916388 CTV916323:CTV916388 DDR916323:DDR916388 DNN916323:DNN916388 DXJ916323:DXJ916388 EHF916323:EHF916388 ERB916323:ERB916388 FAX916323:FAX916388 FKT916323:FKT916388 FUP916323:FUP916388 GEL916323:GEL916388 GOH916323:GOH916388 GYD916323:GYD916388 HHZ916323:HHZ916388 HRV916323:HRV916388 IBR916323:IBR916388 ILN916323:ILN916388 IVJ916323:IVJ916388 JFF916323:JFF916388 JPB916323:JPB916388 JYX916323:JYX916388 KIT916323:KIT916388 KSP916323:KSP916388 LCL916323:LCL916388 LMH916323:LMH916388 LWD916323:LWD916388 MFZ916323:MFZ916388 MPV916323:MPV916388 MZR916323:MZR916388 NJN916323:NJN916388 NTJ916323:NTJ916388 ODF916323:ODF916388 ONB916323:ONB916388 OWX916323:OWX916388 PGT916323:PGT916388 PQP916323:PQP916388 QAL916323:QAL916388 QKH916323:QKH916388 QUD916323:QUD916388 RDZ916323:RDZ916388 RNV916323:RNV916388 RXR916323:RXR916388 SHN916323:SHN916388 SRJ916323:SRJ916388 TBF916323:TBF916388 TLB916323:TLB916388 TUX916323:TUX916388 UET916323:UET916388 UOP916323:UOP916388 UYL916323:UYL916388 VIH916323:VIH916388 VSD916323:VSD916388 WBZ916323:WBZ916388 WLV916323:WLV916388 WVR916323:WVR916388 J981859:J981924 JF981859:JF981924 TB981859:TB981924 ACX981859:ACX981924 AMT981859:AMT981924 AWP981859:AWP981924 BGL981859:BGL981924 BQH981859:BQH981924 CAD981859:CAD981924 CJZ981859:CJZ981924 CTV981859:CTV981924 DDR981859:DDR981924 DNN981859:DNN981924 DXJ981859:DXJ981924 EHF981859:EHF981924 ERB981859:ERB981924 FAX981859:FAX981924 FKT981859:FKT981924 FUP981859:FUP981924 GEL981859:GEL981924 GOH981859:GOH981924 GYD981859:GYD981924 HHZ981859:HHZ981924 HRV981859:HRV981924 IBR981859:IBR981924 ILN981859:ILN981924 IVJ981859:IVJ981924 JFF981859:JFF981924 JPB981859:JPB981924 JYX981859:JYX981924 KIT981859:KIT981924 KSP981859:KSP981924 LCL981859:LCL981924 LMH981859:LMH981924 LWD981859:LWD981924 MFZ981859:MFZ981924 MPV981859:MPV981924 MZR981859:MZR981924 NJN981859:NJN981924 NTJ981859:NTJ981924 ODF981859:ODF981924 ONB981859:ONB981924 OWX981859:OWX981924 PGT981859:PGT981924 PQP981859:PQP981924 QAL981859:QAL981924 QKH981859:QKH981924 QUD981859:QUD981924 RDZ981859:RDZ981924 RNV981859:RNV981924 RXR981859:RXR981924 SHN981859:SHN981924 SRJ981859:SRJ981924 TBF981859:TBF981924 TLB981859:TLB981924 TUX981859:TUX981924 UET981859:UET981924 UOP981859:UOP981924 UYL981859:UYL981924 VIH981859:VIH981924 VSD981859:VSD981924 WBZ981859:WBZ981924 WLV981859:WLV981924 WVR981859:WVR981924 J1047395:J1047460 JF1047395:JF1047460 TB1047395:TB1047460 ACX1047395:ACX1047460 AMT1047395:AMT1047460 AWP1047395:AWP1047460 BGL1047395:BGL1047460 BQH1047395:BQH1047460 CAD1047395:CAD1047460 CJZ1047395:CJZ1047460 CTV1047395:CTV1047460 DDR1047395:DDR1047460 DNN1047395:DNN1047460 DXJ1047395:DXJ1047460 EHF1047395:EHF1047460 ERB1047395:ERB1047460 FAX1047395:FAX1047460 FKT1047395:FKT1047460 FUP1047395:FUP1047460 GEL1047395:GEL1047460 GOH1047395:GOH1047460 GYD1047395:GYD1047460 HHZ1047395:HHZ1047460 HRV1047395:HRV1047460 IBR1047395:IBR1047460 ILN1047395:ILN1047460 IVJ1047395:IVJ1047460 JFF1047395:JFF1047460 JPB1047395:JPB1047460 JYX1047395:JYX1047460 KIT1047395:KIT1047460 KSP1047395:KSP1047460 LCL1047395:LCL1047460 LMH1047395:LMH1047460 LWD1047395:LWD1047460 MFZ1047395:MFZ1047460 MPV1047395:MPV1047460 MZR1047395:MZR1047460 NJN1047395:NJN1047460 NTJ1047395:NTJ1047460 ODF1047395:ODF1047460 ONB1047395:ONB1047460 OWX1047395:OWX1047460 PGT1047395:PGT1047460 PQP1047395:PQP1047460 QAL1047395:QAL1047460 QKH1047395:QKH1047460 QUD1047395:QUD1047460 RDZ1047395:RDZ1047460 RNV1047395:RNV1047460 RXR1047395:RXR1047460 SHN1047395:SHN1047460 SRJ1047395:SRJ1047460 TBF1047395:TBF1047460 TLB1047395:TLB1047460 TUX1047395:TUX1047460 UET1047395:UET1047460 UOP1047395:UOP1047460 UYL1047395:UYL1047460 VIH1047395:VIH1047460 VSD1047395:VSD1047460 WBZ1047395:WBZ1047460 WLV1047395:WLV1047460 WVR1047395:WVR1047460" xr:uid="{B79A2B90-5807-4A6A-ABFC-4A0AFCC801AE}">
      <formula1>$AP$2:$AP$15</formula1>
    </dataValidation>
    <dataValidation type="list" allowBlank="1" showInputMessage="1" showErrorMessage="1" sqref="K64355:K64420 JG64355:JG64420 TC64355:TC64420 ACY64355:ACY64420 AMU64355:AMU64420 AWQ64355:AWQ64420 BGM64355:BGM64420 BQI64355:BQI64420 CAE64355:CAE64420 CKA64355:CKA64420 CTW64355:CTW64420 DDS64355:DDS64420 DNO64355:DNO64420 DXK64355:DXK64420 EHG64355:EHG64420 ERC64355:ERC64420 FAY64355:FAY64420 FKU64355:FKU64420 FUQ64355:FUQ64420 GEM64355:GEM64420 GOI64355:GOI64420 GYE64355:GYE64420 HIA64355:HIA64420 HRW64355:HRW64420 IBS64355:IBS64420 ILO64355:ILO64420 IVK64355:IVK64420 JFG64355:JFG64420 JPC64355:JPC64420 JYY64355:JYY64420 KIU64355:KIU64420 KSQ64355:KSQ64420 LCM64355:LCM64420 LMI64355:LMI64420 LWE64355:LWE64420 MGA64355:MGA64420 MPW64355:MPW64420 MZS64355:MZS64420 NJO64355:NJO64420 NTK64355:NTK64420 ODG64355:ODG64420 ONC64355:ONC64420 OWY64355:OWY64420 PGU64355:PGU64420 PQQ64355:PQQ64420 QAM64355:QAM64420 QKI64355:QKI64420 QUE64355:QUE64420 REA64355:REA64420 RNW64355:RNW64420 RXS64355:RXS64420 SHO64355:SHO64420 SRK64355:SRK64420 TBG64355:TBG64420 TLC64355:TLC64420 TUY64355:TUY64420 UEU64355:UEU64420 UOQ64355:UOQ64420 UYM64355:UYM64420 VII64355:VII64420 VSE64355:VSE64420 WCA64355:WCA64420 WLW64355:WLW64420 WVS64355:WVS64420 K129891:K129956 JG129891:JG129956 TC129891:TC129956 ACY129891:ACY129956 AMU129891:AMU129956 AWQ129891:AWQ129956 BGM129891:BGM129956 BQI129891:BQI129956 CAE129891:CAE129956 CKA129891:CKA129956 CTW129891:CTW129956 DDS129891:DDS129956 DNO129891:DNO129956 DXK129891:DXK129956 EHG129891:EHG129956 ERC129891:ERC129956 FAY129891:FAY129956 FKU129891:FKU129956 FUQ129891:FUQ129956 GEM129891:GEM129956 GOI129891:GOI129956 GYE129891:GYE129956 HIA129891:HIA129956 HRW129891:HRW129956 IBS129891:IBS129956 ILO129891:ILO129956 IVK129891:IVK129956 JFG129891:JFG129956 JPC129891:JPC129956 JYY129891:JYY129956 KIU129891:KIU129956 KSQ129891:KSQ129956 LCM129891:LCM129956 LMI129891:LMI129956 LWE129891:LWE129956 MGA129891:MGA129956 MPW129891:MPW129956 MZS129891:MZS129956 NJO129891:NJO129956 NTK129891:NTK129956 ODG129891:ODG129956 ONC129891:ONC129956 OWY129891:OWY129956 PGU129891:PGU129956 PQQ129891:PQQ129956 QAM129891:QAM129956 QKI129891:QKI129956 QUE129891:QUE129956 REA129891:REA129956 RNW129891:RNW129956 RXS129891:RXS129956 SHO129891:SHO129956 SRK129891:SRK129956 TBG129891:TBG129956 TLC129891:TLC129956 TUY129891:TUY129956 UEU129891:UEU129956 UOQ129891:UOQ129956 UYM129891:UYM129956 VII129891:VII129956 VSE129891:VSE129956 WCA129891:WCA129956 WLW129891:WLW129956 WVS129891:WVS129956 K195427:K195492 JG195427:JG195492 TC195427:TC195492 ACY195427:ACY195492 AMU195427:AMU195492 AWQ195427:AWQ195492 BGM195427:BGM195492 BQI195427:BQI195492 CAE195427:CAE195492 CKA195427:CKA195492 CTW195427:CTW195492 DDS195427:DDS195492 DNO195427:DNO195492 DXK195427:DXK195492 EHG195427:EHG195492 ERC195427:ERC195492 FAY195427:FAY195492 FKU195427:FKU195492 FUQ195427:FUQ195492 GEM195427:GEM195492 GOI195427:GOI195492 GYE195427:GYE195492 HIA195427:HIA195492 HRW195427:HRW195492 IBS195427:IBS195492 ILO195427:ILO195492 IVK195427:IVK195492 JFG195427:JFG195492 JPC195427:JPC195492 JYY195427:JYY195492 KIU195427:KIU195492 KSQ195427:KSQ195492 LCM195427:LCM195492 LMI195427:LMI195492 LWE195427:LWE195492 MGA195427:MGA195492 MPW195427:MPW195492 MZS195427:MZS195492 NJO195427:NJO195492 NTK195427:NTK195492 ODG195427:ODG195492 ONC195427:ONC195492 OWY195427:OWY195492 PGU195427:PGU195492 PQQ195427:PQQ195492 QAM195427:QAM195492 QKI195427:QKI195492 QUE195427:QUE195492 REA195427:REA195492 RNW195427:RNW195492 RXS195427:RXS195492 SHO195427:SHO195492 SRK195427:SRK195492 TBG195427:TBG195492 TLC195427:TLC195492 TUY195427:TUY195492 UEU195427:UEU195492 UOQ195427:UOQ195492 UYM195427:UYM195492 VII195427:VII195492 VSE195427:VSE195492 WCA195427:WCA195492 WLW195427:WLW195492 WVS195427:WVS195492 K260963:K261028 JG260963:JG261028 TC260963:TC261028 ACY260963:ACY261028 AMU260963:AMU261028 AWQ260963:AWQ261028 BGM260963:BGM261028 BQI260963:BQI261028 CAE260963:CAE261028 CKA260963:CKA261028 CTW260963:CTW261028 DDS260963:DDS261028 DNO260963:DNO261028 DXK260963:DXK261028 EHG260963:EHG261028 ERC260963:ERC261028 FAY260963:FAY261028 FKU260963:FKU261028 FUQ260963:FUQ261028 GEM260963:GEM261028 GOI260963:GOI261028 GYE260963:GYE261028 HIA260963:HIA261028 HRW260963:HRW261028 IBS260963:IBS261028 ILO260963:ILO261028 IVK260963:IVK261028 JFG260963:JFG261028 JPC260963:JPC261028 JYY260963:JYY261028 KIU260963:KIU261028 KSQ260963:KSQ261028 LCM260963:LCM261028 LMI260963:LMI261028 LWE260963:LWE261028 MGA260963:MGA261028 MPW260963:MPW261028 MZS260963:MZS261028 NJO260963:NJO261028 NTK260963:NTK261028 ODG260963:ODG261028 ONC260963:ONC261028 OWY260963:OWY261028 PGU260963:PGU261028 PQQ260963:PQQ261028 QAM260963:QAM261028 QKI260963:QKI261028 QUE260963:QUE261028 REA260963:REA261028 RNW260963:RNW261028 RXS260963:RXS261028 SHO260963:SHO261028 SRK260963:SRK261028 TBG260963:TBG261028 TLC260963:TLC261028 TUY260963:TUY261028 UEU260963:UEU261028 UOQ260963:UOQ261028 UYM260963:UYM261028 VII260963:VII261028 VSE260963:VSE261028 WCA260963:WCA261028 WLW260963:WLW261028 WVS260963:WVS261028 K326499:K326564 JG326499:JG326564 TC326499:TC326564 ACY326499:ACY326564 AMU326499:AMU326564 AWQ326499:AWQ326564 BGM326499:BGM326564 BQI326499:BQI326564 CAE326499:CAE326564 CKA326499:CKA326564 CTW326499:CTW326564 DDS326499:DDS326564 DNO326499:DNO326564 DXK326499:DXK326564 EHG326499:EHG326564 ERC326499:ERC326564 FAY326499:FAY326564 FKU326499:FKU326564 FUQ326499:FUQ326564 GEM326499:GEM326564 GOI326499:GOI326564 GYE326499:GYE326564 HIA326499:HIA326564 HRW326499:HRW326564 IBS326499:IBS326564 ILO326499:ILO326564 IVK326499:IVK326564 JFG326499:JFG326564 JPC326499:JPC326564 JYY326499:JYY326564 KIU326499:KIU326564 KSQ326499:KSQ326564 LCM326499:LCM326564 LMI326499:LMI326564 LWE326499:LWE326564 MGA326499:MGA326564 MPW326499:MPW326564 MZS326499:MZS326564 NJO326499:NJO326564 NTK326499:NTK326564 ODG326499:ODG326564 ONC326499:ONC326564 OWY326499:OWY326564 PGU326499:PGU326564 PQQ326499:PQQ326564 QAM326499:QAM326564 QKI326499:QKI326564 QUE326499:QUE326564 REA326499:REA326564 RNW326499:RNW326564 RXS326499:RXS326564 SHO326499:SHO326564 SRK326499:SRK326564 TBG326499:TBG326564 TLC326499:TLC326564 TUY326499:TUY326564 UEU326499:UEU326564 UOQ326499:UOQ326564 UYM326499:UYM326564 VII326499:VII326564 VSE326499:VSE326564 WCA326499:WCA326564 WLW326499:WLW326564 WVS326499:WVS326564 K392035:K392100 JG392035:JG392100 TC392035:TC392100 ACY392035:ACY392100 AMU392035:AMU392100 AWQ392035:AWQ392100 BGM392035:BGM392100 BQI392035:BQI392100 CAE392035:CAE392100 CKA392035:CKA392100 CTW392035:CTW392100 DDS392035:DDS392100 DNO392035:DNO392100 DXK392035:DXK392100 EHG392035:EHG392100 ERC392035:ERC392100 FAY392035:FAY392100 FKU392035:FKU392100 FUQ392035:FUQ392100 GEM392035:GEM392100 GOI392035:GOI392100 GYE392035:GYE392100 HIA392035:HIA392100 HRW392035:HRW392100 IBS392035:IBS392100 ILO392035:ILO392100 IVK392035:IVK392100 JFG392035:JFG392100 JPC392035:JPC392100 JYY392035:JYY392100 KIU392035:KIU392100 KSQ392035:KSQ392100 LCM392035:LCM392100 LMI392035:LMI392100 LWE392035:LWE392100 MGA392035:MGA392100 MPW392035:MPW392100 MZS392035:MZS392100 NJO392035:NJO392100 NTK392035:NTK392100 ODG392035:ODG392100 ONC392035:ONC392100 OWY392035:OWY392100 PGU392035:PGU392100 PQQ392035:PQQ392100 QAM392035:QAM392100 QKI392035:QKI392100 QUE392035:QUE392100 REA392035:REA392100 RNW392035:RNW392100 RXS392035:RXS392100 SHO392035:SHO392100 SRK392035:SRK392100 TBG392035:TBG392100 TLC392035:TLC392100 TUY392035:TUY392100 UEU392035:UEU392100 UOQ392035:UOQ392100 UYM392035:UYM392100 VII392035:VII392100 VSE392035:VSE392100 WCA392035:WCA392100 WLW392035:WLW392100 WVS392035:WVS392100 K457571:K457636 JG457571:JG457636 TC457571:TC457636 ACY457571:ACY457636 AMU457571:AMU457636 AWQ457571:AWQ457636 BGM457571:BGM457636 BQI457571:BQI457636 CAE457571:CAE457636 CKA457571:CKA457636 CTW457571:CTW457636 DDS457571:DDS457636 DNO457571:DNO457636 DXK457571:DXK457636 EHG457571:EHG457636 ERC457571:ERC457636 FAY457571:FAY457636 FKU457571:FKU457636 FUQ457571:FUQ457636 GEM457571:GEM457636 GOI457571:GOI457636 GYE457571:GYE457636 HIA457571:HIA457636 HRW457571:HRW457636 IBS457571:IBS457636 ILO457571:ILO457636 IVK457571:IVK457636 JFG457571:JFG457636 JPC457571:JPC457636 JYY457571:JYY457636 KIU457571:KIU457636 KSQ457571:KSQ457636 LCM457571:LCM457636 LMI457571:LMI457636 LWE457571:LWE457636 MGA457571:MGA457636 MPW457571:MPW457636 MZS457571:MZS457636 NJO457571:NJO457636 NTK457571:NTK457636 ODG457571:ODG457636 ONC457571:ONC457636 OWY457571:OWY457636 PGU457571:PGU457636 PQQ457571:PQQ457636 QAM457571:QAM457636 QKI457571:QKI457636 QUE457571:QUE457636 REA457571:REA457636 RNW457571:RNW457636 RXS457571:RXS457636 SHO457571:SHO457636 SRK457571:SRK457636 TBG457571:TBG457636 TLC457571:TLC457636 TUY457571:TUY457636 UEU457571:UEU457636 UOQ457571:UOQ457636 UYM457571:UYM457636 VII457571:VII457636 VSE457571:VSE457636 WCA457571:WCA457636 WLW457571:WLW457636 WVS457571:WVS457636 K523107:K523172 JG523107:JG523172 TC523107:TC523172 ACY523107:ACY523172 AMU523107:AMU523172 AWQ523107:AWQ523172 BGM523107:BGM523172 BQI523107:BQI523172 CAE523107:CAE523172 CKA523107:CKA523172 CTW523107:CTW523172 DDS523107:DDS523172 DNO523107:DNO523172 DXK523107:DXK523172 EHG523107:EHG523172 ERC523107:ERC523172 FAY523107:FAY523172 FKU523107:FKU523172 FUQ523107:FUQ523172 GEM523107:GEM523172 GOI523107:GOI523172 GYE523107:GYE523172 HIA523107:HIA523172 HRW523107:HRW523172 IBS523107:IBS523172 ILO523107:ILO523172 IVK523107:IVK523172 JFG523107:JFG523172 JPC523107:JPC523172 JYY523107:JYY523172 KIU523107:KIU523172 KSQ523107:KSQ523172 LCM523107:LCM523172 LMI523107:LMI523172 LWE523107:LWE523172 MGA523107:MGA523172 MPW523107:MPW523172 MZS523107:MZS523172 NJO523107:NJO523172 NTK523107:NTK523172 ODG523107:ODG523172 ONC523107:ONC523172 OWY523107:OWY523172 PGU523107:PGU523172 PQQ523107:PQQ523172 QAM523107:QAM523172 QKI523107:QKI523172 QUE523107:QUE523172 REA523107:REA523172 RNW523107:RNW523172 RXS523107:RXS523172 SHO523107:SHO523172 SRK523107:SRK523172 TBG523107:TBG523172 TLC523107:TLC523172 TUY523107:TUY523172 UEU523107:UEU523172 UOQ523107:UOQ523172 UYM523107:UYM523172 VII523107:VII523172 VSE523107:VSE523172 WCA523107:WCA523172 WLW523107:WLW523172 WVS523107:WVS523172 K588643:K588708 JG588643:JG588708 TC588643:TC588708 ACY588643:ACY588708 AMU588643:AMU588708 AWQ588643:AWQ588708 BGM588643:BGM588708 BQI588643:BQI588708 CAE588643:CAE588708 CKA588643:CKA588708 CTW588643:CTW588708 DDS588643:DDS588708 DNO588643:DNO588708 DXK588643:DXK588708 EHG588643:EHG588708 ERC588643:ERC588708 FAY588643:FAY588708 FKU588643:FKU588708 FUQ588643:FUQ588708 GEM588643:GEM588708 GOI588643:GOI588708 GYE588643:GYE588708 HIA588643:HIA588708 HRW588643:HRW588708 IBS588643:IBS588708 ILO588643:ILO588708 IVK588643:IVK588708 JFG588643:JFG588708 JPC588643:JPC588708 JYY588643:JYY588708 KIU588643:KIU588708 KSQ588643:KSQ588708 LCM588643:LCM588708 LMI588643:LMI588708 LWE588643:LWE588708 MGA588643:MGA588708 MPW588643:MPW588708 MZS588643:MZS588708 NJO588643:NJO588708 NTK588643:NTK588708 ODG588643:ODG588708 ONC588643:ONC588708 OWY588643:OWY588708 PGU588643:PGU588708 PQQ588643:PQQ588708 QAM588643:QAM588708 QKI588643:QKI588708 QUE588643:QUE588708 REA588643:REA588708 RNW588643:RNW588708 RXS588643:RXS588708 SHO588643:SHO588708 SRK588643:SRK588708 TBG588643:TBG588708 TLC588643:TLC588708 TUY588643:TUY588708 UEU588643:UEU588708 UOQ588643:UOQ588708 UYM588643:UYM588708 VII588643:VII588708 VSE588643:VSE588708 WCA588643:WCA588708 WLW588643:WLW588708 WVS588643:WVS588708 K654179:K654244 JG654179:JG654244 TC654179:TC654244 ACY654179:ACY654244 AMU654179:AMU654244 AWQ654179:AWQ654244 BGM654179:BGM654244 BQI654179:BQI654244 CAE654179:CAE654244 CKA654179:CKA654244 CTW654179:CTW654244 DDS654179:DDS654244 DNO654179:DNO654244 DXK654179:DXK654244 EHG654179:EHG654244 ERC654179:ERC654244 FAY654179:FAY654244 FKU654179:FKU654244 FUQ654179:FUQ654244 GEM654179:GEM654244 GOI654179:GOI654244 GYE654179:GYE654244 HIA654179:HIA654244 HRW654179:HRW654244 IBS654179:IBS654244 ILO654179:ILO654244 IVK654179:IVK654244 JFG654179:JFG654244 JPC654179:JPC654244 JYY654179:JYY654244 KIU654179:KIU654244 KSQ654179:KSQ654244 LCM654179:LCM654244 LMI654179:LMI654244 LWE654179:LWE654244 MGA654179:MGA654244 MPW654179:MPW654244 MZS654179:MZS654244 NJO654179:NJO654244 NTK654179:NTK654244 ODG654179:ODG654244 ONC654179:ONC654244 OWY654179:OWY654244 PGU654179:PGU654244 PQQ654179:PQQ654244 QAM654179:QAM654244 QKI654179:QKI654244 QUE654179:QUE654244 REA654179:REA654244 RNW654179:RNW654244 RXS654179:RXS654244 SHO654179:SHO654244 SRK654179:SRK654244 TBG654179:TBG654244 TLC654179:TLC654244 TUY654179:TUY654244 UEU654179:UEU654244 UOQ654179:UOQ654244 UYM654179:UYM654244 VII654179:VII654244 VSE654179:VSE654244 WCA654179:WCA654244 WLW654179:WLW654244 WVS654179:WVS654244 K719715:K719780 JG719715:JG719780 TC719715:TC719780 ACY719715:ACY719780 AMU719715:AMU719780 AWQ719715:AWQ719780 BGM719715:BGM719780 BQI719715:BQI719780 CAE719715:CAE719780 CKA719715:CKA719780 CTW719715:CTW719780 DDS719715:DDS719780 DNO719715:DNO719780 DXK719715:DXK719780 EHG719715:EHG719780 ERC719715:ERC719780 FAY719715:FAY719780 FKU719715:FKU719780 FUQ719715:FUQ719780 GEM719715:GEM719780 GOI719715:GOI719780 GYE719715:GYE719780 HIA719715:HIA719780 HRW719715:HRW719780 IBS719715:IBS719780 ILO719715:ILO719780 IVK719715:IVK719780 JFG719715:JFG719780 JPC719715:JPC719780 JYY719715:JYY719780 KIU719715:KIU719780 KSQ719715:KSQ719780 LCM719715:LCM719780 LMI719715:LMI719780 LWE719715:LWE719780 MGA719715:MGA719780 MPW719715:MPW719780 MZS719715:MZS719780 NJO719715:NJO719780 NTK719715:NTK719780 ODG719715:ODG719780 ONC719715:ONC719780 OWY719715:OWY719780 PGU719715:PGU719780 PQQ719715:PQQ719780 QAM719715:QAM719780 QKI719715:QKI719780 QUE719715:QUE719780 REA719715:REA719780 RNW719715:RNW719780 RXS719715:RXS719780 SHO719715:SHO719780 SRK719715:SRK719780 TBG719715:TBG719780 TLC719715:TLC719780 TUY719715:TUY719780 UEU719715:UEU719780 UOQ719715:UOQ719780 UYM719715:UYM719780 VII719715:VII719780 VSE719715:VSE719780 WCA719715:WCA719780 WLW719715:WLW719780 WVS719715:WVS719780 K785251:K785316 JG785251:JG785316 TC785251:TC785316 ACY785251:ACY785316 AMU785251:AMU785316 AWQ785251:AWQ785316 BGM785251:BGM785316 BQI785251:BQI785316 CAE785251:CAE785316 CKA785251:CKA785316 CTW785251:CTW785316 DDS785251:DDS785316 DNO785251:DNO785316 DXK785251:DXK785316 EHG785251:EHG785316 ERC785251:ERC785316 FAY785251:FAY785316 FKU785251:FKU785316 FUQ785251:FUQ785316 GEM785251:GEM785316 GOI785251:GOI785316 GYE785251:GYE785316 HIA785251:HIA785316 HRW785251:HRW785316 IBS785251:IBS785316 ILO785251:ILO785316 IVK785251:IVK785316 JFG785251:JFG785316 JPC785251:JPC785316 JYY785251:JYY785316 KIU785251:KIU785316 KSQ785251:KSQ785316 LCM785251:LCM785316 LMI785251:LMI785316 LWE785251:LWE785316 MGA785251:MGA785316 MPW785251:MPW785316 MZS785251:MZS785316 NJO785251:NJO785316 NTK785251:NTK785316 ODG785251:ODG785316 ONC785251:ONC785316 OWY785251:OWY785316 PGU785251:PGU785316 PQQ785251:PQQ785316 QAM785251:QAM785316 QKI785251:QKI785316 QUE785251:QUE785316 REA785251:REA785316 RNW785251:RNW785316 RXS785251:RXS785316 SHO785251:SHO785316 SRK785251:SRK785316 TBG785251:TBG785316 TLC785251:TLC785316 TUY785251:TUY785316 UEU785251:UEU785316 UOQ785251:UOQ785316 UYM785251:UYM785316 VII785251:VII785316 VSE785251:VSE785316 WCA785251:WCA785316 WLW785251:WLW785316 WVS785251:WVS785316 K850787:K850852 JG850787:JG850852 TC850787:TC850852 ACY850787:ACY850852 AMU850787:AMU850852 AWQ850787:AWQ850852 BGM850787:BGM850852 BQI850787:BQI850852 CAE850787:CAE850852 CKA850787:CKA850852 CTW850787:CTW850852 DDS850787:DDS850852 DNO850787:DNO850852 DXK850787:DXK850852 EHG850787:EHG850852 ERC850787:ERC850852 FAY850787:FAY850852 FKU850787:FKU850852 FUQ850787:FUQ850852 GEM850787:GEM850852 GOI850787:GOI850852 GYE850787:GYE850852 HIA850787:HIA850852 HRW850787:HRW850852 IBS850787:IBS850852 ILO850787:ILO850852 IVK850787:IVK850852 JFG850787:JFG850852 JPC850787:JPC850852 JYY850787:JYY850852 KIU850787:KIU850852 KSQ850787:KSQ850852 LCM850787:LCM850852 LMI850787:LMI850852 LWE850787:LWE850852 MGA850787:MGA850852 MPW850787:MPW850852 MZS850787:MZS850852 NJO850787:NJO850852 NTK850787:NTK850852 ODG850787:ODG850852 ONC850787:ONC850852 OWY850787:OWY850852 PGU850787:PGU850852 PQQ850787:PQQ850852 QAM850787:QAM850852 QKI850787:QKI850852 QUE850787:QUE850852 REA850787:REA850852 RNW850787:RNW850852 RXS850787:RXS850852 SHO850787:SHO850852 SRK850787:SRK850852 TBG850787:TBG850852 TLC850787:TLC850852 TUY850787:TUY850852 UEU850787:UEU850852 UOQ850787:UOQ850852 UYM850787:UYM850852 VII850787:VII850852 VSE850787:VSE850852 WCA850787:WCA850852 WLW850787:WLW850852 WVS850787:WVS850852 K916323:K916388 JG916323:JG916388 TC916323:TC916388 ACY916323:ACY916388 AMU916323:AMU916388 AWQ916323:AWQ916388 BGM916323:BGM916388 BQI916323:BQI916388 CAE916323:CAE916388 CKA916323:CKA916388 CTW916323:CTW916388 DDS916323:DDS916388 DNO916323:DNO916388 DXK916323:DXK916388 EHG916323:EHG916388 ERC916323:ERC916388 FAY916323:FAY916388 FKU916323:FKU916388 FUQ916323:FUQ916388 GEM916323:GEM916388 GOI916323:GOI916388 GYE916323:GYE916388 HIA916323:HIA916388 HRW916323:HRW916388 IBS916323:IBS916388 ILO916323:ILO916388 IVK916323:IVK916388 JFG916323:JFG916388 JPC916323:JPC916388 JYY916323:JYY916388 KIU916323:KIU916388 KSQ916323:KSQ916388 LCM916323:LCM916388 LMI916323:LMI916388 LWE916323:LWE916388 MGA916323:MGA916388 MPW916323:MPW916388 MZS916323:MZS916388 NJO916323:NJO916388 NTK916323:NTK916388 ODG916323:ODG916388 ONC916323:ONC916388 OWY916323:OWY916388 PGU916323:PGU916388 PQQ916323:PQQ916388 QAM916323:QAM916388 QKI916323:QKI916388 QUE916323:QUE916388 REA916323:REA916388 RNW916323:RNW916388 RXS916323:RXS916388 SHO916323:SHO916388 SRK916323:SRK916388 TBG916323:TBG916388 TLC916323:TLC916388 TUY916323:TUY916388 UEU916323:UEU916388 UOQ916323:UOQ916388 UYM916323:UYM916388 VII916323:VII916388 VSE916323:VSE916388 WCA916323:WCA916388 WLW916323:WLW916388 WVS916323:WVS916388 K981859:K981924 JG981859:JG981924 TC981859:TC981924 ACY981859:ACY981924 AMU981859:AMU981924 AWQ981859:AWQ981924 BGM981859:BGM981924 BQI981859:BQI981924 CAE981859:CAE981924 CKA981859:CKA981924 CTW981859:CTW981924 DDS981859:DDS981924 DNO981859:DNO981924 DXK981859:DXK981924 EHG981859:EHG981924 ERC981859:ERC981924 FAY981859:FAY981924 FKU981859:FKU981924 FUQ981859:FUQ981924 GEM981859:GEM981924 GOI981859:GOI981924 GYE981859:GYE981924 HIA981859:HIA981924 HRW981859:HRW981924 IBS981859:IBS981924 ILO981859:ILO981924 IVK981859:IVK981924 JFG981859:JFG981924 JPC981859:JPC981924 JYY981859:JYY981924 KIU981859:KIU981924 KSQ981859:KSQ981924 LCM981859:LCM981924 LMI981859:LMI981924 LWE981859:LWE981924 MGA981859:MGA981924 MPW981859:MPW981924 MZS981859:MZS981924 NJO981859:NJO981924 NTK981859:NTK981924 ODG981859:ODG981924 ONC981859:ONC981924 OWY981859:OWY981924 PGU981859:PGU981924 PQQ981859:PQQ981924 QAM981859:QAM981924 QKI981859:QKI981924 QUE981859:QUE981924 REA981859:REA981924 RNW981859:RNW981924 RXS981859:RXS981924 SHO981859:SHO981924 SRK981859:SRK981924 TBG981859:TBG981924 TLC981859:TLC981924 TUY981859:TUY981924 UEU981859:UEU981924 UOQ981859:UOQ981924 UYM981859:UYM981924 VII981859:VII981924 VSE981859:VSE981924 WCA981859:WCA981924 WLW981859:WLW981924 WVS981859:WVS981924 K1047395:K1047460 JG1047395:JG1047460 TC1047395:TC1047460 ACY1047395:ACY1047460 AMU1047395:AMU1047460 AWQ1047395:AWQ1047460 BGM1047395:BGM1047460 BQI1047395:BQI1047460 CAE1047395:CAE1047460 CKA1047395:CKA1047460 CTW1047395:CTW1047460 DDS1047395:DDS1047460 DNO1047395:DNO1047460 DXK1047395:DXK1047460 EHG1047395:EHG1047460 ERC1047395:ERC1047460 FAY1047395:FAY1047460 FKU1047395:FKU1047460 FUQ1047395:FUQ1047460 GEM1047395:GEM1047460 GOI1047395:GOI1047460 GYE1047395:GYE1047460 HIA1047395:HIA1047460 HRW1047395:HRW1047460 IBS1047395:IBS1047460 ILO1047395:ILO1047460 IVK1047395:IVK1047460 JFG1047395:JFG1047460 JPC1047395:JPC1047460 JYY1047395:JYY1047460 KIU1047395:KIU1047460 KSQ1047395:KSQ1047460 LCM1047395:LCM1047460 LMI1047395:LMI1047460 LWE1047395:LWE1047460 MGA1047395:MGA1047460 MPW1047395:MPW1047460 MZS1047395:MZS1047460 NJO1047395:NJO1047460 NTK1047395:NTK1047460 ODG1047395:ODG1047460 ONC1047395:ONC1047460 OWY1047395:OWY1047460 PGU1047395:PGU1047460 PQQ1047395:PQQ1047460 QAM1047395:QAM1047460 QKI1047395:QKI1047460 QUE1047395:QUE1047460 REA1047395:REA1047460 RNW1047395:RNW1047460 RXS1047395:RXS1047460 SHO1047395:SHO1047460 SRK1047395:SRK1047460 TBG1047395:TBG1047460 TLC1047395:TLC1047460 TUY1047395:TUY1047460 UEU1047395:UEU1047460 UOQ1047395:UOQ1047460 UYM1047395:UYM1047460 VII1047395:VII1047460 VSE1047395:VSE1047460 WCA1047395:WCA1047460 WLW1047395:WLW1047460 WVS1047395:WVS1047460" xr:uid="{42C4303A-1119-4907-95C9-77C93962654D}">
      <formula1>$AR$2:$AR$24</formula1>
    </dataValidation>
    <dataValidation type="list" allowBlank="1" showInputMessage="1" showErrorMessage="1" sqref="Y64355:AA64420 JU64355:JW64420 TQ64355:TS64420 ADM64355:ADO64420 ANI64355:ANK64420 AXE64355:AXG64420 BHA64355:BHC64420 BQW64355:BQY64420 CAS64355:CAU64420 CKO64355:CKQ64420 CUK64355:CUM64420 DEG64355:DEI64420 DOC64355:DOE64420 DXY64355:DYA64420 EHU64355:EHW64420 ERQ64355:ERS64420 FBM64355:FBO64420 FLI64355:FLK64420 FVE64355:FVG64420 GFA64355:GFC64420 GOW64355:GOY64420 GYS64355:GYU64420 HIO64355:HIQ64420 HSK64355:HSM64420 ICG64355:ICI64420 IMC64355:IME64420 IVY64355:IWA64420 JFU64355:JFW64420 JPQ64355:JPS64420 JZM64355:JZO64420 KJI64355:KJK64420 KTE64355:KTG64420 LDA64355:LDC64420 LMW64355:LMY64420 LWS64355:LWU64420 MGO64355:MGQ64420 MQK64355:MQM64420 NAG64355:NAI64420 NKC64355:NKE64420 NTY64355:NUA64420 ODU64355:ODW64420 ONQ64355:ONS64420 OXM64355:OXO64420 PHI64355:PHK64420 PRE64355:PRG64420 QBA64355:QBC64420 QKW64355:QKY64420 QUS64355:QUU64420 REO64355:REQ64420 ROK64355:ROM64420 RYG64355:RYI64420 SIC64355:SIE64420 SRY64355:SSA64420 TBU64355:TBW64420 TLQ64355:TLS64420 TVM64355:TVO64420 UFI64355:UFK64420 UPE64355:UPG64420 UZA64355:UZC64420 VIW64355:VIY64420 VSS64355:VSU64420 WCO64355:WCQ64420 WMK64355:WMM64420 WWG64355:WWI64420 Y129891:AA129956 JU129891:JW129956 TQ129891:TS129956 ADM129891:ADO129956 ANI129891:ANK129956 AXE129891:AXG129956 BHA129891:BHC129956 BQW129891:BQY129956 CAS129891:CAU129956 CKO129891:CKQ129956 CUK129891:CUM129956 DEG129891:DEI129956 DOC129891:DOE129956 DXY129891:DYA129956 EHU129891:EHW129956 ERQ129891:ERS129956 FBM129891:FBO129956 FLI129891:FLK129956 FVE129891:FVG129956 GFA129891:GFC129956 GOW129891:GOY129956 GYS129891:GYU129956 HIO129891:HIQ129956 HSK129891:HSM129956 ICG129891:ICI129956 IMC129891:IME129956 IVY129891:IWA129956 JFU129891:JFW129956 JPQ129891:JPS129956 JZM129891:JZO129956 KJI129891:KJK129956 KTE129891:KTG129956 LDA129891:LDC129956 LMW129891:LMY129956 LWS129891:LWU129956 MGO129891:MGQ129956 MQK129891:MQM129956 NAG129891:NAI129956 NKC129891:NKE129956 NTY129891:NUA129956 ODU129891:ODW129956 ONQ129891:ONS129956 OXM129891:OXO129956 PHI129891:PHK129956 PRE129891:PRG129956 QBA129891:QBC129956 QKW129891:QKY129956 QUS129891:QUU129956 REO129891:REQ129956 ROK129891:ROM129956 RYG129891:RYI129956 SIC129891:SIE129956 SRY129891:SSA129956 TBU129891:TBW129956 TLQ129891:TLS129956 TVM129891:TVO129956 UFI129891:UFK129956 UPE129891:UPG129956 UZA129891:UZC129956 VIW129891:VIY129956 VSS129891:VSU129956 WCO129891:WCQ129956 WMK129891:WMM129956 WWG129891:WWI129956 Y195427:AA195492 JU195427:JW195492 TQ195427:TS195492 ADM195427:ADO195492 ANI195427:ANK195492 AXE195427:AXG195492 BHA195427:BHC195492 BQW195427:BQY195492 CAS195427:CAU195492 CKO195427:CKQ195492 CUK195427:CUM195492 DEG195427:DEI195492 DOC195427:DOE195492 DXY195427:DYA195492 EHU195427:EHW195492 ERQ195427:ERS195492 FBM195427:FBO195492 FLI195427:FLK195492 FVE195427:FVG195492 GFA195427:GFC195492 GOW195427:GOY195492 GYS195427:GYU195492 HIO195427:HIQ195492 HSK195427:HSM195492 ICG195427:ICI195492 IMC195427:IME195492 IVY195427:IWA195492 JFU195427:JFW195492 JPQ195427:JPS195492 JZM195427:JZO195492 KJI195427:KJK195492 KTE195427:KTG195492 LDA195427:LDC195492 LMW195427:LMY195492 LWS195427:LWU195492 MGO195427:MGQ195492 MQK195427:MQM195492 NAG195427:NAI195492 NKC195427:NKE195492 NTY195427:NUA195492 ODU195427:ODW195492 ONQ195427:ONS195492 OXM195427:OXO195492 PHI195427:PHK195492 PRE195427:PRG195492 QBA195427:QBC195492 QKW195427:QKY195492 QUS195427:QUU195492 REO195427:REQ195492 ROK195427:ROM195492 RYG195427:RYI195492 SIC195427:SIE195492 SRY195427:SSA195492 TBU195427:TBW195492 TLQ195427:TLS195492 TVM195427:TVO195492 UFI195427:UFK195492 UPE195427:UPG195492 UZA195427:UZC195492 VIW195427:VIY195492 VSS195427:VSU195492 WCO195427:WCQ195492 WMK195427:WMM195492 WWG195427:WWI195492 Y260963:AA261028 JU260963:JW261028 TQ260963:TS261028 ADM260963:ADO261028 ANI260963:ANK261028 AXE260963:AXG261028 BHA260963:BHC261028 BQW260963:BQY261028 CAS260963:CAU261028 CKO260963:CKQ261028 CUK260963:CUM261028 DEG260963:DEI261028 DOC260963:DOE261028 DXY260963:DYA261028 EHU260963:EHW261028 ERQ260963:ERS261028 FBM260963:FBO261028 FLI260963:FLK261028 FVE260963:FVG261028 GFA260963:GFC261028 GOW260963:GOY261028 GYS260963:GYU261028 HIO260963:HIQ261028 HSK260963:HSM261028 ICG260963:ICI261028 IMC260963:IME261028 IVY260963:IWA261028 JFU260963:JFW261028 JPQ260963:JPS261028 JZM260963:JZO261028 KJI260963:KJK261028 KTE260963:KTG261028 LDA260963:LDC261028 LMW260963:LMY261028 LWS260963:LWU261028 MGO260963:MGQ261028 MQK260963:MQM261028 NAG260963:NAI261028 NKC260963:NKE261028 NTY260963:NUA261028 ODU260963:ODW261028 ONQ260963:ONS261028 OXM260963:OXO261028 PHI260963:PHK261028 PRE260963:PRG261028 QBA260963:QBC261028 QKW260963:QKY261028 QUS260963:QUU261028 REO260963:REQ261028 ROK260963:ROM261028 RYG260963:RYI261028 SIC260963:SIE261028 SRY260963:SSA261028 TBU260963:TBW261028 TLQ260963:TLS261028 TVM260963:TVO261028 UFI260963:UFK261028 UPE260963:UPG261028 UZA260963:UZC261028 VIW260963:VIY261028 VSS260963:VSU261028 WCO260963:WCQ261028 WMK260963:WMM261028 WWG260963:WWI261028 Y326499:AA326564 JU326499:JW326564 TQ326499:TS326564 ADM326499:ADO326564 ANI326499:ANK326564 AXE326499:AXG326564 BHA326499:BHC326564 BQW326499:BQY326564 CAS326499:CAU326564 CKO326499:CKQ326564 CUK326499:CUM326564 DEG326499:DEI326564 DOC326499:DOE326564 DXY326499:DYA326564 EHU326499:EHW326564 ERQ326499:ERS326564 FBM326499:FBO326564 FLI326499:FLK326564 FVE326499:FVG326564 GFA326499:GFC326564 GOW326499:GOY326564 GYS326499:GYU326564 HIO326499:HIQ326564 HSK326499:HSM326564 ICG326499:ICI326564 IMC326499:IME326564 IVY326499:IWA326564 JFU326499:JFW326564 JPQ326499:JPS326564 JZM326499:JZO326564 KJI326499:KJK326564 KTE326499:KTG326564 LDA326499:LDC326564 LMW326499:LMY326564 LWS326499:LWU326564 MGO326499:MGQ326564 MQK326499:MQM326564 NAG326499:NAI326564 NKC326499:NKE326564 NTY326499:NUA326564 ODU326499:ODW326564 ONQ326499:ONS326564 OXM326499:OXO326564 PHI326499:PHK326564 PRE326499:PRG326564 QBA326499:QBC326564 QKW326499:QKY326564 QUS326499:QUU326564 REO326499:REQ326564 ROK326499:ROM326564 RYG326499:RYI326564 SIC326499:SIE326564 SRY326499:SSA326564 TBU326499:TBW326564 TLQ326499:TLS326564 TVM326499:TVO326564 UFI326499:UFK326564 UPE326499:UPG326564 UZA326499:UZC326564 VIW326499:VIY326564 VSS326499:VSU326564 WCO326499:WCQ326564 WMK326499:WMM326564 WWG326499:WWI326564 Y392035:AA392100 JU392035:JW392100 TQ392035:TS392100 ADM392035:ADO392100 ANI392035:ANK392100 AXE392035:AXG392100 BHA392035:BHC392100 BQW392035:BQY392100 CAS392035:CAU392100 CKO392035:CKQ392100 CUK392035:CUM392100 DEG392035:DEI392100 DOC392035:DOE392100 DXY392035:DYA392100 EHU392035:EHW392100 ERQ392035:ERS392100 FBM392035:FBO392100 FLI392035:FLK392100 FVE392035:FVG392100 GFA392035:GFC392100 GOW392035:GOY392100 GYS392035:GYU392100 HIO392035:HIQ392100 HSK392035:HSM392100 ICG392035:ICI392100 IMC392035:IME392100 IVY392035:IWA392100 JFU392035:JFW392100 JPQ392035:JPS392100 JZM392035:JZO392100 KJI392035:KJK392100 KTE392035:KTG392100 LDA392035:LDC392100 LMW392035:LMY392100 LWS392035:LWU392100 MGO392035:MGQ392100 MQK392035:MQM392100 NAG392035:NAI392100 NKC392035:NKE392100 NTY392035:NUA392100 ODU392035:ODW392100 ONQ392035:ONS392100 OXM392035:OXO392100 PHI392035:PHK392100 PRE392035:PRG392100 QBA392035:QBC392100 QKW392035:QKY392100 QUS392035:QUU392100 REO392035:REQ392100 ROK392035:ROM392100 RYG392035:RYI392100 SIC392035:SIE392100 SRY392035:SSA392100 TBU392035:TBW392100 TLQ392035:TLS392100 TVM392035:TVO392100 UFI392035:UFK392100 UPE392035:UPG392100 UZA392035:UZC392100 VIW392035:VIY392100 VSS392035:VSU392100 WCO392035:WCQ392100 WMK392035:WMM392100 WWG392035:WWI392100 Y457571:AA457636 JU457571:JW457636 TQ457571:TS457636 ADM457571:ADO457636 ANI457571:ANK457636 AXE457571:AXG457636 BHA457571:BHC457636 BQW457571:BQY457636 CAS457571:CAU457636 CKO457571:CKQ457636 CUK457571:CUM457636 DEG457571:DEI457636 DOC457571:DOE457636 DXY457571:DYA457636 EHU457571:EHW457636 ERQ457571:ERS457636 FBM457571:FBO457636 FLI457571:FLK457636 FVE457571:FVG457636 GFA457571:GFC457636 GOW457571:GOY457636 GYS457571:GYU457636 HIO457571:HIQ457636 HSK457571:HSM457636 ICG457571:ICI457636 IMC457571:IME457636 IVY457571:IWA457636 JFU457571:JFW457636 JPQ457571:JPS457636 JZM457571:JZO457636 KJI457571:KJK457636 KTE457571:KTG457636 LDA457571:LDC457636 LMW457571:LMY457636 LWS457571:LWU457636 MGO457571:MGQ457636 MQK457571:MQM457636 NAG457571:NAI457636 NKC457571:NKE457636 NTY457571:NUA457636 ODU457571:ODW457636 ONQ457571:ONS457636 OXM457571:OXO457636 PHI457571:PHK457636 PRE457571:PRG457636 QBA457571:QBC457636 QKW457571:QKY457636 QUS457571:QUU457636 REO457571:REQ457636 ROK457571:ROM457636 RYG457571:RYI457636 SIC457571:SIE457636 SRY457571:SSA457636 TBU457571:TBW457636 TLQ457571:TLS457636 TVM457571:TVO457636 UFI457571:UFK457636 UPE457571:UPG457636 UZA457571:UZC457636 VIW457571:VIY457636 VSS457571:VSU457636 WCO457571:WCQ457636 WMK457571:WMM457636 WWG457571:WWI457636 Y523107:AA523172 JU523107:JW523172 TQ523107:TS523172 ADM523107:ADO523172 ANI523107:ANK523172 AXE523107:AXG523172 BHA523107:BHC523172 BQW523107:BQY523172 CAS523107:CAU523172 CKO523107:CKQ523172 CUK523107:CUM523172 DEG523107:DEI523172 DOC523107:DOE523172 DXY523107:DYA523172 EHU523107:EHW523172 ERQ523107:ERS523172 FBM523107:FBO523172 FLI523107:FLK523172 FVE523107:FVG523172 GFA523107:GFC523172 GOW523107:GOY523172 GYS523107:GYU523172 HIO523107:HIQ523172 HSK523107:HSM523172 ICG523107:ICI523172 IMC523107:IME523172 IVY523107:IWA523172 JFU523107:JFW523172 JPQ523107:JPS523172 JZM523107:JZO523172 KJI523107:KJK523172 KTE523107:KTG523172 LDA523107:LDC523172 LMW523107:LMY523172 LWS523107:LWU523172 MGO523107:MGQ523172 MQK523107:MQM523172 NAG523107:NAI523172 NKC523107:NKE523172 NTY523107:NUA523172 ODU523107:ODW523172 ONQ523107:ONS523172 OXM523107:OXO523172 PHI523107:PHK523172 PRE523107:PRG523172 QBA523107:QBC523172 QKW523107:QKY523172 QUS523107:QUU523172 REO523107:REQ523172 ROK523107:ROM523172 RYG523107:RYI523172 SIC523107:SIE523172 SRY523107:SSA523172 TBU523107:TBW523172 TLQ523107:TLS523172 TVM523107:TVO523172 UFI523107:UFK523172 UPE523107:UPG523172 UZA523107:UZC523172 VIW523107:VIY523172 VSS523107:VSU523172 WCO523107:WCQ523172 WMK523107:WMM523172 WWG523107:WWI523172 Y588643:AA588708 JU588643:JW588708 TQ588643:TS588708 ADM588643:ADO588708 ANI588643:ANK588708 AXE588643:AXG588708 BHA588643:BHC588708 BQW588643:BQY588708 CAS588643:CAU588708 CKO588643:CKQ588708 CUK588643:CUM588708 DEG588643:DEI588708 DOC588643:DOE588708 DXY588643:DYA588708 EHU588643:EHW588708 ERQ588643:ERS588708 FBM588643:FBO588708 FLI588643:FLK588708 FVE588643:FVG588708 GFA588643:GFC588708 GOW588643:GOY588708 GYS588643:GYU588708 HIO588643:HIQ588708 HSK588643:HSM588708 ICG588643:ICI588708 IMC588643:IME588708 IVY588643:IWA588708 JFU588643:JFW588708 JPQ588643:JPS588708 JZM588643:JZO588708 KJI588643:KJK588708 KTE588643:KTG588708 LDA588643:LDC588708 LMW588643:LMY588708 LWS588643:LWU588708 MGO588643:MGQ588708 MQK588643:MQM588708 NAG588643:NAI588708 NKC588643:NKE588708 NTY588643:NUA588708 ODU588643:ODW588708 ONQ588643:ONS588708 OXM588643:OXO588708 PHI588643:PHK588708 PRE588643:PRG588708 QBA588643:QBC588708 QKW588643:QKY588708 QUS588643:QUU588708 REO588643:REQ588708 ROK588643:ROM588708 RYG588643:RYI588708 SIC588643:SIE588708 SRY588643:SSA588708 TBU588643:TBW588708 TLQ588643:TLS588708 TVM588643:TVO588708 UFI588643:UFK588708 UPE588643:UPG588708 UZA588643:UZC588708 VIW588643:VIY588708 VSS588643:VSU588708 WCO588643:WCQ588708 WMK588643:WMM588708 WWG588643:WWI588708 Y654179:AA654244 JU654179:JW654244 TQ654179:TS654244 ADM654179:ADO654244 ANI654179:ANK654244 AXE654179:AXG654244 BHA654179:BHC654244 BQW654179:BQY654244 CAS654179:CAU654244 CKO654179:CKQ654244 CUK654179:CUM654244 DEG654179:DEI654244 DOC654179:DOE654244 DXY654179:DYA654244 EHU654179:EHW654244 ERQ654179:ERS654244 FBM654179:FBO654244 FLI654179:FLK654244 FVE654179:FVG654244 GFA654179:GFC654244 GOW654179:GOY654244 GYS654179:GYU654244 HIO654179:HIQ654244 HSK654179:HSM654244 ICG654179:ICI654244 IMC654179:IME654244 IVY654179:IWA654244 JFU654179:JFW654244 JPQ654179:JPS654244 JZM654179:JZO654244 KJI654179:KJK654244 KTE654179:KTG654244 LDA654179:LDC654244 LMW654179:LMY654244 LWS654179:LWU654244 MGO654179:MGQ654244 MQK654179:MQM654244 NAG654179:NAI654244 NKC654179:NKE654244 NTY654179:NUA654244 ODU654179:ODW654244 ONQ654179:ONS654244 OXM654179:OXO654244 PHI654179:PHK654244 PRE654179:PRG654244 QBA654179:QBC654244 QKW654179:QKY654244 QUS654179:QUU654244 REO654179:REQ654244 ROK654179:ROM654244 RYG654179:RYI654244 SIC654179:SIE654244 SRY654179:SSA654244 TBU654179:TBW654244 TLQ654179:TLS654244 TVM654179:TVO654244 UFI654179:UFK654244 UPE654179:UPG654244 UZA654179:UZC654244 VIW654179:VIY654244 VSS654179:VSU654244 WCO654179:WCQ654244 WMK654179:WMM654244 WWG654179:WWI654244 Y719715:AA719780 JU719715:JW719780 TQ719715:TS719780 ADM719715:ADO719780 ANI719715:ANK719780 AXE719715:AXG719780 BHA719715:BHC719780 BQW719715:BQY719780 CAS719715:CAU719780 CKO719715:CKQ719780 CUK719715:CUM719780 DEG719715:DEI719780 DOC719715:DOE719780 DXY719715:DYA719780 EHU719715:EHW719780 ERQ719715:ERS719780 FBM719715:FBO719780 FLI719715:FLK719780 FVE719715:FVG719780 GFA719715:GFC719780 GOW719715:GOY719780 GYS719715:GYU719780 HIO719715:HIQ719780 HSK719715:HSM719780 ICG719715:ICI719780 IMC719715:IME719780 IVY719715:IWA719780 JFU719715:JFW719780 JPQ719715:JPS719780 JZM719715:JZO719780 KJI719715:KJK719780 KTE719715:KTG719780 LDA719715:LDC719780 LMW719715:LMY719780 LWS719715:LWU719780 MGO719715:MGQ719780 MQK719715:MQM719780 NAG719715:NAI719780 NKC719715:NKE719780 NTY719715:NUA719780 ODU719715:ODW719780 ONQ719715:ONS719780 OXM719715:OXO719780 PHI719715:PHK719780 PRE719715:PRG719780 QBA719715:QBC719780 QKW719715:QKY719780 QUS719715:QUU719780 REO719715:REQ719780 ROK719715:ROM719780 RYG719715:RYI719780 SIC719715:SIE719780 SRY719715:SSA719780 TBU719715:TBW719780 TLQ719715:TLS719780 TVM719715:TVO719780 UFI719715:UFK719780 UPE719715:UPG719780 UZA719715:UZC719780 VIW719715:VIY719780 VSS719715:VSU719780 WCO719715:WCQ719780 WMK719715:WMM719780 WWG719715:WWI719780 Y785251:AA785316 JU785251:JW785316 TQ785251:TS785316 ADM785251:ADO785316 ANI785251:ANK785316 AXE785251:AXG785316 BHA785251:BHC785316 BQW785251:BQY785316 CAS785251:CAU785316 CKO785251:CKQ785316 CUK785251:CUM785316 DEG785251:DEI785316 DOC785251:DOE785316 DXY785251:DYA785316 EHU785251:EHW785316 ERQ785251:ERS785316 FBM785251:FBO785316 FLI785251:FLK785316 FVE785251:FVG785316 GFA785251:GFC785316 GOW785251:GOY785316 GYS785251:GYU785316 HIO785251:HIQ785316 HSK785251:HSM785316 ICG785251:ICI785316 IMC785251:IME785316 IVY785251:IWA785316 JFU785251:JFW785316 JPQ785251:JPS785316 JZM785251:JZO785316 KJI785251:KJK785316 KTE785251:KTG785316 LDA785251:LDC785316 LMW785251:LMY785316 LWS785251:LWU785316 MGO785251:MGQ785316 MQK785251:MQM785316 NAG785251:NAI785316 NKC785251:NKE785316 NTY785251:NUA785316 ODU785251:ODW785316 ONQ785251:ONS785316 OXM785251:OXO785316 PHI785251:PHK785316 PRE785251:PRG785316 QBA785251:QBC785316 QKW785251:QKY785316 QUS785251:QUU785316 REO785251:REQ785316 ROK785251:ROM785316 RYG785251:RYI785316 SIC785251:SIE785316 SRY785251:SSA785316 TBU785251:TBW785316 TLQ785251:TLS785316 TVM785251:TVO785316 UFI785251:UFK785316 UPE785251:UPG785316 UZA785251:UZC785316 VIW785251:VIY785316 VSS785251:VSU785316 WCO785251:WCQ785316 WMK785251:WMM785316 WWG785251:WWI785316 Y850787:AA850852 JU850787:JW850852 TQ850787:TS850852 ADM850787:ADO850852 ANI850787:ANK850852 AXE850787:AXG850852 BHA850787:BHC850852 BQW850787:BQY850852 CAS850787:CAU850852 CKO850787:CKQ850852 CUK850787:CUM850852 DEG850787:DEI850852 DOC850787:DOE850852 DXY850787:DYA850852 EHU850787:EHW850852 ERQ850787:ERS850852 FBM850787:FBO850852 FLI850787:FLK850852 FVE850787:FVG850852 GFA850787:GFC850852 GOW850787:GOY850852 GYS850787:GYU850852 HIO850787:HIQ850852 HSK850787:HSM850852 ICG850787:ICI850852 IMC850787:IME850852 IVY850787:IWA850852 JFU850787:JFW850852 JPQ850787:JPS850852 JZM850787:JZO850852 KJI850787:KJK850852 KTE850787:KTG850852 LDA850787:LDC850852 LMW850787:LMY850852 LWS850787:LWU850852 MGO850787:MGQ850852 MQK850787:MQM850852 NAG850787:NAI850852 NKC850787:NKE850852 NTY850787:NUA850852 ODU850787:ODW850852 ONQ850787:ONS850852 OXM850787:OXO850852 PHI850787:PHK850852 PRE850787:PRG850852 QBA850787:QBC850852 QKW850787:QKY850852 QUS850787:QUU850852 REO850787:REQ850852 ROK850787:ROM850852 RYG850787:RYI850852 SIC850787:SIE850852 SRY850787:SSA850852 TBU850787:TBW850852 TLQ850787:TLS850852 TVM850787:TVO850852 UFI850787:UFK850852 UPE850787:UPG850852 UZA850787:UZC850852 VIW850787:VIY850852 VSS850787:VSU850852 WCO850787:WCQ850852 WMK850787:WMM850852 WWG850787:WWI850852 Y916323:AA916388 JU916323:JW916388 TQ916323:TS916388 ADM916323:ADO916388 ANI916323:ANK916388 AXE916323:AXG916388 BHA916323:BHC916388 BQW916323:BQY916388 CAS916323:CAU916388 CKO916323:CKQ916388 CUK916323:CUM916388 DEG916323:DEI916388 DOC916323:DOE916388 DXY916323:DYA916388 EHU916323:EHW916388 ERQ916323:ERS916388 FBM916323:FBO916388 FLI916323:FLK916388 FVE916323:FVG916388 GFA916323:GFC916388 GOW916323:GOY916388 GYS916323:GYU916388 HIO916323:HIQ916388 HSK916323:HSM916388 ICG916323:ICI916388 IMC916323:IME916388 IVY916323:IWA916388 JFU916323:JFW916388 JPQ916323:JPS916388 JZM916323:JZO916388 KJI916323:KJK916388 KTE916323:KTG916388 LDA916323:LDC916388 LMW916323:LMY916388 LWS916323:LWU916388 MGO916323:MGQ916388 MQK916323:MQM916388 NAG916323:NAI916388 NKC916323:NKE916388 NTY916323:NUA916388 ODU916323:ODW916388 ONQ916323:ONS916388 OXM916323:OXO916388 PHI916323:PHK916388 PRE916323:PRG916388 QBA916323:QBC916388 QKW916323:QKY916388 QUS916323:QUU916388 REO916323:REQ916388 ROK916323:ROM916388 RYG916323:RYI916388 SIC916323:SIE916388 SRY916323:SSA916388 TBU916323:TBW916388 TLQ916323:TLS916388 TVM916323:TVO916388 UFI916323:UFK916388 UPE916323:UPG916388 UZA916323:UZC916388 VIW916323:VIY916388 VSS916323:VSU916388 WCO916323:WCQ916388 WMK916323:WMM916388 WWG916323:WWI916388 Y981859:AA981924 JU981859:JW981924 TQ981859:TS981924 ADM981859:ADO981924 ANI981859:ANK981924 AXE981859:AXG981924 BHA981859:BHC981924 BQW981859:BQY981924 CAS981859:CAU981924 CKO981859:CKQ981924 CUK981859:CUM981924 DEG981859:DEI981924 DOC981859:DOE981924 DXY981859:DYA981924 EHU981859:EHW981924 ERQ981859:ERS981924 FBM981859:FBO981924 FLI981859:FLK981924 FVE981859:FVG981924 GFA981859:GFC981924 GOW981859:GOY981924 GYS981859:GYU981924 HIO981859:HIQ981924 HSK981859:HSM981924 ICG981859:ICI981924 IMC981859:IME981924 IVY981859:IWA981924 JFU981859:JFW981924 JPQ981859:JPS981924 JZM981859:JZO981924 KJI981859:KJK981924 KTE981859:KTG981924 LDA981859:LDC981924 LMW981859:LMY981924 LWS981859:LWU981924 MGO981859:MGQ981924 MQK981859:MQM981924 NAG981859:NAI981924 NKC981859:NKE981924 NTY981859:NUA981924 ODU981859:ODW981924 ONQ981859:ONS981924 OXM981859:OXO981924 PHI981859:PHK981924 PRE981859:PRG981924 QBA981859:QBC981924 QKW981859:QKY981924 QUS981859:QUU981924 REO981859:REQ981924 ROK981859:ROM981924 RYG981859:RYI981924 SIC981859:SIE981924 SRY981859:SSA981924 TBU981859:TBW981924 TLQ981859:TLS981924 TVM981859:TVO981924 UFI981859:UFK981924 UPE981859:UPG981924 UZA981859:UZC981924 VIW981859:VIY981924 VSS981859:VSU981924 WCO981859:WCQ981924 WMK981859:WMM981924 WWG981859:WWI981924 Y1047395:AA1047460 JU1047395:JW1047460 TQ1047395:TS1047460 ADM1047395:ADO1047460 ANI1047395:ANK1047460 AXE1047395:AXG1047460 BHA1047395:BHC1047460 BQW1047395:BQY1047460 CAS1047395:CAU1047460 CKO1047395:CKQ1047460 CUK1047395:CUM1047460 DEG1047395:DEI1047460 DOC1047395:DOE1047460 DXY1047395:DYA1047460 EHU1047395:EHW1047460 ERQ1047395:ERS1047460 FBM1047395:FBO1047460 FLI1047395:FLK1047460 FVE1047395:FVG1047460 GFA1047395:GFC1047460 GOW1047395:GOY1047460 GYS1047395:GYU1047460 HIO1047395:HIQ1047460 HSK1047395:HSM1047460 ICG1047395:ICI1047460 IMC1047395:IME1047460 IVY1047395:IWA1047460 JFU1047395:JFW1047460 JPQ1047395:JPS1047460 JZM1047395:JZO1047460 KJI1047395:KJK1047460 KTE1047395:KTG1047460 LDA1047395:LDC1047460 LMW1047395:LMY1047460 LWS1047395:LWU1047460 MGO1047395:MGQ1047460 MQK1047395:MQM1047460 NAG1047395:NAI1047460 NKC1047395:NKE1047460 NTY1047395:NUA1047460 ODU1047395:ODW1047460 ONQ1047395:ONS1047460 OXM1047395:OXO1047460 PHI1047395:PHK1047460 PRE1047395:PRG1047460 QBA1047395:QBC1047460 QKW1047395:QKY1047460 QUS1047395:QUU1047460 REO1047395:REQ1047460 ROK1047395:ROM1047460 RYG1047395:RYI1047460 SIC1047395:SIE1047460 SRY1047395:SSA1047460 TBU1047395:TBW1047460 TLQ1047395:TLS1047460 TVM1047395:TVO1047460 UFI1047395:UFK1047460 UPE1047395:UPG1047460 UZA1047395:UZC1047460 VIW1047395:VIY1047460 VSS1047395:VSU1047460 WCO1047395:WCQ1047460 WMK1047395:WMM1047460 WWG1047395:WWI1047460 WWG983034:WWI983099 Y65530:AA65595 JU65530:JW65595 TQ65530:TS65595 ADM65530:ADO65595 ANI65530:ANK65595 AXE65530:AXG65595 BHA65530:BHC65595 BQW65530:BQY65595 CAS65530:CAU65595 CKO65530:CKQ65595 CUK65530:CUM65595 DEG65530:DEI65595 DOC65530:DOE65595 DXY65530:DYA65595 EHU65530:EHW65595 ERQ65530:ERS65595 FBM65530:FBO65595 FLI65530:FLK65595 FVE65530:FVG65595 GFA65530:GFC65595 GOW65530:GOY65595 GYS65530:GYU65595 HIO65530:HIQ65595 HSK65530:HSM65595 ICG65530:ICI65595 IMC65530:IME65595 IVY65530:IWA65595 JFU65530:JFW65595 JPQ65530:JPS65595 JZM65530:JZO65595 KJI65530:KJK65595 KTE65530:KTG65595 LDA65530:LDC65595 LMW65530:LMY65595 LWS65530:LWU65595 MGO65530:MGQ65595 MQK65530:MQM65595 NAG65530:NAI65595 NKC65530:NKE65595 NTY65530:NUA65595 ODU65530:ODW65595 ONQ65530:ONS65595 OXM65530:OXO65595 PHI65530:PHK65595 PRE65530:PRG65595 QBA65530:QBC65595 QKW65530:QKY65595 QUS65530:QUU65595 REO65530:REQ65595 ROK65530:ROM65595 RYG65530:RYI65595 SIC65530:SIE65595 SRY65530:SSA65595 TBU65530:TBW65595 TLQ65530:TLS65595 TVM65530:TVO65595 UFI65530:UFK65595 UPE65530:UPG65595 UZA65530:UZC65595 VIW65530:VIY65595 VSS65530:VSU65595 WCO65530:WCQ65595 WMK65530:WMM65595 WWG65530:WWI65595 Y131066:AA131131 JU131066:JW131131 TQ131066:TS131131 ADM131066:ADO131131 ANI131066:ANK131131 AXE131066:AXG131131 BHA131066:BHC131131 BQW131066:BQY131131 CAS131066:CAU131131 CKO131066:CKQ131131 CUK131066:CUM131131 DEG131066:DEI131131 DOC131066:DOE131131 DXY131066:DYA131131 EHU131066:EHW131131 ERQ131066:ERS131131 FBM131066:FBO131131 FLI131066:FLK131131 FVE131066:FVG131131 GFA131066:GFC131131 GOW131066:GOY131131 GYS131066:GYU131131 HIO131066:HIQ131131 HSK131066:HSM131131 ICG131066:ICI131131 IMC131066:IME131131 IVY131066:IWA131131 JFU131066:JFW131131 JPQ131066:JPS131131 JZM131066:JZO131131 KJI131066:KJK131131 KTE131066:KTG131131 LDA131066:LDC131131 LMW131066:LMY131131 LWS131066:LWU131131 MGO131066:MGQ131131 MQK131066:MQM131131 NAG131066:NAI131131 NKC131066:NKE131131 NTY131066:NUA131131 ODU131066:ODW131131 ONQ131066:ONS131131 OXM131066:OXO131131 PHI131066:PHK131131 PRE131066:PRG131131 QBA131066:QBC131131 QKW131066:QKY131131 QUS131066:QUU131131 REO131066:REQ131131 ROK131066:ROM131131 RYG131066:RYI131131 SIC131066:SIE131131 SRY131066:SSA131131 TBU131066:TBW131131 TLQ131066:TLS131131 TVM131066:TVO131131 UFI131066:UFK131131 UPE131066:UPG131131 UZA131066:UZC131131 VIW131066:VIY131131 VSS131066:VSU131131 WCO131066:WCQ131131 WMK131066:WMM131131 WWG131066:WWI131131 Y196602:AA196667 JU196602:JW196667 TQ196602:TS196667 ADM196602:ADO196667 ANI196602:ANK196667 AXE196602:AXG196667 BHA196602:BHC196667 BQW196602:BQY196667 CAS196602:CAU196667 CKO196602:CKQ196667 CUK196602:CUM196667 DEG196602:DEI196667 DOC196602:DOE196667 DXY196602:DYA196667 EHU196602:EHW196667 ERQ196602:ERS196667 FBM196602:FBO196667 FLI196602:FLK196667 FVE196602:FVG196667 GFA196602:GFC196667 GOW196602:GOY196667 GYS196602:GYU196667 HIO196602:HIQ196667 HSK196602:HSM196667 ICG196602:ICI196667 IMC196602:IME196667 IVY196602:IWA196667 JFU196602:JFW196667 JPQ196602:JPS196667 JZM196602:JZO196667 KJI196602:KJK196667 KTE196602:KTG196667 LDA196602:LDC196667 LMW196602:LMY196667 LWS196602:LWU196667 MGO196602:MGQ196667 MQK196602:MQM196667 NAG196602:NAI196667 NKC196602:NKE196667 NTY196602:NUA196667 ODU196602:ODW196667 ONQ196602:ONS196667 OXM196602:OXO196667 PHI196602:PHK196667 PRE196602:PRG196667 QBA196602:QBC196667 QKW196602:QKY196667 QUS196602:QUU196667 REO196602:REQ196667 ROK196602:ROM196667 RYG196602:RYI196667 SIC196602:SIE196667 SRY196602:SSA196667 TBU196602:TBW196667 TLQ196602:TLS196667 TVM196602:TVO196667 UFI196602:UFK196667 UPE196602:UPG196667 UZA196602:UZC196667 VIW196602:VIY196667 VSS196602:VSU196667 WCO196602:WCQ196667 WMK196602:WMM196667 WWG196602:WWI196667 Y262138:AA262203 JU262138:JW262203 TQ262138:TS262203 ADM262138:ADO262203 ANI262138:ANK262203 AXE262138:AXG262203 BHA262138:BHC262203 BQW262138:BQY262203 CAS262138:CAU262203 CKO262138:CKQ262203 CUK262138:CUM262203 DEG262138:DEI262203 DOC262138:DOE262203 DXY262138:DYA262203 EHU262138:EHW262203 ERQ262138:ERS262203 FBM262138:FBO262203 FLI262138:FLK262203 FVE262138:FVG262203 GFA262138:GFC262203 GOW262138:GOY262203 GYS262138:GYU262203 HIO262138:HIQ262203 HSK262138:HSM262203 ICG262138:ICI262203 IMC262138:IME262203 IVY262138:IWA262203 JFU262138:JFW262203 JPQ262138:JPS262203 JZM262138:JZO262203 KJI262138:KJK262203 KTE262138:KTG262203 LDA262138:LDC262203 LMW262138:LMY262203 LWS262138:LWU262203 MGO262138:MGQ262203 MQK262138:MQM262203 NAG262138:NAI262203 NKC262138:NKE262203 NTY262138:NUA262203 ODU262138:ODW262203 ONQ262138:ONS262203 OXM262138:OXO262203 PHI262138:PHK262203 PRE262138:PRG262203 QBA262138:QBC262203 QKW262138:QKY262203 QUS262138:QUU262203 REO262138:REQ262203 ROK262138:ROM262203 RYG262138:RYI262203 SIC262138:SIE262203 SRY262138:SSA262203 TBU262138:TBW262203 TLQ262138:TLS262203 TVM262138:TVO262203 UFI262138:UFK262203 UPE262138:UPG262203 UZA262138:UZC262203 VIW262138:VIY262203 VSS262138:VSU262203 WCO262138:WCQ262203 WMK262138:WMM262203 WWG262138:WWI262203 Y327674:AA327739 JU327674:JW327739 TQ327674:TS327739 ADM327674:ADO327739 ANI327674:ANK327739 AXE327674:AXG327739 BHA327674:BHC327739 BQW327674:BQY327739 CAS327674:CAU327739 CKO327674:CKQ327739 CUK327674:CUM327739 DEG327674:DEI327739 DOC327674:DOE327739 DXY327674:DYA327739 EHU327674:EHW327739 ERQ327674:ERS327739 FBM327674:FBO327739 FLI327674:FLK327739 FVE327674:FVG327739 GFA327674:GFC327739 GOW327674:GOY327739 GYS327674:GYU327739 HIO327674:HIQ327739 HSK327674:HSM327739 ICG327674:ICI327739 IMC327674:IME327739 IVY327674:IWA327739 JFU327674:JFW327739 JPQ327674:JPS327739 JZM327674:JZO327739 KJI327674:KJK327739 KTE327674:KTG327739 LDA327674:LDC327739 LMW327674:LMY327739 LWS327674:LWU327739 MGO327674:MGQ327739 MQK327674:MQM327739 NAG327674:NAI327739 NKC327674:NKE327739 NTY327674:NUA327739 ODU327674:ODW327739 ONQ327674:ONS327739 OXM327674:OXO327739 PHI327674:PHK327739 PRE327674:PRG327739 QBA327674:QBC327739 QKW327674:QKY327739 QUS327674:QUU327739 REO327674:REQ327739 ROK327674:ROM327739 RYG327674:RYI327739 SIC327674:SIE327739 SRY327674:SSA327739 TBU327674:TBW327739 TLQ327674:TLS327739 TVM327674:TVO327739 UFI327674:UFK327739 UPE327674:UPG327739 UZA327674:UZC327739 VIW327674:VIY327739 VSS327674:VSU327739 WCO327674:WCQ327739 WMK327674:WMM327739 WWG327674:WWI327739 Y393210:AA393275 JU393210:JW393275 TQ393210:TS393275 ADM393210:ADO393275 ANI393210:ANK393275 AXE393210:AXG393275 BHA393210:BHC393275 BQW393210:BQY393275 CAS393210:CAU393275 CKO393210:CKQ393275 CUK393210:CUM393275 DEG393210:DEI393275 DOC393210:DOE393275 DXY393210:DYA393275 EHU393210:EHW393275 ERQ393210:ERS393275 FBM393210:FBO393275 FLI393210:FLK393275 FVE393210:FVG393275 GFA393210:GFC393275 GOW393210:GOY393275 GYS393210:GYU393275 HIO393210:HIQ393275 HSK393210:HSM393275 ICG393210:ICI393275 IMC393210:IME393275 IVY393210:IWA393275 JFU393210:JFW393275 JPQ393210:JPS393275 JZM393210:JZO393275 KJI393210:KJK393275 KTE393210:KTG393275 LDA393210:LDC393275 LMW393210:LMY393275 LWS393210:LWU393275 MGO393210:MGQ393275 MQK393210:MQM393275 NAG393210:NAI393275 NKC393210:NKE393275 NTY393210:NUA393275 ODU393210:ODW393275 ONQ393210:ONS393275 OXM393210:OXO393275 PHI393210:PHK393275 PRE393210:PRG393275 QBA393210:QBC393275 QKW393210:QKY393275 QUS393210:QUU393275 REO393210:REQ393275 ROK393210:ROM393275 RYG393210:RYI393275 SIC393210:SIE393275 SRY393210:SSA393275 TBU393210:TBW393275 TLQ393210:TLS393275 TVM393210:TVO393275 UFI393210:UFK393275 UPE393210:UPG393275 UZA393210:UZC393275 VIW393210:VIY393275 VSS393210:VSU393275 WCO393210:WCQ393275 WMK393210:WMM393275 WWG393210:WWI393275 Y458746:AA458811 JU458746:JW458811 TQ458746:TS458811 ADM458746:ADO458811 ANI458746:ANK458811 AXE458746:AXG458811 BHA458746:BHC458811 BQW458746:BQY458811 CAS458746:CAU458811 CKO458746:CKQ458811 CUK458746:CUM458811 DEG458746:DEI458811 DOC458746:DOE458811 DXY458746:DYA458811 EHU458746:EHW458811 ERQ458746:ERS458811 FBM458746:FBO458811 FLI458746:FLK458811 FVE458746:FVG458811 GFA458746:GFC458811 GOW458746:GOY458811 GYS458746:GYU458811 HIO458746:HIQ458811 HSK458746:HSM458811 ICG458746:ICI458811 IMC458746:IME458811 IVY458746:IWA458811 JFU458746:JFW458811 JPQ458746:JPS458811 JZM458746:JZO458811 KJI458746:KJK458811 KTE458746:KTG458811 LDA458746:LDC458811 LMW458746:LMY458811 LWS458746:LWU458811 MGO458746:MGQ458811 MQK458746:MQM458811 NAG458746:NAI458811 NKC458746:NKE458811 NTY458746:NUA458811 ODU458746:ODW458811 ONQ458746:ONS458811 OXM458746:OXO458811 PHI458746:PHK458811 PRE458746:PRG458811 QBA458746:QBC458811 QKW458746:QKY458811 QUS458746:QUU458811 REO458746:REQ458811 ROK458746:ROM458811 RYG458746:RYI458811 SIC458746:SIE458811 SRY458746:SSA458811 TBU458746:TBW458811 TLQ458746:TLS458811 TVM458746:TVO458811 UFI458746:UFK458811 UPE458746:UPG458811 UZA458746:UZC458811 VIW458746:VIY458811 VSS458746:VSU458811 WCO458746:WCQ458811 WMK458746:WMM458811 WWG458746:WWI458811 Y524282:AA524347 JU524282:JW524347 TQ524282:TS524347 ADM524282:ADO524347 ANI524282:ANK524347 AXE524282:AXG524347 BHA524282:BHC524347 BQW524282:BQY524347 CAS524282:CAU524347 CKO524282:CKQ524347 CUK524282:CUM524347 DEG524282:DEI524347 DOC524282:DOE524347 DXY524282:DYA524347 EHU524282:EHW524347 ERQ524282:ERS524347 FBM524282:FBO524347 FLI524282:FLK524347 FVE524282:FVG524347 GFA524282:GFC524347 GOW524282:GOY524347 GYS524282:GYU524347 HIO524282:HIQ524347 HSK524282:HSM524347 ICG524282:ICI524347 IMC524282:IME524347 IVY524282:IWA524347 JFU524282:JFW524347 JPQ524282:JPS524347 JZM524282:JZO524347 KJI524282:KJK524347 KTE524282:KTG524347 LDA524282:LDC524347 LMW524282:LMY524347 LWS524282:LWU524347 MGO524282:MGQ524347 MQK524282:MQM524347 NAG524282:NAI524347 NKC524282:NKE524347 NTY524282:NUA524347 ODU524282:ODW524347 ONQ524282:ONS524347 OXM524282:OXO524347 PHI524282:PHK524347 PRE524282:PRG524347 QBA524282:QBC524347 QKW524282:QKY524347 QUS524282:QUU524347 REO524282:REQ524347 ROK524282:ROM524347 RYG524282:RYI524347 SIC524282:SIE524347 SRY524282:SSA524347 TBU524282:TBW524347 TLQ524282:TLS524347 TVM524282:TVO524347 UFI524282:UFK524347 UPE524282:UPG524347 UZA524282:UZC524347 VIW524282:VIY524347 VSS524282:VSU524347 WCO524282:WCQ524347 WMK524282:WMM524347 WWG524282:WWI524347 Y589818:AA589883 JU589818:JW589883 TQ589818:TS589883 ADM589818:ADO589883 ANI589818:ANK589883 AXE589818:AXG589883 BHA589818:BHC589883 BQW589818:BQY589883 CAS589818:CAU589883 CKO589818:CKQ589883 CUK589818:CUM589883 DEG589818:DEI589883 DOC589818:DOE589883 DXY589818:DYA589883 EHU589818:EHW589883 ERQ589818:ERS589883 FBM589818:FBO589883 FLI589818:FLK589883 FVE589818:FVG589883 GFA589818:GFC589883 GOW589818:GOY589883 GYS589818:GYU589883 HIO589818:HIQ589883 HSK589818:HSM589883 ICG589818:ICI589883 IMC589818:IME589883 IVY589818:IWA589883 JFU589818:JFW589883 JPQ589818:JPS589883 JZM589818:JZO589883 KJI589818:KJK589883 KTE589818:KTG589883 LDA589818:LDC589883 LMW589818:LMY589883 LWS589818:LWU589883 MGO589818:MGQ589883 MQK589818:MQM589883 NAG589818:NAI589883 NKC589818:NKE589883 NTY589818:NUA589883 ODU589818:ODW589883 ONQ589818:ONS589883 OXM589818:OXO589883 PHI589818:PHK589883 PRE589818:PRG589883 QBA589818:QBC589883 QKW589818:QKY589883 QUS589818:QUU589883 REO589818:REQ589883 ROK589818:ROM589883 RYG589818:RYI589883 SIC589818:SIE589883 SRY589818:SSA589883 TBU589818:TBW589883 TLQ589818:TLS589883 TVM589818:TVO589883 UFI589818:UFK589883 UPE589818:UPG589883 UZA589818:UZC589883 VIW589818:VIY589883 VSS589818:VSU589883 WCO589818:WCQ589883 WMK589818:WMM589883 WWG589818:WWI589883 Y655354:AA655419 JU655354:JW655419 TQ655354:TS655419 ADM655354:ADO655419 ANI655354:ANK655419 AXE655354:AXG655419 BHA655354:BHC655419 BQW655354:BQY655419 CAS655354:CAU655419 CKO655354:CKQ655419 CUK655354:CUM655419 DEG655354:DEI655419 DOC655354:DOE655419 DXY655354:DYA655419 EHU655354:EHW655419 ERQ655354:ERS655419 FBM655354:FBO655419 FLI655354:FLK655419 FVE655354:FVG655419 GFA655354:GFC655419 GOW655354:GOY655419 GYS655354:GYU655419 HIO655354:HIQ655419 HSK655354:HSM655419 ICG655354:ICI655419 IMC655354:IME655419 IVY655354:IWA655419 JFU655354:JFW655419 JPQ655354:JPS655419 JZM655354:JZO655419 KJI655354:KJK655419 KTE655354:KTG655419 LDA655354:LDC655419 LMW655354:LMY655419 LWS655354:LWU655419 MGO655354:MGQ655419 MQK655354:MQM655419 NAG655354:NAI655419 NKC655354:NKE655419 NTY655354:NUA655419 ODU655354:ODW655419 ONQ655354:ONS655419 OXM655354:OXO655419 PHI655354:PHK655419 PRE655354:PRG655419 QBA655354:QBC655419 QKW655354:QKY655419 QUS655354:QUU655419 REO655354:REQ655419 ROK655354:ROM655419 RYG655354:RYI655419 SIC655354:SIE655419 SRY655354:SSA655419 TBU655354:TBW655419 TLQ655354:TLS655419 TVM655354:TVO655419 UFI655354:UFK655419 UPE655354:UPG655419 UZA655354:UZC655419 VIW655354:VIY655419 VSS655354:VSU655419 WCO655354:WCQ655419 WMK655354:WMM655419 WWG655354:WWI655419 Y720890:AA720955 JU720890:JW720955 TQ720890:TS720955 ADM720890:ADO720955 ANI720890:ANK720955 AXE720890:AXG720955 BHA720890:BHC720955 BQW720890:BQY720955 CAS720890:CAU720955 CKO720890:CKQ720955 CUK720890:CUM720955 DEG720890:DEI720955 DOC720890:DOE720955 DXY720890:DYA720955 EHU720890:EHW720955 ERQ720890:ERS720955 FBM720890:FBO720955 FLI720890:FLK720955 FVE720890:FVG720955 GFA720890:GFC720955 GOW720890:GOY720955 GYS720890:GYU720955 HIO720890:HIQ720955 HSK720890:HSM720955 ICG720890:ICI720955 IMC720890:IME720955 IVY720890:IWA720955 JFU720890:JFW720955 JPQ720890:JPS720955 JZM720890:JZO720955 KJI720890:KJK720955 KTE720890:KTG720955 LDA720890:LDC720955 LMW720890:LMY720955 LWS720890:LWU720955 MGO720890:MGQ720955 MQK720890:MQM720955 NAG720890:NAI720955 NKC720890:NKE720955 NTY720890:NUA720955 ODU720890:ODW720955 ONQ720890:ONS720955 OXM720890:OXO720955 PHI720890:PHK720955 PRE720890:PRG720955 QBA720890:QBC720955 QKW720890:QKY720955 QUS720890:QUU720955 REO720890:REQ720955 ROK720890:ROM720955 RYG720890:RYI720955 SIC720890:SIE720955 SRY720890:SSA720955 TBU720890:TBW720955 TLQ720890:TLS720955 TVM720890:TVO720955 UFI720890:UFK720955 UPE720890:UPG720955 UZA720890:UZC720955 VIW720890:VIY720955 VSS720890:VSU720955 WCO720890:WCQ720955 WMK720890:WMM720955 WWG720890:WWI720955 Y786426:AA786491 JU786426:JW786491 TQ786426:TS786491 ADM786426:ADO786491 ANI786426:ANK786491 AXE786426:AXG786491 BHA786426:BHC786491 BQW786426:BQY786491 CAS786426:CAU786491 CKO786426:CKQ786491 CUK786426:CUM786491 DEG786426:DEI786491 DOC786426:DOE786491 DXY786426:DYA786491 EHU786426:EHW786491 ERQ786426:ERS786491 FBM786426:FBO786491 FLI786426:FLK786491 FVE786426:FVG786491 GFA786426:GFC786491 GOW786426:GOY786491 GYS786426:GYU786491 HIO786426:HIQ786491 HSK786426:HSM786491 ICG786426:ICI786491 IMC786426:IME786491 IVY786426:IWA786491 JFU786426:JFW786491 JPQ786426:JPS786491 JZM786426:JZO786491 KJI786426:KJK786491 KTE786426:KTG786491 LDA786426:LDC786491 LMW786426:LMY786491 LWS786426:LWU786491 MGO786426:MGQ786491 MQK786426:MQM786491 NAG786426:NAI786491 NKC786426:NKE786491 NTY786426:NUA786491 ODU786426:ODW786491 ONQ786426:ONS786491 OXM786426:OXO786491 PHI786426:PHK786491 PRE786426:PRG786491 QBA786426:QBC786491 QKW786426:QKY786491 QUS786426:QUU786491 REO786426:REQ786491 ROK786426:ROM786491 RYG786426:RYI786491 SIC786426:SIE786491 SRY786426:SSA786491 TBU786426:TBW786491 TLQ786426:TLS786491 TVM786426:TVO786491 UFI786426:UFK786491 UPE786426:UPG786491 UZA786426:UZC786491 VIW786426:VIY786491 VSS786426:VSU786491 WCO786426:WCQ786491 WMK786426:WMM786491 WWG786426:WWI786491 Y851962:AA852027 JU851962:JW852027 TQ851962:TS852027 ADM851962:ADO852027 ANI851962:ANK852027 AXE851962:AXG852027 BHA851962:BHC852027 BQW851962:BQY852027 CAS851962:CAU852027 CKO851962:CKQ852027 CUK851962:CUM852027 DEG851962:DEI852027 DOC851962:DOE852027 DXY851962:DYA852027 EHU851962:EHW852027 ERQ851962:ERS852027 FBM851962:FBO852027 FLI851962:FLK852027 FVE851962:FVG852027 GFA851962:GFC852027 GOW851962:GOY852027 GYS851962:GYU852027 HIO851962:HIQ852027 HSK851962:HSM852027 ICG851962:ICI852027 IMC851962:IME852027 IVY851962:IWA852027 JFU851962:JFW852027 JPQ851962:JPS852027 JZM851962:JZO852027 KJI851962:KJK852027 KTE851962:KTG852027 LDA851962:LDC852027 LMW851962:LMY852027 LWS851962:LWU852027 MGO851962:MGQ852027 MQK851962:MQM852027 NAG851962:NAI852027 NKC851962:NKE852027 NTY851962:NUA852027 ODU851962:ODW852027 ONQ851962:ONS852027 OXM851962:OXO852027 PHI851962:PHK852027 PRE851962:PRG852027 QBA851962:QBC852027 QKW851962:QKY852027 QUS851962:QUU852027 REO851962:REQ852027 ROK851962:ROM852027 RYG851962:RYI852027 SIC851962:SIE852027 SRY851962:SSA852027 TBU851962:TBW852027 TLQ851962:TLS852027 TVM851962:TVO852027 UFI851962:UFK852027 UPE851962:UPG852027 UZA851962:UZC852027 VIW851962:VIY852027 VSS851962:VSU852027 WCO851962:WCQ852027 WMK851962:WMM852027 WWG851962:WWI852027 Y917498:AA917563 JU917498:JW917563 TQ917498:TS917563 ADM917498:ADO917563 ANI917498:ANK917563 AXE917498:AXG917563 BHA917498:BHC917563 BQW917498:BQY917563 CAS917498:CAU917563 CKO917498:CKQ917563 CUK917498:CUM917563 DEG917498:DEI917563 DOC917498:DOE917563 DXY917498:DYA917563 EHU917498:EHW917563 ERQ917498:ERS917563 FBM917498:FBO917563 FLI917498:FLK917563 FVE917498:FVG917563 GFA917498:GFC917563 GOW917498:GOY917563 GYS917498:GYU917563 HIO917498:HIQ917563 HSK917498:HSM917563 ICG917498:ICI917563 IMC917498:IME917563 IVY917498:IWA917563 JFU917498:JFW917563 JPQ917498:JPS917563 JZM917498:JZO917563 KJI917498:KJK917563 KTE917498:KTG917563 LDA917498:LDC917563 LMW917498:LMY917563 LWS917498:LWU917563 MGO917498:MGQ917563 MQK917498:MQM917563 NAG917498:NAI917563 NKC917498:NKE917563 NTY917498:NUA917563 ODU917498:ODW917563 ONQ917498:ONS917563 OXM917498:OXO917563 PHI917498:PHK917563 PRE917498:PRG917563 QBA917498:QBC917563 QKW917498:QKY917563 QUS917498:QUU917563 REO917498:REQ917563 ROK917498:ROM917563 RYG917498:RYI917563 SIC917498:SIE917563 SRY917498:SSA917563 TBU917498:TBW917563 TLQ917498:TLS917563 TVM917498:TVO917563 UFI917498:UFK917563 UPE917498:UPG917563 UZA917498:UZC917563 VIW917498:VIY917563 VSS917498:VSU917563 WCO917498:WCQ917563 WMK917498:WMM917563 WWG917498:WWI917563 Y983034:AA983099 JU983034:JW983099 TQ983034:TS983099 ADM983034:ADO983099 ANI983034:ANK983099 AXE983034:AXG983099 BHA983034:BHC983099 BQW983034:BQY983099 CAS983034:CAU983099 CKO983034:CKQ983099 CUK983034:CUM983099 DEG983034:DEI983099 DOC983034:DOE983099 DXY983034:DYA983099 EHU983034:EHW983099 ERQ983034:ERS983099 FBM983034:FBO983099 FLI983034:FLK983099 FVE983034:FVG983099 GFA983034:GFC983099 GOW983034:GOY983099 GYS983034:GYU983099 HIO983034:HIQ983099 HSK983034:HSM983099 ICG983034:ICI983099 IMC983034:IME983099 IVY983034:IWA983099 JFU983034:JFW983099 JPQ983034:JPS983099 JZM983034:JZO983099 KJI983034:KJK983099 KTE983034:KTG983099 LDA983034:LDC983099 LMW983034:LMY983099 LWS983034:LWU983099 MGO983034:MGQ983099 MQK983034:MQM983099 NAG983034:NAI983099 NKC983034:NKE983099 NTY983034:NUA983099 ODU983034:ODW983099 ONQ983034:ONS983099 OXM983034:OXO983099 PHI983034:PHK983099 PRE983034:PRG983099 QBA983034:QBC983099 QKW983034:QKY983099 QUS983034:QUU983099 REO983034:REQ983099 ROK983034:ROM983099 RYG983034:RYI983099 SIC983034:SIE983099 SRY983034:SSA983099 TBU983034:TBW983099 TLQ983034:TLS983099 TVM983034:TVO983099 UFI983034:UFK983099 UPE983034:UPG983099 UZA983034:UZC983099 VIW983034:VIY983099 VSS983034:VSU983099 WCO983034:WCQ983099 WMK983034:WMM983099 WMK2:WMM61 WCO2:WCQ61 VSS2:VSU61 VIW2:VIY61 UZA2:UZC61 UPE2:UPG61 UFI2:UFK61 TVM2:TVO61 TLQ2:TLS61 TBU2:TBW61 SRY2:SSA61 SIC2:SIE61 RYG2:RYI61 ROK2:ROM61 REO2:REQ61 QUS2:QUU61 QKW2:QKY61 QBA2:QBC61 PRE2:PRG61 PHI2:PHK61 OXM2:OXO61 ONQ2:ONS61 ODU2:ODW61 NTY2:NUA61 NKC2:NKE61 NAG2:NAI61 MQK2:MQM61 MGO2:MGQ61 LWS2:LWU61 LMW2:LMY61 LDA2:LDC61 KTE2:KTG61 KJI2:KJK61 JZM2:JZO61 JPQ2:JPS61 JFU2:JFW61 IVY2:IWA61 IMC2:IME61 ICG2:ICI61 HSK2:HSM61 HIO2:HIQ61 GYS2:GYU61 GOW2:GOY61 GFA2:GFC61 FVE2:FVG61 FLI2:FLK61 FBM2:FBO61 ERQ2:ERS61 EHU2:EHW61 DXY2:DYA61 DOC2:DOE61 DEG2:DEI61 CUK2:CUM61 CKO2:CKQ61 CAS2:CAU61 BQW2:BQY61 BHA2:BHC61 AXE2:AXG61 ANI2:ANK61 ADM2:ADO61 TQ2:TS61 JU2:JW61 WWG2:WWI61" xr:uid="{A06A408A-CADF-46C3-8498-776CF4589C7A}">
      <formula1>$AV$2:$AV$20</formula1>
    </dataValidation>
    <dataValidation type="list" allowBlank="1" showInputMessage="1" showErrorMessage="1" sqref="H64355:H64420 JD64355:JD64420 SZ64355:SZ64420 ACV64355:ACV64420 AMR64355:AMR64420 AWN64355:AWN64420 BGJ64355:BGJ64420 BQF64355:BQF64420 CAB64355:CAB64420 CJX64355:CJX64420 CTT64355:CTT64420 DDP64355:DDP64420 DNL64355:DNL64420 DXH64355:DXH64420 EHD64355:EHD64420 EQZ64355:EQZ64420 FAV64355:FAV64420 FKR64355:FKR64420 FUN64355:FUN64420 GEJ64355:GEJ64420 GOF64355:GOF64420 GYB64355:GYB64420 HHX64355:HHX64420 HRT64355:HRT64420 IBP64355:IBP64420 ILL64355:ILL64420 IVH64355:IVH64420 JFD64355:JFD64420 JOZ64355:JOZ64420 JYV64355:JYV64420 KIR64355:KIR64420 KSN64355:KSN64420 LCJ64355:LCJ64420 LMF64355:LMF64420 LWB64355:LWB64420 MFX64355:MFX64420 MPT64355:MPT64420 MZP64355:MZP64420 NJL64355:NJL64420 NTH64355:NTH64420 ODD64355:ODD64420 OMZ64355:OMZ64420 OWV64355:OWV64420 PGR64355:PGR64420 PQN64355:PQN64420 QAJ64355:QAJ64420 QKF64355:QKF64420 QUB64355:QUB64420 RDX64355:RDX64420 RNT64355:RNT64420 RXP64355:RXP64420 SHL64355:SHL64420 SRH64355:SRH64420 TBD64355:TBD64420 TKZ64355:TKZ64420 TUV64355:TUV64420 UER64355:UER64420 UON64355:UON64420 UYJ64355:UYJ64420 VIF64355:VIF64420 VSB64355:VSB64420 WBX64355:WBX64420 WLT64355:WLT64420 WVP64355:WVP64420 H129891:H129956 JD129891:JD129956 SZ129891:SZ129956 ACV129891:ACV129956 AMR129891:AMR129956 AWN129891:AWN129956 BGJ129891:BGJ129956 BQF129891:BQF129956 CAB129891:CAB129956 CJX129891:CJX129956 CTT129891:CTT129956 DDP129891:DDP129956 DNL129891:DNL129956 DXH129891:DXH129956 EHD129891:EHD129956 EQZ129891:EQZ129956 FAV129891:FAV129956 FKR129891:FKR129956 FUN129891:FUN129956 GEJ129891:GEJ129956 GOF129891:GOF129956 GYB129891:GYB129956 HHX129891:HHX129956 HRT129891:HRT129956 IBP129891:IBP129956 ILL129891:ILL129956 IVH129891:IVH129956 JFD129891:JFD129956 JOZ129891:JOZ129956 JYV129891:JYV129956 KIR129891:KIR129956 KSN129891:KSN129956 LCJ129891:LCJ129956 LMF129891:LMF129956 LWB129891:LWB129956 MFX129891:MFX129956 MPT129891:MPT129956 MZP129891:MZP129956 NJL129891:NJL129956 NTH129891:NTH129956 ODD129891:ODD129956 OMZ129891:OMZ129956 OWV129891:OWV129956 PGR129891:PGR129956 PQN129891:PQN129956 QAJ129891:QAJ129956 QKF129891:QKF129956 QUB129891:QUB129956 RDX129891:RDX129956 RNT129891:RNT129956 RXP129891:RXP129956 SHL129891:SHL129956 SRH129891:SRH129956 TBD129891:TBD129956 TKZ129891:TKZ129956 TUV129891:TUV129956 UER129891:UER129956 UON129891:UON129956 UYJ129891:UYJ129956 VIF129891:VIF129956 VSB129891:VSB129956 WBX129891:WBX129956 WLT129891:WLT129956 WVP129891:WVP129956 H195427:H195492 JD195427:JD195492 SZ195427:SZ195492 ACV195427:ACV195492 AMR195427:AMR195492 AWN195427:AWN195492 BGJ195427:BGJ195492 BQF195427:BQF195492 CAB195427:CAB195492 CJX195427:CJX195492 CTT195427:CTT195492 DDP195427:DDP195492 DNL195427:DNL195492 DXH195427:DXH195492 EHD195427:EHD195492 EQZ195427:EQZ195492 FAV195427:FAV195492 FKR195427:FKR195492 FUN195427:FUN195492 GEJ195427:GEJ195492 GOF195427:GOF195492 GYB195427:GYB195492 HHX195427:HHX195492 HRT195427:HRT195492 IBP195427:IBP195492 ILL195427:ILL195492 IVH195427:IVH195492 JFD195427:JFD195492 JOZ195427:JOZ195492 JYV195427:JYV195492 KIR195427:KIR195492 KSN195427:KSN195492 LCJ195427:LCJ195492 LMF195427:LMF195492 LWB195427:LWB195492 MFX195427:MFX195492 MPT195427:MPT195492 MZP195427:MZP195492 NJL195427:NJL195492 NTH195427:NTH195492 ODD195427:ODD195492 OMZ195427:OMZ195492 OWV195427:OWV195492 PGR195427:PGR195492 PQN195427:PQN195492 QAJ195427:QAJ195492 QKF195427:QKF195492 QUB195427:QUB195492 RDX195427:RDX195492 RNT195427:RNT195492 RXP195427:RXP195492 SHL195427:SHL195492 SRH195427:SRH195492 TBD195427:TBD195492 TKZ195427:TKZ195492 TUV195427:TUV195492 UER195427:UER195492 UON195427:UON195492 UYJ195427:UYJ195492 VIF195427:VIF195492 VSB195427:VSB195492 WBX195427:WBX195492 WLT195427:WLT195492 WVP195427:WVP195492 H260963:H261028 JD260963:JD261028 SZ260963:SZ261028 ACV260963:ACV261028 AMR260963:AMR261028 AWN260963:AWN261028 BGJ260963:BGJ261028 BQF260963:BQF261028 CAB260963:CAB261028 CJX260963:CJX261028 CTT260963:CTT261028 DDP260963:DDP261028 DNL260963:DNL261028 DXH260963:DXH261028 EHD260963:EHD261028 EQZ260963:EQZ261028 FAV260963:FAV261028 FKR260963:FKR261028 FUN260963:FUN261028 GEJ260963:GEJ261028 GOF260963:GOF261028 GYB260963:GYB261028 HHX260963:HHX261028 HRT260963:HRT261028 IBP260963:IBP261028 ILL260963:ILL261028 IVH260963:IVH261028 JFD260963:JFD261028 JOZ260963:JOZ261028 JYV260963:JYV261028 KIR260963:KIR261028 KSN260963:KSN261028 LCJ260963:LCJ261028 LMF260963:LMF261028 LWB260963:LWB261028 MFX260963:MFX261028 MPT260963:MPT261028 MZP260963:MZP261028 NJL260963:NJL261028 NTH260963:NTH261028 ODD260963:ODD261028 OMZ260963:OMZ261028 OWV260963:OWV261028 PGR260963:PGR261028 PQN260963:PQN261028 QAJ260963:QAJ261028 QKF260963:QKF261028 QUB260963:QUB261028 RDX260963:RDX261028 RNT260963:RNT261028 RXP260963:RXP261028 SHL260963:SHL261028 SRH260963:SRH261028 TBD260963:TBD261028 TKZ260963:TKZ261028 TUV260963:TUV261028 UER260963:UER261028 UON260963:UON261028 UYJ260963:UYJ261028 VIF260963:VIF261028 VSB260963:VSB261028 WBX260963:WBX261028 WLT260963:WLT261028 WVP260963:WVP261028 H326499:H326564 JD326499:JD326564 SZ326499:SZ326564 ACV326499:ACV326564 AMR326499:AMR326564 AWN326499:AWN326564 BGJ326499:BGJ326564 BQF326499:BQF326564 CAB326499:CAB326564 CJX326499:CJX326564 CTT326499:CTT326564 DDP326499:DDP326564 DNL326499:DNL326564 DXH326499:DXH326564 EHD326499:EHD326564 EQZ326499:EQZ326564 FAV326499:FAV326564 FKR326499:FKR326564 FUN326499:FUN326564 GEJ326499:GEJ326564 GOF326499:GOF326564 GYB326499:GYB326564 HHX326499:HHX326564 HRT326499:HRT326564 IBP326499:IBP326564 ILL326499:ILL326564 IVH326499:IVH326564 JFD326499:JFD326564 JOZ326499:JOZ326564 JYV326499:JYV326564 KIR326499:KIR326564 KSN326499:KSN326564 LCJ326499:LCJ326564 LMF326499:LMF326564 LWB326499:LWB326564 MFX326499:MFX326564 MPT326499:MPT326564 MZP326499:MZP326564 NJL326499:NJL326564 NTH326499:NTH326564 ODD326499:ODD326564 OMZ326499:OMZ326564 OWV326499:OWV326564 PGR326499:PGR326564 PQN326499:PQN326564 QAJ326499:QAJ326564 QKF326499:QKF326564 QUB326499:QUB326564 RDX326499:RDX326564 RNT326499:RNT326564 RXP326499:RXP326564 SHL326499:SHL326564 SRH326499:SRH326564 TBD326499:TBD326564 TKZ326499:TKZ326564 TUV326499:TUV326564 UER326499:UER326564 UON326499:UON326564 UYJ326499:UYJ326564 VIF326499:VIF326564 VSB326499:VSB326564 WBX326499:WBX326564 WLT326499:WLT326564 WVP326499:WVP326564 H392035:H392100 JD392035:JD392100 SZ392035:SZ392100 ACV392035:ACV392100 AMR392035:AMR392100 AWN392035:AWN392100 BGJ392035:BGJ392100 BQF392035:BQF392100 CAB392035:CAB392100 CJX392035:CJX392100 CTT392035:CTT392100 DDP392035:DDP392100 DNL392035:DNL392100 DXH392035:DXH392100 EHD392035:EHD392100 EQZ392035:EQZ392100 FAV392035:FAV392100 FKR392035:FKR392100 FUN392035:FUN392100 GEJ392035:GEJ392100 GOF392035:GOF392100 GYB392035:GYB392100 HHX392035:HHX392100 HRT392035:HRT392100 IBP392035:IBP392100 ILL392035:ILL392100 IVH392035:IVH392100 JFD392035:JFD392100 JOZ392035:JOZ392100 JYV392035:JYV392100 KIR392035:KIR392100 KSN392035:KSN392100 LCJ392035:LCJ392100 LMF392035:LMF392100 LWB392035:LWB392100 MFX392035:MFX392100 MPT392035:MPT392100 MZP392035:MZP392100 NJL392035:NJL392100 NTH392035:NTH392100 ODD392035:ODD392100 OMZ392035:OMZ392100 OWV392035:OWV392100 PGR392035:PGR392100 PQN392035:PQN392100 QAJ392035:QAJ392100 QKF392035:QKF392100 QUB392035:QUB392100 RDX392035:RDX392100 RNT392035:RNT392100 RXP392035:RXP392100 SHL392035:SHL392100 SRH392035:SRH392100 TBD392035:TBD392100 TKZ392035:TKZ392100 TUV392035:TUV392100 UER392035:UER392100 UON392035:UON392100 UYJ392035:UYJ392100 VIF392035:VIF392100 VSB392035:VSB392100 WBX392035:WBX392100 WLT392035:WLT392100 WVP392035:WVP392100 H457571:H457636 JD457571:JD457636 SZ457571:SZ457636 ACV457571:ACV457636 AMR457571:AMR457636 AWN457571:AWN457636 BGJ457571:BGJ457636 BQF457571:BQF457636 CAB457571:CAB457636 CJX457571:CJX457636 CTT457571:CTT457636 DDP457571:DDP457636 DNL457571:DNL457636 DXH457571:DXH457636 EHD457571:EHD457636 EQZ457571:EQZ457636 FAV457571:FAV457636 FKR457571:FKR457636 FUN457571:FUN457636 GEJ457571:GEJ457636 GOF457571:GOF457636 GYB457571:GYB457636 HHX457571:HHX457636 HRT457571:HRT457636 IBP457571:IBP457636 ILL457571:ILL457636 IVH457571:IVH457636 JFD457571:JFD457636 JOZ457571:JOZ457636 JYV457571:JYV457636 KIR457571:KIR457636 KSN457571:KSN457636 LCJ457571:LCJ457636 LMF457571:LMF457636 LWB457571:LWB457636 MFX457571:MFX457636 MPT457571:MPT457636 MZP457571:MZP457636 NJL457571:NJL457636 NTH457571:NTH457636 ODD457571:ODD457636 OMZ457571:OMZ457636 OWV457571:OWV457636 PGR457571:PGR457636 PQN457571:PQN457636 QAJ457571:QAJ457636 QKF457571:QKF457636 QUB457571:QUB457636 RDX457571:RDX457636 RNT457571:RNT457636 RXP457571:RXP457636 SHL457571:SHL457636 SRH457571:SRH457636 TBD457571:TBD457636 TKZ457571:TKZ457636 TUV457571:TUV457636 UER457571:UER457636 UON457571:UON457636 UYJ457571:UYJ457636 VIF457571:VIF457636 VSB457571:VSB457636 WBX457571:WBX457636 WLT457571:WLT457636 WVP457571:WVP457636 H523107:H523172 JD523107:JD523172 SZ523107:SZ523172 ACV523107:ACV523172 AMR523107:AMR523172 AWN523107:AWN523172 BGJ523107:BGJ523172 BQF523107:BQF523172 CAB523107:CAB523172 CJX523107:CJX523172 CTT523107:CTT523172 DDP523107:DDP523172 DNL523107:DNL523172 DXH523107:DXH523172 EHD523107:EHD523172 EQZ523107:EQZ523172 FAV523107:FAV523172 FKR523107:FKR523172 FUN523107:FUN523172 GEJ523107:GEJ523172 GOF523107:GOF523172 GYB523107:GYB523172 HHX523107:HHX523172 HRT523107:HRT523172 IBP523107:IBP523172 ILL523107:ILL523172 IVH523107:IVH523172 JFD523107:JFD523172 JOZ523107:JOZ523172 JYV523107:JYV523172 KIR523107:KIR523172 KSN523107:KSN523172 LCJ523107:LCJ523172 LMF523107:LMF523172 LWB523107:LWB523172 MFX523107:MFX523172 MPT523107:MPT523172 MZP523107:MZP523172 NJL523107:NJL523172 NTH523107:NTH523172 ODD523107:ODD523172 OMZ523107:OMZ523172 OWV523107:OWV523172 PGR523107:PGR523172 PQN523107:PQN523172 QAJ523107:QAJ523172 QKF523107:QKF523172 QUB523107:QUB523172 RDX523107:RDX523172 RNT523107:RNT523172 RXP523107:RXP523172 SHL523107:SHL523172 SRH523107:SRH523172 TBD523107:TBD523172 TKZ523107:TKZ523172 TUV523107:TUV523172 UER523107:UER523172 UON523107:UON523172 UYJ523107:UYJ523172 VIF523107:VIF523172 VSB523107:VSB523172 WBX523107:WBX523172 WLT523107:WLT523172 WVP523107:WVP523172 H588643:H588708 JD588643:JD588708 SZ588643:SZ588708 ACV588643:ACV588708 AMR588643:AMR588708 AWN588643:AWN588708 BGJ588643:BGJ588708 BQF588643:BQF588708 CAB588643:CAB588708 CJX588643:CJX588708 CTT588643:CTT588708 DDP588643:DDP588708 DNL588643:DNL588708 DXH588643:DXH588708 EHD588643:EHD588708 EQZ588643:EQZ588708 FAV588643:FAV588708 FKR588643:FKR588708 FUN588643:FUN588708 GEJ588643:GEJ588708 GOF588643:GOF588708 GYB588643:GYB588708 HHX588643:HHX588708 HRT588643:HRT588708 IBP588643:IBP588708 ILL588643:ILL588708 IVH588643:IVH588708 JFD588643:JFD588708 JOZ588643:JOZ588708 JYV588643:JYV588708 KIR588643:KIR588708 KSN588643:KSN588708 LCJ588643:LCJ588708 LMF588643:LMF588708 LWB588643:LWB588708 MFX588643:MFX588708 MPT588643:MPT588708 MZP588643:MZP588708 NJL588643:NJL588708 NTH588643:NTH588708 ODD588643:ODD588708 OMZ588643:OMZ588708 OWV588643:OWV588708 PGR588643:PGR588708 PQN588643:PQN588708 QAJ588643:QAJ588708 QKF588643:QKF588708 QUB588643:QUB588708 RDX588643:RDX588708 RNT588643:RNT588708 RXP588643:RXP588708 SHL588643:SHL588708 SRH588643:SRH588708 TBD588643:TBD588708 TKZ588643:TKZ588708 TUV588643:TUV588708 UER588643:UER588708 UON588643:UON588708 UYJ588643:UYJ588708 VIF588643:VIF588708 VSB588643:VSB588708 WBX588643:WBX588708 WLT588643:WLT588708 WVP588643:WVP588708 H654179:H654244 JD654179:JD654244 SZ654179:SZ654244 ACV654179:ACV654244 AMR654179:AMR654244 AWN654179:AWN654244 BGJ654179:BGJ654244 BQF654179:BQF654244 CAB654179:CAB654244 CJX654179:CJX654244 CTT654179:CTT654244 DDP654179:DDP654244 DNL654179:DNL654244 DXH654179:DXH654244 EHD654179:EHD654244 EQZ654179:EQZ654244 FAV654179:FAV654244 FKR654179:FKR654244 FUN654179:FUN654244 GEJ654179:GEJ654244 GOF654179:GOF654244 GYB654179:GYB654244 HHX654179:HHX654244 HRT654179:HRT654244 IBP654179:IBP654244 ILL654179:ILL654244 IVH654179:IVH654244 JFD654179:JFD654244 JOZ654179:JOZ654244 JYV654179:JYV654244 KIR654179:KIR654244 KSN654179:KSN654244 LCJ654179:LCJ654244 LMF654179:LMF654244 LWB654179:LWB654244 MFX654179:MFX654244 MPT654179:MPT654244 MZP654179:MZP654244 NJL654179:NJL654244 NTH654179:NTH654244 ODD654179:ODD654244 OMZ654179:OMZ654244 OWV654179:OWV654244 PGR654179:PGR654244 PQN654179:PQN654244 QAJ654179:QAJ654244 QKF654179:QKF654244 QUB654179:QUB654244 RDX654179:RDX654244 RNT654179:RNT654244 RXP654179:RXP654244 SHL654179:SHL654244 SRH654179:SRH654244 TBD654179:TBD654244 TKZ654179:TKZ654244 TUV654179:TUV654244 UER654179:UER654244 UON654179:UON654244 UYJ654179:UYJ654244 VIF654179:VIF654244 VSB654179:VSB654244 WBX654179:WBX654244 WLT654179:WLT654244 WVP654179:WVP654244 H719715:H719780 JD719715:JD719780 SZ719715:SZ719780 ACV719715:ACV719780 AMR719715:AMR719780 AWN719715:AWN719780 BGJ719715:BGJ719780 BQF719715:BQF719780 CAB719715:CAB719780 CJX719715:CJX719780 CTT719715:CTT719780 DDP719715:DDP719780 DNL719715:DNL719780 DXH719715:DXH719780 EHD719715:EHD719780 EQZ719715:EQZ719780 FAV719715:FAV719780 FKR719715:FKR719780 FUN719715:FUN719780 GEJ719715:GEJ719780 GOF719715:GOF719780 GYB719715:GYB719780 HHX719715:HHX719780 HRT719715:HRT719780 IBP719715:IBP719780 ILL719715:ILL719780 IVH719715:IVH719780 JFD719715:JFD719780 JOZ719715:JOZ719780 JYV719715:JYV719780 KIR719715:KIR719780 KSN719715:KSN719780 LCJ719715:LCJ719780 LMF719715:LMF719780 LWB719715:LWB719780 MFX719715:MFX719780 MPT719715:MPT719780 MZP719715:MZP719780 NJL719715:NJL719780 NTH719715:NTH719780 ODD719715:ODD719780 OMZ719715:OMZ719780 OWV719715:OWV719780 PGR719715:PGR719780 PQN719715:PQN719780 QAJ719715:QAJ719780 QKF719715:QKF719780 QUB719715:QUB719780 RDX719715:RDX719780 RNT719715:RNT719780 RXP719715:RXP719780 SHL719715:SHL719780 SRH719715:SRH719780 TBD719715:TBD719780 TKZ719715:TKZ719780 TUV719715:TUV719780 UER719715:UER719780 UON719715:UON719780 UYJ719715:UYJ719780 VIF719715:VIF719780 VSB719715:VSB719780 WBX719715:WBX719780 WLT719715:WLT719780 WVP719715:WVP719780 H785251:H785316 JD785251:JD785316 SZ785251:SZ785316 ACV785251:ACV785316 AMR785251:AMR785316 AWN785251:AWN785316 BGJ785251:BGJ785316 BQF785251:BQF785316 CAB785251:CAB785316 CJX785251:CJX785316 CTT785251:CTT785316 DDP785251:DDP785316 DNL785251:DNL785316 DXH785251:DXH785316 EHD785251:EHD785316 EQZ785251:EQZ785316 FAV785251:FAV785316 FKR785251:FKR785316 FUN785251:FUN785316 GEJ785251:GEJ785316 GOF785251:GOF785316 GYB785251:GYB785316 HHX785251:HHX785316 HRT785251:HRT785316 IBP785251:IBP785316 ILL785251:ILL785316 IVH785251:IVH785316 JFD785251:JFD785316 JOZ785251:JOZ785316 JYV785251:JYV785316 KIR785251:KIR785316 KSN785251:KSN785316 LCJ785251:LCJ785316 LMF785251:LMF785316 LWB785251:LWB785316 MFX785251:MFX785316 MPT785251:MPT785316 MZP785251:MZP785316 NJL785251:NJL785316 NTH785251:NTH785316 ODD785251:ODD785316 OMZ785251:OMZ785316 OWV785251:OWV785316 PGR785251:PGR785316 PQN785251:PQN785316 QAJ785251:QAJ785316 QKF785251:QKF785316 QUB785251:QUB785316 RDX785251:RDX785316 RNT785251:RNT785316 RXP785251:RXP785316 SHL785251:SHL785316 SRH785251:SRH785316 TBD785251:TBD785316 TKZ785251:TKZ785316 TUV785251:TUV785316 UER785251:UER785316 UON785251:UON785316 UYJ785251:UYJ785316 VIF785251:VIF785316 VSB785251:VSB785316 WBX785251:WBX785316 WLT785251:WLT785316 WVP785251:WVP785316 H850787:H850852 JD850787:JD850852 SZ850787:SZ850852 ACV850787:ACV850852 AMR850787:AMR850852 AWN850787:AWN850852 BGJ850787:BGJ850852 BQF850787:BQF850852 CAB850787:CAB850852 CJX850787:CJX850852 CTT850787:CTT850852 DDP850787:DDP850852 DNL850787:DNL850852 DXH850787:DXH850852 EHD850787:EHD850852 EQZ850787:EQZ850852 FAV850787:FAV850852 FKR850787:FKR850852 FUN850787:FUN850852 GEJ850787:GEJ850852 GOF850787:GOF850852 GYB850787:GYB850852 HHX850787:HHX850852 HRT850787:HRT850852 IBP850787:IBP850852 ILL850787:ILL850852 IVH850787:IVH850852 JFD850787:JFD850852 JOZ850787:JOZ850852 JYV850787:JYV850852 KIR850787:KIR850852 KSN850787:KSN850852 LCJ850787:LCJ850852 LMF850787:LMF850852 LWB850787:LWB850852 MFX850787:MFX850852 MPT850787:MPT850852 MZP850787:MZP850852 NJL850787:NJL850852 NTH850787:NTH850852 ODD850787:ODD850852 OMZ850787:OMZ850852 OWV850787:OWV850852 PGR850787:PGR850852 PQN850787:PQN850852 QAJ850787:QAJ850852 QKF850787:QKF850852 QUB850787:QUB850852 RDX850787:RDX850852 RNT850787:RNT850852 RXP850787:RXP850852 SHL850787:SHL850852 SRH850787:SRH850852 TBD850787:TBD850852 TKZ850787:TKZ850852 TUV850787:TUV850852 UER850787:UER850852 UON850787:UON850852 UYJ850787:UYJ850852 VIF850787:VIF850852 VSB850787:VSB850852 WBX850787:WBX850852 WLT850787:WLT850852 WVP850787:WVP850852 H916323:H916388 JD916323:JD916388 SZ916323:SZ916388 ACV916323:ACV916388 AMR916323:AMR916388 AWN916323:AWN916388 BGJ916323:BGJ916388 BQF916323:BQF916388 CAB916323:CAB916388 CJX916323:CJX916388 CTT916323:CTT916388 DDP916323:DDP916388 DNL916323:DNL916388 DXH916323:DXH916388 EHD916323:EHD916388 EQZ916323:EQZ916388 FAV916323:FAV916388 FKR916323:FKR916388 FUN916323:FUN916388 GEJ916323:GEJ916388 GOF916323:GOF916388 GYB916323:GYB916388 HHX916323:HHX916388 HRT916323:HRT916388 IBP916323:IBP916388 ILL916323:ILL916388 IVH916323:IVH916388 JFD916323:JFD916388 JOZ916323:JOZ916388 JYV916323:JYV916388 KIR916323:KIR916388 KSN916323:KSN916388 LCJ916323:LCJ916388 LMF916323:LMF916388 LWB916323:LWB916388 MFX916323:MFX916388 MPT916323:MPT916388 MZP916323:MZP916388 NJL916323:NJL916388 NTH916323:NTH916388 ODD916323:ODD916388 OMZ916323:OMZ916388 OWV916323:OWV916388 PGR916323:PGR916388 PQN916323:PQN916388 QAJ916323:QAJ916388 QKF916323:QKF916388 QUB916323:QUB916388 RDX916323:RDX916388 RNT916323:RNT916388 RXP916323:RXP916388 SHL916323:SHL916388 SRH916323:SRH916388 TBD916323:TBD916388 TKZ916323:TKZ916388 TUV916323:TUV916388 UER916323:UER916388 UON916323:UON916388 UYJ916323:UYJ916388 VIF916323:VIF916388 VSB916323:VSB916388 WBX916323:WBX916388 WLT916323:WLT916388 WVP916323:WVP916388 H981859:H981924 JD981859:JD981924 SZ981859:SZ981924 ACV981859:ACV981924 AMR981859:AMR981924 AWN981859:AWN981924 BGJ981859:BGJ981924 BQF981859:BQF981924 CAB981859:CAB981924 CJX981859:CJX981924 CTT981859:CTT981924 DDP981859:DDP981924 DNL981859:DNL981924 DXH981859:DXH981924 EHD981859:EHD981924 EQZ981859:EQZ981924 FAV981859:FAV981924 FKR981859:FKR981924 FUN981859:FUN981924 GEJ981859:GEJ981924 GOF981859:GOF981924 GYB981859:GYB981924 HHX981859:HHX981924 HRT981859:HRT981924 IBP981859:IBP981924 ILL981859:ILL981924 IVH981859:IVH981924 JFD981859:JFD981924 JOZ981859:JOZ981924 JYV981859:JYV981924 KIR981859:KIR981924 KSN981859:KSN981924 LCJ981859:LCJ981924 LMF981859:LMF981924 LWB981859:LWB981924 MFX981859:MFX981924 MPT981859:MPT981924 MZP981859:MZP981924 NJL981859:NJL981924 NTH981859:NTH981924 ODD981859:ODD981924 OMZ981859:OMZ981924 OWV981859:OWV981924 PGR981859:PGR981924 PQN981859:PQN981924 QAJ981859:QAJ981924 QKF981859:QKF981924 QUB981859:QUB981924 RDX981859:RDX981924 RNT981859:RNT981924 RXP981859:RXP981924 SHL981859:SHL981924 SRH981859:SRH981924 TBD981859:TBD981924 TKZ981859:TKZ981924 TUV981859:TUV981924 UER981859:UER981924 UON981859:UON981924 UYJ981859:UYJ981924 VIF981859:VIF981924 VSB981859:VSB981924 WBX981859:WBX981924 WLT981859:WLT981924 WVP981859:WVP981924 H1047395:H1047460 JD1047395:JD1047460 SZ1047395:SZ1047460 ACV1047395:ACV1047460 AMR1047395:AMR1047460 AWN1047395:AWN1047460 BGJ1047395:BGJ1047460 BQF1047395:BQF1047460 CAB1047395:CAB1047460 CJX1047395:CJX1047460 CTT1047395:CTT1047460 DDP1047395:DDP1047460 DNL1047395:DNL1047460 DXH1047395:DXH1047460 EHD1047395:EHD1047460 EQZ1047395:EQZ1047460 FAV1047395:FAV1047460 FKR1047395:FKR1047460 FUN1047395:FUN1047460 GEJ1047395:GEJ1047460 GOF1047395:GOF1047460 GYB1047395:GYB1047460 HHX1047395:HHX1047460 HRT1047395:HRT1047460 IBP1047395:IBP1047460 ILL1047395:ILL1047460 IVH1047395:IVH1047460 JFD1047395:JFD1047460 JOZ1047395:JOZ1047460 JYV1047395:JYV1047460 KIR1047395:KIR1047460 KSN1047395:KSN1047460 LCJ1047395:LCJ1047460 LMF1047395:LMF1047460 LWB1047395:LWB1047460 MFX1047395:MFX1047460 MPT1047395:MPT1047460 MZP1047395:MZP1047460 NJL1047395:NJL1047460 NTH1047395:NTH1047460 ODD1047395:ODD1047460 OMZ1047395:OMZ1047460 OWV1047395:OWV1047460 PGR1047395:PGR1047460 PQN1047395:PQN1047460 QAJ1047395:QAJ1047460 QKF1047395:QKF1047460 QUB1047395:QUB1047460 RDX1047395:RDX1047460 RNT1047395:RNT1047460 RXP1047395:RXP1047460 SHL1047395:SHL1047460 SRH1047395:SRH1047460 TBD1047395:TBD1047460 TKZ1047395:TKZ1047460 TUV1047395:TUV1047460 UER1047395:UER1047460 UON1047395:UON1047460 UYJ1047395:UYJ1047460 VIF1047395:VIF1047460 VSB1047395:VSB1047460 WBX1047395:WBX1047460 WLT1047395:WLT1047460 WVP1047395:WVP1047460" xr:uid="{A2B18832-F70A-4DB3-9336-1139850F1B2C}">
      <formula1>$AL$5:$AL$12</formula1>
    </dataValidation>
    <dataValidation type="list" allowBlank="1" showInputMessage="1" showErrorMessage="1" sqref="E64355:F64420 WVM983034:WVN983105 WLQ983034:WLR983105 WBU983034:WBV983105 VRY983034:VRZ983105 VIC983034:VID983105 UYG983034:UYH983105 UOK983034:UOL983105 UEO983034:UEP983105 TUS983034:TUT983105 TKW983034:TKX983105 TBA983034:TBB983105 SRE983034:SRF983105 SHI983034:SHJ983105 RXM983034:RXN983105 RNQ983034:RNR983105 RDU983034:RDV983105 QTY983034:QTZ983105 QKC983034:QKD983105 QAG983034:QAH983105 PQK983034:PQL983105 PGO983034:PGP983105 OWS983034:OWT983105 OMW983034:OMX983105 ODA983034:ODB983105 NTE983034:NTF983105 NJI983034:NJJ983105 MZM983034:MZN983105 MPQ983034:MPR983105 MFU983034:MFV983105 LVY983034:LVZ983105 LMC983034:LMD983105 LCG983034:LCH983105 KSK983034:KSL983105 KIO983034:KIP983105 JYS983034:JYT983105 JOW983034:JOX983105 JFA983034:JFB983105 IVE983034:IVF983105 ILI983034:ILJ983105 IBM983034:IBN983105 HRQ983034:HRR983105 HHU983034:HHV983105 GXY983034:GXZ983105 GOC983034:GOD983105 GEG983034:GEH983105 FUK983034:FUL983105 FKO983034:FKP983105 FAS983034:FAT983105 EQW983034:EQX983105 EHA983034:EHB983105 DXE983034:DXF983105 DNI983034:DNJ983105 DDM983034:DDN983105 CTQ983034:CTR983105 CJU983034:CJV983105 BZY983034:BZZ983105 BQC983034:BQD983105 BGG983034:BGH983105 AWK983034:AWL983105 AMO983034:AMP983105 ACS983034:ACT983105 SW983034:SX983105 JA983034:JB983105 E983034:F983105 WVM917498:WVN917569 WLQ917498:WLR917569 WBU917498:WBV917569 VRY917498:VRZ917569 VIC917498:VID917569 UYG917498:UYH917569 UOK917498:UOL917569 UEO917498:UEP917569 TUS917498:TUT917569 TKW917498:TKX917569 TBA917498:TBB917569 SRE917498:SRF917569 SHI917498:SHJ917569 RXM917498:RXN917569 RNQ917498:RNR917569 RDU917498:RDV917569 QTY917498:QTZ917569 QKC917498:QKD917569 QAG917498:QAH917569 PQK917498:PQL917569 PGO917498:PGP917569 OWS917498:OWT917569 OMW917498:OMX917569 ODA917498:ODB917569 NTE917498:NTF917569 NJI917498:NJJ917569 MZM917498:MZN917569 MPQ917498:MPR917569 MFU917498:MFV917569 LVY917498:LVZ917569 LMC917498:LMD917569 LCG917498:LCH917569 KSK917498:KSL917569 KIO917498:KIP917569 JYS917498:JYT917569 JOW917498:JOX917569 JFA917498:JFB917569 IVE917498:IVF917569 ILI917498:ILJ917569 IBM917498:IBN917569 HRQ917498:HRR917569 HHU917498:HHV917569 GXY917498:GXZ917569 GOC917498:GOD917569 GEG917498:GEH917569 FUK917498:FUL917569 FKO917498:FKP917569 FAS917498:FAT917569 EQW917498:EQX917569 EHA917498:EHB917569 DXE917498:DXF917569 DNI917498:DNJ917569 DDM917498:DDN917569 CTQ917498:CTR917569 CJU917498:CJV917569 BZY917498:BZZ917569 BQC917498:BQD917569 BGG917498:BGH917569 AWK917498:AWL917569 AMO917498:AMP917569 ACS917498:ACT917569 SW917498:SX917569 JA917498:JB917569 E917498:F917569 WVM851962:WVN852033 WLQ851962:WLR852033 WBU851962:WBV852033 VRY851962:VRZ852033 VIC851962:VID852033 UYG851962:UYH852033 UOK851962:UOL852033 UEO851962:UEP852033 TUS851962:TUT852033 TKW851962:TKX852033 TBA851962:TBB852033 SRE851962:SRF852033 SHI851962:SHJ852033 RXM851962:RXN852033 RNQ851962:RNR852033 RDU851962:RDV852033 QTY851962:QTZ852033 QKC851962:QKD852033 QAG851962:QAH852033 PQK851962:PQL852033 PGO851962:PGP852033 OWS851962:OWT852033 OMW851962:OMX852033 ODA851962:ODB852033 NTE851962:NTF852033 NJI851962:NJJ852033 MZM851962:MZN852033 MPQ851962:MPR852033 MFU851962:MFV852033 LVY851962:LVZ852033 LMC851962:LMD852033 LCG851962:LCH852033 KSK851962:KSL852033 KIO851962:KIP852033 JYS851962:JYT852033 JOW851962:JOX852033 JFA851962:JFB852033 IVE851962:IVF852033 ILI851962:ILJ852033 IBM851962:IBN852033 HRQ851962:HRR852033 HHU851962:HHV852033 GXY851962:GXZ852033 GOC851962:GOD852033 GEG851962:GEH852033 FUK851962:FUL852033 FKO851962:FKP852033 FAS851962:FAT852033 EQW851962:EQX852033 EHA851962:EHB852033 DXE851962:DXF852033 DNI851962:DNJ852033 DDM851962:DDN852033 CTQ851962:CTR852033 CJU851962:CJV852033 BZY851962:BZZ852033 BQC851962:BQD852033 BGG851962:BGH852033 AWK851962:AWL852033 AMO851962:AMP852033 ACS851962:ACT852033 SW851962:SX852033 JA851962:JB852033 E851962:F852033 WVM786426:WVN786497 WLQ786426:WLR786497 WBU786426:WBV786497 VRY786426:VRZ786497 VIC786426:VID786497 UYG786426:UYH786497 UOK786426:UOL786497 UEO786426:UEP786497 TUS786426:TUT786497 TKW786426:TKX786497 TBA786426:TBB786497 SRE786426:SRF786497 SHI786426:SHJ786497 RXM786426:RXN786497 RNQ786426:RNR786497 RDU786426:RDV786497 QTY786426:QTZ786497 QKC786426:QKD786497 QAG786426:QAH786497 PQK786426:PQL786497 PGO786426:PGP786497 OWS786426:OWT786497 OMW786426:OMX786497 ODA786426:ODB786497 NTE786426:NTF786497 NJI786426:NJJ786497 MZM786426:MZN786497 MPQ786426:MPR786497 MFU786426:MFV786497 LVY786426:LVZ786497 LMC786426:LMD786497 LCG786426:LCH786497 KSK786426:KSL786497 KIO786426:KIP786497 JYS786426:JYT786497 JOW786426:JOX786497 JFA786426:JFB786497 IVE786426:IVF786497 ILI786426:ILJ786497 IBM786426:IBN786497 HRQ786426:HRR786497 HHU786426:HHV786497 GXY786426:GXZ786497 GOC786426:GOD786497 GEG786426:GEH786497 FUK786426:FUL786497 FKO786426:FKP786497 FAS786426:FAT786497 EQW786426:EQX786497 EHA786426:EHB786497 DXE786426:DXF786497 DNI786426:DNJ786497 DDM786426:DDN786497 CTQ786426:CTR786497 CJU786426:CJV786497 BZY786426:BZZ786497 BQC786426:BQD786497 BGG786426:BGH786497 AWK786426:AWL786497 AMO786426:AMP786497 ACS786426:ACT786497 SW786426:SX786497 JA786426:JB786497 E786426:F786497 WVM720890:WVN720961 WLQ720890:WLR720961 WBU720890:WBV720961 VRY720890:VRZ720961 VIC720890:VID720961 UYG720890:UYH720961 UOK720890:UOL720961 UEO720890:UEP720961 TUS720890:TUT720961 TKW720890:TKX720961 TBA720890:TBB720961 SRE720890:SRF720961 SHI720890:SHJ720961 RXM720890:RXN720961 RNQ720890:RNR720961 RDU720890:RDV720961 QTY720890:QTZ720961 QKC720890:QKD720961 QAG720890:QAH720961 PQK720890:PQL720961 PGO720890:PGP720961 OWS720890:OWT720961 OMW720890:OMX720961 ODA720890:ODB720961 NTE720890:NTF720961 NJI720890:NJJ720961 MZM720890:MZN720961 MPQ720890:MPR720961 MFU720890:MFV720961 LVY720890:LVZ720961 LMC720890:LMD720961 LCG720890:LCH720961 KSK720890:KSL720961 KIO720890:KIP720961 JYS720890:JYT720961 JOW720890:JOX720961 JFA720890:JFB720961 IVE720890:IVF720961 ILI720890:ILJ720961 IBM720890:IBN720961 HRQ720890:HRR720961 HHU720890:HHV720961 GXY720890:GXZ720961 GOC720890:GOD720961 GEG720890:GEH720961 FUK720890:FUL720961 FKO720890:FKP720961 FAS720890:FAT720961 EQW720890:EQX720961 EHA720890:EHB720961 DXE720890:DXF720961 DNI720890:DNJ720961 DDM720890:DDN720961 CTQ720890:CTR720961 CJU720890:CJV720961 BZY720890:BZZ720961 BQC720890:BQD720961 BGG720890:BGH720961 AWK720890:AWL720961 AMO720890:AMP720961 ACS720890:ACT720961 SW720890:SX720961 JA720890:JB720961 E720890:F720961 WVM655354:WVN655425 WLQ655354:WLR655425 WBU655354:WBV655425 VRY655354:VRZ655425 VIC655354:VID655425 UYG655354:UYH655425 UOK655354:UOL655425 UEO655354:UEP655425 TUS655354:TUT655425 TKW655354:TKX655425 TBA655354:TBB655425 SRE655354:SRF655425 SHI655354:SHJ655425 RXM655354:RXN655425 RNQ655354:RNR655425 RDU655354:RDV655425 QTY655354:QTZ655425 QKC655354:QKD655425 QAG655354:QAH655425 PQK655354:PQL655425 PGO655354:PGP655425 OWS655354:OWT655425 OMW655354:OMX655425 ODA655354:ODB655425 NTE655354:NTF655425 NJI655354:NJJ655425 MZM655354:MZN655425 MPQ655354:MPR655425 MFU655354:MFV655425 LVY655354:LVZ655425 LMC655354:LMD655425 LCG655354:LCH655425 KSK655354:KSL655425 KIO655354:KIP655425 JYS655354:JYT655425 JOW655354:JOX655425 JFA655354:JFB655425 IVE655354:IVF655425 ILI655354:ILJ655425 IBM655354:IBN655425 HRQ655354:HRR655425 HHU655354:HHV655425 GXY655354:GXZ655425 GOC655354:GOD655425 GEG655354:GEH655425 FUK655354:FUL655425 FKO655354:FKP655425 FAS655354:FAT655425 EQW655354:EQX655425 EHA655354:EHB655425 DXE655354:DXF655425 DNI655354:DNJ655425 DDM655354:DDN655425 CTQ655354:CTR655425 CJU655354:CJV655425 BZY655354:BZZ655425 BQC655354:BQD655425 BGG655354:BGH655425 AWK655354:AWL655425 AMO655354:AMP655425 ACS655354:ACT655425 SW655354:SX655425 JA655354:JB655425 E655354:F655425 WVM589818:WVN589889 WLQ589818:WLR589889 WBU589818:WBV589889 VRY589818:VRZ589889 VIC589818:VID589889 UYG589818:UYH589889 UOK589818:UOL589889 UEO589818:UEP589889 TUS589818:TUT589889 TKW589818:TKX589889 TBA589818:TBB589889 SRE589818:SRF589889 SHI589818:SHJ589889 RXM589818:RXN589889 RNQ589818:RNR589889 RDU589818:RDV589889 QTY589818:QTZ589889 QKC589818:QKD589889 QAG589818:QAH589889 PQK589818:PQL589889 PGO589818:PGP589889 OWS589818:OWT589889 OMW589818:OMX589889 ODA589818:ODB589889 NTE589818:NTF589889 NJI589818:NJJ589889 MZM589818:MZN589889 MPQ589818:MPR589889 MFU589818:MFV589889 LVY589818:LVZ589889 LMC589818:LMD589889 LCG589818:LCH589889 KSK589818:KSL589889 KIO589818:KIP589889 JYS589818:JYT589889 JOW589818:JOX589889 JFA589818:JFB589889 IVE589818:IVF589889 ILI589818:ILJ589889 IBM589818:IBN589889 HRQ589818:HRR589889 HHU589818:HHV589889 GXY589818:GXZ589889 GOC589818:GOD589889 GEG589818:GEH589889 FUK589818:FUL589889 FKO589818:FKP589889 FAS589818:FAT589889 EQW589818:EQX589889 EHA589818:EHB589889 DXE589818:DXF589889 DNI589818:DNJ589889 DDM589818:DDN589889 CTQ589818:CTR589889 CJU589818:CJV589889 BZY589818:BZZ589889 BQC589818:BQD589889 BGG589818:BGH589889 AWK589818:AWL589889 AMO589818:AMP589889 ACS589818:ACT589889 SW589818:SX589889 JA589818:JB589889 E589818:F589889 WVM524282:WVN524353 WLQ524282:WLR524353 WBU524282:WBV524353 VRY524282:VRZ524353 VIC524282:VID524353 UYG524282:UYH524353 UOK524282:UOL524353 UEO524282:UEP524353 TUS524282:TUT524353 TKW524282:TKX524353 TBA524282:TBB524353 SRE524282:SRF524353 SHI524282:SHJ524353 RXM524282:RXN524353 RNQ524282:RNR524353 RDU524282:RDV524353 QTY524282:QTZ524353 QKC524282:QKD524353 QAG524282:QAH524353 PQK524282:PQL524353 PGO524282:PGP524353 OWS524282:OWT524353 OMW524282:OMX524353 ODA524282:ODB524353 NTE524282:NTF524353 NJI524282:NJJ524353 MZM524282:MZN524353 MPQ524282:MPR524353 MFU524282:MFV524353 LVY524282:LVZ524353 LMC524282:LMD524353 LCG524282:LCH524353 KSK524282:KSL524353 KIO524282:KIP524353 JYS524282:JYT524353 JOW524282:JOX524353 JFA524282:JFB524353 IVE524282:IVF524353 ILI524282:ILJ524353 IBM524282:IBN524353 HRQ524282:HRR524353 HHU524282:HHV524353 GXY524282:GXZ524353 GOC524282:GOD524353 GEG524282:GEH524353 FUK524282:FUL524353 FKO524282:FKP524353 FAS524282:FAT524353 EQW524282:EQX524353 EHA524282:EHB524353 DXE524282:DXF524353 DNI524282:DNJ524353 DDM524282:DDN524353 CTQ524282:CTR524353 CJU524282:CJV524353 BZY524282:BZZ524353 BQC524282:BQD524353 BGG524282:BGH524353 AWK524282:AWL524353 AMO524282:AMP524353 ACS524282:ACT524353 SW524282:SX524353 JA524282:JB524353 E524282:F524353 WVM458746:WVN458817 WLQ458746:WLR458817 WBU458746:WBV458817 VRY458746:VRZ458817 VIC458746:VID458817 UYG458746:UYH458817 UOK458746:UOL458817 UEO458746:UEP458817 TUS458746:TUT458817 TKW458746:TKX458817 TBA458746:TBB458817 SRE458746:SRF458817 SHI458746:SHJ458817 RXM458746:RXN458817 RNQ458746:RNR458817 RDU458746:RDV458817 QTY458746:QTZ458817 QKC458746:QKD458817 QAG458746:QAH458817 PQK458746:PQL458817 PGO458746:PGP458817 OWS458746:OWT458817 OMW458746:OMX458817 ODA458746:ODB458817 NTE458746:NTF458817 NJI458746:NJJ458817 MZM458746:MZN458817 MPQ458746:MPR458817 MFU458746:MFV458817 LVY458746:LVZ458817 LMC458746:LMD458817 LCG458746:LCH458817 KSK458746:KSL458817 KIO458746:KIP458817 JYS458746:JYT458817 JOW458746:JOX458817 JFA458746:JFB458817 IVE458746:IVF458817 ILI458746:ILJ458817 IBM458746:IBN458817 HRQ458746:HRR458817 HHU458746:HHV458817 GXY458746:GXZ458817 GOC458746:GOD458817 GEG458746:GEH458817 FUK458746:FUL458817 FKO458746:FKP458817 FAS458746:FAT458817 EQW458746:EQX458817 EHA458746:EHB458817 DXE458746:DXF458817 DNI458746:DNJ458817 DDM458746:DDN458817 CTQ458746:CTR458817 CJU458746:CJV458817 BZY458746:BZZ458817 BQC458746:BQD458817 BGG458746:BGH458817 AWK458746:AWL458817 AMO458746:AMP458817 ACS458746:ACT458817 SW458746:SX458817 JA458746:JB458817 E458746:F458817 WVM393210:WVN393281 WLQ393210:WLR393281 WBU393210:WBV393281 VRY393210:VRZ393281 VIC393210:VID393281 UYG393210:UYH393281 UOK393210:UOL393281 UEO393210:UEP393281 TUS393210:TUT393281 TKW393210:TKX393281 TBA393210:TBB393281 SRE393210:SRF393281 SHI393210:SHJ393281 RXM393210:RXN393281 RNQ393210:RNR393281 RDU393210:RDV393281 QTY393210:QTZ393281 QKC393210:QKD393281 QAG393210:QAH393281 PQK393210:PQL393281 PGO393210:PGP393281 OWS393210:OWT393281 OMW393210:OMX393281 ODA393210:ODB393281 NTE393210:NTF393281 NJI393210:NJJ393281 MZM393210:MZN393281 MPQ393210:MPR393281 MFU393210:MFV393281 LVY393210:LVZ393281 LMC393210:LMD393281 LCG393210:LCH393281 KSK393210:KSL393281 KIO393210:KIP393281 JYS393210:JYT393281 JOW393210:JOX393281 JFA393210:JFB393281 IVE393210:IVF393281 ILI393210:ILJ393281 IBM393210:IBN393281 HRQ393210:HRR393281 HHU393210:HHV393281 GXY393210:GXZ393281 GOC393210:GOD393281 GEG393210:GEH393281 FUK393210:FUL393281 FKO393210:FKP393281 FAS393210:FAT393281 EQW393210:EQX393281 EHA393210:EHB393281 DXE393210:DXF393281 DNI393210:DNJ393281 DDM393210:DDN393281 CTQ393210:CTR393281 CJU393210:CJV393281 BZY393210:BZZ393281 BQC393210:BQD393281 BGG393210:BGH393281 AWK393210:AWL393281 AMO393210:AMP393281 ACS393210:ACT393281 SW393210:SX393281 JA393210:JB393281 E393210:F393281 WVM327674:WVN327745 WLQ327674:WLR327745 WBU327674:WBV327745 VRY327674:VRZ327745 VIC327674:VID327745 UYG327674:UYH327745 UOK327674:UOL327745 UEO327674:UEP327745 TUS327674:TUT327745 TKW327674:TKX327745 TBA327674:TBB327745 SRE327674:SRF327745 SHI327674:SHJ327745 RXM327674:RXN327745 RNQ327674:RNR327745 RDU327674:RDV327745 QTY327674:QTZ327745 QKC327674:QKD327745 QAG327674:QAH327745 PQK327674:PQL327745 PGO327674:PGP327745 OWS327674:OWT327745 OMW327674:OMX327745 ODA327674:ODB327745 NTE327674:NTF327745 NJI327674:NJJ327745 MZM327674:MZN327745 MPQ327674:MPR327745 MFU327674:MFV327745 LVY327674:LVZ327745 LMC327674:LMD327745 LCG327674:LCH327745 KSK327674:KSL327745 KIO327674:KIP327745 JYS327674:JYT327745 JOW327674:JOX327745 JFA327674:JFB327745 IVE327674:IVF327745 ILI327674:ILJ327745 IBM327674:IBN327745 HRQ327674:HRR327745 HHU327674:HHV327745 GXY327674:GXZ327745 GOC327674:GOD327745 GEG327674:GEH327745 FUK327674:FUL327745 FKO327674:FKP327745 FAS327674:FAT327745 EQW327674:EQX327745 EHA327674:EHB327745 DXE327674:DXF327745 DNI327674:DNJ327745 DDM327674:DDN327745 CTQ327674:CTR327745 CJU327674:CJV327745 BZY327674:BZZ327745 BQC327674:BQD327745 BGG327674:BGH327745 AWK327674:AWL327745 AMO327674:AMP327745 ACS327674:ACT327745 SW327674:SX327745 JA327674:JB327745 E327674:F327745 WVM262138:WVN262209 WLQ262138:WLR262209 WBU262138:WBV262209 VRY262138:VRZ262209 VIC262138:VID262209 UYG262138:UYH262209 UOK262138:UOL262209 UEO262138:UEP262209 TUS262138:TUT262209 TKW262138:TKX262209 TBA262138:TBB262209 SRE262138:SRF262209 SHI262138:SHJ262209 RXM262138:RXN262209 RNQ262138:RNR262209 RDU262138:RDV262209 QTY262138:QTZ262209 QKC262138:QKD262209 QAG262138:QAH262209 PQK262138:PQL262209 PGO262138:PGP262209 OWS262138:OWT262209 OMW262138:OMX262209 ODA262138:ODB262209 NTE262138:NTF262209 NJI262138:NJJ262209 MZM262138:MZN262209 MPQ262138:MPR262209 MFU262138:MFV262209 LVY262138:LVZ262209 LMC262138:LMD262209 LCG262138:LCH262209 KSK262138:KSL262209 KIO262138:KIP262209 JYS262138:JYT262209 JOW262138:JOX262209 JFA262138:JFB262209 IVE262138:IVF262209 ILI262138:ILJ262209 IBM262138:IBN262209 HRQ262138:HRR262209 HHU262138:HHV262209 GXY262138:GXZ262209 GOC262138:GOD262209 GEG262138:GEH262209 FUK262138:FUL262209 FKO262138:FKP262209 FAS262138:FAT262209 EQW262138:EQX262209 EHA262138:EHB262209 DXE262138:DXF262209 DNI262138:DNJ262209 DDM262138:DDN262209 CTQ262138:CTR262209 CJU262138:CJV262209 BZY262138:BZZ262209 BQC262138:BQD262209 BGG262138:BGH262209 AWK262138:AWL262209 AMO262138:AMP262209 ACS262138:ACT262209 SW262138:SX262209 JA262138:JB262209 E262138:F262209 WVM196602:WVN196673 WLQ196602:WLR196673 WBU196602:WBV196673 VRY196602:VRZ196673 VIC196602:VID196673 UYG196602:UYH196673 UOK196602:UOL196673 UEO196602:UEP196673 TUS196602:TUT196673 TKW196602:TKX196673 TBA196602:TBB196673 SRE196602:SRF196673 SHI196602:SHJ196673 RXM196602:RXN196673 RNQ196602:RNR196673 RDU196602:RDV196673 QTY196602:QTZ196673 QKC196602:QKD196673 QAG196602:QAH196673 PQK196602:PQL196673 PGO196602:PGP196673 OWS196602:OWT196673 OMW196602:OMX196673 ODA196602:ODB196673 NTE196602:NTF196673 NJI196602:NJJ196673 MZM196602:MZN196673 MPQ196602:MPR196673 MFU196602:MFV196673 LVY196602:LVZ196673 LMC196602:LMD196673 LCG196602:LCH196673 KSK196602:KSL196673 KIO196602:KIP196673 JYS196602:JYT196673 JOW196602:JOX196673 JFA196602:JFB196673 IVE196602:IVF196673 ILI196602:ILJ196673 IBM196602:IBN196673 HRQ196602:HRR196673 HHU196602:HHV196673 GXY196602:GXZ196673 GOC196602:GOD196673 GEG196602:GEH196673 FUK196602:FUL196673 FKO196602:FKP196673 FAS196602:FAT196673 EQW196602:EQX196673 EHA196602:EHB196673 DXE196602:DXF196673 DNI196602:DNJ196673 DDM196602:DDN196673 CTQ196602:CTR196673 CJU196602:CJV196673 BZY196602:BZZ196673 BQC196602:BQD196673 BGG196602:BGH196673 AWK196602:AWL196673 AMO196602:AMP196673 ACS196602:ACT196673 SW196602:SX196673 JA196602:JB196673 E196602:F196673 WVM131066:WVN131137 WLQ131066:WLR131137 WBU131066:WBV131137 VRY131066:VRZ131137 VIC131066:VID131137 UYG131066:UYH131137 UOK131066:UOL131137 UEO131066:UEP131137 TUS131066:TUT131137 TKW131066:TKX131137 TBA131066:TBB131137 SRE131066:SRF131137 SHI131066:SHJ131137 RXM131066:RXN131137 RNQ131066:RNR131137 RDU131066:RDV131137 QTY131066:QTZ131137 QKC131066:QKD131137 QAG131066:QAH131137 PQK131066:PQL131137 PGO131066:PGP131137 OWS131066:OWT131137 OMW131066:OMX131137 ODA131066:ODB131137 NTE131066:NTF131137 NJI131066:NJJ131137 MZM131066:MZN131137 MPQ131066:MPR131137 MFU131066:MFV131137 LVY131066:LVZ131137 LMC131066:LMD131137 LCG131066:LCH131137 KSK131066:KSL131137 KIO131066:KIP131137 JYS131066:JYT131137 JOW131066:JOX131137 JFA131066:JFB131137 IVE131066:IVF131137 ILI131066:ILJ131137 IBM131066:IBN131137 HRQ131066:HRR131137 HHU131066:HHV131137 GXY131066:GXZ131137 GOC131066:GOD131137 GEG131066:GEH131137 FUK131066:FUL131137 FKO131066:FKP131137 FAS131066:FAT131137 EQW131066:EQX131137 EHA131066:EHB131137 DXE131066:DXF131137 DNI131066:DNJ131137 DDM131066:DDN131137 CTQ131066:CTR131137 CJU131066:CJV131137 BZY131066:BZZ131137 BQC131066:BQD131137 BGG131066:BGH131137 AWK131066:AWL131137 AMO131066:AMP131137 ACS131066:ACT131137 SW131066:SX131137 JA131066:JB131137 E131066:F131137 WVM65530:WVN65601 WLQ65530:WLR65601 WBU65530:WBV65601 VRY65530:VRZ65601 VIC65530:VID65601 UYG65530:UYH65601 UOK65530:UOL65601 UEO65530:UEP65601 TUS65530:TUT65601 TKW65530:TKX65601 TBA65530:TBB65601 SRE65530:SRF65601 SHI65530:SHJ65601 RXM65530:RXN65601 RNQ65530:RNR65601 RDU65530:RDV65601 QTY65530:QTZ65601 QKC65530:QKD65601 QAG65530:QAH65601 PQK65530:PQL65601 PGO65530:PGP65601 OWS65530:OWT65601 OMW65530:OMX65601 ODA65530:ODB65601 NTE65530:NTF65601 NJI65530:NJJ65601 MZM65530:MZN65601 MPQ65530:MPR65601 MFU65530:MFV65601 LVY65530:LVZ65601 LMC65530:LMD65601 LCG65530:LCH65601 KSK65530:KSL65601 KIO65530:KIP65601 JYS65530:JYT65601 JOW65530:JOX65601 JFA65530:JFB65601 IVE65530:IVF65601 ILI65530:ILJ65601 IBM65530:IBN65601 HRQ65530:HRR65601 HHU65530:HHV65601 GXY65530:GXZ65601 GOC65530:GOD65601 GEG65530:GEH65601 FUK65530:FUL65601 FKO65530:FKP65601 FAS65530:FAT65601 EQW65530:EQX65601 EHA65530:EHB65601 DXE65530:DXF65601 DNI65530:DNJ65601 DDM65530:DDN65601 CTQ65530:CTR65601 CJU65530:CJV65601 BZY65530:BZZ65601 BQC65530:BQD65601 BGG65530:BGH65601 AWK65530:AWL65601 AMO65530:AMP65601 ACS65530:ACT65601 SW65530:SX65601 JA65530:JB65601 E65530:F65601 JA64355:JB64420 WVM1047395:WVN1047460 WLQ1047395:WLR1047460 WBU1047395:WBV1047460 VRY1047395:VRZ1047460 VIC1047395:VID1047460 UYG1047395:UYH1047460 UOK1047395:UOL1047460 UEO1047395:UEP1047460 TUS1047395:TUT1047460 TKW1047395:TKX1047460 TBA1047395:TBB1047460 SRE1047395:SRF1047460 SHI1047395:SHJ1047460 RXM1047395:RXN1047460 RNQ1047395:RNR1047460 RDU1047395:RDV1047460 QTY1047395:QTZ1047460 QKC1047395:QKD1047460 QAG1047395:QAH1047460 PQK1047395:PQL1047460 PGO1047395:PGP1047460 OWS1047395:OWT1047460 OMW1047395:OMX1047460 ODA1047395:ODB1047460 NTE1047395:NTF1047460 NJI1047395:NJJ1047460 MZM1047395:MZN1047460 MPQ1047395:MPR1047460 MFU1047395:MFV1047460 LVY1047395:LVZ1047460 LMC1047395:LMD1047460 LCG1047395:LCH1047460 KSK1047395:KSL1047460 KIO1047395:KIP1047460 JYS1047395:JYT1047460 JOW1047395:JOX1047460 JFA1047395:JFB1047460 IVE1047395:IVF1047460 ILI1047395:ILJ1047460 IBM1047395:IBN1047460 HRQ1047395:HRR1047460 HHU1047395:HHV1047460 GXY1047395:GXZ1047460 GOC1047395:GOD1047460 GEG1047395:GEH1047460 FUK1047395:FUL1047460 FKO1047395:FKP1047460 FAS1047395:FAT1047460 EQW1047395:EQX1047460 EHA1047395:EHB1047460 DXE1047395:DXF1047460 DNI1047395:DNJ1047460 DDM1047395:DDN1047460 CTQ1047395:CTR1047460 CJU1047395:CJV1047460 BZY1047395:BZZ1047460 BQC1047395:BQD1047460 BGG1047395:BGH1047460 AWK1047395:AWL1047460 AMO1047395:AMP1047460 ACS1047395:ACT1047460 SW1047395:SX1047460 JA1047395:JB1047460 E1047395:F1047460 WVM981859:WVN981924 WLQ981859:WLR981924 WBU981859:WBV981924 VRY981859:VRZ981924 VIC981859:VID981924 UYG981859:UYH981924 UOK981859:UOL981924 UEO981859:UEP981924 TUS981859:TUT981924 TKW981859:TKX981924 TBA981859:TBB981924 SRE981859:SRF981924 SHI981859:SHJ981924 RXM981859:RXN981924 RNQ981859:RNR981924 RDU981859:RDV981924 QTY981859:QTZ981924 QKC981859:QKD981924 QAG981859:QAH981924 PQK981859:PQL981924 PGO981859:PGP981924 OWS981859:OWT981924 OMW981859:OMX981924 ODA981859:ODB981924 NTE981859:NTF981924 NJI981859:NJJ981924 MZM981859:MZN981924 MPQ981859:MPR981924 MFU981859:MFV981924 LVY981859:LVZ981924 LMC981859:LMD981924 LCG981859:LCH981924 KSK981859:KSL981924 KIO981859:KIP981924 JYS981859:JYT981924 JOW981859:JOX981924 JFA981859:JFB981924 IVE981859:IVF981924 ILI981859:ILJ981924 IBM981859:IBN981924 HRQ981859:HRR981924 HHU981859:HHV981924 GXY981859:GXZ981924 GOC981859:GOD981924 GEG981859:GEH981924 FUK981859:FUL981924 FKO981859:FKP981924 FAS981859:FAT981924 EQW981859:EQX981924 EHA981859:EHB981924 DXE981859:DXF981924 DNI981859:DNJ981924 DDM981859:DDN981924 CTQ981859:CTR981924 CJU981859:CJV981924 BZY981859:BZZ981924 BQC981859:BQD981924 BGG981859:BGH981924 AWK981859:AWL981924 AMO981859:AMP981924 ACS981859:ACT981924 SW981859:SX981924 JA981859:JB981924 E981859:F981924 WVM916323:WVN916388 WLQ916323:WLR916388 WBU916323:WBV916388 VRY916323:VRZ916388 VIC916323:VID916388 UYG916323:UYH916388 UOK916323:UOL916388 UEO916323:UEP916388 TUS916323:TUT916388 TKW916323:TKX916388 TBA916323:TBB916388 SRE916323:SRF916388 SHI916323:SHJ916388 RXM916323:RXN916388 RNQ916323:RNR916388 RDU916323:RDV916388 QTY916323:QTZ916388 QKC916323:QKD916388 QAG916323:QAH916388 PQK916323:PQL916388 PGO916323:PGP916388 OWS916323:OWT916388 OMW916323:OMX916388 ODA916323:ODB916388 NTE916323:NTF916388 NJI916323:NJJ916388 MZM916323:MZN916388 MPQ916323:MPR916388 MFU916323:MFV916388 LVY916323:LVZ916388 LMC916323:LMD916388 LCG916323:LCH916388 KSK916323:KSL916388 KIO916323:KIP916388 JYS916323:JYT916388 JOW916323:JOX916388 JFA916323:JFB916388 IVE916323:IVF916388 ILI916323:ILJ916388 IBM916323:IBN916388 HRQ916323:HRR916388 HHU916323:HHV916388 GXY916323:GXZ916388 GOC916323:GOD916388 GEG916323:GEH916388 FUK916323:FUL916388 FKO916323:FKP916388 FAS916323:FAT916388 EQW916323:EQX916388 EHA916323:EHB916388 DXE916323:DXF916388 DNI916323:DNJ916388 DDM916323:DDN916388 CTQ916323:CTR916388 CJU916323:CJV916388 BZY916323:BZZ916388 BQC916323:BQD916388 BGG916323:BGH916388 AWK916323:AWL916388 AMO916323:AMP916388 ACS916323:ACT916388 SW916323:SX916388 JA916323:JB916388 E916323:F916388 WVM850787:WVN850852 WLQ850787:WLR850852 WBU850787:WBV850852 VRY850787:VRZ850852 VIC850787:VID850852 UYG850787:UYH850852 UOK850787:UOL850852 UEO850787:UEP850852 TUS850787:TUT850852 TKW850787:TKX850852 TBA850787:TBB850852 SRE850787:SRF850852 SHI850787:SHJ850852 RXM850787:RXN850852 RNQ850787:RNR850852 RDU850787:RDV850852 QTY850787:QTZ850852 QKC850787:QKD850852 QAG850787:QAH850852 PQK850787:PQL850852 PGO850787:PGP850852 OWS850787:OWT850852 OMW850787:OMX850852 ODA850787:ODB850852 NTE850787:NTF850852 NJI850787:NJJ850852 MZM850787:MZN850852 MPQ850787:MPR850852 MFU850787:MFV850852 LVY850787:LVZ850852 LMC850787:LMD850852 LCG850787:LCH850852 KSK850787:KSL850852 KIO850787:KIP850852 JYS850787:JYT850852 JOW850787:JOX850852 JFA850787:JFB850852 IVE850787:IVF850852 ILI850787:ILJ850852 IBM850787:IBN850852 HRQ850787:HRR850852 HHU850787:HHV850852 GXY850787:GXZ850852 GOC850787:GOD850852 GEG850787:GEH850852 FUK850787:FUL850852 FKO850787:FKP850852 FAS850787:FAT850852 EQW850787:EQX850852 EHA850787:EHB850852 DXE850787:DXF850852 DNI850787:DNJ850852 DDM850787:DDN850852 CTQ850787:CTR850852 CJU850787:CJV850852 BZY850787:BZZ850852 BQC850787:BQD850852 BGG850787:BGH850852 AWK850787:AWL850852 AMO850787:AMP850852 ACS850787:ACT850852 SW850787:SX850852 JA850787:JB850852 E850787:F850852 WVM785251:WVN785316 WLQ785251:WLR785316 WBU785251:WBV785316 VRY785251:VRZ785316 VIC785251:VID785316 UYG785251:UYH785316 UOK785251:UOL785316 UEO785251:UEP785316 TUS785251:TUT785316 TKW785251:TKX785316 TBA785251:TBB785316 SRE785251:SRF785316 SHI785251:SHJ785316 RXM785251:RXN785316 RNQ785251:RNR785316 RDU785251:RDV785316 QTY785251:QTZ785316 QKC785251:QKD785316 QAG785251:QAH785316 PQK785251:PQL785316 PGO785251:PGP785316 OWS785251:OWT785316 OMW785251:OMX785316 ODA785251:ODB785316 NTE785251:NTF785316 NJI785251:NJJ785316 MZM785251:MZN785316 MPQ785251:MPR785316 MFU785251:MFV785316 LVY785251:LVZ785316 LMC785251:LMD785316 LCG785251:LCH785316 KSK785251:KSL785316 KIO785251:KIP785316 JYS785251:JYT785316 JOW785251:JOX785316 JFA785251:JFB785316 IVE785251:IVF785316 ILI785251:ILJ785316 IBM785251:IBN785316 HRQ785251:HRR785316 HHU785251:HHV785316 GXY785251:GXZ785316 GOC785251:GOD785316 GEG785251:GEH785316 FUK785251:FUL785316 FKO785251:FKP785316 FAS785251:FAT785316 EQW785251:EQX785316 EHA785251:EHB785316 DXE785251:DXF785316 DNI785251:DNJ785316 DDM785251:DDN785316 CTQ785251:CTR785316 CJU785251:CJV785316 BZY785251:BZZ785316 BQC785251:BQD785316 BGG785251:BGH785316 AWK785251:AWL785316 AMO785251:AMP785316 ACS785251:ACT785316 SW785251:SX785316 JA785251:JB785316 E785251:F785316 WVM719715:WVN719780 WLQ719715:WLR719780 WBU719715:WBV719780 VRY719715:VRZ719780 VIC719715:VID719780 UYG719715:UYH719780 UOK719715:UOL719780 UEO719715:UEP719780 TUS719715:TUT719780 TKW719715:TKX719780 TBA719715:TBB719780 SRE719715:SRF719780 SHI719715:SHJ719780 RXM719715:RXN719780 RNQ719715:RNR719780 RDU719715:RDV719780 QTY719715:QTZ719780 QKC719715:QKD719780 QAG719715:QAH719780 PQK719715:PQL719780 PGO719715:PGP719780 OWS719715:OWT719780 OMW719715:OMX719780 ODA719715:ODB719780 NTE719715:NTF719780 NJI719715:NJJ719780 MZM719715:MZN719780 MPQ719715:MPR719780 MFU719715:MFV719780 LVY719715:LVZ719780 LMC719715:LMD719780 LCG719715:LCH719780 KSK719715:KSL719780 KIO719715:KIP719780 JYS719715:JYT719780 JOW719715:JOX719780 JFA719715:JFB719780 IVE719715:IVF719780 ILI719715:ILJ719780 IBM719715:IBN719780 HRQ719715:HRR719780 HHU719715:HHV719780 GXY719715:GXZ719780 GOC719715:GOD719780 GEG719715:GEH719780 FUK719715:FUL719780 FKO719715:FKP719780 FAS719715:FAT719780 EQW719715:EQX719780 EHA719715:EHB719780 DXE719715:DXF719780 DNI719715:DNJ719780 DDM719715:DDN719780 CTQ719715:CTR719780 CJU719715:CJV719780 BZY719715:BZZ719780 BQC719715:BQD719780 BGG719715:BGH719780 AWK719715:AWL719780 AMO719715:AMP719780 ACS719715:ACT719780 SW719715:SX719780 JA719715:JB719780 E719715:F719780 WVM654179:WVN654244 WLQ654179:WLR654244 WBU654179:WBV654244 VRY654179:VRZ654244 VIC654179:VID654244 UYG654179:UYH654244 UOK654179:UOL654244 UEO654179:UEP654244 TUS654179:TUT654244 TKW654179:TKX654244 TBA654179:TBB654244 SRE654179:SRF654244 SHI654179:SHJ654244 RXM654179:RXN654244 RNQ654179:RNR654244 RDU654179:RDV654244 QTY654179:QTZ654244 QKC654179:QKD654244 QAG654179:QAH654244 PQK654179:PQL654244 PGO654179:PGP654244 OWS654179:OWT654244 OMW654179:OMX654244 ODA654179:ODB654244 NTE654179:NTF654244 NJI654179:NJJ654244 MZM654179:MZN654244 MPQ654179:MPR654244 MFU654179:MFV654244 LVY654179:LVZ654244 LMC654179:LMD654244 LCG654179:LCH654244 KSK654179:KSL654244 KIO654179:KIP654244 JYS654179:JYT654244 JOW654179:JOX654244 JFA654179:JFB654244 IVE654179:IVF654244 ILI654179:ILJ654244 IBM654179:IBN654244 HRQ654179:HRR654244 HHU654179:HHV654244 GXY654179:GXZ654244 GOC654179:GOD654244 GEG654179:GEH654244 FUK654179:FUL654244 FKO654179:FKP654244 FAS654179:FAT654244 EQW654179:EQX654244 EHA654179:EHB654244 DXE654179:DXF654244 DNI654179:DNJ654244 DDM654179:DDN654244 CTQ654179:CTR654244 CJU654179:CJV654244 BZY654179:BZZ654244 BQC654179:BQD654244 BGG654179:BGH654244 AWK654179:AWL654244 AMO654179:AMP654244 ACS654179:ACT654244 SW654179:SX654244 JA654179:JB654244 E654179:F654244 WVM588643:WVN588708 WLQ588643:WLR588708 WBU588643:WBV588708 VRY588643:VRZ588708 VIC588643:VID588708 UYG588643:UYH588708 UOK588643:UOL588708 UEO588643:UEP588708 TUS588643:TUT588708 TKW588643:TKX588708 TBA588643:TBB588708 SRE588643:SRF588708 SHI588643:SHJ588708 RXM588643:RXN588708 RNQ588643:RNR588708 RDU588643:RDV588708 QTY588643:QTZ588708 QKC588643:QKD588708 QAG588643:QAH588708 PQK588643:PQL588708 PGO588643:PGP588708 OWS588643:OWT588708 OMW588643:OMX588708 ODA588643:ODB588708 NTE588643:NTF588708 NJI588643:NJJ588708 MZM588643:MZN588708 MPQ588643:MPR588708 MFU588643:MFV588708 LVY588643:LVZ588708 LMC588643:LMD588708 LCG588643:LCH588708 KSK588643:KSL588708 KIO588643:KIP588708 JYS588643:JYT588708 JOW588643:JOX588708 JFA588643:JFB588708 IVE588643:IVF588708 ILI588643:ILJ588708 IBM588643:IBN588708 HRQ588643:HRR588708 HHU588643:HHV588708 GXY588643:GXZ588708 GOC588643:GOD588708 GEG588643:GEH588708 FUK588643:FUL588708 FKO588643:FKP588708 FAS588643:FAT588708 EQW588643:EQX588708 EHA588643:EHB588708 DXE588643:DXF588708 DNI588643:DNJ588708 DDM588643:DDN588708 CTQ588643:CTR588708 CJU588643:CJV588708 BZY588643:BZZ588708 BQC588643:BQD588708 BGG588643:BGH588708 AWK588643:AWL588708 AMO588643:AMP588708 ACS588643:ACT588708 SW588643:SX588708 JA588643:JB588708 E588643:F588708 WVM523107:WVN523172 WLQ523107:WLR523172 WBU523107:WBV523172 VRY523107:VRZ523172 VIC523107:VID523172 UYG523107:UYH523172 UOK523107:UOL523172 UEO523107:UEP523172 TUS523107:TUT523172 TKW523107:TKX523172 TBA523107:TBB523172 SRE523107:SRF523172 SHI523107:SHJ523172 RXM523107:RXN523172 RNQ523107:RNR523172 RDU523107:RDV523172 QTY523107:QTZ523172 QKC523107:QKD523172 QAG523107:QAH523172 PQK523107:PQL523172 PGO523107:PGP523172 OWS523107:OWT523172 OMW523107:OMX523172 ODA523107:ODB523172 NTE523107:NTF523172 NJI523107:NJJ523172 MZM523107:MZN523172 MPQ523107:MPR523172 MFU523107:MFV523172 LVY523107:LVZ523172 LMC523107:LMD523172 LCG523107:LCH523172 KSK523107:KSL523172 KIO523107:KIP523172 JYS523107:JYT523172 JOW523107:JOX523172 JFA523107:JFB523172 IVE523107:IVF523172 ILI523107:ILJ523172 IBM523107:IBN523172 HRQ523107:HRR523172 HHU523107:HHV523172 GXY523107:GXZ523172 GOC523107:GOD523172 GEG523107:GEH523172 FUK523107:FUL523172 FKO523107:FKP523172 FAS523107:FAT523172 EQW523107:EQX523172 EHA523107:EHB523172 DXE523107:DXF523172 DNI523107:DNJ523172 DDM523107:DDN523172 CTQ523107:CTR523172 CJU523107:CJV523172 BZY523107:BZZ523172 BQC523107:BQD523172 BGG523107:BGH523172 AWK523107:AWL523172 AMO523107:AMP523172 ACS523107:ACT523172 SW523107:SX523172 JA523107:JB523172 E523107:F523172 WVM457571:WVN457636 WLQ457571:WLR457636 WBU457571:WBV457636 VRY457571:VRZ457636 VIC457571:VID457636 UYG457571:UYH457636 UOK457571:UOL457636 UEO457571:UEP457636 TUS457571:TUT457636 TKW457571:TKX457636 TBA457571:TBB457636 SRE457571:SRF457636 SHI457571:SHJ457636 RXM457571:RXN457636 RNQ457571:RNR457636 RDU457571:RDV457636 QTY457571:QTZ457636 QKC457571:QKD457636 QAG457571:QAH457636 PQK457571:PQL457636 PGO457571:PGP457636 OWS457571:OWT457636 OMW457571:OMX457636 ODA457571:ODB457636 NTE457571:NTF457636 NJI457571:NJJ457636 MZM457571:MZN457636 MPQ457571:MPR457636 MFU457571:MFV457636 LVY457571:LVZ457636 LMC457571:LMD457636 LCG457571:LCH457636 KSK457571:KSL457636 KIO457571:KIP457636 JYS457571:JYT457636 JOW457571:JOX457636 JFA457571:JFB457636 IVE457571:IVF457636 ILI457571:ILJ457636 IBM457571:IBN457636 HRQ457571:HRR457636 HHU457571:HHV457636 GXY457571:GXZ457636 GOC457571:GOD457636 GEG457571:GEH457636 FUK457571:FUL457636 FKO457571:FKP457636 FAS457571:FAT457636 EQW457571:EQX457636 EHA457571:EHB457636 DXE457571:DXF457636 DNI457571:DNJ457636 DDM457571:DDN457636 CTQ457571:CTR457636 CJU457571:CJV457636 BZY457571:BZZ457636 BQC457571:BQD457636 BGG457571:BGH457636 AWK457571:AWL457636 AMO457571:AMP457636 ACS457571:ACT457636 SW457571:SX457636 JA457571:JB457636 E457571:F457636 WVM392035:WVN392100 WLQ392035:WLR392100 WBU392035:WBV392100 VRY392035:VRZ392100 VIC392035:VID392100 UYG392035:UYH392100 UOK392035:UOL392100 UEO392035:UEP392100 TUS392035:TUT392100 TKW392035:TKX392100 TBA392035:TBB392100 SRE392035:SRF392100 SHI392035:SHJ392100 RXM392035:RXN392100 RNQ392035:RNR392100 RDU392035:RDV392100 QTY392035:QTZ392100 QKC392035:QKD392100 QAG392035:QAH392100 PQK392035:PQL392100 PGO392035:PGP392100 OWS392035:OWT392100 OMW392035:OMX392100 ODA392035:ODB392100 NTE392035:NTF392100 NJI392035:NJJ392100 MZM392035:MZN392100 MPQ392035:MPR392100 MFU392035:MFV392100 LVY392035:LVZ392100 LMC392035:LMD392100 LCG392035:LCH392100 KSK392035:KSL392100 KIO392035:KIP392100 JYS392035:JYT392100 JOW392035:JOX392100 JFA392035:JFB392100 IVE392035:IVF392100 ILI392035:ILJ392100 IBM392035:IBN392100 HRQ392035:HRR392100 HHU392035:HHV392100 GXY392035:GXZ392100 GOC392035:GOD392100 GEG392035:GEH392100 FUK392035:FUL392100 FKO392035:FKP392100 FAS392035:FAT392100 EQW392035:EQX392100 EHA392035:EHB392100 DXE392035:DXF392100 DNI392035:DNJ392100 DDM392035:DDN392100 CTQ392035:CTR392100 CJU392035:CJV392100 BZY392035:BZZ392100 BQC392035:BQD392100 BGG392035:BGH392100 AWK392035:AWL392100 AMO392035:AMP392100 ACS392035:ACT392100 SW392035:SX392100 JA392035:JB392100 E392035:F392100 WVM326499:WVN326564 WLQ326499:WLR326564 WBU326499:WBV326564 VRY326499:VRZ326564 VIC326499:VID326564 UYG326499:UYH326564 UOK326499:UOL326564 UEO326499:UEP326564 TUS326499:TUT326564 TKW326499:TKX326564 TBA326499:TBB326564 SRE326499:SRF326564 SHI326499:SHJ326564 RXM326499:RXN326564 RNQ326499:RNR326564 RDU326499:RDV326564 QTY326499:QTZ326564 QKC326499:QKD326564 QAG326499:QAH326564 PQK326499:PQL326564 PGO326499:PGP326564 OWS326499:OWT326564 OMW326499:OMX326564 ODA326499:ODB326564 NTE326499:NTF326564 NJI326499:NJJ326564 MZM326499:MZN326564 MPQ326499:MPR326564 MFU326499:MFV326564 LVY326499:LVZ326564 LMC326499:LMD326564 LCG326499:LCH326564 KSK326499:KSL326564 KIO326499:KIP326564 JYS326499:JYT326564 JOW326499:JOX326564 JFA326499:JFB326564 IVE326499:IVF326564 ILI326499:ILJ326564 IBM326499:IBN326564 HRQ326499:HRR326564 HHU326499:HHV326564 GXY326499:GXZ326564 GOC326499:GOD326564 GEG326499:GEH326564 FUK326499:FUL326564 FKO326499:FKP326564 FAS326499:FAT326564 EQW326499:EQX326564 EHA326499:EHB326564 DXE326499:DXF326564 DNI326499:DNJ326564 DDM326499:DDN326564 CTQ326499:CTR326564 CJU326499:CJV326564 BZY326499:BZZ326564 BQC326499:BQD326564 BGG326499:BGH326564 AWK326499:AWL326564 AMO326499:AMP326564 ACS326499:ACT326564 SW326499:SX326564 JA326499:JB326564 E326499:F326564 WVM260963:WVN261028 WLQ260963:WLR261028 WBU260963:WBV261028 VRY260963:VRZ261028 VIC260963:VID261028 UYG260963:UYH261028 UOK260963:UOL261028 UEO260963:UEP261028 TUS260963:TUT261028 TKW260963:TKX261028 TBA260963:TBB261028 SRE260963:SRF261028 SHI260963:SHJ261028 RXM260963:RXN261028 RNQ260963:RNR261028 RDU260963:RDV261028 QTY260963:QTZ261028 QKC260963:QKD261028 QAG260963:QAH261028 PQK260963:PQL261028 PGO260963:PGP261028 OWS260963:OWT261028 OMW260963:OMX261028 ODA260963:ODB261028 NTE260963:NTF261028 NJI260963:NJJ261028 MZM260963:MZN261028 MPQ260963:MPR261028 MFU260963:MFV261028 LVY260963:LVZ261028 LMC260963:LMD261028 LCG260963:LCH261028 KSK260963:KSL261028 KIO260963:KIP261028 JYS260963:JYT261028 JOW260963:JOX261028 JFA260963:JFB261028 IVE260963:IVF261028 ILI260963:ILJ261028 IBM260963:IBN261028 HRQ260963:HRR261028 HHU260963:HHV261028 GXY260963:GXZ261028 GOC260963:GOD261028 GEG260963:GEH261028 FUK260963:FUL261028 FKO260963:FKP261028 FAS260963:FAT261028 EQW260963:EQX261028 EHA260963:EHB261028 DXE260963:DXF261028 DNI260963:DNJ261028 DDM260963:DDN261028 CTQ260963:CTR261028 CJU260963:CJV261028 BZY260963:BZZ261028 BQC260963:BQD261028 BGG260963:BGH261028 AWK260963:AWL261028 AMO260963:AMP261028 ACS260963:ACT261028 SW260963:SX261028 JA260963:JB261028 E260963:F261028 WVM195427:WVN195492 WLQ195427:WLR195492 WBU195427:WBV195492 VRY195427:VRZ195492 VIC195427:VID195492 UYG195427:UYH195492 UOK195427:UOL195492 UEO195427:UEP195492 TUS195427:TUT195492 TKW195427:TKX195492 TBA195427:TBB195492 SRE195427:SRF195492 SHI195427:SHJ195492 RXM195427:RXN195492 RNQ195427:RNR195492 RDU195427:RDV195492 QTY195427:QTZ195492 QKC195427:QKD195492 QAG195427:QAH195492 PQK195427:PQL195492 PGO195427:PGP195492 OWS195427:OWT195492 OMW195427:OMX195492 ODA195427:ODB195492 NTE195427:NTF195492 NJI195427:NJJ195492 MZM195427:MZN195492 MPQ195427:MPR195492 MFU195427:MFV195492 LVY195427:LVZ195492 LMC195427:LMD195492 LCG195427:LCH195492 KSK195427:KSL195492 KIO195427:KIP195492 JYS195427:JYT195492 JOW195427:JOX195492 JFA195427:JFB195492 IVE195427:IVF195492 ILI195427:ILJ195492 IBM195427:IBN195492 HRQ195427:HRR195492 HHU195427:HHV195492 GXY195427:GXZ195492 GOC195427:GOD195492 GEG195427:GEH195492 FUK195427:FUL195492 FKO195427:FKP195492 FAS195427:FAT195492 EQW195427:EQX195492 EHA195427:EHB195492 DXE195427:DXF195492 DNI195427:DNJ195492 DDM195427:DDN195492 CTQ195427:CTR195492 CJU195427:CJV195492 BZY195427:BZZ195492 BQC195427:BQD195492 BGG195427:BGH195492 AWK195427:AWL195492 AMO195427:AMP195492 ACS195427:ACT195492 SW195427:SX195492 JA195427:JB195492 E195427:F195492 WVM129891:WVN129956 WLQ129891:WLR129956 WBU129891:WBV129956 VRY129891:VRZ129956 VIC129891:VID129956 UYG129891:UYH129956 UOK129891:UOL129956 UEO129891:UEP129956 TUS129891:TUT129956 TKW129891:TKX129956 TBA129891:TBB129956 SRE129891:SRF129956 SHI129891:SHJ129956 RXM129891:RXN129956 RNQ129891:RNR129956 RDU129891:RDV129956 QTY129891:QTZ129956 QKC129891:QKD129956 QAG129891:QAH129956 PQK129891:PQL129956 PGO129891:PGP129956 OWS129891:OWT129956 OMW129891:OMX129956 ODA129891:ODB129956 NTE129891:NTF129956 NJI129891:NJJ129956 MZM129891:MZN129956 MPQ129891:MPR129956 MFU129891:MFV129956 LVY129891:LVZ129956 LMC129891:LMD129956 LCG129891:LCH129956 KSK129891:KSL129956 KIO129891:KIP129956 JYS129891:JYT129956 JOW129891:JOX129956 JFA129891:JFB129956 IVE129891:IVF129956 ILI129891:ILJ129956 IBM129891:IBN129956 HRQ129891:HRR129956 HHU129891:HHV129956 GXY129891:GXZ129956 GOC129891:GOD129956 GEG129891:GEH129956 FUK129891:FUL129956 FKO129891:FKP129956 FAS129891:FAT129956 EQW129891:EQX129956 EHA129891:EHB129956 DXE129891:DXF129956 DNI129891:DNJ129956 DDM129891:DDN129956 CTQ129891:CTR129956 CJU129891:CJV129956 BZY129891:BZZ129956 BQC129891:BQD129956 BGG129891:BGH129956 AWK129891:AWL129956 AMO129891:AMP129956 ACS129891:ACT129956 SW129891:SX129956 JA129891:JB129956 E129891:F129956 WVM64355:WVN64420 WLQ64355:WLR64420 WBU64355:WBV64420 VRY64355:VRZ64420 VIC64355:VID64420 UYG64355:UYH64420 UOK64355:UOL64420 UEO64355:UEP64420 TUS64355:TUT64420 TKW64355:TKX64420 TBA64355:TBB64420 SRE64355:SRF64420 SHI64355:SHJ64420 RXM64355:RXN64420 RNQ64355:RNR64420 RDU64355:RDV64420 QTY64355:QTZ64420 QKC64355:QKD64420 QAG64355:QAH64420 PQK64355:PQL64420 PGO64355:PGP64420 OWS64355:OWT64420 OMW64355:OMX64420 ODA64355:ODB64420 NTE64355:NTF64420 NJI64355:NJJ64420 MZM64355:MZN64420 MPQ64355:MPR64420 MFU64355:MFV64420 LVY64355:LVZ64420 LMC64355:LMD64420 LCG64355:LCH64420 KSK64355:KSL64420 KIO64355:KIP64420 JYS64355:JYT64420 JOW64355:JOX64420 JFA64355:JFB64420 IVE64355:IVF64420 ILI64355:ILJ64420 IBM64355:IBN64420 HRQ64355:HRR64420 HHU64355:HHV64420 GXY64355:GXZ64420 GOC64355:GOD64420 GEG64355:GEH64420 FUK64355:FUL64420 FKO64355:FKP64420 FAS64355:FAT64420 EQW64355:EQX64420 EHA64355:EHB64420 DXE64355:DXF64420 DNI64355:DNJ64420 DDM64355:DDN64420 CTQ64355:CTR64420 CJU64355:CJV64420 BZY64355:BZZ64420 BQC64355:BQD64420 BGG64355:BGH64420 AWK64355:AWL64420 AMO64355:AMP64420 ACS64355:ACT64420 SW64355:SX64420 WVM2:WVN65 WLQ2:WLR65 WBU2:WBV65 VRY2:VRZ65 VIC2:VID65 UYG2:UYH65 UOK2:UOL65 UEO2:UEP65 TUS2:TUT65 TKW2:TKX65 TBA2:TBB65 SRE2:SRF65 SHI2:SHJ65 RXM2:RXN65 RNQ2:RNR65 RDU2:RDV65 QTY2:QTZ65 QKC2:QKD65 QAG2:QAH65 PQK2:PQL65 PGO2:PGP65 OWS2:OWT65 OMW2:OMX65 ODA2:ODB65 NTE2:NTF65 NJI2:NJJ65 MZM2:MZN65 MPQ2:MPR65 MFU2:MFV65 LVY2:LVZ65 LMC2:LMD65 LCG2:LCH65 KSK2:KSL65 KIO2:KIP65 JYS2:JYT65 JOW2:JOX65 JFA2:JFB65 IVE2:IVF65 ILI2:ILJ65 IBM2:IBN65 HRQ2:HRR65 HHU2:HHV65 GXY2:GXZ65 GOC2:GOD65 GEG2:GEH65 FUK2:FUL65 FKO2:FKP65 FAS2:FAT65 EQW2:EQX65 EHA2:EHB65 DXE2:DXF65 DNI2:DNJ65 DDM2:DDN65 CTQ2:CTR65 CJU2:CJV65 BZY2:BZZ65 BQC2:BQD65 BGG2:BGH65 AWK2:AWL65 AMO2:AMP65 ACS2:ACT65 SW2:SX65 JA2:JB65" xr:uid="{539322BC-1F94-4772-B77C-AD5AB22B3478}">
      <formula1>#REF!</formula1>
    </dataValidation>
    <dataValidation type="list" allowBlank="1" showInputMessage="1" showErrorMessage="1" sqref="E2:E492" xr:uid="{DA6EBB3A-BB7D-460F-8AF8-EF9FF6BF9FFB}">
      <formula1>$AG$2:$AG$11</formula1>
    </dataValidation>
    <dataValidation type="list" allowBlank="1" showInputMessage="1" showErrorMessage="1" sqref="H2:H492" xr:uid="{14FF72A4-DB9E-44A0-AEA6-724A2D55B5AC}">
      <formula1>$AL$2:$AL$8</formula1>
    </dataValidation>
    <dataValidation type="decimal" allowBlank="1" showInputMessage="1" showErrorMessage="1" error="硬度を正しく入力して下さい。" sqref="O2:P492" xr:uid="{B0D71DDB-DD0E-4FDD-9B1B-1AEA90560347}">
      <formula1>0</formula1>
      <formula2>7</formula2>
    </dataValidation>
    <dataValidation type="list" allowBlank="1" showInputMessage="1" showErrorMessage="1" sqref="F2:F1446" xr:uid="{AF9FF984-2127-4725-9458-45C114459CC5}">
      <formula1>$AH$2:$AH$11</formula1>
    </dataValidation>
    <dataValidation type="list" allowBlank="1" showInputMessage="1" showErrorMessage="1" sqref="Y2:AA583" xr:uid="{0B71D5BE-B1D1-431C-AC2B-82EC5D62F6DE}">
      <formula1>$AV$2:$AV$38</formula1>
    </dataValidation>
    <dataValidation type="list" allowBlank="1" showInputMessage="1" showErrorMessage="1" sqref="J2:J61" xr:uid="{28EB3BD2-7AE4-480C-BE95-C2E9844B96F8}">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A29FF-DAB9-4E61-AE77-7484B9DD0181}">
  <dimension ref="A1:BA443"/>
  <sheetViews>
    <sheetView zoomScale="70" zoomScaleNormal="70" zoomScaleSheetLayoutView="100" workbookViewId="0">
      <selection activeCell="H7" sqref="H7"/>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9" style="53"/>
    <col min="22" max="22" width="9" style="16"/>
    <col min="23" max="32" width="9" style="53"/>
    <col min="33" max="33" width="16.875" style="53" bestFit="1" customWidth="1"/>
    <col min="34" max="34" width="15.625" style="53" customWidth="1"/>
    <col min="35" max="39" width="9" style="120"/>
    <col min="40" max="16384" width="9" style="53"/>
  </cols>
  <sheetData>
    <row r="1" spans="1:53" ht="45" x14ac:dyDescent="0.15">
      <c r="A1" s="44" t="s">
        <v>0</v>
      </c>
      <c r="B1" s="55" t="s">
        <v>1</v>
      </c>
      <c r="C1" s="55" t="s">
        <v>2</v>
      </c>
      <c r="D1" s="56" t="s">
        <v>3</v>
      </c>
      <c r="E1" s="45" t="s">
        <v>4</v>
      </c>
      <c r="F1" s="45" t="s">
        <v>5</v>
      </c>
      <c r="G1" s="45" t="s">
        <v>6</v>
      </c>
      <c r="H1" s="45" t="s">
        <v>7</v>
      </c>
      <c r="I1" s="45" t="s">
        <v>8</v>
      </c>
      <c r="J1" s="45" t="s">
        <v>9</v>
      </c>
      <c r="K1" s="137"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130" t="s">
        <v>26</v>
      </c>
      <c r="AE1" s="60" t="s">
        <v>0</v>
      </c>
      <c r="AF1" s="61"/>
      <c r="AG1" s="60" t="s">
        <v>4</v>
      </c>
      <c r="AH1" s="60" t="s">
        <v>5</v>
      </c>
      <c r="AI1" s="138"/>
      <c r="AJ1" s="139" t="s">
        <v>6</v>
      </c>
      <c r="AK1" s="138"/>
      <c r="AL1" s="140" t="s">
        <v>7</v>
      </c>
      <c r="AM1" s="138"/>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1" t="s">
        <v>34</v>
      </c>
      <c r="B2" s="141" t="s">
        <v>256</v>
      </c>
      <c r="C2" s="141">
        <v>2019</v>
      </c>
      <c r="D2" s="142" t="s">
        <v>333</v>
      </c>
      <c r="E2" s="141" t="s">
        <v>334</v>
      </c>
      <c r="F2" s="141" t="s">
        <v>335</v>
      </c>
      <c r="G2" s="143" t="s">
        <v>36</v>
      </c>
      <c r="H2" s="144" t="s">
        <v>164</v>
      </c>
      <c r="I2" s="120" t="s">
        <v>159</v>
      </c>
      <c r="J2" s="145" t="s">
        <v>38</v>
      </c>
      <c r="K2" s="120" t="s">
        <v>161</v>
      </c>
      <c r="L2" s="146">
        <v>1</v>
      </c>
      <c r="M2" s="147"/>
      <c r="N2" s="147">
        <v>1</v>
      </c>
      <c r="O2" s="147">
        <v>0.9</v>
      </c>
      <c r="P2" s="147">
        <v>0.8</v>
      </c>
      <c r="Q2" s="148">
        <f t="shared" ref="Q2:Q65" si="0">IF(OR(O2="",P2=""),"",AVERAGE(O2,P2))</f>
        <v>0.85000000000000009</v>
      </c>
      <c r="R2" s="149">
        <v>12.8</v>
      </c>
      <c r="S2" s="144">
        <v>121</v>
      </c>
      <c r="T2" s="150">
        <f t="shared" ref="T2:T65" si="1">IF(H2="","",IF(OR(H2="GREEN",H2="GK"),IF(S2&gt;=$AX$2,VLOOKUP(S2,$AX$2:$AY$7,2,1),""),IF(S2&gt;=$AZ$2,VLOOKUP(S2,$AZ$2:$BA$7,2,1),"")))</f>
        <v>30</v>
      </c>
      <c r="U2" s="120">
        <v>98</v>
      </c>
      <c r="V2" s="150">
        <f t="shared" ref="V2:V65" si="2">IF(OR(N2="",U2="",T2=""),"",U2/N2*T2)</f>
        <v>2940</v>
      </c>
      <c r="W2" s="151">
        <v>6</v>
      </c>
      <c r="X2" s="152" t="s">
        <v>46</v>
      </c>
      <c r="Y2" s="152" t="s">
        <v>97</v>
      </c>
      <c r="Z2" s="152" t="s">
        <v>86</v>
      </c>
      <c r="AA2" s="152" t="s">
        <v>64</v>
      </c>
      <c r="AB2" s="53" t="s">
        <v>260</v>
      </c>
      <c r="AE2" s="64" t="s">
        <v>35</v>
      </c>
      <c r="AG2" s="67" t="s">
        <v>334</v>
      </c>
      <c r="AH2" s="67" t="s">
        <v>335</v>
      </c>
      <c r="AJ2" s="123" t="s">
        <v>36</v>
      </c>
      <c r="AL2" s="67" t="s">
        <v>127</v>
      </c>
      <c r="AN2" s="67" t="s">
        <v>37</v>
      </c>
      <c r="AP2" s="67" t="s">
        <v>38</v>
      </c>
      <c r="AR2" s="67" t="s">
        <v>120</v>
      </c>
      <c r="AT2" s="67" t="s">
        <v>39</v>
      </c>
      <c r="AV2" s="67" t="s">
        <v>40</v>
      </c>
      <c r="AX2" s="68">
        <v>1</v>
      </c>
      <c r="AY2" s="69">
        <v>50</v>
      </c>
      <c r="AZ2" s="69">
        <v>1</v>
      </c>
      <c r="BA2" s="70">
        <v>50</v>
      </c>
    </row>
    <row r="3" spans="1:53" x14ac:dyDescent="0.15">
      <c r="A3" s="153" t="s">
        <v>34</v>
      </c>
      <c r="B3" s="153" t="s">
        <v>157</v>
      </c>
      <c r="C3" s="154">
        <v>2019</v>
      </c>
      <c r="D3" s="155" t="s">
        <v>336</v>
      </c>
      <c r="E3" s="153" t="s">
        <v>334</v>
      </c>
      <c r="F3" s="153" t="s">
        <v>335</v>
      </c>
      <c r="G3" s="156" t="s">
        <v>36</v>
      </c>
      <c r="H3" s="120" t="s">
        <v>164</v>
      </c>
      <c r="I3" s="120" t="s">
        <v>159</v>
      </c>
      <c r="J3" s="120" t="s">
        <v>38</v>
      </c>
      <c r="K3" s="120" t="s">
        <v>161</v>
      </c>
      <c r="L3" s="53">
        <v>2</v>
      </c>
      <c r="N3" s="53">
        <v>1</v>
      </c>
      <c r="O3" s="53">
        <v>1.5</v>
      </c>
      <c r="P3" s="34">
        <v>0.9</v>
      </c>
      <c r="Q3" s="157">
        <f t="shared" si="0"/>
        <v>1.2</v>
      </c>
      <c r="R3" s="158">
        <v>13.7</v>
      </c>
      <c r="S3" s="158">
        <v>120</v>
      </c>
      <c r="T3" s="16">
        <f t="shared" si="1"/>
        <v>30</v>
      </c>
      <c r="U3" s="159">
        <v>98</v>
      </c>
      <c r="V3" s="38">
        <f t="shared" si="2"/>
        <v>2940</v>
      </c>
      <c r="W3" s="160">
        <v>6</v>
      </c>
      <c r="X3" s="161" t="s">
        <v>46</v>
      </c>
      <c r="Y3" s="161" t="s">
        <v>97</v>
      </c>
      <c r="Z3" s="161" t="s">
        <v>86</v>
      </c>
      <c r="AA3" s="152" t="s">
        <v>64</v>
      </c>
      <c r="AB3" s="53" t="s">
        <v>158</v>
      </c>
      <c r="AE3" s="22" t="s">
        <v>41</v>
      </c>
      <c r="AG3" s="67" t="s">
        <v>337</v>
      </c>
      <c r="AH3" s="67" t="s">
        <v>338</v>
      </c>
      <c r="AJ3" s="162" t="s">
        <v>42</v>
      </c>
      <c r="AL3" s="23" t="s">
        <v>128</v>
      </c>
      <c r="AN3" s="23" t="s">
        <v>43</v>
      </c>
      <c r="AP3" s="23" t="s">
        <v>44</v>
      </c>
      <c r="AR3" s="23" t="s">
        <v>45</v>
      </c>
      <c r="AT3" s="23" t="s">
        <v>46</v>
      </c>
      <c r="AV3" s="23" t="s">
        <v>47</v>
      </c>
      <c r="AX3" s="24">
        <v>72</v>
      </c>
      <c r="AY3" s="25">
        <v>46</v>
      </c>
      <c r="AZ3" s="25">
        <v>71</v>
      </c>
      <c r="BA3" s="26">
        <v>42</v>
      </c>
    </row>
    <row r="4" spans="1:53" x14ac:dyDescent="0.15">
      <c r="A4" s="153" t="s">
        <v>34</v>
      </c>
      <c r="B4" s="153" t="s">
        <v>157</v>
      </c>
      <c r="C4" s="153">
        <v>2019</v>
      </c>
      <c r="D4" s="155" t="s">
        <v>336</v>
      </c>
      <c r="E4" s="153" t="s">
        <v>334</v>
      </c>
      <c r="F4" s="153" t="s">
        <v>335</v>
      </c>
      <c r="G4" s="156" t="s">
        <v>36</v>
      </c>
      <c r="H4" s="120" t="s">
        <v>164</v>
      </c>
      <c r="I4" s="120" t="s">
        <v>159</v>
      </c>
      <c r="J4" s="120" t="s">
        <v>38</v>
      </c>
      <c r="K4" s="120" t="s">
        <v>161</v>
      </c>
      <c r="L4" s="53">
        <v>3</v>
      </c>
      <c r="N4" s="53">
        <v>1</v>
      </c>
      <c r="O4" s="53">
        <v>0.85</v>
      </c>
      <c r="P4" s="34">
        <v>0.9</v>
      </c>
      <c r="Q4" s="74">
        <f t="shared" si="0"/>
        <v>0.875</v>
      </c>
      <c r="R4" s="163">
        <v>13.7</v>
      </c>
      <c r="S4" s="163">
        <v>122</v>
      </c>
      <c r="T4" s="16">
        <f t="shared" si="1"/>
        <v>30</v>
      </c>
      <c r="U4" s="164">
        <v>98</v>
      </c>
      <c r="V4" s="38">
        <f t="shared" si="2"/>
        <v>2940</v>
      </c>
      <c r="W4" s="160">
        <v>6</v>
      </c>
      <c r="X4" s="161" t="s">
        <v>46</v>
      </c>
      <c r="Y4" s="161" t="s">
        <v>97</v>
      </c>
      <c r="Z4" s="161" t="s">
        <v>86</v>
      </c>
      <c r="AA4" s="152" t="s">
        <v>64</v>
      </c>
      <c r="AB4" s="53" t="s">
        <v>158</v>
      </c>
      <c r="AE4" s="22" t="s">
        <v>34</v>
      </c>
      <c r="AG4" s="67" t="s">
        <v>339</v>
      </c>
      <c r="AH4" s="67" t="s">
        <v>338</v>
      </c>
      <c r="AJ4" s="165" t="s">
        <v>48</v>
      </c>
      <c r="AL4" s="27" t="s">
        <v>129</v>
      </c>
      <c r="AN4" s="28" t="s">
        <v>49</v>
      </c>
      <c r="AP4" s="23" t="s">
        <v>93</v>
      </c>
      <c r="AR4" s="23" t="s">
        <v>121</v>
      </c>
      <c r="AT4" s="28"/>
      <c r="AV4" s="23" t="s">
        <v>50</v>
      </c>
      <c r="AX4" s="24">
        <v>75</v>
      </c>
      <c r="AY4" s="25">
        <v>42</v>
      </c>
      <c r="AZ4" s="25">
        <v>76</v>
      </c>
      <c r="BA4" s="26">
        <v>39</v>
      </c>
    </row>
    <row r="5" spans="1:53" x14ac:dyDescent="0.15">
      <c r="A5" s="153" t="s">
        <v>34</v>
      </c>
      <c r="B5" s="153" t="s">
        <v>157</v>
      </c>
      <c r="C5" s="154">
        <v>2019</v>
      </c>
      <c r="D5" s="155" t="s">
        <v>336</v>
      </c>
      <c r="E5" s="153" t="s">
        <v>334</v>
      </c>
      <c r="F5" s="153" t="s">
        <v>335</v>
      </c>
      <c r="G5" s="156" t="s">
        <v>36</v>
      </c>
      <c r="H5" s="120" t="s">
        <v>160</v>
      </c>
      <c r="I5" s="120" t="s">
        <v>159</v>
      </c>
      <c r="J5" s="120" t="s">
        <v>38</v>
      </c>
      <c r="K5" s="120" t="s">
        <v>161</v>
      </c>
      <c r="L5" s="53">
        <v>1</v>
      </c>
      <c r="N5" s="53">
        <v>8</v>
      </c>
      <c r="O5" s="53">
        <v>0.7</v>
      </c>
      <c r="P5" s="53">
        <v>0.65</v>
      </c>
      <c r="Q5" s="74">
        <f t="shared" si="0"/>
        <v>0.67500000000000004</v>
      </c>
      <c r="R5" s="163">
        <v>16.100000000000001</v>
      </c>
      <c r="S5" s="163">
        <v>103</v>
      </c>
      <c r="T5" s="16">
        <f t="shared" si="1"/>
        <v>33</v>
      </c>
      <c r="U5" s="164">
        <v>599</v>
      </c>
      <c r="V5" s="38">
        <f t="shared" si="2"/>
        <v>2470.875</v>
      </c>
      <c r="W5" s="160">
        <v>6</v>
      </c>
      <c r="X5" s="161" t="s">
        <v>46</v>
      </c>
      <c r="Y5" s="161" t="s">
        <v>97</v>
      </c>
      <c r="Z5" s="161" t="s">
        <v>86</v>
      </c>
      <c r="AA5" s="152" t="s">
        <v>64</v>
      </c>
      <c r="AB5" s="53" t="s">
        <v>158</v>
      </c>
      <c r="AE5" s="22" t="s">
        <v>51</v>
      </c>
      <c r="AG5" s="67" t="s">
        <v>334</v>
      </c>
      <c r="AH5" s="67" t="s">
        <v>340</v>
      </c>
      <c r="AJ5" s="166"/>
      <c r="AL5" s="72" t="s">
        <v>66</v>
      </c>
      <c r="AN5" s="72" t="s">
        <v>52</v>
      </c>
      <c r="AP5" s="23" t="s">
        <v>119</v>
      </c>
      <c r="AR5" s="23" t="s">
        <v>54</v>
      </c>
      <c r="AV5" s="23" t="s">
        <v>55</v>
      </c>
      <c r="AX5" s="24">
        <v>84</v>
      </c>
      <c r="AY5" s="25">
        <v>39</v>
      </c>
      <c r="AZ5" s="25">
        <v>84</v>
      </c>
      <c r="BA5" s="26">
        <v>36</v>
      </c>
    </row>
    <row r="6" spans="1:53" x14ac:dyDescent="0.15">
      <c r="A6" s="153" t="s">
        <v>34</v>
      </c>
      <c r="B6" s="153" t="s">
        <v>157</v>
      </c>
      <c r="C6" s="153">
        <v>2019</v>
      </c>
      <c r="D6" s="155" t="s">
        <v>336</v>
      </c>
      <c r="E6" s="153" t="s">
        <v>334</v>
      </c>
      <c r="F6" s="153" t="s">
        <v>335</v>
      </c>
      <c r="G6" s="156" t="s">
        <v>36</v>
      </c>
      <c r="H6" s="120" t="s">
        <v>160</v>
      </c>
      <c r="I6" s="120" t="s">
        <v>159</v>
      </c>
      <c r="J6" s="120" t="s">
        <v>38</v>
      </c>
      <c r="K6" s="120" t="s">
        <v>161</v>
      </c>
      <c r="L6" s="53">
        <v>2</v>
      </c>
      <c r="N6" s="53">
        <v>8</v>
      </c>
      <c r="O6" s="53">
        <v>0.55000000000000004</v>
      </c>
      <c r="P6" s="53">
        <v>0.6</v>
      </c>
      <c r="Q6" s="74">
        <f t="shared" si="0"/>
        <v>0.57499999999999996</v>
      </c>
      <c r="R6" s="163">
        <v>17.2</v>
      </c>
      <c r="S6" s="163">
        <v>95</v>
      </c>
      <c r="T6" s="16">
        <f t="shared" si="1"/>
        <v>36</v>
      </c>
      <c r="U6" s="164">
        <v>599</v>
      </c>
      <c r="V6" s="38">
        <f t="shared" si="2"/>
        <v>2695.5</v>
      </c>
      <c r="W6" s="160">
        <v>6</v>
      </c>
      <c r="X6" s="161" t="s">
        <v>46</v>
      </c>
      <c r="Y6" s="161" t="s">
        <v>97</v>
      </c>
      <c r="Z6" s="161" t="s">
        <v>86</v>
      </c>
      <c r="AA6" s="152" t="s">
        <v>64</v>
      </c>
      <c r="AB6" s="53" t="s">
        <v>158</v>
      </c>
      <c r="AE6" s="22" t="s">
        <v>56</v>
      </c>
      <c r="AG6" s="67" t="s">
        <v>210</v>
      </c>
      <c r="AH6" s="67" t="s">
        <v>341</v>
      </c>
      <c r="AL6" s="72" t="s">
        <v>99</v>
      </c>
      <c r="AN6" s="72" t="s">
        <v>57</v>
      </c>
      <c r="AP6" s="23" t="s">
        <v>53</v>
      </c>
      <c r="AR6" s="23" t="s">
        <v>59</v>
      </c>
      <c r="AV6" s="23" t="s">
        <v>60</v>
      </c>
      <c r="AX6" s="24">
        <v>97</v>
      </c>
      <c r="AY6" s="25">
        <v>36</v>
      </c>
      <c r="AZ6" s="25">
        <v>99</v>
      </c>
      <c r="BA6" s="26">
        <v>33</v>
      </c>
    </row>
    <row r="7" spans="1:53" x14ac:dyDescent="0.15">
      <c r="A7" s="153" t="s">
        <v>34</v>
      </c>
      <c r="B7" s="153" t="s">
        <v>157</v>
      </c>
      <c r="C7" s="154">
        <v>2019</v>
      </c>
      <c r="D7" s="155" t="s">
        <v>336</v>
      </c>
      <c r="E7" s="153" t="s">
        <v>334</v>
      </c>
      <c r="F7" s="153" t="s">
        <v>335</v>
      </c>
      <c r="G7" s="156" t="s">
        <v>36</v>
      </c>
      <c r="H7" s="120" t="s">
        <v>160</v>
      </c>
      <c r="I7" s="120" t="s">
        <v>159</v>
      </c>
      <c r="J7" s="120" t="s">
        <v>38</v>
      </c>
      <c r="K7" s="120" t="s">
        <v>161</v>
      </c>
      <c r="L7" s="53">
        <v>3</v>
      </c>
      <c r="N7" s="53">
        <v>8</v>
      </c>
      <c r="O7" s="53">
        <v>0.6</v>
      </c>
      <c r="P7" s="53">
        <v>0.65</v>
      </c>
      <c r="Q7" s="74">
        <f t="shared" si="0"/>
        <v>0.625</v>
      </c>
      <c r="R7" s="163">
        <v>16.5</v>
      </c>
      <c r="S7" s="163">
        <v>100</v>
      </c>
      <c r="T7" s="16">
        <f t="shared" si="1"/>
        <v>33</v>
      </c>
      <c r="U7" s="164">
        <v>599</v>
      </c>
      <c r="V7" s="38">
        <f t="shared" si="2"/>
        <v>2470.875</v>
      </c>
      <c r="W7" s="160">
        <v>6</v>
      </c>
      <c r="X7" s="161" t="s">
        <v>46</v>
      </c>
      <c r="Y7" s="161" t="s">
        <v>97</v>
      </c>
      <c r="Z7" s="161" t="s">
        <v>86</v>
      </c>
      <c r="AA7" s="152" t="s">
        <v>64</v>
      </c>
      <c r="AB7" s="53" t="s">
        <v>158</v>
      </c>
      <c r="AE7" s="22" t="s">
        <v>61</v>
      </c>
      <c r="AG7" s="67" t="s">
        <v>342</v>
      </c>
      <c r="AH7" s="67" t="s">
        <v>341</v>
      </c>
      <c r="AL7" s="34" t="s">
        <v>109</v>
      </c>
      <c r="AP7" s="23" t="s">
        <v>58</v>
      </c>
      <c r="AR7" s="23" t="s">
        <v>122</v>
      </c>
      <c r="AV7" s="23" t="s">
        <v>64</v>
      </c>
      <c r="AX7" s="24">
        <v>109</v>
      </c>
      <c r="AY7" s="25">
        <v>33</v>
      </c>
      <c r="AZ7" s="25">
        <v>113</v>
      </c>
      <c r="BA7" s="26">
        <v>30</v>
      </c>
    </row>
    <row r="8" spans="1:53" x14ac:dyDescent="0.15">
      <c r="A8" s="153" t="s">
        <v>34</v>
      </c>
      <c r="B8" s="153" t="s">
        <v>157</v>
      </c>
      <c r="C8" s="153">
        <v>2019</v>
      </c>
      <c r="D8" s="155" t="s">
        <v>336</v>
      </c>
      <c r="E8" s="154" t="s">
        <v>337</v>
      </c>
      <c r="F8" s="153" t="s">
        <v>338</v>
      </c>
      <c r="G8" s="156" t="s">
        <v>36</v>
      </c>
      <c r="H8" s="120" t="s">
        <v>164</v>
      </c>
      <c r="I8" s="120" t="s">
        <v>159</v>
      </c>
      <c r="J8" s="120" t="s">
        <v>38</v>
      </c>
      <c r="K8" s="120" t="s">
        <v>161</v>
      </c>
      <c r="L8" s="53">
        <v>1</v>
      </c>
      <c r="N8" s="53">
        <v>4</v>
      </c>
      <c r="O8" s="53">
        <v>0.65</v>
      </c>
      <c r="P8" s="53">
        <v>0.7</v>
      </c>
      <c r="Q8" s="74">
        <f t="shared" si="0"/>
        <v>0.67500000000000004</v>
      </c>
      <c r="R8" s="163">
        <v>14.1</v>
      </c>
      <c r="S8" s="163">
        <v>91</v>
      </c>
      <c r="T8" s="16">
        <f t="shared" si="1"/>
        <v>36</v>
      </c>
      <c r="U8" s="159">
        <v>398</v>
      </c>
      <c r="V8" s="38">
        <f t="shared" si="2"/>
        <v>3582</v>
      </c>
      <c r="W8" s="160">
        <v>4</v>
      </c>
      <c r="X8" s="161" t="s">
        <v>46</v>
      </c>
      <c r="Y8" s="167" t="s">
        <v>97</v>
      </c>
      <c r="Z8" s="161" t="s">
        <v>64</v>
      </c>
      <c r="AA8" s="152" t="s">
        <v>47</v>
      </c>
      <c r="AB8" s="53" t="s">
        <v>158</v>
      </c>
      <c r="AE8" s="22" t="s">
        <v>59</v>
      </c>
      <c r="AG8" s="67" t="s">
        <v>210</v>
      </c>
      <c r="AH8" s="67" t="s">
        <v>343</v>
      </c>
      <c r="AL8" s="34" t="s">
        <v>134</v>
      </c>
      <c r="AP8" s="23" t="s">
        <v>62</v>
      </c>
      <c r="AR8" s="23" t="s">
        <v>81</v>
      </c>
      <c r="AV8" s="23" t="s">
        <v>97</v>
      </c>
      <c r="AX8" s="24">
        <v>151</v>
      </c>
      <c r="AY8" s="25">
        <v>22</v>
      </c>
      <c r="AZ8" s="25">
        <v>152</v>
      </c>
      <c r="BA8" s="26">
        <v>18</v>
      </c>
    </row>
    <row r="9" spans="1:53" x14ac:dyDescent="0.15">
      <c r="A9" s="153" t="s">
        <v>34</v>
      </c>
      <c r="B9" s="153" t="s">
        <v>157</v>
      </c>
      <c r="C9" s="154">
        <v>2019</v>
      </c>
      <c r="D9" s="155" t="s">
        <v>336</v>
      </c>
      <c r="E9" s="154" t="s">
        <v>337</v>
      </c>
      <c r="F9" s="153" t="s">
        <v>338</v>
      </c>
      <c r="G9" s="156" t="s">
        <v>36</v>
      </c>
      <c r="H9" s="120" t="s">
        <v>164</v>
      </c>
      <c r="I9" s="120" t="s">
        <v>159</v>
      </c>
      <c r="J9" s="120" t="s">
        <v>38</v>
      </c>
      <c r="K9" s="120" t="s">
        <v>161</v>
      </c>
      <c r="L9" s="53">
        <v>2</v>
      </c>
      <c r="N9" s="53">
        <v>4</v>
      </c>
      <c r="O9" s="53">
        <v>0.7</v>
      </c>
      <c r="P9" s="53">
        <v>0.6</v>
      </c>
      <c r="Q9" s="74">
        <f t="shared" si="0"/>
        <v>0.64999999999999991</v>
      </c>
      <c r="R9" s="163">
        <v>14.5</v>
      </c>
      <c r="S9" s="163">
        <v>84</v>
      </c>
      <c r="T9" s="16">
        <f t="shared" si="1"/>
        <v>36</v>
      </c>
      <c r="U9" s="159">
        <v>398</v>
      </c>
      <c r="V9" s="38">
        <f t="shared" si="2"/>
        <v>3582</v>
      </c>
      <c r="W9" s="160">
        <v>4</v>
      </c>
      <c r="X9" s="161" t="s">
        <v>46</v>
      </c>
      <c r="Y9" s="167" t="s">
        <v>97</v>
      </c>
      <c r="Z9" s="161" t="s">
        <v>64</v>
      </c>
      <c r="AA9" s="152" t="s">
        <v>47</v>
      </c>
      <c r="AB9" s="53" t="s">
        <v>158</v>
      </c>
      <c r="AE9" s="22" t="s">
        <v>98</v>
      </c>
      <c r="AG9" s="67" t="s">
        <v>139</v>
      </c>
      <c r="AH9" s="67" t="s">
        <v>343</v>
      </c>
      <c r="AL9" s="72"/>
      <c r="AP9" s="23" t="s">
        <v>95</v>
      </c>
      <c r="AR9" s="23" t="s">
        <v>89</v>
      </c>
      <c r="AV9" s="23" t="s">
        <v>102</v>
      </c>
      <c r="AX9" s="31">
        <v>180</v>
      </c>
      <c r="AY9" s="32">
        <v>18</v>
      </c>
      <c r="AZ9" s="32">
        <v>181</v>
      </c>
      <c r="BA9" s="33">
        <v>16</v>
      </c>
    </row>
    <row r="10" spans="1:53" x14ac:dyDescent="0.15">
      <c r="A10" s="153" t="s">
        <v>34</v>
      </c>
      <c r="B10" s="153" t="s">
        <v>157</v>
      </c>
      <c r="C10" s="153">
        <v>2019</v>
      </c>
      <c r="D10" s="155" t="s">
        <v>336</v>
      </c>
      <c r="E10" s="154" t="s">
        <v>337</v>
      </c>
      <c r="F10" s="153" t="s">
        <v>338</v>
      </c>
      <c r="G10" s="156" t="s">
        <v>36</v>
      </c>
      <c r="H10" s="120" t="s">
        <v>164</v>
      </c>
      <c r="I10" s="120" t="s">
        <v>159</v>
      </c>
      <c r="J10" s="120" t="s">
        <v>38</v>
      </c>
      <c r="K10" s="120" t="s">
        <v>161</v>
      </c>
      <c r="L10" s="53">
        <v>3</v>
      </c>
      <c r="N10" s="53">
        <v>4</v>
      </c>
      <c r="O10" s="53">
        <v>0.65</v>
      </c>
      <c r="P10" s="53">
        <v>0.6</v>
      </c>
      <c r="Q10" s="74">
        <f t="shared" si="0"/>
        <v>0.625</v>
      </c>
      <c r="R10" s="163">
        <v>14.7</v>
      </c>
      <c r="S10" s="163">
        <v>91</v>
      </c>
      <c r="T10" s="16">
        <f t="shared" si="1"/>
        <v>36</v>
      </c>
      <c r="U10" s="159">
        <v>398</v>
      </c>
      <c r="V10" s="38">
        <f t="shared" si="2"/>
        <v>3582</v>
      </c>
      <c r="W10" s="160">
        <v>4</v>
      </c>
      <c r="X10" s="161" t="s">
        <v>46</v>
      </c>
      <c r="Y10" s="167" t="s">
        <v>97</v>
      </c>
      <c r="Z10" s="161" t="s">
        <v>64</v>
      </c>
      <c r="AA10" s="152" t="s">
        <v>47</v>
      </c>
      <c r="AB10" s="53" t="s">
        <v>158</v>
      </c>
      <c r="AE10" s="22" t="s">
        <v>103</v>
      </c>
      <c r="AG10" s="67" t="s">
        <v>133</v>
      </c>
      <c r="AH10" s="67" t="s">
        <v>344</v>
      </c>
      <c r="AL10" s="34"/>
      <c r="AP10" s="23" t="s">
        <v>100</v>
      </c>
      <c r="AR10" s="23" t="s">
        <v>123</v>
      </c>
      <c r="AV10" s="23" t="s">
        <v>106</v>
      </c>
    </row>
    <row r="11" spans="1:53" x14ac:dyDescent="0.15">
      <c r="A11" s="153" t="s">
        <v>34</v>
      </c>
      <c r="B11" s="153" t="s">
        <v>157</v>
      </c>
      <c r="C11" s="154">
        <v>2019</v>
      </c>
      <c r="D11" s="155" t="s">
        <v>336</v>
      </c>
      <c r="E11" s="154" t="s">
        <v>337</v>
      </c>
      <c r="F11" s="153" t="s">
        <v>338</v>
      </c>
      <c r="G11" s="156" t="s">
        <v>36</v>
      </c>
      <c r="H11" s="120" t="s">
        <v>160</v>
      </c>
      <c r="I11" s="120" t="s">
        <v>159</v>
      </c>
      <c r="J11" s="120" t="s">
        <v>38</v>
      </c>
      <c r="K11" s="120" t="s">
        <v>161</v>
      </c>
      <c r="L11" s="53">
        <v>1</v>
      </c>
      <c r="N11" s="53">
        <v>4</v>
      </c>
      <c r="O11" s="53">
        <v>0.55000000000000004</v>
      </c>
      <c r="P11" s="53">
        <v>0.6</v>
      </c>
      <c r="Q11" s="74">
        <f t="shared" si="0"/>
        <v>0.57499999999999996</v>
      </c>
      <c r="R11" s="163">
        <v>14.5</v>
      </c>
      <c r="S11" s="163">
        <v>113</v>
      </c>
      <c r="T11" s="16">
        <f t="shared" si="1"/>
        <v>30</v>
      </c>
      <c r="U11" s="159">
        <v>498</v>
      </c>
      <c r="V11" s="38">
        <f t="shared" si="2"/>
        <v>3735</v>
      </c>
      <c r="W11" s="160">
        <v>4</v>
      </c>
      <c r="X11" s="161" t="s">
        <v>46</v>
      </c>
      <c r="Y11" s="167" t="s">
        <v>97</v>
      </c>
      <c r="Z11" s="161" t="s">
        <v>64</v>
      </c>
      <c r="AA11" s="167" t="s">
        <v>47</v>
      </c>
      <c r="AB11" s="53" t="s">
        <v>158</v>
      </c>
      <c r="AE11" s="22" t="s">
        <v>65</v>
      </c>
      <c r="AG11" s="23" t="s">
        <v>242</v>
      </c>
      <c r="AH11" s="23" t="s">
        <v>345</v>
      </c>
      <c r="AL11" s="34"/>
      <c r="AP11" s="23" t="s">
        <v>104</v>
      </c>
      <c r="AR11" s="23" t="s">
        <v>87</v>
      </c>
      <c r="AV11" s="23" t="s">
        <v>69</v>
      </c>
    </row>
    <row r="12" spans="1:53" x14ac:dyDescent="0.15">
      <c r="A12" s="153" t="s">
        <v>34</v>
      </c>
      <c r="B12" s="153" t="s">
        <v>157</v>
      </c>
      <c r="C12" s="153">
        <v>2019</v>
      </c>
      <c r="D12" s="155" t="s">
        <v>336</v>
      </c>
      <c r="E12" s="154" t="s">
        <v>337</v>
      </c>
      <c r="F12" s="153" t="s">
        <v>338</v>
      </c>
      <c r="G12" s="156" t="s">
        <v>36</v>
      </c>
      <c r="H12" s="120" t="s">
        <v>160</v>
      </c>
      <c r="I12" s="120" t="s">
        <v>159</v>
      </c>
      <c r="J12" s="120" t="s">
        <v>38</v>
      </c>
      <c r="K12" s="120" t="s">
        <v>161</v>
      </c>
      <c r="L12" s="53">
        <v>2</v>
      </c>
      <c r="N12" s="53">
        <v>4</v>
      </c>
      <c r="O12" s="53">
        <v>0.5</v>
      </c>
      <c r="P12" s="53">
        <v>0.45</v>
      </c>
      <c r="Q12" s="74">
        <f t="shared" si="0"/>
        <v>0.47499999999999998</v>
      </c>
      <c r="R12" s="163">
        <v>15.2</v>
      </c>
      <c r="S12" s="163">
        <v>107</v>
      </c>
      <c r="T12" s="16">
        <f t="shared" si="1"/>
        <v>33</v>
      </c>
      <c r="U12" s="159">
        <v>498</v>
      </c>
      <c r="V12" s="38">
        <f t="shared" si="2"/>
        <v>4108.5</v>
      </c>
      <c r="W12" s="160">
        <v>4</v>
      </c>
      <c r="X12" s="161" t="s">
        <v>46</v>
      </c>
      <c r="Y12" s="167" t="s">
        <v>97</v>
      </c>
      <c r="Z12" s="161" t="s">
        <v>64</v>
      </c>
      <c r="AA12" s="167" t="s">
        <v>47</v>
      </c>
      <c r="AB12" s="53" t="s">
        <v>158</v>
      </c>
      <c r="AE12" s="22" t="s">
        <v>70</v>
      </c>
      <c r="AG12" s="23"/>
      <c r="AH12" s="23"/>
      <c r="AL12" s="34"/>
      <c r="AP12" s="23" t="s">
        <v>67</v>
      </c>
      <c r="AR12" s="23" t="s">
        <v>124</v>
      </c>
      <c r="AV12" s="23" t="s">
        <v>72</v>
      </c>
    </row>
    <row r="13" spans="1:53" x14ac:dyDescent="0.15">
      <c r="A13" s="153" t="s">
        <v>34</v>
      </c>
      <c r="B13" s="153" t="s">
        <v>157</v>
      </c>
      <c r="C13" s="154">
        <v>2019</v>
      </c>
      <c r="D13" s="155" t="s">
        <v>336</v>
      </c>
      <c r="E13" s="154" t="s">
        <v>337</v>
      </c>
      <c r="F13" s="153" t="s">
        <v>338</v>
      </c>
      <c r="G13" s="156" t="s">
        <v>36</v>
      </c>
      <c r="H13" s="120" t="s">
        <v>160</v>
      </c>
      <c r="I13" s="120" t="s">
        <v>159</v>
      </c>
      <c r="J13" s="120" t="s">
        <v>38</v>
      </c>
      <c r="K13" s="120" t="s">
        <v>161</v>
      </c>
      <c r="L13" s="53">
        <v>3</v>
      </c>
      <c r="N13" s="53">
        <v>4</v>
      </c>
      <c r="O13" s="53">
        <v>0.45</v>
      </c>
      <c r="P13" s="53">
        <v>0.5</v>
      </c>
      <c r="Q13" s="74">
        <f t="shared" si="0"/>
        <v>0.47499999999999998</v>
      </c>
      <c r="R13" s="163">
        <v>14.6</v>
      </c>
      <c r="S13" s="163">
        <v>110</v>
      </c>
      <c r="T13" s="16">
        <f t="shared" si="1"/>
        <v>33</v>
      </c>
      <c r="U13" s="159">
        <v>498</v>
      </c>
      <c r="V13" s="38">
        <f t="shared" si="2"/>
        <v>4108.5</v>
      </c>
      <c r="W13" s="160">
        <v>4</v>
      </c>
      <c r="X13" s="161" t="s">
        <v>46</v>
      </c>
      <c r="Y13" s="167" t="s">
        <v>97</v>
      </c>
      <c r="Z13" s="161" t="s">
        <v>64</v>
      </c>
      <c r="AA13" s="167" t="s">
        <v>47</v>
      </c>
      <c r="AB13" s="53" t="s">
        <v>158</v>
      </c>
      <c r="AE13" s="22" t="s">
        <v>73</v>
      </c>
      <c r="AG13" s="28"/>
      <c r="AH13" s="28"/>
      <c r="AP13" s="23" t="s">
        <v>71</v>
      </c>
      <c r="AR13" s="23" t="s">
        <v>103</v>
      </c>
      <c r="AV13" s="23" t="s">
        <v>75</v>
      </c>
    </row>
    <row r="14" spans="1:53" x14ac:dyDescent="0.15">
      <c r="A14" s="153" t="s">
        <v>34</v>
      </c>
      <c r="B14" s="153" t="s">
        <v>157</v>
      </c>
      <c r="C14" s="153">
        <v>2019</v>
      </c>
      <c r="D14" s="155" t="s">
        <v>336</v>
      </c>
      <c r="E14" s="154" t="s">
        <v>339</v>
      </c>
      <c r="F14" s="153" t="s">
        <v>338</v>
      </c>
      <c r="G14" s="156" t="s">
        <v>36</v>
      </c>
      <c r="H14" s="120" t="s">
        <v>164</v>
      </c>
      <c r="I14" s="120" t="s">
        <v>159</v>
      </c>
      <c r="J14" s="120" t="s">
        <v>38</v>
      </c>
      <c r="K14" s="120" t="s">
        <v>161</v>
      </c>
      <c r="L14" s="53">
        <v>1</v>
      </c>
      <c r="N14" s="53">
        <v>1</v>
      </c>
      <c r="O14" s="53">
        <v>1</v>
      </c>
      <c r="P14" s="53">
        <v>0.95</v>
      </c>
      <c r="Q14" s="74">
        <f t="shared" si="0"/>
        <v>0.97499999999999998</v>
      </c>
      <c r="R14" s="163">
        <v>13.6</v>
      </c>
      <c r="S14" s="163">
        <v>127</v>
      </c>
      <c r="T14" s="16">
        <f t="shared" si="1"/>
        <v>30</v>
      </c>
      <c r="U14" s="159">
        <v>98</v>
      </c>
      <c r="V14" s="38">
        <f t="shared" si="2"/>
        <v>2940</v>
      </c>
      <c r="W14" s="160">
        <v>6</v>
      </c>
      <c r="X14" s="161" t="s">
        <v>46</v>
      </c>
      <c r="Y14" s="167" t="s">
        <v>97</v>
      </c>
      <c r="Z14" s="167" t="s">
        <v>86</v>
      </c>
      <c r="AA14" s="167" t="s">
        <v>64</v>
      </c>
      <c r="AB14" s="53" t="s">
        <v>158</v>
      </c>
      <c r="AC14" s="34"/>
      <c r="AE14" s="22" t="s">
        <v>76</v>
      </c>
      <c r="AP14" s="23" t="s">
        <v>74</v>
      </c>
      <c r="AR14" s="23" t="s">
        <v>125</v>
      </c>
      <c r="AV14" s="23" t="s">
        <v>78</v>
      </c>
    </row>
    <row r="15" spans="1:53" x14ac:dyDescent="0.15">
      <c r="A15" s="153" t="s">
        <v>34</v>
      </c>
      <c r="B15" s="153" t="s">
        <v>157</v>
      </c>
      <c r="C15" s="154">
        <v>2019</v>
      </c>
      <c r="D15" s="155" t="s">
        <v>336</v>
      </c>
      <c r="E15" s="154" t="s">
        <v>339</v>
      </c>
      <c r="F15" s="153" t="s">
        <v>338</v>
      </c>
      <c r="G15" s="156" t="s">
        <v>36</v>
      </c>
      <c r="H15" s="120" t="s">
        <v>164</v>
      </c>
      <c r="I15" s="120" t="s">
        <v>159</v>
      </c>
      <c r="J15" s="120" t="s">
        <v>38</v>
      </c>
      <c r="K15" s="120" t="s">
        <v>161</v>
      </c>
      <c r="L15" s="53">
        <v>2</v>
      </c>
      <c r="N15" s="53">
        <v>1</v>
      </c>
      <c r="O15" s="53">
        <v>0.85</v>
      </c>
      <c r="P15" s="53">
        <v>1</v>
      </c>
      <c r="Q15" s="74">
        <f t="shared" si="0"/>
        <v>0.92500000000000004</v>
      </c>
      <c r="R15" s="163">
        <v>13.7</v>
      </c>
      <c r="S15" s="163">
        <v>130</v>
      </c>
      <c r="T15" s="16">
        <f t="shared" si="1"/>
        <v>30</v>
      </c>
      <c r="U15" s="159">
        <v>98</v>
      </c>
      <c r="V15" s="38">
        <f t="shared" si="2"/>
        <v>2940</v>
      </c>
      <c r="W15" s="160">
        <v>6</v>
      </c>
      <c r="X15" s="161" t="s">
        <v>46</v>
      </c>
      <c r="Y15" s="167" t="s">
        <v>97</v>
      </c>
      <c r="Z15" s="167" t="s">
        <v>86</v>
      </c>
      <c r="AA15" s="167" t="s">
        <v>64</v>
      </c>
      <c r="AB15" s="53" t="s">
        <v>158</v>
      </c>
      <c r="AC15" s="34"/>
      <c r="AE15" s="22" t="s">
        <v>79</v>
      </c>
      <c r="AP15" s="23" t="s">
        <v>77</v>
      </c>
      <c r="AR15" s="23" t="s">
        <v>94</v>
      </c>
      <c r="AV15" s="23" t="s">
        <v>107</v>
      </c>
    </row>
    <row r="16" spans="1:53" x14ac:dyDescent="0.15">
      <c r="A16" s="153" t="s">
        <v>34</v>
      </c>
      <c r="B16" s="153" t="s">
        <v>157</v>
      </c>
      <c r="C16" s="153">
        <v>2019</v>
      </c>
      <c r="D16" s="155" t="s">
        <v>336</v>
      </c>
      <c r="E16" s="154" t="s">
        <v>339</v>
      </c>
      <c r="F16" s="153" t="s">
        <v>338</v>
      </c>
      <c r="G16" s="156" t="s">
        <v>36</v>
      </c>
      <c r="H16" s="120" t="s">
        <v>164</v>
      </c>
      <c r="I16" s="120" t="s">
        <v>159</v>
      </c>
      <c r="J16" s="120" t="s">
        <v>38</v>
      </c>
      <c r="K16" s="120" t="s">
        <v>161</v>
      </c>
      <c r="L16" s="53">
        <v>3</v>
      </c>
      <c r="N16" s="53">
        <v>1</v>
      </c>
      <c r="O16" s="53">
        <v>0.9</v>
      </c>
      <c r="P16" s="53">
        <v>0.85</v>
      </c>
      <c r="Q16" s="74">
        <f t="shared" si="0"/>
        <v>0.875</v>
      </c>
      <c r="R16" s="163">
        <v>13.5</v>
      </c>
      <c r="S16" s="163">
        <v>132</v>
      </c>
      <c r="T16" s="16">
        <f t="shared" si="1"/>
        <v>30</v>
      </c>
      <c r="U16" s="159">
        <v>98</v>
      </c>
      <c r="V16" s="38">
        <f t="shared" si="2"/>
        <v>2940</v>
      </c>
      <c r="W16" s="160">
        <v>6</v>
      </c>
      <c r="X16" s="161" t="s">
        <v>46</v>
      </c>
      <c r="Y16" s="167" t="s">
        <v>97</v>
      </c>
      <c r="Z16" s="167" t="s">
        <v>86</v>
      </c>
      <c r="AA16" s="167" t="s">
        <v>64</v>
      </c>
      <c r="AB16" s="53" t="s">
        <v>158</v>
      </c>
      <c r="AC16" s="34"/>
      <c r="AE16" s="22" t="s">
        <v>82</v>
      </c>
      <c r="AP16" s="23" t="s">
        <v>80</v>
      </c>
      <c r="AR16" s="23" t="s">
        <v>63</v>
      </c>
      <c r="AV16" s="23" t="s">
        <v>84</v>
      </c>
    </row>
    <row r="17" spans="1:48" x14ac:dyDescent="0.15">
      <c r="A17" s="153" t="s">
        <v>34</v>
      </c>
      <c r="B17" s="153" t="s">
        <v>157</v>
      </c>
      <c r="C17" s="154">
        <v>2019</v>
      </c>
      <c r="D17" s="155" t="s">
        <v>336</v>
      </c>
      <c r="E17" s="154" t="s">
        <v>339</v>
      </c>
      <c r="F17" s="153" t="s">
        <v>338</v>
      </c>
      <c r="G17" s="156" t="s">
        <v>36</v>
      </c>
      <c r="H17" s="120" t="s">
        <v>160</v>
      </c>
      <c r="I17" s="120" t="s">
        <v>159</v>
      </c>
      <c r="J17" s="120" t="s">
        <v>38</v>
      </c>
      <c r="K17" s="120" t="s">
        <v>161</v>
      </c>
      <c r="L17" s="53">
        <v>1</v>
      </c>
      <c r="N17" s="53">
        <v>1</v>
      </c>
      <c r="O17" s="53">
        <v>1.1000000000000001</v>
      </c>
      <c r="P17" s="53">
        <v>0.9</v>
      </c>
      <c r="Q17" s="74">
        <f t="shared" si="0"/>
        <v>1</v>
      </c>
      <c r="R17" s="163">
        <v>16.899999999999999</v>
      </c>
      <c r="S17" s="163">
        <v>99</v>
      </c>
      <c r="T17" s="16">
        <f t="shared" si="1"/>
        <v>33</v>
      </c>
      <c r="U17" s="159">
        <v>98</v>
      </c>
      <c r="V17" s="38">
        <f t="shared" si="2"/>
        <v>3234</v>
      </c>
      <c r="W17" s="160">
        <v>6</v>
      </c>
      <c r="X17" s="161" t="s">
        <v>46</v>
      </c>
      <c r="Y17" s="167" t="s">
        <v>97</v>
      </c>
      <c r="Z17" s="167" t="s">
        <v>86</v>
      </c>
      <c r="AA17" s="167" t="s">
        <v>64</v>
      </c>
      <c r="AB17" s="53" t="s">
        <v>158</v>
      </c>
      <c r="AC17" s="34"/>
      <c r="AE17" s="22" t="s">
        <v>85</v>
      </c>
      <c r="AP17" s="27" t="s">
        <v>110</v>
      </c>
      <c r="AR17" s="23" t="s">
        <v>96</v>
      </c>
      <c r="AV17" s="23" t="s">
        <v>86</v>
      </c>
    </row>
    <row r="18" spans="1:48" x14ac:dyDescent="0.15">
      <c r="A18" s="153" t="s">
        <v>34</v>
      </c>
      <c r="B18" s="153" t="s">
        <v>157</v>
      </c>
      <c r="C18" s="153">
        <v>2019</v>
      </c>
      <c r="D18" s="155" t="s">
        <v>336</v>
      </c>
      <c r="E18" s="154" t="s">
        <v>339</v>
      </c>
      <c r="F18" s="153" t="s">
        <v>338</v>
      </c>
      <c r="G18" s="156" t="s">
        <v>36</v>
      </c>
      <c r="H18" s="120" t="s">
        <v>160</v>
      </c>
      <c r="I18" s="120" t="s">
        <v>159</v>
      </c>
      <c r="J18" s="120" t="s">
        <v>38</v>
      </c>
      <c r="K18" s="120" t="s">
        <v>161</v>
      </c>
      <c r="L18" s="53">
        <v>2</v>
      </c>
      <c r="N18" s="53">
        <v>1</v>
      </c>
      <c r="O18" s="53">
        <v>0.85</v>
      </c>
      <c r="P18" s="53">
        <v>0.8</v>
      </c>
      <c r="Q18" s="74">
        <f t="shared" si="0"/>
        <v>0.82499999999999996</v>
      </c>
      <c r="R18" s="163">
        <v>16.7</v>
      </c>
      <c r="S18" s="163">
        <v>101</v>
      </c>
      <c r="T18" s="16">
        <f t="shared" si="1"/>
        <v>33</v>
      </c>
      <c r="U18" s="159">
        <v>98</v>
      </c>
      <c r="V18" s="38">
        <f t="shared" si="2"/>
        <v>3234</v>
      </c>
      <c r="W18" s="160">
        <v>6</v>
      </c>
      <c r="X18" s="161" t="s">
        <v>46</v>
      </c>
      <c r="Y18" s="167" t="s">
        <v>97</v>
      </c>
      <c r="Z18" s="167" t="s">
        <v>86</v>
      </c>
      <c r="AA18" s="167" t="s">
        <v>64</v>
      </c>
      <c r="AB18" s="53" t="s">
        <v>158</v>
      </c>
      <c r="AC18" s="34"/>
      <c r="AE18" s="22" t="s">
        <v>87</v>
      </c>
      <c r="AP18" s="27" t="s">
        <v>111</v>
      </c>
      <c r="AR18" s="23" t="s">
        <v>101</v>
      </c>
      <c r="AV18" s="23" t="s">
        <v>88</v>
      </c>
    </row>
    <row r="19" spans="1:48" x14ac:dyDescent="0.15">
      <c r="A19" s="153" t="s">
        <v>34</v>
      </c>
      <c r="B19" s="153" t="s">
        <v>157</v>
      </c>
      <c r="C19" s="154">
        <v>2019</v>
      </c>
      <c r="D19" s="155" t="s">
        <v>336</v>
      </c>
      <c r="E19" s="154" t="s">
        <v>339</v>
      </c>
      <c r="F19" s="153" t="s">
        <v>338</v>
      </c>
      <c r="G19" s="156" t="s">
        <v>36</v>
      </c>
      <c r="H19" s="120" t="s">
        <v>160</v>
      </c>
      <c r="I19" s="120" t="s">
        <v>159</v>
      </c>
      <c r="J19" s="120" t="s">
        <v>38</v>
      </c>
      <c r="K19" s="120" t="s">
        <v>161</v>
      </c>
      <c r="L19" s="53">
        <v>3</v>
      </c>
      <c r="N19" s="53">
        <v>1</v>
      </c>
      <c r="O19" s="53">
        <v>0.9</v>
      </c>
      <c r="P19" s="53">
        <v>0.85</v>
      </c>
      <c r="Q19" s="74">
        <f t="shared" si="0"/>
        <v>0.875</v>
      </c>
      <c r="R19" s="163">
        <v>16.8</v>
      </c>
      <c r="S19" s="163">
        <v>101</v>
      </c>
      <c r="T19" s="16">
        <f t="shared" si="1"/>
        <v>33</v>
      </c>
      <c r="U19" s="159">
        <v>98</v>
      </c>
      <c r="V19" s="38">
        <f t="shared" si="2"/>
        <v>3234</v>
      </c>
      <c r="W19" s="160">
        <v>6</v>
      </c>
      <c r="X19" s="161" t="s">
        <v>46</v>
      </c>
      <c r="Y19" s="167" t="s">
        <v>97</v>
      </c>
      <c r="Z19" s="167" t="s">
        <v>86</v>
      </c>
      <c r="AA19" s="167" t="s">
        <v>64</v>
      </c>
      <c r="AB19" s="53" t="s">
        <v>158</v>
      </c>
      <c r="AC19" s="34"/>
      <c r="AE19" s="35" t="s">
        <v>89</v>
      </c>
      <c r="AP19" s="27" t="s">
        <v>112</v>
      </c>
      <c r="AR19" s="23" t="s">
        <v>126</v>
      </c>
      <c r="AV19" s="23" t="s">
        <v>90</v>
      </c>
    </row>
    <row r="20" spans="1:48" x14ac:dyDescent="0.15">
      <c r="A20" s="153" t="s">
        <v>34</v>
      </c>
      <c r="B20" s="153" t="s">
        <v>157</v>
      </c>
      <c r="C20" s="153">
        <v>2019</v>
      </c>
      <c r="D20" s="155" t="s">
        <v>336</v>
      </c>
      <c r="E20" s="154" t="s">
        <v>334</v>
      </c>
      <c r="F20" s="153" t="s">
        <v>340</v>
      </c>
      <c r="G20" s="156" t="s">
        <v>36</v>
      </c>
      <c r="H20" s="120" t="s">
        <v>164</v>
      </c>
      <c r="I20" s="120" t="s">
        <v>159</v>
      </c>
      <c r="J20" s="120" t="s">
        <v>38</v>
      </c>
      <c r="K20" s="120" t="s">
        <v>161</v>
      </c>
      <c r="L20" s="53">
        <v>1</v>
      </c>
      <c r="N20" s="53">
        <v>1</v>
      </c>
      <c r="O20" s="53">
        <v>0.85</v>
      </c>
      <c r="P20" s="53">
        <v>0.85</v>
      </c>
      <c r="Q20" s="74">
        <f t="shared" si="0"/>
        <v>0.85</v>
      </c>
      <c r="R20" s="163">
        <v>14.1</v>
      </c>
      <c r="S20" s="163">
        <v>124</v>
      </c>
      <c r="T20" s="16">
        <f t="shared" si="1"/>
        <v>30</v>
      </c>
      <c r="U20" s="159">
        <v>128</v>
      </c>
      <c r="V20" s="38">
        <f t="shared" si="2"/>
        <v>3840</v>
      </c>
      <c r="W20" s="160">
        <v>15</v>
      </c>
      <c r="X20" s="161" t="s">
        <v>46</v>
      </c>
      <c r="Y20" s="167" t="s">
        <v>86</v>
      </c>
      <c r="Z20" s="167" t="s">
        <v>64</v>
      </c>
      <c r="AA20" s="167" t="s">
        <v>97</v>
      </c>
      <c r="AB20" s="53" t="s">
        <v>158</v>
      </c>
      <c r="AE20" s="35"/>
      <c r="AP20" s="27" t="s">
        <v>113</v>
      </c>
      <c r="AR20" s="23" t="s">
        <v>105</v>
      </c>
      <c r="AV20" s="27" t="s">
        <v>135</v>
      </c>
    </row>
    <row r="21" spans="1:48" x14ac:dyDescent="0.15">
      <c r="A21" s="153" t="s">
        <v>34</v>
      </c>
      <c r="B21" s="153" t="s">
        <v>157</v>
      </c>
      <c r="C21" s="154">
        <v>2019</v>
      </c>
      <c r="D21" s="155" t="s">
        <v>336</v>
      </c>
      <c r="E21" s="154" t="s">
        <v>334</v>
      </c>
      <c r="F21" s="153" t="s">
        <v>340</v>
      </c>
      <c r="G21" s="156" t="s">
        <v>36</v>
      </c>
      <c r="H21" s="120" t="s">
        <v>164</v>
      </c>
      <c r="I21" s="120" t="s">
        <v>159</v>
      </c>
      <c r="J21" s="120" t="s">
        <v>38</v>
      </c>
      <c r="K21" s="120" t="s">
        <v>161</v>
      </c>
      <c r="L21" s="53">
        <v>2</v>
      </c>
      <c r="N21" s="53">
        <v>1</v>
      </c>
      <c r="O21" s="53">
        <v>0.9</v>
      </c>
      <c r="P21" s="53">
        <v>0.8</v>
      </c>
      <c r="Q21" s="74">
        <f t="shared" si="0"/>
        <v>0.85000000000000009</v>
      </c>
      <c r="R21" s="163">
        <v>13.6</v>
      </c>
      <c r="S21" s="163">
        <v>119</v>
      </c>
      <c r="T21" s="16">
        <f t="shared" si="1"/>
        <v>30</v>
      </c>
      <c r="U21" s="159">
        <v>128</v>
      </c>
      <c r="V21" s="38">
        <f t="shared" si="2"/>
        <v>3840</v>
      </c>
      <c r="W21" s="160">
        <v>15</v>
      </c>
      <c r="X21" s="161" t="s">
        <v>46</v>
      </c>
      <c r="Y21" s="167" t="s">
        <v>86</v>
      </c>
      <c r="Z21" s="167" t="s">
        <v>64</v>
      </c>
      <c r="AA21" s="167" t="s">
        <v>97</v>
      </c>
      <c r="AB21" s="53" t="s">
        <v>158</v>
      </c>
      <c r="AE21" s="28"/>
      <c r="AP21" s="27" t="s">
        <v>114</v>
      </c>
      <c r="AR21" s="23" t="s">
        <v>68</v>
      </c>
      <c r="AV21" s="27" t="s">
        <v>136</v>
      </c>
    </row>
    <row r="22" spans="1:48" x14ac:dyDescent="0.15">
      <c r="A22" s="153" t="s">
        <v>34</v>
      </c>
      <c r="B22" s="153" t="s">
        <v>157</v>
      </c>
      <c r="C22" s="153">
        <v>2019</v>
      </c>
      <c r="D22" s="155" t="s">
        <v>336</v>
      </c>
      <c r="E22" s="154" t="s">
        <v>334</v>
      </c>
      <c r="F22" s="153" t="s">
        <v>340</v>
      </c>
      <c r="G22" s="156" t="s">
        <v>36</v>
      </c>
      <c r="H22" s="120" t="s">
        <v>164</v>
      </c>
      <c r="I22" s="120" t="s">
        <v>159</v>
      </c>
      <c r="J22" s="120" t="s">
        <v>38</v>
      </c>
      <c r="K22" s="120" t="s">
        <v>161</v>
      </c>
      <c r="L22" s="53">
        <v>3</v>
      </c>
      <c r="N22" s="53">
        <v>1</v>
      </c>
      <c r="O22" s="53">
        <v>1</v>
      </c>
      <c r="P22" s="34">
        <v>0.95</v>
      </c>
      <c r="Q22" s="74">
        <f t="shared" si="0"/>
        <v>0.97499999999999998</v>
      </c>
      <c r="R22" s="163">
        <v>13.7</v>
      </c>
      <c r="S22" s="163">
        <v>117</v>
      </c>
      <c r="T22" s="16">
        <f t="shared" si="1"/>
        <v>30</v>
      </c>
      <c r="U22" s="159">
        <v>128</v>
      </c>
      <c r="V22" s="38">
        <f t="shared" si="2"/>
        <v>3840</v>
      </c>
      <c r="W22" s="160">
        <v>15</v>
      </c>
      <c r="X22" s="161" t="s">
        <v>46</v>
      </c>
      <c r="Y22" s="167" t="s">
        <v>86</v>
      </c>
      <c r="Z22" s="167" t="s">
        <v>64</v>
      </c>
      <c r="AA22" s="167" t="s">
        <v>97</v>
      </c>
      <c r="AB22" s="53" t="s">
        <v>158</v>
      </c>
      <c r="AP22" s="27" t="s">
        <v>115</v>
      </c>
      <c r="AR22" s="23" t="s">
        <v>83</v>
      </c>
      <c r="AV22" s="23"/>
    </row>
    <row r="23" spans="1:48" x14ac:dyDescent="0.15">
      <c r="A23" s="153" t="s">
        <v>34</v>
      </c>
      <c r="B23" s="153" t="s">
        <v>157</v>
      </c>
      <c r="C23" s="154">
        <v>2019</v>
      </c>
      <c r="D23" s="155" t="s">
        <v>336</v>
      </c>
      <c r="E23" s="154" t="s">
        <v>334</v>
      </c>
      <c r="F23" s="153" t="s">
        <v>340</v>
      </c>
      <c r="G23" s="156" t="s">
        <v>36</v>
      </c>
      <c r="H23" s="120" t="s">
        <v>160</v>
      </c>
      <c r="I23" s="120" t="s">
        <v>159</v>
      </c>
      <c r="J23" s="120" t="s">
        <v>38</v>
      </c>
      <c r="K23" s="120" t="s">
        <v>161</v>
      </c>
      <c r="L23" s="53">
        <v>1</v>
      </c>
      <c r="N23" s="53">
        <v>8</v>
      </c>
      <c r="O23" s="53">
        <v>0.65</v>
      </c>
      <c r="P23" s="34">
        <v>0.6</v>
      </c>
      <c r="Q23" s="74">
        <f t="shared" si="0"/>
        <v>0.625</v>
      </c>
      <c r="R23" s="163">
        <v>16.2</v>
      </c>
      <c r="S23" s="163">
        <v>101</v>
      </c>
      <c r="T23" s="16">
        <f t="shared" si="1"/>
        <v>33</v>
      </c>
      <c r="U23" s="159">
        <v>798</v>
      </c>
      <c r="V23" s="38">
        <f t="shared" si="2"/>
        <v>3291.75</v>
      </c>
      <c r="W23" s="160">
        <v>15</v>
      </c>
      <c r="X23" s="161" t="s">
        <v>46</v>
      </c>
      <c r="Y23" s="167" t="s">
        <v>86</v>
      </c>
      <c r="Z23" s="167" t="s">
        <v>64</v>
      </c>
      <c r="AA23" s="167" t="s">
        <v>97</v>
      </c>
      <c r="AB23" s="53" t="s">
        <v>158</v>
      </c>
      <c r="AP23" s="27" t="s">
        <v>137</v>
      </c>
      <c r="AR23" s="23" t="s">
        <v>61</v>
      </c>
      <c r="AV23" s="23"/>
    </row>
    <row r="24" spans="1:48" x14ac:dyDescent="0.15">
      <c r="A24" s="153" t="s">
        <v>34</v>
      </c>
      <c r="B24" s="153" t="s">
        <v>157</v>
      </c>
      <c r="C24" s="153">
        <v>2019</v>
      </c>
      <c r="D24" s="155" t="s">
        <v>336</v>
      </c>
      <c r="E24" s="154" t="s">
        <v>334</v>
      </c>
      <c r="F24" s="153" t="s">
        <v>340</v>
      </c>
      <c r="G24" s="156" t="s">
        <v>36</v>
      </c>
      <c r="H24" s="120" t="s">
        <v>160</v>
      </c>
      <c r="I24" s="120" t="s">
        <v>159</v>
      </c>
      <c r="J24" s="120" t="s">
        <v>38</v>
      </c>
      <c r="K24" s="120" t="s">
        <v>161</v>
      </c>
      <c r="L24" s="53">
        <v>2</v>
      </c>
      <c r="N24" s="53">
        <v>8</v>
      </c>
      <c r="O24" s="53">
        <v>0.6</v>
      </c>
      <c r="P24" s="34">
        <v>0.65</v>
      </c>
      <c r="Q24" s="74">
        <f t="shared" si="0"/>
        <v>0.625</v>
      </c>
      <c r="R24" s="163">
        <v>16.5</v>
      </c>
      <c r="S24" s="163">
        <v>103</v>
      </c>
      <c r="T24" s="16">
        <f t="shared" si="1"/>
        <v>33</v>
      </c>
      <c r="U24" s="159">
        <v>798</v>
      </c>
      <c r="V24" s="38">
        <f t="shared" si="2"/>
        <v>3291.75</v>
      </c>
      <c r="W24" s="160">
        <v>15</v>
      </c>
      <c r="X24" s="161" t="s">
        <v>46</v>
      </c>
      <c r="Y24" s="167" t="s">
        <v>86</v>
      </c>
      <c r="Z24" s="167" t="s">
        <v>64</v>
      </c>
      <c r="AA24" s="167" t="s">
        <v>97</v>
      </c>
      <c r="AB24" s="53" t="s">
        <v>158</v>
      </c>
      <c r="AP24" s="27" t="s">
        <v>138</v>
      </c>
      <c r="AR24" s="23" t="s">
        <v>91</v>
      </c>
      <c r="AV24" s="23"/>
    </row>
    <row r="25" spans="1:48" x14ac:dyDescent="0.15">
      <c r="A25" s="153" t="s">
        <v>34</v>
      </c>
      <c r="B25" s="153" t="s">
        <v>157</v>
      </c>
      <c r="C25" s="154">
        <v>2019</v>
      </c>
      <c r="D25" s="155" t="s">
        <v>336</v>
      </c>
      <c r="E25" s="154" t="s">
        <v>334</v>
      </c>
      <c r="F25" s="153" t="s">
        <v>340</v>
      </c>
      <c r="G25" s="156" t="s">
        <v>36</v>
      </c>
      <c r="H25" s="120" t="s">
        <v>160</v>
      </c>
      <c r="I25" s="120" t="s">
        <v>159</v>
      </c>
      <c r="J25" s="120" t="s">
        <v>38</v>
      </c>
      <c r="K25" s="120" t="s">
        <v>161</v>
      </c>
      <c r="L25" s="53">
        <v>3</v>
      </c>
      <c r="N25" s="53">
        <v>8</v>
      </c>
      <c r="O25" s="53">
        <v>0.55000000000000004</v>
      </c>
      <c r="P25" s="34">
        <v>0.6</v>
      </c>
      <c r="Q25" s="74">
        <f t="shared" si="0"/>
        <v>0.57499999999999996</v>
      </c>
      <c r="R25" s="163">
        <v>15.9</v>
      </c>
      <c r="S25" s="163">
        <v>96</v>
      </c>
      <c r="T25" s="16">
        <f t="shared" si="1"/>
        <v>36</v>
      </c>
      <c r="U25" s="159">
        <v>798</v>
      </c>
      <c r="V25" s="38">
        <f t="shared" si="2"/>
        <v>3591</v>
      </c>
      <c r="W25" s="160">
        <v>15</v>
      </c>
      <c r="X25" s="161" t="s">
        <v>46</v>
      </c>
      <c r="Y25" s="167" t="s">
        <v>86</v>
      </c>
      <c r="Z25" s="167" t="s">
        <v>64</v>
      </c>
      <c r="AA25" s="167" t="s">
        <v>97</v>
      </c>
      <c r="AB25" s="53" t="s">
        <v>158</v>
      </c>
      <c r="AP25" s="27" t="s">
        <v>116</v>
      </c>
      <c r="AR25" s="27" t="s">
        <v>92</v>
      </c>
      <c r="AV25" s="23"/>
    </row>
    <row r="26" spans="1:48" x14ac:dyDescent="0.15">
      <c r="A26" s="153" t="s">
        <v>34</v>
      </c>
      <c r="B26" s="153" t="s">
        <v>157</v>
      </c>
      <c r="C26" s="153">
        <v>2019</v>
      </c>
      <c r="D26" s="155" t="s">
        <v>336</v>
      </c>
      <c r="E26" s="154" t="s">
        <v>210</v>
      </c>
      <c r="F26" s="153" t="s">
        <v>341</v>
      </c>
      <c r="G26" s="156" t="s">
        <v>42</v>
      </c>
      <c r="H26" s="120" t="s">
        <v>164</v>
      </c>
      <c r="I26" s="120" t="s">
        <v>159</v>
      </c>
      <c r="J26" s="120" t="s">
        <v>38</v>
      </c>
      <c r="K26" s="120" t="s">
        <v>161</v>
      </c>
      <c r="L26" s="53">
        <v>1</v>
      </c>
      <c r="N26" s="53">
        <v>1</v>
      </c>
      <c r="O26" s="53">
        <v>0.65</v>
      </c>
      <c r="P26" s="53">
        <v>0.7</v>
      </c>
      <c r="Q26" s="74">
        <f t="shared" si="0"/>
        <v>0.67500000000000004</v>
      </c>
      <c r="R26" s="163">
        <v>13.7</v>
      </c>
      <c r="S26" s="163">
        <v>108</v>
      </c>
      <c r="T26" s="16">
        <f t="shared" si="1"/>
        <v>33</v>
      </c>
      <c r="U26" s="159">
        <v>69</v>
      </c>
      <c r="V26" s="38">
        <f t="shared" si="2"/>
        <v>2277</v>
      </c>
      <c r="W26" s="160">
        <v>16</v>
      </c>
      <c r="X26" s="161" t="s">
        <v>46</v>
      </c>
      <c r="Y26" s="167" t="s">
        <v>55</v>
      </c>
      <c r="Z26" s="167" t="s">
        <v>86</v>
      </c>
      <c r="AA26" s="167" t="s">
        <v>97</v>
      </c>
      <c r="AB26" s="53" t="s">
        <v>158</v>
      </c>
      <c r="AP26" s="27" t="s">
        <v>117</v>
      </c>
      <c r="AR26" s="23" t="s">
        <v>153</v>
      </c>
      <c r="AV26" s="27"/>
    </row>
    <row r="27" spans="1:48" x14ac:dyDescent="0.15">
      <c r="A27" s="153" t="s">
        <v>34</v>
      </c>
      <c r="B27" s="153" t="s">
        <v>157</v>
      </c>
      <c r="C27" s="154">
        <v>2019</v>
      </c>
      <c r="D27" s="155" t="s">
        <v>336</v>
      </c>
      <c r="E27" s="154" t="s">
        <v>210</v>
      </c>
      <c r="F27" s="153" t="s">
        <v>341</v>
      </c>
      <c r="G27" s="156" t="s">
        <v>42</v>
      </c>
      <c r="H27" s="120" t="s">
        <v>164</v>
      </c>
      <c r="I27" s="120" t="s">
        <v>159</v>
      </c>
      <c r="J27" s="120" t="s">
        <v>38</v>
      </c>
      <c r="K27" s="120" t="s">
        <v>161</v>
      </c>
      <c r="L27" s="53">
        <v>2</v>
      </c>
      <c r="N27" s="53">
        <v>1</v>
      </c>
      <c r="O27" s="34">
        <v>0.7</v>
      </c>
      <c r="P27" s="53">
        <v>0.7</v>
      </c>
      <c r="Q27" s="74">
        <f t="shared" si="0"/>
        <v>0.7</v>
      </c>
      <c r="R27" s="163">
        <v>13.4</v>
      </c>
      <c r="S27" s="163">
        <v>110</v>
      </c>
      <c r="T27" s="16">
        <f t="shared" si="1"/>
        <v>33</v>
      </c>
      <c r="U27" s="159">
        <v>69</v>
      </c>
      <c r="V27" s="38">
        <f t="shared" si="2"/>
        <v>2277</v>
      </c>
      <c r="W27" s="160">
        <v>16</v>
      </c>
      <c r="X27" s="161" t="s">
        <v>46</v>
      </c>
      <c r="Y27" s="167" t="s">
        <v>55</v>
      </c>
      <c r="Z27" s="167" t="s">
        <v>86</v>
      </c>
      <c r="AA27" s="167" t="s">
        <v>97</v>
      </c>
      <c r="AB27" s="53" t="s">
        <v>158</v>
      </c>
      <c r="AP27" s="27" t="s">
        <v>118</v>
      </c>
      <c r="AR27" s="23"/>
    </row>
    <row r="28" spans="1:48" x14ac:dyDescent="0.15">
      <c r="A28" s="153" t="s">
        <v>34</v>
      </c>
      <c r="B28" s="153" t="s">
        <v>157</v>
      </c>
      <c r="C28" s="153">
        <v>2019</v>
      </c>
      <c r="D28" s="155" t="s">
        <v>336</v>
      </c>
      <c r="E28" s="154" t="s">
        <v>210</v>
      </c>
      <c r="F28" s="153" t="s">
        <v>341</v>
      </c>
      <c r="G28" s="156" t="s">
        <v>42</v>
      </c>
      <c r="H28" s="120" t="s">
        <v>164</v>
      </c>
      <c r="I28" s="120" t="s">
        <v>159</v>
      </c>
      <c r="J28" s="120" t="s">
        <v>38</v>
      </c>
      <c r="K28" s="120" t="s">
        <v>161</v>
      </c>
      <c r="L28" s="53">
        <v>3</v>
      </c>
      <c r="N28" s="53">
        <v>1</v>
      </c>
      <c r="O28" s="34">
        <v>0.65</v>
      </c>
      <c r="P28" s="53">
        <v>0.7</v>
      </c>
      <c r="Q28" s="74">
        <f t="shared" si="0"/>
        <v>0.67500000000000004</v>
      </c>
      <c r="R28" s="163">
        <v>13</v>
      </c>
      <c r="S28" s="163">
        <v>106</v>
      </c>
      <c r="T28" s="16">
        <f t="shared" si="1"/>
        <v>33</v>
      </c>
      <c r="U28" s="159">
        <v>69</v>
      </c>
      <c r="V28" s="38">
        <f t="shared" si="2"/>
        <v>2277</v>
      </c>
      <c r="W28" s="160">
        <v>16</v>
      </c>
      <c r="X28" s="161" t="s">
        <v>46</v>
      </c>
      <c r="Y28" s="167" t="s">
        <v>55</v>
      </c>
      <c r="Z28" s="167" t="s">
        <v>86</v>
      </c>
      <c r="AA28" s="167" t="s">
        <v>97</v>
      </c>
      <c r="AB28" s="53" t="s">
        <v>158</v>
      </c>
      <c r="AR28" s="23"/>
    </row>
    <row r="29" spans="1:48" x14ac:dyDescent="0.15">
      <c r="A29" s="153" t="s">
        <v>34</v>
      </c>
      <c r="B29" s="153" t="s">
        <v>157</v>
      </c>
      <c r="C29" s="153">
        <v>2019</v>
      </c>
      <c r="D29" s="155" t="s">
        <v>336</v>
      </c>
      <c r="E29" s="154" t="s">
        <v>210</v>
      </c>
      <c r="F29" s="153" t="s">
        <v>341</v>
      </c>
      <c r="G29" s="156" t="s">
        <v>42</v>
      </c>
      <c r="H29" s="120" t="s">
        <v>160</v>
      </c>
      <c r="I29" s="120" t="s">
        <v>159</v>
      </c>
      <c r="J29" s="120" t="s">
        <v>38</v>
      </c>
      <c r="K29" s="120" t="s">
        <v>161</v>
      </c>
      <c r="L29" s="53">
        <v>1</v>
      </c>
      <c r="N29" s="53">
        <v>1</v>
      </c>
      <c r="O29" s="53">
        <v>0.8</v>
      </c>
      <c r="P29" s="53">
        <v>0.85</v>
      </c>
      <c r="Q29" s="74">
        <f t="shared" si="0"/>
        <v>0.82499999999999996</v>
      </c>
      <c r="R29" s="163">
        <v>16.399999999999999</v>
      </c>
      <c r="S29" s="163">
        <v>121</v>
      </c>
      <c r="T29" s="16">
        <f t="shared" si="1"/>
        <v>30</v>
      </c>
      <c r="U29" s="159">
        <v>69</v>
      </c>
      <c r="V29" s="38">
        <f t="shared" si="2"/>
        <v>2070</v>
      </c>
      <c r="W29" s="160">
        <v>16</v>
      </c>
      <c r="X29" s="161" t="s">
        <v>39</v>
      </c>
      <c r="Y29" s="167" t="s">
        <v>55</v>
      </c>
      <c r="Z29" s="167" t="s">
        <v>86</v>
      </c>
      <c r="AA29" s="167" t="s">
        <v>97</v>
      </c>
      <c r="AB29" s="53" t="s">
        <v>158</v>
      </c>
      <c r="AR29" s="28"/>
    </row>
    <row r="30" spans="1:48" x14ac:dyDescent="0.15">
      <c r="A30" s="153" t="s">
        <v>34</v>
      </c>
      <c r="B30" s="153" t="s">
        <v>157</v>
      </c>
      <c r="C30" s="154">
        <v>2019</v>
      </c>
      <c r="D30" s="155" t="s">
        <v>336</v>
      </c>
      <c r="E30" s="154" t="s">
        <v>210</v>
      </c>
      <c r="F30" s="153" t="s">
        <v>341</v>
      </c>
      <c r="G30" s="156" t="s">
        <v>42</v>
      </c>
      <c r="H30" s="120" t="s">
        <v>160</v>
      </c>
      <c r="I30" s="120" t="s">
        <v>159</v>
      </c>
      <c r="J30" s="120" t="s">
        <v>38</v>
      </c>
      <c r="K30" s="120" t="s">
        <v>161</v>
      </c>
      <c r="L30" s="53">
        <v>2</v>
      </c>
      <c r="N30" s="53">
        <v>1</v>
      </c>
      <c r="O30" s="53">
        <v>0.65</v>
      </c>
      <c r="P30" s="53">
        <v>0.6</v>
      </c>
      <c r="Q30" s="74">
        <f t="shared" si="0"/>
        <v>0.625</v>
      </c>
      <c r="R30" s="163">
        <v>16.100000000000001</v>
      </c>
      <c r="S30" s="163">
        <v>119</v>
      </c>
      <c r="T30" s="16">
        <f t="shared" si="1"/>
        <v>30</v>
      </c>
      <c r="U30" s="159">
        <v>69</v>
      </c>
      <c r="V30" s="38">
        <f t="shared" si="2"/>
        <v>2070</v>
      </c>
      <c r="W30" s="160">
        <v>16</v>
      </c>
      <c r="X30" s="161" t="s">
        <v>39</v>
      </c>
      <c r="Y30" s="167" t="s">
        <v>55</v>
      </c>
      <c r="Z30" s="167" t="s">
        <v>86</v>
      </c>
      <c r="AA30" s="167" t="s">
        <v>97</v>
      </c>
      <c r="AB30" s="53" t="s">
        <v>158</v>
      </c>
    </row>
    <row r="31" spans="1:48" x14ac:dyDescent="0.15">
      <c r="A31" s="153" t="s">
        <v>34</v>
      </c>
      <c r="B31" s="153" t="s">
        <v>157</v>
      </c>
      <c r="C31" s="153">
        <v>2019</v>
      </c>
      <c r="D31" s="155" t="s">
        <v>336</v>
      </c>
      <c r="E31" s="154" t="s">
        <v>210</v>
      </c>
      <c r="F31" s="153" t="s">
        <v>341</v>
      </c>
      <c r="G31" s="156" t="s">
        <v>42</v>
      </c>
      <c r="H31" s="120" t="s">
        <v>160</v>
      </c>
      <c r="I31" s="120" t="s">
        <v>159</v>
      </c>
      <c r="J31" s="120" t="s">
        <v>38</v>
      </c>
      <c r="K31" s="120" t="s">
        <v>161</v>
      </c>
      <c r="L31" s="53">
        <v>3</v>
      </c>
      <c r="N31" s="53">
        <v>1</v>
      </c>
      <c r="O31" s="53">
        <v>0.7</v>
      </c>
      <c r="P31" s="53">
        <v>0.65</v>
      </c>
      <c r="Q31" s="74">
        <f t="shared" si="0"/>
        <v>0.67500000000000004</v>
      </c>
      <c r="R31" s="163">
        <v>16.3</v>
      </c>
      <c r="S31" s="163">
        <v>120</v>
      </c>
      <c r="T31" s="16">
        <f t="shared" si="1"/>
        <v>30</v>
      </c>
      <c r="U31" s="159">
        <v>69</v>
      </c>
      <c r="V31" s="38">
        <f t="shared" si="2"/>
        <v>2070</v>
      </c>
      <c r="W31" s="160">
        <v>16</v>
      </c>
      <c r="X31" s="161" t="s">
        <v>39</v>
      </c>
      <c r="Y31" s="167" t="s">
        <v>55</v>
      </c>
      <c r="Z31" s="167" t="s">
        <v>86</v>
      </c>
      <c r="AA31" s="167" t="s">
        <v>97</v>
      </c>
      <c r="AB31" s="53" t="s">
        <v>158</v>
      </c>
    </row>
    <row r="32" spans="1:48" ht="14.25" customHeight="1" x14ac:dyDescent="0.15">
      <c r="A32" s="153" t="s">
        <v>34</v>
      </c>
      <c r="B32" s="153" t="s">
        <v>157</v>
      </c>
      <c r="C32" s="154">
        <v>2019</v>
      </c>
      <c r="D32" s="155" t="s">
        <v>336</v>
      </c>
      <c r="E32" s="154" t="s">
        <v>242</v>
      </c>
      <c r="F32" s="153" t="s">
        <v>341</v>
      </c>
      <c r="G32" s="156" t="s">
        <v>42</v>
      </c>
      <c r="H32" s="120" t="s">
        <v>164</v>
      </c>
      <c r="I32" s="120" t="s">
        <v>159</v>
      </c>
      <c r="J32" s="120" t="s">
        <v>38</v>
      </c>
      <c r="K32" s="120" t="s">
        <v>161</v>
      </c>
      <c r="L32" s="53">
        <v>1</v>
      </c>
      <c r="N32" s="53">
        <v>5</v>
      </c>
      <c r="O32" s="53">
        <v>0.55000000000000004</v>
      </c>
      <c r="P32" s="53">
        <v>0.7</v>
      </c>
      <c r="Q32" s="74">
        <f t="shared" si="0"/>
        <v>0.625</v>
      </c>
      <c r="R32" s="163">
        <v>13.2</v>
      </c>
      <c r="S32" s="163">
        <v>80</v>
      </c>
      <c r="T32" s="16">
        <f t="shared" si="1"/>
        <v>39</v>
      </c>
      <c r="U32" s="159">
        <v>298</v>
      </c>
      <c r="V32" s="38">
        <f t="shared" si="2"/>
        <v>2324.4</v>
      </c>
      <c r="W32" s="160">
        <v>10</v>
      </c>
      <c r="X32" s="161" t="s">
        <v>39</v>
      </c>
      <c r="Y32" s="167" t="s">
        <v>47</v>
      </c>
      <c r="Z32" s="167" t="s">
        <v>86</v>
      </c>
      <c r="AA32" s="167" t="s">
        <v>97</v>
      </c>
      <c r="AB32" s="53" t="s">
        <v>158</v>
      </c>
    </row>
    <row r="33" spans="1:28" x14ac:dyDescent="0.15">
      <c r="A33" s="153" t="s">
        <v>34</v>
      </c>
      <c r="B33" s="153" t="s">
        <v>157</v>
      </c>
      <c r="C33" s="153">
        <v>2019</v>
      </c>
      <c r="D33" s="155" t="s">
        <v>336</v>
      </c>
      <c r="E33" s="154" t="s">
        <v>242</v>
      </c>
      <c r="F33" s="153" t="s">
        <v>341</v>
      </c>
      <c r="G33" s="156" t="s">
        <v>42</v>
      </c>
      <c r="H33" s="120" t="s">
        <v>164</v>
      </c>
      <c r="I33" s="120" t="s">
        <v>159</v>
      </c>
      <c r="J33" s="120" t="s">
        <v>38</v>
      </c>
      <c r="K33" s="120" t="s">
        <v>161</v>
      </c>
      <c r="L33" s="53">
        <v>2</v>
      </c>
      <c r="N33" s="53">
        <v>5</v>
      </c>
      <c r="O33" s="53">
        <v>0.6</v>
      </c>
      <c r="P33" s="53">
        <v>0.55000000000000004</v>
      </c>
      <c r="Q33" s="74">
        <f t="shared" si="0"/>
        <v>0.57499999999999996</v>
      </c>
      <c r="R33" s="163">
        <v>14.2</v>
      </c>
      <c r="S33" s="163">
        <v>76</v>
      </c>
      <c r="T33" s="16">
        <f t="shared" si="1"/>
        <v>39</v>
      </c>
      <c r="U33" s="159">
        <v>298</v>
      </c>
      <c r="V33" s="38">
        <f t="shared" si="2"/>
        <v>2324.4</v>
      </c>
      <c r="W33" s="160">
        <v>10</v>
      </c>
      <c r="X33" s="161" t="s">
        <v>39</v>
      </c>
      <c r="Y33" s="167" t="s">
        <v>47</v>
      </c>
      <c r="Z33" s="167" t="s">
        <v>86</v>
      </c>
      <c r="AA33" s="167" t="s">
        <v>97</v>
      </c>
      <c r="AB33" s="53" t="s">
        <v>158</v>
      </c>
    </row>
    <row r="34" spans="1:28" x14ac:dyDescent="0.15">
      <c r="A34" s="153" t="s">
        <v>34</v>
      </c>
      <c r="B34" s="153" t="s">
        <v>157</v>
      </c>
      <c r="C34" s="154">
        <v>2019</v>
      </c>
      <c r="D34" s="155" t="s">
        <v>336</v>
      </c>
      <c r="E34" s="154" t="s">
        <v>242</v>
      </c>
      <c r="F34" s="153" t="s">
        <v>341</v>
      </c>
      <c r="G34" s="156" t="s">
        <v>42</v>
      </c>
      <c r="H34" s="120" t="s">
        <v>164</v>
      </c>
      <c r="I34" s="120" t="s">
        <v>159</v>
      </c>
      <c r="J34" s="120" t="s">
        <v>38</v>
      </c>
      <c r="K34" s="120" t="s">
        <v>161</v>
      </c>
      <c r="L34" s="53">
        <v>3</v>
      </c>
      <c r="N34" s="53">
        <v>5</v>
      </c>
      <c r="O34" s="53">
        <v>0.5</v>
      </c>
      <c r="P34" s="34">
        <v>0.6</v>
      </c>
      <c r="Q34" s="74">
        <f t="shared" si="0"/>
        <v>0.55000000000000004</v>
      </c>
      <c r="R34" s="163">
        <v>13.6</v>
      </c>
      <c r="S34" s="163">
        <v>77</v>
      </c>
      <c r="T34" s="16">
        <f t="shared" si="1"/>
        <v>39</v>
      </c>
      <c r="U34" s="159">
        <v>298</v>
      </c>
      <c r="V34" s="38">
        <f t="shared" si="2"/>
        <v>2324.4</v>
      </c>
      <c r="W34" s="160">
        <v>10</v>
      </c>
      <c r="X34" s="161" t="s">
        <v>39</v>
      </c>
      <c r="Y34" s="167" t="s">
        <v>47</v>
      </c>
      <c r="Z34" s="167" t="s">
        <v>86</v>
      </c>
      <c r="AA34" s="167" t="s">
        <v>97</v>
      </c>
      <c r="AB34" s="53" t="s">
        <v>158</v>
      </c>
    </row>
    <row r="35" spans="1:28" x14ac:dyDescent="0.15">
      <c r="A35" s="153" t="s">
        <v>34</v>
      </c>
      <c r="B35" s="153" t="s">
        <v>157</v>
      </c>
      <c r="C35" s="153">
        <v>2019</v>
      </c>
      <c r="D35" s="155" t="s">
        <v>336</v>
      </c>
      <c r="E35" s="154" t="s">
        <v>242</v>
      </c>
      <c r="F35" s="153" t="s">
        <v>341</v>
      </c>
      <c r="G35" s="156" t="s">
        <v>42</v>
      </c>
      <c r="H35" s="120" t="s">
        <v>160</v>
      </c>
      <c r="I35" s="120" t="s">
        <v>159</v>
      </c>
      <c r="J35" s="120" t="s">
        <v>38</v>
      </c>
      <c r="K35" s="120" t="s">
        <v>161</v>
      </c>
      <c r="L35" s="53">
        <v>1</v>
      </c>
      <c r="N35" s="53">
        <v>4</v>
      </c>
      <c r="O35" s="53">
        <v>0.8</v>
      </c>
      <c r="P35" s="53">
        <v>0.65</v>
      </c>
      <c r="Q35" s="74">
        <f t="shared" si="0"/>
        <v>0.72500000000000009</v>
      </c>
      <c r="R35" s="163">
        <v>20.5</v>
      </c>
      <c r="S35" s="163">
        <v>91</v>
      </c>
      <c r="T35" s="16">
        <f t="shared" si="1"/>
        <v>36</v>
      </c>
      <c r="U35" s="159">
        <v>380</v>
      </c>
      <c r="V35" s="38">
        <f t="shared" si="2"/>
        <v>3420</v>
      </c>
      <c r="W35" s="160">
        <v>10</v>
      </c>
      <c r="X35" s="161" t="s">
        <v>39</v>
      </c>
      <c r="Y35" s="167" t="s">
        <v>47</v>
      </c>
      <c r="Z35" s="167" t="s">
        <v>86</v>
      </c>
      <c r="AA35" s="167" t="s">
        <v>97</v>
      </c>
      <c r="AB35" s="53" t="s">
        <v>158</v>
      </c>
    </row>
    <row r="36" spans="1:28" x14ac:dyDescent="0.15">
      <c r="A36" s="153" t="s">
        <v>34</v>
      </c>
      <c r="B36" s="153" t="s">
        <v>157</v>
      </c>
      <c r="C36" s="154">
        <v>2019</v>
      </c>
      <c r="D36" s="155" t="s">
        <v>336</v>
      </c>
      <c r="E36" s="154" t="s">
        <v>242</v>
      </c>
      <c r="F36" s="153" t="s">
        <v>341</v>
      </c>
      <c r="G36" s="156" t="s">
        <v>42</v>
      </c>
      <c r="H36" s="120" t="s">
        <v>160</v>
      </c>
      <c r="I36" s="120" t="s">
        <v>159</v>
      </c>
      <c r="J36" s="120" t="s">
        <v>38</v>
      </c>
      <c r="K36" s="120" t="s">
        <v>161</v>
      </c>
      <c r="L36" s="53">
        <v>2</v>
      </c>
      <c r="N36" s="53">
        <v>4</v>
      </c>
      <c r="O36" s="53">
        <v>0.7</v>
      </c>
      <c r="P36" s="53">
        <v>0.6</v>
      </c>
      <c r="Q36" s="74">
        <f t="shared" si="0"/>
        <v>0.64999999999999991</v>
      </c>
      <c r="R36" s="163">
        <v>18.8</v>
      </c>
      <c r="S36" s="163">
        <v>89</v>
      </c>
      <c r="T36" s="16">
        <f t="shared" si="1"/>
        <v>36</v>
      </c>
      <c r="U36" s="159">
        <v>380</v>
      </c>
      <c r="V36" s="38">
        <f t="shared" si="2"/>
        <v>3420</v>
      </c>
      <c r="W36" s="160">
        <v>10</v>
      </c>
      <c r="X36" s="161" t="s">
        <v>39</v>
      </c>
      <c r="Y36" s="167" t="s">
        <v>47</v>
      </c>
      <c r="Z36" s="167" t="s">
        <v>86</v>
      </c>
      <c r="AA36" s="167" t="s">
        <v>97</v>
      </c>
      <c r="AB36" s="53" t="s">
        <v>158</v>
      </c>
    </row>
    <row r="37" spans="1:28" x14ac:dyDescent="0.15">
      <c r="A37" s="153" t="s">
        <v>34</v>
      </c>
      <c r="B37" s="153" t="s">
        <v>157</v>
      </c>
      <c r="C37" s="153">
        <v>2019</v>
      </c>
      <c r="D37" s="155" t="s">
        <v>336</v>
      </c>
      <c r="E37" s="154" t="s">
        <v>242</v>
      </c>
      <c r="F37" s="153" t="s">
        <v>341</v>
      </c>
      <c r="G37" s="156" t="s">
        <v>42</v>
      </c>
      <c r="H37" s="120" t="s">
        <v>160</v>
      </c>
      <c r="I37" s="120" t="s">
        <v>159</v>
      </c>
      <c r="J37" s="120" t="s">
        <v>38</v>
      </c>
      <c r="K37" s="120" t="s">
        <v>161</v>
      </c>
      <c r="L37" s="53">
        <v>3</v>
      </c>
      <c r="N37" s="53">
        <v>4</v>
      </c>
      <c r="O37" s="53">
        <v>0.8</v>
      </c>
      <c r="P37" s="53">
        <v>0.7</v>
      </c>
      <c r="Q37" s="74">
        <f t="shared" si="0"/>
        <v>0.75</v>
      </c>
      <c r="R37" s="163">
        <v>18.899999999999999</v>
      </c>
      <c r="S37" s="163">
        <v>89</v>
      </c>
      <c r="T37" s="16">
        <f t="shared" si="1"/>
        <v>36</v>
      </c>
      <c r="U37" s="159">
        <v>380</v>
      </c>
      <c r="V37" s="38">
        <f t="shared" si="2"/>
        <v>3420</v>
      </c>
      <c r="W37" s="160">
        <v>10</v>
      </c>
      <c r="X37" s="161" t="s">
        <v>39</v>
      </c>
      <c r="Y37" s="167" t="s">
        <v>47</v>
      </c>
      <c r="Z37" s="167" t="s">
        <v>86</v>
      </c>
      <c r="AA37" s="167" t="s">
        <v>97</v>
      </c>
      <c r="AB37" s="53" t="s">
        <v>158</v>
      </c>
    </row>
    <row r="38" spans="1:28" x14ac:dyDescent="0.15">
      <c r="A38" s="153" t="s">
        <v>34</v>
      </c>
      <c r="B38" s="153" t="s">
        <v>157</v>
      </c>
      <c r="C38" s="154">
        <v>2019</v>
      </c>
      <c r="D38" s="155" t="s">
        <v>336</v>
      </c>
      <c r="E38" s="154" t="s">
        <v>210</v>
      </c>
      <c r="F38" s="153" t="s">
        <v>343</v>
      </c>
      <c r="G38" s="156" t="s">
        <v>42</v>
      </c>
      <c r="H38" s="120" t="s">
        <v>164</v>
      </c>
      <c r="I38" s="120" t="s">
        <v>159</v>
      </c>
      <c r="J38" s="120" t="s">
        <v>38</v>
      </c>
      <c r="K38" s="120" t="s">
        <v>161</v>
      </c>
      <c r="L38" s="53">
        <v>1</v>
      </c>
      <c r="N38" s="53">
        <v>1</v>
      </c>
      <c r="O38" s="53">
        <v>0.7</v>
      </c>
      <c r="P38" s="53">
        <v>0.75</v>
      </c>
      <c r="Q38" s="74">
        <f t="shared" si="0"/>
        <v>0.72499999999999998</v>
      </c>
      <c r="R38" s="163">
        <v>14.2</v>
      </c>
      <c r="S38" s="163">
        <v>107</v>
      </c>
      <c r="T38" s="16">
        <f t="shared" si="1"/>
        <v>33</v>
      </c>
      <c r="U38" s="159">
        <v>89</v>
      </c>
      <c r="V38" s="38">
        <f t="shared" si="2"/>
        <v>2937</v>
      </c>
      <c r="W38" s="160">
        <v>18</v>
      </c>
      <c r="X38" s="161" t="s">
        <v>46</v>
      </c>
      <c r="Y38" s="167" t="s">
        <v>55</v>
      </c>
      <c r="Z38" s="167" t="s">
        <v>86</v>
      </c>
      <c r="AA38" s="167" t="s">
        <v>97</v>
      </c>
      <c r="AB38" s="53" t="s">
        <v>158</v>
      </c>
    </row>
    <row r="39" spans="1:28" x14ac:dyDescent="0.15">
      <c r="A39" s="153" t="s">
        <v>34</v>
      </c>
      <c r="B39" s="153" t="s">
        <v>157</v>
      </c>
      <c r="C39" s="153">
        <v>2019</v>
      </c>
      <c r="D39" s="155" t="s">
        <v>336</v>
      </c>
      <c r="E39" s="154" t="s">
        <v>210</v>
      </c>
      <c r="F39" s="153" t="s">
        <v>343</v>
      </c>
      <c r="G39" s="156" t="s">
        <v>42</v>
      </c>
      <c r="H39" s="120" t="s">
        <v>164</v>
      </c>
      <c r="I39" s="120" t="s">
        <v>159</v>
      </c>
      <c r="J39" s="120" t="s">
        <v>38</v>
      </c>
      <c r="K39" s="120" t="s">
        <v>161</v>
      </c>
      <c r="L39" s="53">
        <v>2</v>
      </c>
      <c r="N39" s="53">
        <v>1</v>
      </c>
      <c r="O39" s="53">
        <v>0.65</v>
      </c>
      <c r="P39" s="53">
        <v>0.6</v>
      </c>
      <c r="Q39" s="74">
        <f t="shared" si="0"/>
        <v>0.625</v>
      </c>
      <c r="R39" s="163">
        <v>13.3</v>
      </c>
      <c r="S39" s="163">
        <v>112</v>
      </c>
      <c r="T39" s="16">
        <f t="shared" si="1"/>
        <v>33</v>
      </c>
      <c r="U39" s="159">
        <v>89</v>
      </c>
      <c r="V39" s="38">
        <f t="shared" si="2"/>
        <v>2937</v>
      </c>
      <c r="W39" s="160">
        <v>18</v>
      </c>
      <c r="X39" s="161" t="s">
        <v>46</v>
      </c>
      <c r="Y39" s="167" t="s">
        <v>55</v>
      </c>
      <c r="Z39" s="167" t="s">
        <v>86</v>
      </c>
      <c r="AA39" s="167" t="s">
        <v>97</v>
      </c>
      <c r="AB39" s="53" t="s">
        <v>158</v>
      </c>
    </row>
    <row r="40" spans="1:28" ht="12.75" customHeight="1" x14ac:dyDescent="0.15">
      <c r="A40" s="153" t="s">
        <v>34</v>
      </c>
      <c r="B40" s="153" t="s">
        <v>157</v>
      </c>
      <c r="C40" s="154">
        <v>2019</v>
      </c>
      <c r="D40" s="155" t="s">
        <v>336</v>
      </c>
      <c r="E40" s="154" t="s">
        <v>210</v>
      </c>
      <c r="F40" s="153" t="s">
        <v>343</v>
      </c>
      <c r="G40" s="156" t="s">
        <v>42</v>
      </c>
      <c r="H40" s="120" t="s">
        <v>164</v>
      </c>
      <c r="I40" s="120" t="s">
        <v>159</v>
      </c>
      <c r="J40" s="120" t="s">
        <v>38</v>
      </c>
      <c r="K40" s="120" t="s">
        <v>161</v>
      </c>
      <c r="L40" s="53">
        <v>3</v>
      </c>
      <c r="N40" s="53">
        <v>1</v>
      </c>
      <c r="O40" s="53">
        <v>0.65</v>
      </c>
      <c r="P40" s="53">
        <v>0.6</v>
      </c>
      <c r="Q40" s="74">
        <f t="shared" si="0"/>
        <v>0.625</v>
      </c>
      <c r="R40" s="163">
        <v>13.5</v>
      </c>
      <c r="S40" s="163">
        <v>114</v>
      </c>
      <c r="T40" s="16">
        <f t="shared" si="1"/>
        <v>30</v>
      </c>
      <c r="U40" s="159">
        <v>89</v>
      </c>
      <c r="V40" s="38">
        <f t="shared" si="2"/>
        <v>2670</v>
      </c>
      <c r="W40" s="160">
        <v>18</v>
      </c>
      <c r="X40" s="161" t="s">
        <v>46</v>
      </c>
      <c r="Y40" s="167" t="s">
        <v>55</v>
      </c>
      <c r="Z40" s="167" t="s">
        <v>86</v>
      </c>
      <c r="AA40" s="167" t="s">
        <v>97</v>
      </c>
      <c r="AB40" s="53" t="s">
        <v>158</v>
      </c>
    </row>
    <row r="41" spans="1:28" ht="12.75" customHeight="1" x14ac:dyDescent="0.15">
      <c r="A41" s="120" t="s">
        <v>34</v>
      </c>
      <c r="B41" s="153" t="s">
        <v>157</v>
      </c>
      <c r="C41" s="154">
        <v>2019</v>
      </c>
      <c r="D41" s="155" t="s">
        <v>336</v>
      </c>
      <c r="E41" s="154" t="s">
        <v>210</v>
      </c>
      <c r="F41" s="153" t="s">
        <v>343</v>
      </c>
      <c r="G41" s="156" t="s">
        <v>42</v>
      </c>
      <c r="H41" s="120" t="s">
        <v>160</v>
      </c>
      <c r="I41" s="120" t="s">
        <v>159</v>
      </c>
      <c r="J41" s="120" t="s">
        <v>38</v>
      </c>
      <c r="K41" s="120" t="s">
        <v>161</v>
      </c>
      <c r="L41" s="53">
        <v>1</v>
      </c>
      <c r="N41" s="53">
        <v>1</v>
      </c>
      <c r="O41" s="53">
        <v>0.55000000000000004</v>
      </c>
      <c r="P41" s="53">
        <v>0.5</v>
      </c>
      <c r="Q41" s="74">
        <f t="shared" si="0"/>
        <v>0.52500000000000002</v>
      </c>
      <c r="R41" s="163">
        <v>16.2</v>
      </c>
      <c r="S41" s="163">
        <v>125</v>
      </c>
      <c r="T41" s="16">
        <f t="shared" si="1"/>
        <v>30</v>
      </c>
      <c r="U41" s="159">
        <v>89</v>
      </c>
      <c r="V41" s="38">
        <f t="shared" si="2"/>
        <v>2670</v>
      </c>
      <c r="W41" s="53">
        <v>18</v>
      </c>
      <c r="X41" s="161" t="s">
        <v>46</v>
      </c>
      <c r="Y41" s="168" t="s">
        <v>55</v>
      </c>
      <c r="Z41" s="168" t="s">
        <v>86</v>
      </c>
      <c r="AA41" s="168" t="s">
        <v>97</v>
      </c>
      <c r="AB41" s="53" t="s">
        <v>158</v>
      </c>
    </row>
    <row r="42" spans="1:28" ht="12.75" customHeight="1" x14ac:dyDescent="0.15">
      <c r="A42" s="120" t="s">
        <v>34</v>
      </c>
      <c r="B42" s="153" t="s">
        <v>157</v>
      </c>
      <c r="C42" s="154">
        <v>2019</v>
      </c>
      <c r="D42" s="155" t="s">
        <v>336</v>
      </c>
      <c r="E42" s="154" t="s">
        <v>210</v>
      </c>
      <c r="F42" s="153" t="s">
        <v>343</v>
      </c>
      <c r="G42" s="156" t="s">
        <v>42</v>
      </c>
      <c r="H42" s="120" t="s">
        <v>160</v>
      </c>
      <c r="I42" s="120" t="s">
        <v>159</v>
      </c>
      <c r="J42" s="120" t="s">
        <v>38</v>
      </c>
      <c r="K42" s="120" t="s">
        <v>161</v>
      </c>
      <c r="L42" s="53">
        <v>2</v>
      </c>
      <c r="N42" s="53">
        <v>1</v>
      </c>
      <c r="O42" s="53">
        <v>0.7</v>
      </c>
      <c r="P42" s="53">
        <v>0.65</v>
      </c>
      <c r="Q42" s="74">
        <f t="shared" si="0"/>
        <v>0.67500000000000004</v>
      </c>
      <c r="R42" s="163">
        <v>16.600000000000001</v>
      </c>
      <c r="S42" s="163">
        <v>124</v>
      </c>
      <c r="T42" s="16">
        <f t="shared" si="1"/>
        <v>30</v>
      </c>
      <c r="U42" s="159">
        <v>89</v>
      </c>
      <c r="V42" s="38">
        <f t="shared" si="2"/>
        <v>2670</v>
      </c>
      <c r="W42" s="53">
        <v>18</v>
      </c>
      <c r="X42" s="161" t="s">
        <v>46</v>
      </c>
      <c r="Y42" s="168" t="s">
        <v>55</v>
      </c>
      <c r="Z42" s="168" t="s">
        <v>86</v>
      </c>
      <c r="AA42" s="168" t="s">
        <v>97</v>
      </c>
      <c r="AB42" s="53" t="s">
        <v>158</v>
      </c>
    </row>
    <row r="43" spans="1:28" ht="12.75" customHeight="1" x14ac:dyDescent="0.15">
      <c r="A43" s="120" t="s">
        <v>34</v>
      </c>
      <c r="B43" s="153" t="s">
        <v>157</v>
      </c>
      <c r="C43" s="154">
        <v>2019</v>
      </c>
      <c r="D43" s="155" t="s">
        <v>336</v>
      </c>
      <c r="E43" s="154" t="s">
        <v>210</v>
      </c>
      <c r="F43" s="153" t="s">
        <v>343</v>
      </c>
      <c r="G43" s="156" t="s">
        <v>42</v>
      </c>
      <c r="H43" s="120" t="s">
        <v>160</v>
      </c>
      <c r="I43" s="120" t="s">
        <v>159</v>
      </c>
      <c r="J43" s="120" t="s">
        <v>38</v>
      </c>
      <c r="K43" s="120" t="s">
        <v>161</v>
      </c>
      <c r="L43" s="53">
        <v>3</v>
      </c>
      <c r="N43" s="53">
        <v>1</v>
      </c>
      <c r="O43" s="53">
        <v>0.65</v>
      </c>
      <c r="P43" s="53">
        <v>0.6</v>
      </c>
      <c r="Q43" s="74">
        <f t="shared" si="0"/>
        <v>0.625</v>
      </c>
      <c r="R43" s="163">
        <v>16.2</v>
      </c>
      <c r="S43" s="163">
        <v>120</v>
      </c>
      <c r="T43" s="16">
        <f t="shared" si="1"/>
        <v>30</v>
      </c>
      <c r="U43" s="159">
        <v>89</v>
      </c>
      <c r="V43" s="38">
        <f t="shared" si="2"/>
        <v>2670</v>
      </c>
      <c r="W43" s="53">
        <v>18</v>
      </c>
      <c r="X43" s="161" t="s">
        <v>46</v>
      </c>
      <c r="Y43" s="168" t="s">
        <v>55</v>
      </c>
      <c r="Z43" s="168" t="s">
        <v>86</v>
      </c>
      <c r="AA43" s="168" t="s">
        <v>97</v>
      </c>
      <c r="AB43" s="53" t="s">
        <v>158</v>
      </c>
    </row>
    <row r="44" spans="1:28" x14ac:dyDescent="0.15">
      <c r="A44" s="53" t="s">
        <v>34</v>
      </c>
      <c r="B44" s="153" t="s">
        <v>157</v>
      </c>
      <c r="C44" s="154">
        <v>2019</v>
      </c>
      <c r="D44" s="155" t="s">
        <v>336</v>
      </c>
      <c r="E44" s="154" t="s">
        <v>139</v>
      </c>
      <c r="F44" s="153" t="s">
        <v>343</v>
      </c>
      <c r="G44" s="156" t="s">
        <v>36</v>
      </c>
      <c r="H44" s="120" t="s">
        <v>164</v>
      </c>
      <c r="I44" s="120" t="s">
        <v>159</v>
      </c>
      <c r="J44" s="53" t="s">
        <v>38</v>
      </c>
      <c r="K44" s="120" t="s">
        <v>161</v>
      </c>
      <c r="L44" s="53">
        <v>1</v>
      </c>
      <c r="N44" s="53">
        <v>1</v>
      </c>
      <c r="O44" s="53">
        <v>0.9</v>
      </c>
      <c r="P44" s="53">
        <v>0.8</v>
      </c>
      <c r="Q44" s="74">
        <f t="shared" si="0"/>
        <v>0.85000000000000009</v>
      </c>
      <c r="R44" s="163">
        <v>14.9</v>
      </c>
      <c r="S44" s="163">
        <v>110</v>
      </c>
      <c r="T44" s="16">
        <f t="shared" si="1"/>
        <v>33</v>
      </c>
      <c r="U44" s="159">
        <v>108</v>
      </c>
      <c r="V44" s="16">
        <f t="shared" si="2"/>
        <v>3564</v>
      </c>
      <c r="W44" s="53">
        <v>16</v>
      </c>
      <c r="X44" s="161" t="s">
        <v>46</v>
      </c>
      <c r="Y44" s="168" t="s">
        <v>64</v>
      </c>
      <c r="Z44" s="168" t="s">
        <v>97</v>
      </c>
      <c r="AA44" s="168" t="s">
        <v>86</v>
      </c>
      <c r="AB44" s="53" t="s">
        <v>158</v>
      </c>
    </row>
    <row r="45" spans="1:28" x14ac:dyDescent="0.15">
      <c r="A45" s="53" t="s">
        <v>34</v>
      </c>
      <c r="B45" s="153" t="s">
        <v>157</v>
      </c>
      <c r="C45" s="153">
        <v>2019</v>
      </c>
      <c r="D45" s="155" t="s">
        <v>336</v>
      </c>
      <c r="E45" s="154" t="s">
        <v>139</v>
      </c>
      <c r="F45" s="153" t="s">
        <v>343</v>
      </c>
      <c r="G45" s="156" t="s">
        <v>36</v>
      </c>
      <c r="H45" s="120" t="s">
        <v>164</v>
      </c>
      <c r="I45" s="120" t="s">
        <v>159</v>
      </c>
      <c r="J45" s="53" t="s">
        <v>38</v>
      </c>
      <c r="K45" s="120" t="s">
        <v>161</v>
      </c>
      <c r="L45" s="53">
        <v>2</v>
      </c>
      <c r="N45" s="53">
        <v>1</v>
      </c>
      <c r="O45" s="53">
        <v>0.85</v>
      </c>
      <c r="P45" s="53">
        <v>0.9</v>
      </c>
      <c r="Q45" s="74">
        <f t="shared" si="0"/>
        <v>0.875</v>
      </c>
      <c r="R45" s="163">
        <v>15.2</v>
      </c>
      <c r="S45" s="163">
        <v>104</v>
      </c>
      <c r="T45" s="16">
        <f t="shared" si="1"/>
        <v>33</v>
      </c>
      <c r="U45" s="159">
        <v>108</v>
      </c>
      <c r="V45" s="16">
        <f t="shared" si="2"/>
        <v>3564</v>
      </c>
      <c r="W45" s="53">
        <v>16</v>
      </c>
      <c r="X45" s="161" t="s">
        <v>46</v>
      </c>
      <c r="Y45" s="168" t="s">
        <v>64</v>
      </c>
      <c r="Z45" s="168" t="s">
        <v>97</v>
      </c>
      <c r="AA45" s="168" t="s">
        <v>86</v>
      </c>
      <c r="AB45" s="53" t="s">
        <v>158</v>
      </c>
    </row>
    <row r="46" spans="1:28" x14ac:dyDescent="0.15">
      <c r="A46" s="53" t="s">
        <v>34</v>
      </c>
      <c r="B46" s="153" t="s">
        <v>157</v>
      </c>
      <c r="C46" s="154">
        <v>2019</v>
      </c>
      <c r="D46" s="155" t="s">
        <v>336</v>
      </c>
      <c r="E46" s="154" t="s">
        <v>139</v>
      </c>
      <c r="F46" s="153" t="s">
        <v>343</v>
      </c>
      <c r="G46" s="156" t="s">
        <v>36</v>
      </c>
      <c r="H46" s="120" t="s">
        <v>164</v>
      </c>
      <c r="I46" s="120" t="s">
        <v>159</v>
      </c>
      <c r="J46" s="53" t="s">
        <v>38</v>
      </c>
      <c r="K46" s="120" t="s">
        <v>161</v>
      </c>
      <c r="L46" s="53">
        <v>3</v>
      </c>
      <c r="N46" s="53">
        <v>1</v>
      </c>
      <c r="O46" s="53">
        <v>0.8</v>
      </c>
      <c r="P46" s="53">
        <v>0.85</v>
      </c>
      <c r="Q46" s="74">
        <f t="shared" si="0"/>
        <v>0.82499999999999996</v>
      </c>
      <c r="R46" s="163">
        <v>14.7</v>
      </c>
      <c r="S46" s="163">
        <v>107</v>
      </c>
      <c r="T46" s="16">
        <f t="shared" si="1"/>
        <v>33</v>
      </c>
      <c r="U46" s="159">
        <v>108</v>
      </c>
      <c r="V46" s="16">
        <f t="shared" si="2"/>
        <v>3564</v>
      </c>
      <c r="W46" s="53">
        <v>16</v>
      </c>
      <c r="X46" s="161" t="s">
        <v>46</v>
      </c>
      <c r="Y46" s="168" t="s">
        <v>64</v>
      </c>
      <c r="Z46" s="168" t="s">
        <v>97</v>
      </c>
      <c r="AA46" s="168" t="s">
        <v>86</v>
      </c>
      <c r="AB46" s="53" t="s">
        <v>158</v>
      </c>
    </row>
    <row r="47" spans="1:28" x14ac:dyDescent="0.15">
      <c r="A47" s="53" t="s">
        <v>34</v>
      </c>
      <c r="B47" s="34" t="s">
        <v>157</v>
      </c>
      <c r="C47" s="53">
        <v>2019</v>
      </c>
      <c r="D47" s="169" t="s">
        <v>336</v>
      </c>
      <c r="E47" s="53" t="s">
        <v>139</v>
      </c>
      <c r="F47" s="153" t="s">
        <v>343</v>
      </c>
      <c r="G47" s="156" t="s">
        <v>36</v>
      </c>
      <c r="H47" s="120" t="s">
        <v>160</v>
      </c>
      <c r="I47" s="120" t="s">
        <v>159</v>
      </c>
      <c r="J47" s="53" t="s">
        <v>38</v>
      </c>
      <c r="K47" s="120" t="s">
        <v>161</v>
      </c>
      <c r="L47" s="53">
        <v>1</v>
      </c>
      <c r="N47" s="53">
        <v>4</v>
      </c>
      <c r="O47" s="53">
        <v>0.75</v>
      </c>
      <c r="P47" s="53">
        <v>0.7</v>
      </c>
      <c r="Q47" s="74">
        <f t="shared" si="0"/>
        <v>0.72499999999999998</v>
      </c>
      <c r="R47" s="163">
        <v>16.899999999999999</v>
      </c>
      <c r="S47" s="163">
        <v>109</v>
      </c>
      <c r="T47" s="16">
        <f t="shared" si="1"/>
        <v>33</v>
      </c>
      <c r="U47" s="53">
        <v>429</v>
      </c>
      <c r="V47" s="16">
        <f t="shared" si="2"/>
        <v>3539.25</v>
      </c>
      <c r="W47" s="53">
        <v>16</v>
      </c>
      <c r="X47" s="161" t="s">
        <v>46</v>
      </c>
      <c r="Y47" s="53" t="s">
        <v>64</v>
      </c>
      <c r="Z47" s="53" t="s">
        <v>97</v>
      </c>
      <c r="AA47" s="53" t="s">
        <v>86</v>
      </c>
      <c r="AB47" s="53" t="s">
        <v>158</v>
      </c>
    </row>
    <row r="48" spans="1:28" x14ac:dyDescent="0.15">
      <c r="A48" s="53" t="s">
        <v>34</v>
      </c>
      <c r="B48" s="34" t="s">
        <v>157</v>
      </c>
      <c r="C48" s="53">
        <v>2019</v>
      </c>
      <c r="D48" s="169" t="s">
        <v>336</v>
      </c>
      <c r="E48" s="53" t="s">
        <v>139</v>
      </c>
      <c r="F48" s="153" t="s">
        <v>343</v>
      </c>
      <c r="G48" s="156" t="s">
        <v>36</v>
      </c>
      <c r="H48" s="120" t="s">
        <v>160</v>
      </c>
      <c r="I48" s="120" t="s">
        <v>159</v>
      </c>
      <c r="J48" s="53" t="s">
        <v>38</v>
      </c>
      <c r="K48" s="120" t="s">
        <v>161</v>
      </c>
      <c r="L48" s="53">
        <v>2</v>
      </c>
      <c r="N48" s="53">
        <v>4</v>
      </c>
      <c r="O48" s="53">
        <v>0.8</v>
      </c>
      <c r="P48" s="53">
        <v>0.75</v>
      </c>
      <c r="Q48" s="74">
        <f t="shared" si="0"/>
        <v>0.77500000000000002</v>
      </c>
      <c r="R48" s="163">
        <v>16.2</v>
      </c>
      <c r="S48" s="163">
        <v>114</v>
      </c>
      <c r="T48" s="16">
        <f t="shared" si="1"/>
        <v>30</v>
      </c>
      <c r="U48" s="53">
        <v>429</v>
      </c>
      <c r="V48" s="16">
        <f t="shared" si="2"/>
        <v>3217.5</v>
      </c>
      <c r="W48" s="53">
        <v>16</v>
      </c>
      <c r="X48" s="161" t="s">
        <v>46</v>
      </c>
      <c r="Y48" s="53" t="s">
        <v>64</v>
      </c>
      <c r="Z48" s="53" t="s">
        <v>97</v>
      </c>
      <c r="AA48" s="53" t="s">
        <v>86</v>
      </c>
      <c r="AB48" s="53" t="s">
        <v>158</v>
      </c>
    </row>
    <row r="49" spans="1:28" x14ac:dyDescent="0.15">
      <c r="A49" s="53" t="s">
        <v>34</v>
      </c>
      <c r="B49" s="34" t="s">
        <v>157</v>
      </c>
      <c r="C49" s="53">
        <v>2019</v>
      </c>
      <c r="D49" s="169" t="s">
        <v>336</v>
      </c>
      <c r="E49" s="53" t="s">
        <v>139</v>
      </c>
      <c r="F49" s="153" t="s">
        <v>343</v>
      </c>
      <c r="G49" s="156" t="s">
        <v>36</v>
      </c>
      <c r="H49" s="120" t="s">
        <v>160</v>
      </c>
      <c r="I49" s="120" t="s">
        <v>159</v>
      </c>
      <c r="J49" s="53" t="s">
        <v>38</v>
      </c>
      <c r="K49" s="120" t="s">
        <v>161</v>
      </c>
      <c r="L49" s="53">
        <v>3</v>
      </c>
      <c r="N49" s="53">
        <v>4</v>
      </c>
      <c r="O49" s="53">
        <v>0.7</v>
      </c>
      <c r="P49" s="53">
        <v>0.75</v>
      </c>
      <c r="Q49" s="74">
        <f t="shared" si="0"/>
        <v>0.72499999999999998</v>
      </c>
      <c r="R49" s="163">
        <v>16.600000000000001</v>
      </c>
      <c r="S49" s="163">
        <v>112</v>
      </c>
      <c r="T49" s="16">
        <f t="shared" si="1"/>
        <v>33</v>
      </c>
      <c r="U49" s="53">
        <v>429</v>
      </c>
      <c r="V49" s="16">
        <f t="shared" si="2"/>
        <v>3539.25</v>
      </c>
      <c r="W49" s="53">
        <v>16</v>
      </c>
      <c r="X49" s="161" t="s">
        <v>46</v>
      </c>
      <c r="Y49" s="53" t="s">
        <v>64</v>
      </c>
      <c r="Z49" s="53" t="s">
        <v>97</v>
      </c>
      <c r="AA49" s="53" t="s">
        <v>86</v>
      </c>
      <c r="AB49" s="53" t="s">
        <v>158</v>
      </c>
    </row>
    <row r="50" spans="1:28" x14ac:dyDescent="0.15">
      <c r="A50" s="53" t="s">
        <v>34</v>
      </c>
      <c r="B50" s="53" t="s">
        <v>157</v>
      </c>
      <c r="C50" s="53">
        <v>2019</v>
      </c>
      <c r="D50" s="169" t="s">
        <v>336</v>
      </c>
      <c r="E50" s="53" t="s">
        <v>133</v>
      </c>
      <c r="F50" s="153" t="s">
        <v>344</v>
      </c>
      <c r="G50" s="156" t="s">
        <v>36</v>
      </c>
      <c r="H50" s="53" t="s">
        <v>164</v>
      </c>
      <c r="I50" s="53" t="s">
        <v>159</v>
      </c>
      <c r="J50" s="53" t="s">
        <v>38</v>
      </c>
      <c r="K50" s="120" t="s">
        <v>161</v>
      </c>
      <c r="L50" s="53">
        <v>1</v>
      </c>
      <c r="N50" s="53">
        <v>1</v>
      </c>
      <c r="O50" s="53">
        <v>1.2</v>
      </c>
      <c r="P50" s="53">
        <v>0.95</v>
      </c>
      <c r="Q50" s="74">
        <f t="shared" si="0"/>
        <v>1.075</v>
      </c>
      <c r="R50" s="53">
        <v>15.3</v>
      </c>
      <c r="S50" s="53">
        <v>118</v>
      </c>
      <c r="T50" s="16">
        <f t="shared" si="1"/>
        <v>30</v>
      </c>
      <c r="U50" s="53">
        <v>98</v>
      </c>
      <c r="V50" s="16">
        <f t="shared" si="2"/>
        <v>2940</v>
      </c>
      <c r="W50" s="53">
        <v>22</v>
      </c>
      <c r="X50" s="161" t="s">
        <v>46</v>
      </c>
      <c r="Y50" s="53" t="s">
        <v>97</v>
      </c>
      <c r="Z50" s="53" t="s">
        <v>78</v>
      </c>
      <c r="AA50" s="53" t="s">
        <v>64</v>
      </c>
      <c r="AB50" s="53" t="s">
        <v>158</v>
      </c>
    </row>
    <row r="51" spans="1:28" x14ac:dyDescent="0.15">
      <c r="A51" s="53" t="s">
        <v>34</v>
      </c>
      <c r="B51" s="53" t="s">
        <v>157</v>
      </c>
      <c r="C51" s="53">
        <v>2019</v>
      </c>
      <c r="D51" s="169" t="s">
        <v>336</v>
      </c>
      <c r="E51" s="53" t="s">
        <v>133</v>
      </c>
      <c r="F51" s="153" t="s">
        <v>344</v>
      </c>
      <c r="G51" s="156" t="s">
        <v>36</v>
      </c>
      <c r="H51" s="53" t="s">
        <v>164</v>
      </c>
      <c r="I51" s="53" t="s">
        <v>159</v>
      </c>
      <c r="J51" s="53" t="s">
        <v>38</v>
      </c>
      <c r="K51" s="120" t="s">
        <v>161</v>
      </c>
      <c r="L51" s="53">
        <v>2</v>
      </c>
      <c r="N51" s="53">
        <v>1</v>
      </c>
      <c r="O51" s="53">
        <v>0.9</v>
      </c>
      <c r="P51" s="53">
        <v>0.9</v>
      </c>
      <c r="Q51" s="74">
        <f t="shared" si="0"/>
        <v>0.9</v>
      </c>
      <c r="R51" s="53">
        <v>14.8</v>
      </c>
      <c r="S51" s="53">
        <v>115</v>
      </c>
      <c r="T51" s="16">
        <f t="shared" si="1"/>
        <v>30</v>
      </c>
      <c r="U51" s="53">
        <v>98</v>
      </c>
      <c r="V51" s="16">
        <f t="shared" si="2"/>
        <v>2940</v>
      </c>
      <c r="W51" s="53">
        <v>22</v>
      </c>
      <c r="X51" s="161" t="s">
        <v>46</v>
      </c>
      <c r="Y51" s="53" t="s">
        <v>97</v>
      </c>
      <c r="Z51" s="53" t="s">
        <v>78</v>
      </c>
      <c r="AA51" s="53" t="s">
        <v>64</v>
      </c>
      <c r="AB51" s="53" t="s">
        <v>158</v>
      </c>
    </row>
    <row r="52" spans="1:28" x14ac:dyDescent="0.15">
      <c r="A52" s="53" t="s">
        <v>34</v>
      </c>
      <c r="B52" s="53" t="s">
        <v>157</v>
      </c>
      <c r="C52" s="53">
        <v>2019</v>
      </c>
      <c r="D52" s="169" t="s">
        <v>336</v>
      </c>
      <c r="E52" s="53" t="s">
        <v>133</v>
      </c>
      <c r="F52" s="153" t="s">
        <v>344</v>
      </c>
      <c r="G52" s="156" t="s">
        <v>36</v>
      </c>
      <c r="H52" s="53" t="s">
        <v>164</v>
      </c>
      <c r="I52" s="53" t="s">
        <v>159</v>
      </c>
      <c r="J52" s="53" t="s">
        <v>38</v>
      </c>
      <c r="K52" s="120" t="s">
        <v>161</v>
      </c>
      <c r="L52" s="53">
        <v>3</v>
      </c>
      <c r="N52" s="53">
        <v>1</v>
      </c>
      <c r="O52" s="53">
        <v>0.95</v>
      </c>
      <c r="P52" s="53">
        <v>0.85</v>
      </c>
      <c r="Q52" s="74">
        <f t="shared" si="0"/>
        <v>0.89999999999999991</v>
      </c>
      <c r="R52" s="53">
        <v>15.4</v>
      </c>
      <c r="S52" s="53">
        <v>120</v>
      </c>
      <c r="T52" s="16">
        <f t="shared" si="1"/>
        <v>30</v>
      </c>
      <c r="U52" s="53">
        <v>98</v>
      </c>
      <c r="V52" s="16">
        <f t="shared" si="2"/>
        <v>2940</v>
      </c>
      <c r="W52" s="53">
        <v>22</v>
      </c>
      <c r="X52" s="161" t="s">
        <v>46</v>
      </c>
      <c r="Y52" s="53" t="s">
        <v>97</v>
      </c>
      <c r="Z52" s="53" t="s">
        <v>78</v>
      </c>
      <c r="AA52" s="53" t="s">
        <v>64</v>
      </c>
      <c r="AB52" s="53" t="s">
        <v>158</v>
      </c>
    </row>
    <row r="53" spans="1:28" x14ac:dyDescent="0.15">
      <c r="A53" s="53" t="s">
        <v>34</v>
      </c>
      <c r="B53" s="53" t="s">
        <v>157</v>
      </c>
      <c r="C53" s="53">
        <v>2019</v>
      </c>
      <c r="D53" s="169" t="s">
        <v>336</v>
      </c>
      <c r="E53" s="53" t="s">
        <v>133</v>
      </c>
      <c r="F53" s="153" t="s">
        <v>344</v>
      </c>
      <c r="G53" s="156" t="s">
        <v>36</v>
      </c>
      <c r="H53" s="53" t="s">
        <v>160</v>
      </c>
      <c r="I53" s="53" t="s">
        <v>159</v>
      </c>
      <c r="J53" s="53" t="s">
        <v>38</v>
      </c>
      <c r="K53" s="120" t="s">
        <v>161</v>
      </c>
      <c r="L53" s="53">
        <v>1</v>
      </c>
      <c r="N53" s="53">
        <v>1</v>
      </c>
      <c r="O53" s="53">
        <v>0.75</v>
      </c>
      <c r="P53" s="53">
        <v>0.8</v>
      </c>
      <c r="Q53" s="74">
        <f t="shared" si="0"/>
        <v>0.77500000000000002</v>
      </c>
      <c r="R53" s="53">
        <v>17.8</v>
      </c>
      <c r="S53" s="53">
        <v>158</v>
      </c>
      <c r="T53" s="16">
        <f t="shared" si="1"/>
        <v>30</v>
      </c>
      <c r="U53" s="53">
        <v>138</v>
      </c>
      <c r="V53" s="16">
        <f t="shared" si="2"/>
        <v>4140</v>
      </c>
      <c r="W53" s="53">
        <v>22</v>
      </c>
      <c r="X53" s="161" t="s">
        <v>46</v>
      </c>
      <c r="Y53" s="53" t="s">
        <v>97</v>
      </c>
      <c r="Z53" s="53" t="s">
        <v>78</v>
      </c>
      <c r="AA53" s="53" t="s">
        <v>64</v>
      </c>
      <c r="AB53" s="53" t="s">
        <v>158</v>
      </c>
    </row>
    <row r="54" spans="1:28" x14ac:dyDescent="0.15">
      <c r="A54" s="53" t="s">
        <v>34</v>
      </c>
      <c r="B54" s="53" t="s">
        <v>157</v>
      </c>
      <c r="C54" s="53">
        <v>2019</v>
      </c>
      <c r="D54" s="169" t="s">
        <v>336</v>
      </c>
      <c r="E54" s="53" t="s">
        <v>133</v>
      </c>
      <c r="F54" s="153" t="s">
        <v>344</v>
      </c>
      <c r="G54" s="156" t="s">
        <v>36</v>
      </c>
      <c r="H54" s="53" t="s">
        <v>160</v>
      </c>
      <c r="I54" s="53" t="s">
        <v>159</v>
      </c>
      <c r="J54" s="53" t="s">
        <v>38</v>
      </c>
      <c r="K54" s="120" t="s">
        <v>161</v>
      </c>
      <c r="L54" s="53">
        <v>2</v>
      </c>
      <c r="N54" s="53">
        <v>1</v>
      </c>
      <c r="O54" s="53">
        <v>0.7</v>
      </c>
      <c r="P54" s="53">
        <v>0.65</v>
      </c>
      <c r="Q54" s="74">
        <f t="shared" si="0"/>
        <v>0.67500000000000004</v>
      </c>
      <c r="R54" s="53">
        <v>16.600000000000001</v>
      </c>
      <c r="S54" s="53">
        <v>150</v>
      </c>
      <c r="T54" s="16">
        <f t="shared" si="1"/>
        <v>30</v>
      </c>
      <c r="U54" s="53">
        <v>138</v>
      </c>
      <c r="V54" s="16">
        <f t="shared" si="2"/>
        <v>4140</v>
      </c>
      <c r="W54" s="53">
        <v>22</v>
      </c>
      <c r="X54" s="161" t="s">
        <v>46</v>
      </c>
      <c r="Y54" s="53" t="s">
        <v>97</v>
      </c>
      <c r="Z54" s="53" t="s">
        <v>78</v>
      </c>
      <c r="AA54" s="53" t="s">
        <v>64</v>
      </c>
      <c r="AB54" s="53" t="s">
        <v>158</v>
      </c>
    </row>
    <row r="55" spans="1:28" x14ac:dyDescent="0.15">
      <c r="A55" s="53" t="s">
        <v>34</v>
      </c>
      <c r="B55" s="53" t="s">
        <v>157</v>
      </c>
      <c r="C55" s="53">
        <v>2019</v>
      </c>
      <c r="D55" s="169" t="s">
        <v>336</v>
      </c>
      <c r="E55" s="53" t="s">
        <v>133</v>
      </c>
      <c r="F55" s="153" t="s">
        <v>344</v>
      </c>
      <c r="G55" s="156" t="s">
        <v>36</v>
      </c>
      <c r="H55" s="53" t="s">
        <v>160</v>
      </c>
      <c r="I55" s="53" t="s">
        <v>159</v>
      </c>
      <c r="J55" s="53" t="s">
        <v>38</v>
      </c>
      <c r="K55" s="120" t="s">
        <v>161</v>
      </c>
      <c r="L55" s="53">
        <v>3</v>
      </c>
      <c r="N55" s="53">
        <v>1</v>
      </c>
      <c r="O55" s="53">
        <v>0.7</v>
      </c>
      <c r="P55" s="53">
        <v>0.8</v>
      </c>
      <c r="Q55" s="74">
        <f t="shared" si="0"/>
        <v>0.75</v>
      </c>
      <c r="R55" s="53">
        <v>16.8</v>
      </c>
      <c r="S55" s="53">
        <v>152</v>
      </c>
      <c r="T55" s="16">
        <f t="shared" si="1"/>
        <v>30</v>
      </c>
      <c r="U55" s="53">
        <v>138</v>
      </c>
      <c r="V55" s="16">
        <f t="shared" si="2"/>
        <v>4140</v>
      </c>
      <c r="W55" s="53">
        <v>22</v>
      </c>
      <c r="X55" s="161" t="s">
        <v>46</v>
      </c>
      <c r="Y55" s="53" t="s">
        <v>97</v>
      </c>
      <c r="Z55" s="53" t="s">
        <v>78</v>
      </c>
      <c r="AA55" s="53" t="s">
        <v>64</v>
      </c>
      <c r="AB55" s="53" t="s">
        <v>158</v>
      </c>
    </row>
    <row r="56" spans="1:28" x14ac:dyDescent="0.15">
      <c r="A56" s="53" t="s">
        <v>34</v>
      </c>
      <c r="B56" s="53" t="s">
        <v>157</v>
      </c>
      <c r="C56" s="53">
        <v>2019</v>
      </c>
      <c r="D56" s="169" t="s">
        <v>336</v>
      </c>
      <c r="E56" s="53" t="s">
        <v>242</v>
      </c>
      <c r="F56" s="153" t="s">
        <v>345</v>
      </c>
      <c r="G56" s="156" t="s">
        <v>36</v>
      </c>
      <c r="H56" s="53" t="s">
        <v>164</v>
      </c>
      <c r="I56" s="53" t="s">
        <v>159</v>
      </c>
      <c r="J56" s="53" t="s">
        <v>38</v>
      </c>
      <c r="K56" s="120" t="s">
        <v>161</v>
      </c>
      <c r="L56" s="53">
        <v>1</v>
      </c>
      <c r="N56" s="53">
        <v>7</v>
      </c>
      <c r="O56" s="53">
        <v>0.5</v>
      </c>
      <c r="P56" s="53">
        <v>0.6</v>
      </c>
      <c r="Q56" s="74">
        <f t="shared" si="0"/>
        <v>0.55000000000000004</v>
      </c>
      <c r="R56" s="53">
        <v>13.6</v>
      </c>
      <c r="S56" s="53">
        <v>71</v>
      </c>
      <c r="T56" s="16">
        <f t="shared" si="1"/>
        <v>42</v>
      </c>
      <c r="U56" s="53">
        <v>380</v>
      </c>
      <c r="V56" s="16">
        <f t="shared" si="2"/>
        <v>2280</v>
      </c>
      <c r="W56" s="53">
        <v>8</v>
      </c>
      <c r="X56" s="161" t="s">
        <v>46</v>
      </c>
      <c r="Y56" s="53" t="s">
        <v>69</v>
      </c>
      <c r="Z56" s="53" t="s">
        <v>55</v>
      </c>
      <c r="AA56" s="53" t="s">
        <v>78</v>
      </c>
      <c r="AB56" s="53" t="s">
        <v>158</v>
      </c>
    </row>
    <row r="57" spans="1:28" x14ac:dyDescent="0.15">
      <c r="A57" s="53" t="s">
        <v>34</v>
      </c>
      <c r="B57" s="53" t="s">
        <v>157</v>
      </c>
      <c r="C57" s="53">
        <v>2019</v>
      </c>
      <c r="D57" s="169" t="s">
        <v>336</v>
      </c>
      <c r="E57" s="53" t="s">
        <v>242</v>
      </c>
      <c r="F57" s="153" t="s">
        <v>345</v>
      </c>
      <c r="G57" s="156" t="s">
        <v>36</v>
      </c>
      <c r="H57" s="53" t="s">
        <v>164</v>
      </c>
      <c r="I57" s="53" t="s">
        <v>159</v>
      </c>
      <c r="J57" s="53" t="s">
        <v>38</v>
      </c>
      <c r="K57" s="120" t="s">
        <v>161</v>
      </c>
      <c r="L57" s="53">
        <v>2</v>
      </c>
      <c r="N57" s="53">
        <v>7</v>
      </c>
      <c r="O57" s="53">
        <v>0.6</v>
      </c>
      <c r="P57" s="53">
        <v>0.65</v>
      </c>
      <c r="Q57" s="74">
        <f t="shared" si="0"/>
        <v>0.625</v>
      </c>
      <c r="R57" s="53">
        <v>14.1</v>
      </c>
      <c r="S57" s="53">
        <v>80</v>
      </c>
      <c r="T57" s="16">
        <f t="shared" si="1"/>
        <v>39</v>
      </c>
      <c r="U57" s="53">
        <v>380</v>
      </c>
      <c r="V57" s="16">
        <f t="shared" si="2"/>
        <v>2117.1428571428569</v>
      </c>
      <c r="W57" s="53">
        <v>8</v>
      </c>
      <c r="X57" s="161" t="s">
        <v>46</v>
      </c>
      <c r="Y57" s="53" t="s">
        <v>69</v>
      </c>
      <c r="Z57" s="53" t="s">
        <v>55</v>
      </c>
      <c r="AA57" s="53" t="s">
        <v>78</v>
      </c>
      <c r="AB57" s="53" t="s">
        <v>158</v>
      </c>
    </row>
    <row r="58" spans="1:28" x14ac:dyDescent="0.15">
      <c r="A58" s="53" t="s">
        <v>34</v>
      </c>
      <c r="B58" s="53" t="s">
        <v>157</v>
      </c>
      <c r="C58" s="53">
        <v>2019</v>
      </c>
      <c r="D58" s="169" t="s">
        <v>336</v>
      </c>
      <c r="E58" s="53" t="s">
        <v>242</v>
      </c>
      <c r="F58" s="153" t="s">
        <v>345</v>
      </c>
      <c r="G58" s="156" t="s">
        <v>36</v>
      </c>
      <c r="H58" s="53" t="s">
        <v>164</v>
      </c>
      <c r="I58" s="53" t="s">
        <v>159</v>
      </c>
      <c r="J58" s="53" t="s">
        <v>38</v>
      </c>
      <c r="K58" s="120" t="s">
        <v>161</v>
      </c>
      <c r="L58" s="53">
        <v>3</v>
      </c>
      <c r="N58" s="53">
        <v>7</v>
      </c>
      <c r="O58" s="53">
        <v>0.45</v>
      </c>
      <c r="P58" s="53">
        <v>0.55000000000000004</v>
      </c>
      <c r="Q58" s="74">
        <f t="shared" si="0"/>
        <v>0.5</v>
      </c>
      <c r="R58" s="53">
        <v>13.8</v>
      </c>
      <c r="S58" s="53">
        <v>72</v>
      </c>
      <c r="T58" s="16">
        <f t="shared" si="1"/>
        <v>42</v>
      </c>
      <c r="U58" s="53">
        <v>380</v>
      </c>
      <c r="V58" s="16">
        <f t="shared" si="2"/>
        <v>2280</v>
      </c>
      <c r="W58" s="53">
        <v>8</v>
      </c>
      <c r="X58" s="161" t="s">
        <v>46</v>
      </c>
      <c r="Y58" s="53" t="s">
        <v>69</v>
      </c>
      <c r="Z58" s="53" t="s">
        <v>55</v>
      </c>
      <c r="AA58" s="53" t="s">
        <v>78</v>
      </c>
      <c r="AB58" s="53" t="s">
        <v>158</v>
      </c>
    </row>
    <row r="59" spans="1:28" x14ac:dyDescent="0.15">
      <c r="A59" s="53" t="s">
        <v>34</v>
      </c>
      <c r="B59" s="53" t="s">
        <v>157</v>
      </c>
      <c r="C59" s="53">
        <v>2019</v>
      </c>
      <c r="D59" s="169" t="s">
        <v>336</v>
      </c>
      <c r="E59" s="53" t="s">
        <v>242</v>
      </c>
      <c r="F59" s="153" t="s">
        <v>345</v>
      </c>
      <c r="G59" s="156" t="s">
        <v>36</v>
      </c>
      <c r="H59" s="53" t="s">
        <v>160</v>
      </c>
      <c r="I59" s="53" t="s">
        <v>159</v>
      </c>
      <c r="J59" s="53" t="s">
        <v>38</v>
      </c>
      <c r="K59" s="120" t="s">
        <v>161</v>
      </c>
      <c r="L59" s="53">
        <v>1</v>
      </c>
      <c r="N59" s="53">
        <v>1</v>
      </c>
      <c r="O59" s="53">
        <v>0.55000000000000004</v>
      </c>
      <c r="P59" s="53">
        <v>0.5</v>
      </c>
      <c r="Q59" s="74">
        <f t="shared" si="0"/>
        <v>0.52500000000000002</v>
      </c>
      <c r="R59" s="53">
        <v>15.5</v>
      </c>
      <c r="S59" s="53">
        <v>90</v>
      </c>
      <c r="T59" s="16">
        <f t="shared" si="1"/>
        <v>36</v>
      </c>
      <c r="U59" s="53">
        <v>98</v>
      </c>
      <c r="V59" s="16">
        <f t="shared" si="2"/>
        <v>3528</v>
      </c>
      <c r="W59" s="53">
        <v>8</v>
      </c>
      <c r="X59" s="161" t="s">
        <v>46</v>
      </c>
      <c r="Y59" s="53" t="s">
        <v>69</v>
      </c>
      <c r="Z59" s="53" t="s">
        <v>55</v>
      </c>
      <c r="AA59" s="53" t="s">
        <v>78</v>
      </c>
      <c r="AB59" s="53" t="s">
        <v>158</v>
      </c>
    </row>
    <row r="60" spans="1:28" x14ac:dyDescent="0.15">
      <c r="A60" s="53" t="s">
        <v>34</v>
      </c>
      <c r="B60" s="53" t="s">
        <v>157</v>
      </c>
      <c r="C60" s="53">
        <v>2019</v>
      </c>
      <c r="D60" s="169" t="s">
        <v>336</v>
      </c>
      <c r="E60" s="53" t="s">
        <v>242</v>
      </c>
      <c r="F60" s="153" t="s">
        <v>345</v>
      </c>
      <c r="G60" s="156" t="s">
        <v>36</v>
      </c>
      <c r="H60" s="53" t="s">
        <v>160</v>
      </c>
      <c r="I60" s="53" t="s">
        <v>159</v>
      </c>
      <c r="J60" s="53" t="s">
        <v>38</v>
      </c>
      <c r="K60" s="120" t="s">
        <v>161</v>
      </c>
      <c r="L60" s="53">
        <v>2</v>
      </c>
      <c r="N60" s="53">
        <v>1</v>
      </c>
      <c r="O60" s="53">
        <v>0.6</v>
      </c>
      <c r="P60" s="53">
        <v>0.6</v>
      </c>
      <c r="Q60" s="74">
        <f t="shared" si="0"/>
        <v>0.6</v>
      </c>
      <c r="R60" s="53">
        <v>16.100000000000001</v>
      </c>
      <c r="S60" s="53">
        <v>90</v>
      </c>
      <c r="T60" s="16">
        <f t="shared" si="1"/>
        <v>36</v>
      </c>
      <c r="U60" s="53">
        <v>98</v>
      </c>
      <c r="V60" s="16">
        <f t="shared" si="2"/>
        <v>3528</v>
      </c>
      <c r="W60" s="53">
        <v>8</v>
      </c>
      <c r="X60" s="161" t="s">
        <v>46</v>
      </c>
      <c r="Y60" s="53" t="s">
        <v>69</v>
      </c>
      <c r="Z60" s="53" t="s">
        <v>55</v>
      </c>
      <c r="AA60" s="53" t="s">
        <v>78</v>
      </c>
      <c r="AB60" s="53" t="s">
        <v>158</v>
      </c>
    </row>
    <row r="61" spans="1:28" x14ac:dyDescent="0.15">
      <c r="A61" s="53" t="s">
        <v>34</v>
      </c>
      <c r="B61" s="53" t="s">
        <v>157</v>
      </c>
      <c r="C61" s="53">
        <v>2019</v>
      </c>
      <c r="D61" s="169" t="s">
        <v>336</v>
      </c>
      <c r="E61" s="53" t="s">
        <v>242</v>
      </c>
      <c r="F61" s="153" t="s">
        <v>345</v>
      </c>
      <c r="G61" s="156" t="s">
        <v>36</v>
      </c>
      <c r="H61" s="53" t="s">
        <v>160</v>
      </c>
      <c r="I61" s="53" t="s">
        <v>159</v>
      </c>
      <c r="J61" s="53" t="s">
        <v>38</v>
      </c>
      <c r="K61" s="120" t="s">
        <v>161</v>
      </c>
      <c r="L61" s="53">
        <v>3</v>
      </c>
      <c r="N61" s="53">
        <v>1</v>
      </c>
      <c r="O61" s="53">
        <v>0.6</v>
      </c>
      <c r="P61" s="53">
        <v>0.55000000000000004</v>
      </c>
      <c r="Q61" s="74">
        <f t="shared" si="0"/>
        <v>0.57499999999999996</v>
      </c>
      <c r="R61" s="53">
        <v>15.8</v>
      </c>
      <c r="S61" s="53">
        <v>89</v>
      </c>
      <c r="T61" s="16">
        <f t="shared" si="1"/>
        <v>36</v>
      </c>
      <c r="U61" s="53">
        <v>98</v>
      </c>
      <c r="V61" s="16">
        <f t="shared" si="2"/>
        <v>3528</v>
      </c>
      <c r="W61" s="53">
        <v>8</v>
      </c>
      <c r="X61" s="161" t="s">
        <v>46</v>
      </c>
      <c r="Y61" s="53" t="s">
        <v>69</v>
      </c>
      <c r="Z61" s="53" t="s">
        <v>55</v>
      </c>
      <c r="AA61" s="53" t="s">
        <v>78</v>
      </c>
      <c r="AB61" s="53" t="s">
        <v>158</v>
      </c>
    </row>
    <row r="62" spans="1:28" x14ac:dyDescent="0.15">
      <c r="D62" s="169"/>
      <c r="F62" s="153"/>
      <c r="G62" s="156"/>
      <c r="K62" s="120"/>
      <c r="Q62" s="74" t="str">
        <f t="shared" si="0"/>
        <v/>
      </c>
      <c r="T62" s="16" t="str">
        <f t="shared" si="1"/>
        <v/>
      </c>
      <c r="V62" s="16" t="str">
        <f t="shared" si="2"/>
        <v/>
      </c>
      <c r="X62" s="161"/>
    </row>
    <row r="63" spans="1:28" x14ac:dyDescent="0.15">
      <c r="D63" s="169"/>
      <c r="F63" s="153"/>
      <c r="G63" s="156"/>
      <c r="K63" s="120"/>
      <c r="Q63" s="74" t="str">
        <f t="shared" si="0"/>
        <v/>
      </c>
      <c r="T63" s="16" t="str">
        <f t="shared" si="1"/>
        <v/>
      </c>
      <c r="V63" s="16" t="str">
        <f t="shared" si="2"/>
        <v/>
      </c>
      <c r="X63" s="161"/>
    </row>
    <row r="64" spans="1:28" x14ac:dyDescent="0.15">
      <c r="D64" s="169"/>
      <c r="F64" s="153"/>
      <c r="G64" s="156"/>
      <c r="K64" s="120"/>
      <c r="Q64" s="74" t="str">
        <f t="shared" si="0"/>
        <v/>
      </c>
      <c r="T64" s="16" t="str">
        <f t="shared" si="1"/>
        <v/>
      </c>
      <c r="V64" s="16" t="str">
        <f t="shared" si="2"/>
        <v/>
      </c>
      <c r="X64" s="161"/>
    </row>
    <row r="65" spans="4:24" x14ac:dyDescent="0.15">
      <c r="D65" s="169"/>
      <c r="F65" s="153"/>
      <c r="G65" s="156"/>
      <c r="K65" s="120"/>
      <c r="Q65" s="74" t="str">
        <f t="shared" si="0"/>
        <v/>
      </c>
      <c r="T65" s="16" t="str">
        <f t="shared" si="1"/>
        <v/>
      </c>
      <c r="V65" s="16" t="str">
        <f t="shared" si="2"/>
        <v/>
      </c>
      <c r="X65" s="161"/>
    </row>
    <row r="66" spans="4:24" x14ac:dyDescent="0.15">
      <c r="D66" s="169"/>
      <c r="F66" s="153"/>
      <c r="G66" s="156"/>
      <c r="K66" s="120"/>
      <c r="Q66" s="74" t="str">
        <f t="shared" ref="Q66:Q91" si="3">IF(OR(O66="",P66=""),"",AVERAGE(O66,P66))</f>
        <v/>
      </c>
      <c r="T66" s="16" t="str">
        <f t="shared" ref="T66:T91" si="4">IF(H66="","",IF(OR(H66="GREEN",H66="GK"),IF(S66&gt;=$AX$2,VLOOKUP(S66,$AX$2:$AY$7,2,1),""),IF(S66&gt;=$AZ$2,VLOOKUP(S66,$AZ$2:$BA$7,2,1),"")))</f>
        <v/>
      </c>
      <c r="V66" s="16" t="str">
        <f t="shared" ref="V66:V91" si="5">IF(OR(N66="",U66="",T66=""),"",U66/N66*T66)</f>
        <v/>
      </c>
      <c r="X66" s="161"/>
    </row>
    <row r="67" spans="4:24" x14ac:dyDescent="0.15">
      <c r="D67" s="169"/>
      <c r="F67" s="153"/>
      <c r="G67" s="156"/>
      <c r="K67" s="120"/>
      <c r="Q67" s="74" t="str">
        <f t="shared" si="3"/>
        <v/>
      </c>
      <c r="T67" s="16" t="str">
        <f t="shared" si="4"/>
        <v/>
      </c>
      <c r="V67" s="16" t="str">
        <f t="shared" si="5"/>
        <v/>
      </c>
      <c r="X67" s="161"/>
    </row>
    <row r="68" spans="4:24" x14ac:dyDescent="0.15">
      <c r="D68" s="169"/>
      <c r="F68" s="153"/>
      <c r="G68" s="156"/>
      <c r="K68" s="120"/>
      <c r="Q68" s="74" t="str">
        <f t="shared" si="3"/>
        <v/>
      </c>
      <c r="T68" s="16" t="str">
        <f t="shared" si="4"/>
        <v/>
      </c>
      <c r="V68" s="16" t="str">
        <f t="shared" si="5"/>
        <v/>
      </c>
      <c r="X68" s="161"/>
    </row>
    <row r="69" spans="4:24" x14ac:dyDescent="0.15">
      <c r="D69" s="169"/>
      <c r="F69" s="153"/>
      <c r="G69" s="156"/>
      <c r="K69" s="120"/>
      <c r="Q69" s="74" t="str">
        <f t="shared" si="3"/>
        <v/>
      </c>
      <c r="T69" s="16" t="str">
        <f t="shared" si="4"/>
        <v/>
      </c>
      <c r="V69" s="16" t="str">
        <f t="shared" si="5"/>
        <v/>
      </c>
      <c r="X69" s="161"/>
    </row>
    <row r="70" spans="4:24" x14ac:dyDescent="0.15">
      <c r="D70" s="169"/>
      <c r="F70" s="153"/>
      <c r="G70" s="156"/>
      <c r="K70" s="120"/>
      <c r="Q70" s="74" t="str">
        <f t="shared" si="3"/>
        <v/>
      </c>
      <c r="T70" s="16" t="str">
        <f t="shared" si="4"/>
        <v/>
      </c>
      <c r="V70" s="16" t="str">
        <f t="shared" si="5"/>
        <v/>
      </c>
      <c r="X70" s="161"/>
    </row>
    <row r="71" spans="4:24" x14ac:dyDescent="0.15">
      <c r="D71" s="169"/>
      <c r="F71" s="153"/>
      <c r="G71" s="156"/>
      <c r="K71" s="120"/>
      <c r="Q71" s="74" t="str">
        <f t="shared" si="3"/>
        <v/>
      </c>
      <c r="T71" s="16" t="str">
        <f t="shared" si="4"/>
        <v/>
      </c>
      <c r="V71" s="16" t="str">
        <f t="shared" si="5"/>
        <v/>
      </c>
      <c r="X71" s="161"/>
    </row>
    <row r="72" spans="4:24" x14ac:dyDescent="0.15">
      <c r="D72" s="169"/>
      <c r="F72" s="153"/>
      <c r="G72" s="156"/>
      <c r="K72" s="120"/>
      <c r="Q72" s="74" t="str">
        <f t="shared" si="3"/>
        <v/>
      </c>
      <c r="T72" s="16" t="str">
        <f t="shared" si="4"/>
        <v/>
      </c>
      <c r="V72" s="16" t="str">
        <f t="shared" si="5"/>
        <v/>
      </c>
      <c r="X72" s="161"/>
    </row>
    <row r="73" spans="4:24" x14ac:dyDescent="0.15">
      <c r="D73" s="169"/>
      <c r="F73" s="153"/>
      <c r="G73" s="156"/>
      <c r="K73" s="120"/>
      <c r="Q73" s="74" t="str">
        <f t="shared" si="3"/>
        <v/>
      </c>
      <c r="T73" s="16" t="str">
        <f t="shared" si="4"/>
        <v/>
      </c>
      <c r="V73" s="16" t="str">
        <f t="shared" si="5"/>
        <v/>
      </c>
      <c r="X73" s="161"/>
    </row>
    <row r="74" spans="4:24" x14ac:dyDescent="0.15">
      <c r="D74" s="169"/>
      <c r="F74" s="153"/>
      <c r="G74" s="156"/>
      <c r="K74" s="120"/>
      <c r="Q74" s="74" t="str">
        <f t="shared" si="3"/>
        <v/>
      </c>
      <c r="T74" s="16" t="str">
        <f t="shared" si="4"/>
        <v/>
      </c>
      <c r="V74" s="16" t="str">
        <f t="shared" si="5"/>
        <v/>
      </c>
      <c r="X74" s="161"/>
    </row>
    <row r="75" spans="4:24" x14ac:dyDescent="0.15">
      <c r="D75" s="169"/>
      <c r="F75" s="153"/>
      <c r="G75" s="156"/>
      <c r="K75" s="120"/>
      <c r="Q75" s="74" t="str">
        <f t="shared" si="3"/>
        <v/>
      </c>
      <c r="T75" s="16" t="str">
        <f t="shared" si="4"/>
        <v/>
      </c>
      <c r="V75" s="16" t="str">
        <f t="shared" si="5"/>
        <v/>
      </c>
      <c r="X75" s="161"/>
    </row>
    <row r="76" spans="4:24" x14ac:dyDescent="0.15">
      <c r="D76" s="169"/>
      <c r="F76" s="153"/>
      <c r="G76" s="156"/>
      <c r="K76" s="120"/>
      <c r="Q76" s="74" t="str">
        <f t="shared" si="3"/>
        <v/>
      </c>
      <c r="T76" s="16" t="str">
        <f t="shared" si="4"/>
        <v/>
      </c>
      <c r="V76" s="16" t="str">
        <f t="shared" si="5"/>
        <v/>
      </c>
      <c r="X76" s="161"/>
    </row>
    <row r="77" spans="4:24" x14ac:dyDescent="0.15">
      <c r="D77" s="169"/>
      <c r="F77" s="153"/>
      <c r="G77" s="156"/>
      <c r="K77" s="120"/>
      <c r="Q77" s="74" t="str">
        <f t="shared" si="3"/>
        <v/>
      </c>
      <c r="T77" s="16" t="str">
        <f t="shared" si="4"/>
        <v/>
      </c>
      <c r="V77" s="16" t="str">
        <f t="shared" si="5"/>
        <v/>
      </c>
      <c r="X77" s="161"/>
    </row>
    <row r="78" spans="4:24" x14ac:dyDescent="0.15">
      <c r="D78" s="169"/>
      <c r="F78" s="153"/>
      <c r="G78" s="156"/>
      <c r="K78" s="120"/>
      <c r="Q78" s="74" t="str">
        <f t="shared" si="3"/>
        <v/>
      </c>
      <c r="T78" s="16" t="str">
        <f t="shared" si="4"/>
        <v/>
      </c>
      <c r="V78" s="16" t="str">
        <f t="shared" si="5"/>
        <v/>
      </c>
      <c r="X78" s="161"/>
    </row>
    <row r="79" spans="4:24" x14ac:dyDescent="0.15">
      <c r="D79" s="169"/>
      <c r="F79" s="153"/>
      <c r="G79" s="156"/>
      <c r="K79" s="120"/>
      <c r="Q79" s="74" t="str">
        <f t="shared" si="3"/>
        <v/>
      </c>
      <c r="T79" s="16" t="str">
        <f t="shared" si="4"/>
        <v/>
      </c>
      <c r="V79" s="16" t="str">
        <f t="shared" si="5"/>
        <v/>
      </c>
      <c r="X79" s="161"/>
    </row>
    <row r="80" spans="4:24" x14ac:dyDescent="0.15">
      <c r="K80" s="120"/>
      <c r="Q80" s="74" t="str">
        <f t="shared" si="3"/>
        <v/>
      </c>
      <c r="T80" s="16" t="str">
        <f t="shared" si="4"/>
        <v/>
      </c>
      <c r="V80" s="16" t="str">
        <f t="shared" si="5"/>
        <v/>
      </c>
    </row>
    <row r="81" spans="11:22" x14ac:dyDescent="0.15">
      <c r="K81" s="120"/>
      <c r="Q81" s="74" t="str">
        <f t="shared" si="3"/>
        <v/>
      </c>
      <c r="T81" s="16" t="str">
        <f t="shared" si="4"/>
        <v/>
      </c>
      <c r="V81" s="16" t="str">
        <f t="shared" si="5"/>
        <v/>
      </c>
    </row>
    <row r="82" spans="11:22" x14ac:dyDescent="0.15">
      <c r="K82" s="120"/>
      <c r="Q82" s="74" t="str">
        <f t="shared" si="3"/>
        <v/>
      </c>
      <c r="T82" s="16" t="str">
        <f t="shared" si="4"/>
        <v/>
      </c>
      <c r="V82" s="16" t="str">
        <f t="shared" si="5"/>
        <v/>
      </c>
    </row>
    <row r="83" spans="11:22" x14ac:dyDescent="0.15">
      <c r="K83" s="120"/>
      <c r="Q83" s="74" t="str">
        <f t="shared" si="3"/>
        <v/>
      </c>
      <c r="T83" s="16" t="str">
        <f t="shared" si="4"/>
        <v/>
      </c>
      <c r="V83" s="16" t="str">
        <f t="shared" si="5"/>
        <v/>
      </c>
    </row>
    <row r="84" spans="11:22" x14ac:dyDescent="0.15">
      <c r="K84" s="120"/>
      <c r="Q84" s="74" t="str">
        <f t="shared" si="3"/>
        <v/>
      </c>
      <c r="T84" s="16" t="str">
        <f t="shared" si="4"/>
        <v/>
      </c>
      <c r="V84" s="16" t="str">
        <f t="shared" si="5"/>
        <v/>
      </c>
    </row>
    <row r="85" spans="11:22" x14ac:dyDescent="0.15">
      <c r="K85" s="120"/>
      <c r="Q85" s="74" t="str">
        <f t="shared" si="3"/>
        <v/>
      </c>
      <c r="T85" s="16" t="str">
        <f t="shared" si="4"/>
        <v/>
      </c>
      <c r="V85" s="16" t="str">
        <f t="shared" si="5"/>
        <v/>
      </c>
    </row>
    <row r="86" spans="11:22" x14ac:dyDescent="0.15">
      <c r="K86" s="120"/>
      <c r="Q86" s="74" t="str">
        <f t="shared" si="3"/>
        <v/>
      </c>
      <c r="T86" s="16" t="str">
        <f t="shared" si="4"/>
        <v/>
      </c>
      <c r="V86" s="16" t="str">
        <f t="shared" si="5"/>
        <v/>
      </c>
    </row>
    <row r="87" spans="11:22" x14ac:dyDescent="0.15">
      <c r="K87" s="120"/>
      <c r="Q87" s="74" t="str">
        <f t="shared" si="3"/>
        <v/>
      </c>
      <c r="T87" s="16" t="str">
        <f t="shared" si="4"/>
        <v/>
      </c>
      <c r="V87" s="16" t="str">
        <f t="shared" si="5"/>
        <v/>
      </c>
    </row>
    <row r="88" spans="11:22" x14ac:dyDescent="0.15">
      <c r="K88" s="120"/>
      <c r="Q88" s="74" t="str">
        <f t="shared" si="3"/>
        <v/>
      </c>
      <c r="T88" s="16" t="str">
        <f t="shared" si="4"/>
        <v/>
      </c>
      <c r="V88" s="16" t="str">
        <f t="shared" si="5"/>
        <v/>
      </c>
    </row>
    <row r="89" spans="11:22" x14ac:dyDescent="0.15">
      <c r="K89" s="120"/>
      <c r="Q89" s="74" t="str">
        <f t="shared" si="3"/>
        <v/>
      </c>
      <c r="T89" s="16" t="str">
        <f t="shared" si="4"/>
        <v/>
      </c>
      <c r="V89" s="16" t="str">
        <f t="shared" si="5"/>
        <v/>
      </c>
    </row>
    <row r="90" spans="11:22" x14ac:dyDescent="0.15">
      <c r="K90" s="120"/>
      <c r="Q90" s="74" t="str">
        <f t="shared" si="3"/>
        <v/>
      </c>
      <c r="T90" s="16" t="str">
        <f t="shared" si="4"/>
        <v/>
      </c>
      <c r="V90" s="16" t="str">
        <f t="shared" si="5"/>
        <v/>
      </c>
    </row>
    <row r="91" spans="11:22" x14ac:dyDescent="0.15">
      <c r="K91" s="120"/>
      <c r="Q91" s="74" t="str">
        <f t="shared" si="3"/>
        <v/>
      </c>
      <c r="T91" s="16" t="str">
        <f t="shared" si="4"/>
        <v/>
      </c>
      <c r="V91" s="16" t="str">
        <f t="shared" si="5"/>
        <v/>
      </c>
    </row>
    <row r="92" spans="11:22" x14ac:dyDescent="0.15">
      <c r="K92" s="120"/>
      <c r="Q92" s="74"/>
    </row>
    <row r="93" spans="11:22" x14ac:dyDescent="0.15">
      <c r="K93" s="120"/>
      <c r="Q93" s="74"/>
    </row>
    <row r="94" spans="11:22" x14ac:dyDescent="0.15">
      <c r="K94" s="120"/>
      <c r="Q94" s="74"/>
    </row>
    <row r="95" spans="11:22" x14ac:dyDescent="0.15">
      <c r="K95" s="120"/>
      <c r="Q95" s="74"/>
    </row>
    <row r="96" spans="11:22" x14ac:dyDescent="0.15">
      <c r="K96" s="120"/>
      <c r="Q96" s="74"/>
    </row>
    <row r="97" spans="11:17" x14ac:dyDescent="0.15">
      <c r="K97" s="120"/>
      <c r="Q97" s="74"/>
    </row>
    <row r="98" spans="11:17" x14ac:dyDescent="0.15">
      <c r="K98" s="120"/>
      <c r="Q98" s="74"/>
    </row>
    <row r="99" spans="11:17" x14ac:dyDescent="0.15">
      <c r="K99" s="120"/>
      <c r="Q99" s="74"/>
    </row>
    <row r="100" spans="11:17" x14ac:dyDescent="0.15">
      <c r="K100" s="120"/>
      <c r="Q100" s="74"/>
    </row>
    <row r="101" spans="11:17" x14ac:dyDescent="0.15">
      <c r="K101" s="120"/>
      <c r="Q101" s="74"/>
    </row>
    <row r="102" spans="11:17" x14ac:dyDescent="0.15">
      <c r="K102" s="120"/>
      <c r="Q102" s="74"/>
    </row>
    <row r="103" spans="11:17" x14ac:dyDescent="0.15">
      <c r="K103" s="120"/>
      <c r="Q103" s="74"/>
    </row>
    <row r="104" spans="11:17" x14ac:dyDescent="0.15">
      <c r="K104" s="120"/>
      <c r="Q104" s="74"/>
    </row>
    <row r="105" spans="11:17" x14ac:dyDescent="0.15">
      <c r="K105" s="120"/>
      <c r="Q105" s="74"/>
    </row>
    <row r="106" spans="11:17" x14ac:dyDescent="0.15">
      <c r="K106" s="120"/>
      <c r="Q106" s="74"/>
    </row>
    <row r="107" spans="11:17" x14ac:dyDescent="0.15">
      <c r="K107" s="120"/>
      <c r="Q107" s="74"/>
    </row>
    <row r="108" spans="11:17" x14ac:dyDescent="0.15">
      <c r="K108" s="120"/>
      <c r="Q108" s="74"/>
    </row>
    <row r="109" spans="11:17" x14ac:dyDescent="0.15">
      <c r="K109" s="120"/>
      <c r="Q109" s="74"/>
    </row>
    <row r="110" spans="11:17" x14ac:dyDescent="0.15">
      <c r="K110" s="120"/>
      <c r="Q110" s="74"/>
    </row>
    <row r="111" spans="11:17" x14ac:dyDescent="0.15">
      <c r="K111" s="120"/>
      <c r="Q111" s="74"/>
    </row>
    <row r="112" spans="11:17" x14ac:dyDescent="0.15">
      <c r="K112" s="120"/>
      <c r="Q112" s="74"/>
    </row>
    <row r="113" spans="11:17" x14ac:dyDescent="0.15">
      <c r="K113" s="120"/>
      <c r="Q113" s="74"/>
    </row>
    <row r="114" spans="11:17" x14ac:dyDescent="0.15">
      <c r="K114" s="120"/>
      <c r="Q114" s="74"/>
    </row>
    <row r="115" spans="11:17" x14ac:dyDescent="0.15">
      <c r="K115" s="120"/>
      <c r="Q115" s="74"/>
    </row>
    <row r="116" spans="11:17" x14ac:dyDescent="0.15">
      <c r="K116" s="120"/>
      <c r="Q116" s="74"/>
    </row>
    <row r="117" spans="11:17" x14ac:dyDescent="0.15">
      <c r="K117" s="120"/>
      <c r="Q117" s="74"/>
    </row>
    <row r="118" spans="11:17" x14ac:dyDescent="0.15">
      <c r="K118" s="120"/>
      <c r="Q118" s="74"/>
    </row>
    <row r="119" spans="11:17" x14ac:dyDescent="0.15">
      <c r="K119" s="120"/>
      <c r="Q119" s="74"/>
    </row>
    <row r="120" spans="11:17" x14ac:dyDescent="0.15">
      <c r="K120" s="120"/>
      <c r="Q120" s="74"/>
    </row>
    <row r="121" spans="11:17" x14ac:dyDescent="0.15">
      <c r="K121" s="120"/>
      <c r="Q121" s="74"/>
    </row>
    <row r="122" spans="11:17" x14ac:dyDescent="0.15">
      <c r="K122" s="120"/>
      <c r="Q122" s="74"/>
    </row>
    <row r="123" spans="11:17" x14ac:dyDescent="0.15">
      <c r="K123" s="120"/>
      <c r="Q123" s="74"/>
    </row>
    <row r="124" spans="11:17" x14ac:dyDescent="0.15">
      <c r="K124" s="120"/>
      <c r="Q124" s="74"/>
    </row>
    <row r="125" spans="11:17" x14ac:dyDescent="0.15">
      <c r="K125" s="120"/>
      <c r="Q125" s="74"/>
    </row>
    <row r="126" spans="11:17" x14ac:dyDescent="0.15">
      <c r="K126" s="120"/>
      <c r="Q126" s="74"/>
    </row>
    <row r="127" spans="11:17" x14ac:dyDescent="0.15">
      <c r="K127" s="120"/>
      <c r="Q127" s="74"/>
    </row>
    <row r="128" spans="11:17" x14ac:dyDescent="0.15">
      <c r="K128" s="120"/>
      <c r="Q128" s="74"/>
    </row>
    <row r="129" spans="11:17" x14ac:dyDescent="0.15">
      <c r="K129" s="120"/>
      <c r="Q129" s="74"/>
    </row>
    <row r="130" spans="11:17" x14ac:dyDescent="0.15">
      <c r="K130" s="120"/>
      <c r="Q130" s="74"/>
    </row>
    <row r="131" spans="11:17" x14ac:dyDescent="0.15">
      <c r="K131" s="120"/>
      <c r="Q131" s="74"/>
    </row>
    <row r="132" spans="11:17" x14ac:dyDescent="0.15">
      <c r="K132" s="120"/>
      <c r="Q132" s="74"/>
    </row>
    <row r="133" spans="11:17" x14ac:dyDescent="0.15">
      <c r="K133" s="120"/>
      <c r="Q133" s="74"/>
    </row>
    <row r="134" spans="11:17" x14ac:dyDescent="0.15">
      <c r="K134" s="120"/>
      <c r="Q134" s="74"/>
    </row>
    <row r="135" spans="11:17" x14ac:dyDescent="0.15">
      <c r="K135" s="120"/>
      <c r="Q135" s="74"/>
    </row>
    <row r="136" spans="11:17" x14ac:dyDescent="0.15">
      <c r="K136" s="120"/>
      <c r="Q136" s="74"/>
    </row>
    <row r="137" spans="11:17" x14ac:dyDescent="0.15">
      <c r="K137" s="120"/>
      <c r="Q137" s="74"/>
    </row>
    <row r="138" spans="11:17" x14ac:dyDescent="0.15">
      <c r="K138" s="120"/>
      <c r="Q138" s="74"/>
    </row>
    <row r="139" spans="11:17" x14ac:dyDescent="0.15">
      <c r="K139" s="120"/>
      <c r="Q139" s="74"/>
    </row>
    <row r="140" spans="11:17" x14ac:dyDescent="0.15">
      <c r="K140" s="120"/>
      <c r="Q140" s="74"/>
    </row>
    <row r="141" spans="11:17" x14ac:dyDescent="0.15">
      <c r="K141" s="120"/>
      <c r="Q141" s="74"/>
    </row>
    <row r="142" spans="11:17" x14ac:dyDescent="0.15">
      <c r="K142" s="120"/>
      <c r="Q142" s="74"/>
    </row>
    <row r="143" spans="11:17" x14ac:dyDescent="0.15">
      <c r="K143" s="120"/>
      <c r="Q143" s="74"/>
    </row>
    <row r="144" spans="11:17" x14ac:dyDescent="0.15">
      <c r="K144" s="120"/>
      <c r="Q144" s="74"/>
    </row>
    <row r="145" spans="11:17" x14ac:dyDescent="0.15">
      <c r="K145" s="120"/>
      <c r="Q145" s="74"/>
    </row>
    <row r="146" spans="11:17" x14ac:dyDescent="0.15">
      <c r="K146" s="120"/>
      <c r="Q146" s="74"/>
    </row>
    <row r="147" spans="11:17" x14ac:dyDescent="0.15">
      <c r="K147" s="120"/>
      <c r="Q147" s="74"/>
    </row>
    <row r="148" spans="11:17" x14ac:dyDescent="0.15">
      <c r="K148" s="120"/>
      <c r="Q148" s="74"/>
    </row>
    <row r="149" spans="11:17" x14ac:dyDescent="0.15">
      <c r="K149" s="120"/>
      <c r="Q149" s="74"/>
    </row>
    <row r="150" spans="11:17" x14ac:dyDescent="0.15">
      <c r="K150" s="120"/>
      <c r="Q150" s="74"/>
    </row>
    <row r="151" spans="11:17" x14ac:dyDescent="0.15">
      <c r="K151" s="120"/>
      <c r="Q151" s="74"/>
    </row>
    <row r="152" spans="11:17" x14ac:dyDescent="0.15">
      <c r="K152" s="120"/>
      <c r="Q152" s="74"/>
    </row>
    <row r="153" spans="11:17" x14ac:dyDescent="0.15">
      <c r="K153" s="120"/>
      <c r="Q153" s="74"/>
    </row>
    <row r="154" spans="11:17" x14ac:dyDescent="0.15">
      <c r="K154" s="120"/>
      <c r="Q154" s="74"/>
    </row>
    <row r="155" spans="11:17" x14ac:dyDescent="0.15">
      <c r="K155" s="120"/>
      <c r="Q155" s="74"/>
    </row>
    <row r="156" spans="11:17" x14ac:dyDescent="0.15">
      <c r="K156" s="120"/>
      <c r="Q156" s="74"/>
    </row>
    <row r="157" spans="11:17" x14ac:dyDescent="0.15">
      <c r="K157" s="120"/>
      <c r="Q157" s="74"/>
    </row>
    <row r="158" spans="11:17" x14ac:dyDescent="0.15">
      <c r="K158" s="120"/>
      <c r="Q158" s="74"/>
    </row>
    <row r="159" spans="11:17" x14ac:dyDescent="0.15">
      <c r="K159" s="120"/>
      <c r="Q159" s="74"/>
    </row>
    <row r="160" spans="11:17" x14ac:dyDescent="0.15">
      <c r="K160" s="120"/>
      <c r="Q160" s="74"/>
    </row>
    <row r="161" spans="11:17" x14ac:dyDescent="0.15">
      <c r="K161" s="120"/>
      <c r="Q161" s="74"/>
    </row>
    <row r="162" spans="11:17" x14ac:dyDescent="0.15">
      <c r="K162" s="120"/>
      <c r="Q162" s="74"/>
    </row>
    <row r="163" spans="11:17" x14ac:dyDescent="0.15">
      <c r="K163" s="120"/>
      <c r="Q163" s="74"/>
    </row>
    <row r="164" spans="11:17" x14ac:dyDescent="0.15">
      <c r="K164" s="120"/>
      <c r="Q164" s="74"/>
    </row>
    <row r="165" spans="11:17" x14ac:dyDescent="0.15">
      <c r="K165" s="120"/>
      <c r="Q165" s="74"/>
    </row>
    <row r="166" spans="11:17" x14ac:dyDescent="0.15">
      <c r="K166" s="120"/>
      <c r="Q166" s="74"/>
    </row>
    <row r="167" spans="11:17" x14ac:dyDescent="0.15">
      <c r="K167" s="120"/>
      <c r="Q167" s="74"/>
    </row>
    <row r="168" spans="11:17" x14ac:dyDescent="0.15">
      <c r="K168" s="120"/>
      <c r="Q168" s="74"/>
    </row>
    <row r="169" spans="11:17" x14ac:dyDescent="0.15">
      <c r="K169" s="120"/>
      <c r="Q169" s="74"/>
    </row>
    <row r="170" spans="11:17" x14ac:dyDescent="0.15">
      <c r="K170" s="120"/>
      <c r="Q170" s="74"/>
    </row>
    <row r="171" spans="11:17" x14ac:dyDescent="0.15">
      <c r="K171" s="120"/>
      <c r="Q171" s="74"/>
    </row>
    <row r="172" spans="11:17" x14ac:dyDescent="0.15">
      <c r="K172" s="120"/>
      <c r="Q172" s="74"/>
    </row>
    <row r="173" spans="11:17" x14ac:dyDescent="0.15">
      <c r="K173" s="120"/>
      <c r="Q173" s="74"/>
    </row>
    <row r="174" spans="11:17" x14ac:dyDescent="0.15">
      <c r="K174" s="120"/>
      <c r="Q174" s="74"/>
    </row>
    <row r="175" spans="11:17" x14ac:dyDescent="0.15">
      <c r="K175" s="120"/>
      <c r="Q175" s="74"/>
    </row>
    <row r="176" spans="11:17" x14ac:dyDescent="0.15">
      <c r="K176" s="120"/>
      <c r="Q176" s="74"/>
    </row>
    <row r="177" spans="11:17" x14ac:dyDescent="0.15">
      <c r="K177" s="120"/>
      <c r="Q177" s="74"/>
    </row>
    <row r="178" spans="11:17" x14ac:dyDescent="0.15">
      <c r="K178" s="120"/>
      <c r="Q178" s="74"/>
    </row>
    <row r="179" spans="11:17" x14ac:dyDescent="0.15">
      <c r="K179" s="120"/>
      <c r="Q179" s="74"/>
    </row>
    <row r="180" spans="11:17" x14ac:dyDescent="0.15">
      <c r="K180" s="120"/>
      <c r="Q180" s="74"/>
    </row>
    <row r="181" spans="11:17" x14ac:dyDescent="0.15">
      <c r="K181" s="120"/>
      <c r="Q181" s="74"/>
    </row>
    <row r="182" spans="11:17" x14ac:dyDescent="0.15">
      <c r="K182" s="120"/>
      <c r="Q182" s="74"/>
    </row>
    <row r="183" spans="11:17" x14ac:dyDescent="0.15">
      <c r="K183" s="120"/>
      <c r="Q183" s="74"/>
    </row>
    <row r="184" spans="11:17" x14ac:dyDescent="0.15">
      <c r="K184" s="120"/>
      <c r="Q184" s="74"/>
    </row>
    <row r="185" spans="11:17" x14ac:dyDescent="0.15">
      <c r="K185" s="120"/>
      <c r="Q185" s="74"/>
    </row>
    <row r="186" spans="11:17" x14ac:dyDescent="0.15">
      <c r="K186" s="120"/>
      <c r="Q186" s="74"/>
    </row>
    <row r="187" spans="11:17" x14ac:dyDescent="0.15">
      <c r="K187" s="120"/>
      <c r="Q187" s="74"/>
    </row>
    <row r="188" spans="11:17" x14ac:dyDescent="0.15">
      <c r="K188" s="120"/>
      <c r="Q188" s="74"/>
    </row>
    <row r="189" spans="11:17" x14ac:dyDescent="0.15">
      <c r="K189" s="120"/>
      <c r="Q189" s="74"/>
    </row>
    <row r="190" spans="11:17" x14ac:dyDescent="0.15">
      <c r="K190" s="120"/>
      <c r="Q190" s="74"/>
    </row>
    <row r="191" spans="11:17" x14ac:dyDescent="0.15">
      <c r="K191" s="120"/>
      <c r="Q191" s="74"/>
    </row>
    <row r="192" spans="11:17" x14ac:dyDescent="0.15">
      <c r="K192" s="120"/>
      <c r="Q192" s="74"/>
    </row>
    <row r="193" spans="11:17" x14ac:dyDescent="0.15">
      <c r="K193" s="120"/>
      <c r="Q193" s="74"/>
    </row>
    <row r="194" spans="11:17" x14ac:dyDescent="0.15">
      <c r="K194" s="120"/>
      <c r="Q194" s="74"/>
    </row>
    <row r="195" spans="11:17" x14ac:dyDescent="0.15">
      <c r="K195" s="120"/>
      <c r="Q195" s="74"/>
    </row>
    <row r="196" spans="11:17" x14ac:dyDescent="0.15">
      <c r="K196" s="120"/>
      <c r="Q196" s="74"/>
    </row>
    <row r="197" spans="11:17" x14ac:dyDescent="0.15">
      <c r="K197" s="120"/>
      <c r="Q197" s="74"/>
    </row>
    <row r="198" spans="11:17" x14ac:dyDescent="0.15">
      <c r="K198" s="120"/>
      <c r="Q198" s="74"/>
    </row>
    <row r="199" spans="11:17" x14ac:dyDescent="0.15">
      <c r="K199" s="120"/>
      <c r="Q199" s="74"/>
    </row>
    <row r="200" spans="11:17" x14ac:dyDescent="0.15">
      <c r="K200" s="120"/>
      <c r="Q200" s="74"/>
    </row>
    <row r="201" spans="11:17" x14ac:dyDescent="0.15">
      <c r="K201" s="120"/>
      <c r="Q201" s="74"/>
    </row>
    <row r="202" spans="11:17" x14ac:dyDescent="0.15">
      <c r="K202" s="120"/>
      <c r="Q202" s="74"/>
    </row>
    <row r="203" spans="11:17" x14ac:dyDescent="0.15">
      <c r="K203" s="120"/>
      <c r="Q203" s="74"/>
    </row>
    <row r="204" spans="11:17" x14ac:dyDescent="0.15">
      <c r="K204" s="120"/>
      <c r="Q204" s="74"/>
    </row>
    <row r="205" spans="11:17" x14ac:dyDescent="0.15">
      <c r="K205" s="120"/>
      <c r="Q205" s="74"/>
    </row>
    <row r="206" spans="11:17" x14ac:dyDescent="0.15">
      <c r="K206" s="120"/>
      <c r="Q206" s="74"/>
    </row>
    <row r="207" spans="11:17" x14ac:dyDescent="0.15">
      <c r="K207" s="120"/>
      <c r="Q207" s="74"/>
    </row>
    <row r="208" spans="11:17" x14ac:dyDescent="0.15">
      <c r="K208" s="120"/>
      <c r="Q208" s="74"/>
    </row>
    <row r="209" spans="11:17" x14ac:dyDescent="0.15">
      <c r="K209" s="120"/>
      <c r="Q209" s="74"/>
    </row>
    <row r="210" spans="11:17" x14ac:dyDescent="0.15">
      <c r="K210" s="120"/>
      <c r="Q210" s="74"/>
    </row>
    <row r="211" spans="11:17" x14ac:dyDescent="0.15">
      <c r="K211" s="120"/>
      <c r="Q211" s="74"/>
    </row>
    <row r="212" spans="11:17" x14ac:dyDescent="0.15">
      <c r="K212" s="120"/>
      <c r="Q212" s="74"/>
    </row>
    <row r="213" spans="11:17" x14ac:dyDescent="0.15">
      <c r="K213" s="120"/>
      <c r="Q213" s="74"/>
    </row>
    <row r="214" spans="11:17" x14ac:dyDescent="0.15">
      <c r="K214" s="120"/>
      <c r="Q214" s="74"/>
    </row>
    <row r="215" spans="11:17" x14ac:dyDescent="0.15">
      <c r="K215" s="120"/>
      <c r="Q215" s="74"/>
    </row>
    <row r="216" spans="11:17" x14ac:dyDescent="0.15">
      <c r="K216" s="120"/>
      <c r="Q216" s="74"/>
    </row>
    <row r="217" spans="11:17" x14ac:dyDescent="0.15">
      <c r="K217" s="120"/>
      <c r="Q217" s="74"/>
    </row>
    <row r="218" spans="11:17" x14ac:dyDescent="0.15">
      <c r="K218" s="120"/>
      <c r="Q218" s="74"/>
    </row>
    <row r="219" spans="11:17" x14ac:dyDescent="0.15">
      <c r="K219" s="120"/>
      <c r="Q219" s="74"/>
    </row>
    <row r="220" spans="11:17" x14ac:dyDescent="0.15">
      <c r="K220" s="120"/>
      <c r="Q220" s="74"/>
    </row>
    <row r="221" spans="11:17" x14ac:dyDescent="0.15">
      <c r="K221" s="120"/>
      <c r="Q221" s="74"/>
    </row>
    <row r="222" spans="11:17" x14ac:dyDescent="0.15">
      <c r="K222" s="120"/>
      <c r="Q222" s="74"/>
    </row>
    <row r="223" spans="11:17" x14ac:dyDescent="0.15">
      <c r="K223" s="120"/>
      <c r="Q223" s="74"/>
    </row>
    <row r="224" spans="11:17" x14ac:dyDescent="0.15">
      <c r="K224" s="120"/>
      <c r="Q224" s="74"/>
    </row>
    <row r="225" spans="11:17" x14ac:dyDescent="0.15">
      <c r="K225" s="120"/>
      <c r="Q225" s="74"/>
    </row>
    <row r="226" spans="11:17" x14ac:dyDescent="0.15">
      <c r="K226" s="120"/>
      <c r="Q226" s="74"/>
    </row>
    <row r="227" spans="11:17" x14ac:dyDescent="0.15">
      <c r="K227" s="120"/>
      <c r="Q227" s="74"/>
    </row>
    <row r="228" spans="11:17" x14ac:dyDescent="0.15">
      <c r="K228" s="120"/>
      <c r="Q228" s="74"/>
    </row>
    <row r="229" spans="11:17" x14ac:dyDescent="0.15">
      <c r="K229" s="120"/>
      <c r="Q229" s="74"/>
    </row>
    <row r="230" spans="11:17" x14ac:dyDescent="0.15">
      <c r="K230" s="120"/>
      <c r="Q230" s="74"/>
    </row>
    <row r="231" spans="11:17" x14ac:dyDescent="0.15">
      <c r="K231" s="120"/>
      <c r="Q231" s="74"/>
    </row>
    <row r="232" spans="11:17" x14ac:dyDescent="0.15">
      <c r="K232" s="120"/>
      <c r="Q232" s="74"/>
    </row>
    <row r="233" spans="11:17" x14ac:dyDescent="0.15">
      <c r="K233" s="120"/>
      <c r="Q233" s="74"/>
    </row>
    <row r="234" spans="11:17" x14ac:dyDescent="0.15">
      <c r="K234" s="120"/>
      <c r="Q234" s="74"/>
    </row>
    <row r="235" spans="11:17" x14ac:dyDescent="0.15">
      <c r="K235" s="120"/>
      <c r="Q235" s="74"/>
    </row>
    <row r="236" spans="11:17" x14ac:dyDescent="0.15">
      <c r="K236" s="120"/>
      <c r="Q236" s="74"/>
    </row>
    <row r="237" spans="11:17" x14ac:dyDescent="0.15">
      <c r="K237" s="120"/>
      <c r="Q237" s="74"/>
    </row>
    <row r="238" spans="11:17" x14ac:dyDescent="0.15">
      <c r="K238" s="120"/>
      <c r="Q238" s="74"/>
    </row>
    <row r="239" spans="11:17" x14ac:dyDescent="0.15">
      <c r="K239" s="120"/>
      <c r="Q239" s="74"/>
    </row>
    <row r="240" spans="11:17" x14ac:dyDescent="0.15">
      <c r="K240" s="120"/>
      <c r="Q240" s="74"/>
    </row>
    <row r="241" spans="11:17" x14ac:dyDescent="0.15">
      <c r="K241" s="120"/>
      <c r="Q241" s="74"/>
    </row>
    <row r="242" spans="11:17" x14ac:dyDescent="0.15">
      <c r="K242" s="120"/>
      <c r="Q242" s="74"/>
    </row>
    <row r="243" spans="11:17" x14ac:dyDescent="0.15">
      <c r="K243" s="120"/>
      <c r="Q243" s="74"/>
    </row>
    <row r="244" spans="11:17" x14ac:dyDescent="0.15">
      <c r="K244" s="120"/>
      <c r="Q244" s="74"/>
    </row>
    <row r="245" spans="11:17" x14ac:dyDescent="0.15">
      <c r="K245" s="120"/>
      <c r="Q245" s="74"/>
    </row>
    <row r="246" spans="11:17" x14ac:dyDescent="0.15">
      <c r="K246" s="120"/>
      <c r="Q246" s="74"/>
    </row>
    <row r="247" spans="11:17" x14ac:dyDescent="0.15">
      <c r="K247" s="120"/>
      <c r="Q247" s="74"/>
    </row>
    <row r="248" spans="11:17" x14ac:dyDescent="0.15">
      <c r="K248" s="120"/>
      <c r="Q248" s="74"/>
    </row>
    <row r="249" spans="11:17" x14ac:dyDescent="0.15">
      <c r="K249" s="120"/>
      <c r="Q249" s="74"/>
    </row>
    <row r="250" spans="11:17" x14ac:dyDescent="0.15">
      <c r="K250" s="120"/>
      <c r="Q250" s="74"/>
    </row>
    <row r="251" spans="11:17" x14ac:dyDescent="0.15">
      <c r="K251" s="120"/>
      <c r="Q251" s="74"/>
    </row>
    <row r="252" spans="11:17" x14ac:dyDescent="0.15">
      <c r="K252" s="120"/>
      <c r="Q252" s="74"/>
    </row>
    <row r="253" spans="11:17" x14ac:dyDescent="0.15">
      <c r="K253" s="120"/>
      <c r="Q253" s="74"/>
    </row>
    <row r="254" spans="11:17" x14ac:dyDescent="0.15">
      <c r="K254" s="120"/>
      <c r="Q254" s="74"/>
    </row>
    <row r="255" spans="11:17" x14ac:dyDescent="0.15">
      <c r="K255" s="120"/>
      <c r="Q255" s="74"/>
    </row>
    <row r="256" spans="11:17" x14ac:dyDescent="0.15">
      <c r="K256" s="120"/>
      <c r="Q256" s="74"/>
    </row>
    <row r="257" spans="11:17" x14ac:dyDescent="0.15">
      <c r="K257" s="120"/>
      <c r="Q257" s="74"/>
    </row>
    <row r="258" spans="11:17" x14ac:dyDescent="0.15">
      <c r="K258" s="120"/>
      <c r="Q258" s="74"/>
    </row>
    <row r="259" spans="11:17" x14ac:dyDescent="0.15">
      <c r="K259" s="120"/>
      <c r="Q259" s="74"/>
    </row>
    <row r="260" spans="11:17" x14ac:dyDescent="0.15">
      <c r="K260" s="120"/>
      <c r="Q260" s="74"/>
    </row>
    <row r="261" spans="11:17" x14ac:dyDescent="0.15">
      <c r="K261" s="120"/>
      <c r="Q261" s="74"/>
    </row>
    <row r="262" spans="11:17" x14ac:dyDescent="0.15">
      <c r="K262" s="120"/>
      <c r="Q262" s="74"/>
    </row>
    <row r="263" spans="11:17" x14ac:dyDescent="0.15">
      <c r="K263" s="120"/>
      <c r="Q263" s="74"/>
    </row>
    <row r="264" spans="11:17" x14ac:dyDescent="0.15">
      <c r="K264" s="120"/>
      <c r="Q264" s="74"/>
    </row>
    <row r="265" spans="11:17" x14ac:dyDescent="0.15">
      <c r="K265" s="120"/>
      <c r="Q265" s="74"/>
    </row>
    <row r="266" spans="11:17" x14ac:dyDescent="0.15">
      <c r="K266" s="120"/>
      <c r="Q266" s="74"/>
    </row>
    <row r="267" spans="11:17" x14ac:dyDescent="0.15">
      <c r="K267" s="120"/>
      <c r="Q267" s="74"/>
    </row>
    <row r="268" spans="11:17" x14ac:dyDescent="0.15">
      <c r="K268" s="120"/>
      <c r="Q268" s="74"/>
    </row>
    <row r="269" spans="11:17" x14ac:dyDescent="0.15">
      <c r="K269" s="120"/>
      <c r="Q269" s="74"/>
    </row>
    <row r="270" spans="11:17" x14ac:dyDescent="0.15">
      <c r="K270" s="120"/>
      <c r="Q270" s="74"/>
    </row>
    <row r="271" spans="11:17" x14ac:dyDescent="0.15">
      <c r="K271" s="120"/>
      <c r="Q271" s="74"/>
    </row>
    <row r="272" spans="11:17" x14ac:dyDescent="0.15">
      <c r="K272" s="120"/>
      <c r="Q272" s="74"/>
    </row>
    <row r="273" spans="11:17" x14ac:dyDescent="0.15">
      <c r="K273" s="120"/>
      <c r="Q273" s="74"/>
    </row>
    <row r="274" spans="11:17" x14ac:dyDescent="0.15">
      <c r="K274" s="120"/>
      <c r="Q274" s="74"/>
    </row>
    <row r="275" spans="11:17" x14ac:dyDescent="0.15">
      <c r="K275" s="120"/>
      <c r="Q275" s="74"/>
    </row>
    <row r="276" spans="11:17" x14ac:dyDescent="0.15">
      <c r="K276" s="120"/>
      <c r="Q276" s="74"/>
    </row>
    <row r="277" spans="11:17" x14ac:dyDescent="0.15">
      <c r="K277" s="120"/>
      <c r="Q277" s="74"/>
    </row>
    <row r="278" spans="11:17" x14ac:dyDescent="0.15">
      <c r="K278" s="120"/>
      <c r="Q278" s="74"/>
    </row>
    <row r="279" spans="11:17" x14ac:dyDescent="0.15">
      <c r="K279" s="120"/>
      <c r="Q279" s="74"/>
    </row>
    <row r="280" spans="11:17" x14ac:dyDescent="0.15">
      <c r="K280" s="120"/>
      <c r="Q280" s="74"/>
    </row>
    <row r="281" spans="11:17" x14ac:dyDescent="0.15">
      <c r="K281" s="120"/>
      <c r="Q281" s="74"/>
    </row>
    <row r="282" spans="11:17" x14ac:dyDescent="0.15">
      <c r="K282" s="120"/>
      <c r="Q282" s="74"/>
    </row>
    <row r="283" spans="11:17" x14ac:dyDescent="0.15">
      <c r="K283" s="120"/>
      <c r="Q283" s="74"/>
    </row>
    <row r="284" spans="11:17" x14ac:dyDescent="0.15">
      <c r="K284" s="120"/>
      <c r="Q284" s="74"/>
    </row>
    <row r="285" spans="11:17" x14ac:dyDescent="0.15">
      <c r="K285" s="120"/>
      <c r="Q285" s="74"/>
    </row>
    <row r="286" spans="11:17" x14ac:dyDescent="0.15">
      <c r="K286" s="120"/>
      <c r="Q286" s="74"/>
    </row>
    <row r="287" spans="11:17" x14ac:dyDescent="0.15">
      <c r="K287" s="120"/>
      <c r="Q287" s="74"/>
    </row>
    <row r="288" spans="11:17" x14ac:dyDescent="0.15">
      <c r="K288" s="120"/>
      <c r="Q288" s="74"/>
    </row>
    <row r="289" spans="11:17" x14ac:dyDescent="0.15">
      <c r="K289" s="120"/>
      <c r="Q289" s="74"/>
    </row>
    <row r="290" spans="11:17" x14ac:dyDescent="0.15">
      <c r="K290" s="120"/>
      <c r="Q290" s="74"/>
    </row>
    <row r="291" spans="11:17" x14ac:dyDescent="0.15">
      <c r="K291" s="120"/>
      <c r="Q291" s="74"/>
    </row>
    <row r="292" spans="11:17" x14ac:dyDescent="0.15">
      <c r="K292" s="120"/>
    </row>
    <row r="293" spans="11:17" x14ac:dyDescent="0.15">
      <c r="K293" s="120"/>
    </row>
    <row r="294" spans="11:17" x14ac:dyDescent="0.15">
      <c r="K294" s="120"/>
    </row>
    <row r="295" spans="11:17" x14ac:dyDescent="0.15">
      <c r="K295" s="120"/>
    </row>
    <row r="296" spans="11:17" x14ac:dyDescent="0.15">
      <c r="K296" s="120"/>
    </row>
    <row r="297" spans="11:17" x14ac:dyDescent="0.15">
      <c r="K297" s="120"/>
    </row>
    <row r="298" spans="11:17" x14ac:dyDescent="0.15">
      <c r="K298" s="120"/>
    </row>
    <row r="299" spans="11:17" x14ac:dyDescent="0.15">
      <c r="K299" s="120"/>
    </row>
    <row r="300" spans="11:17" x14ac:dyDescent="0.15">
      <c r="K300" s="120"/>
    </row>
    <row r="301" spans="11:17" x14ac:dyDescent="0.15">
      <c r="K301" s="120"/>
    </row>
    <row r="302" spans="11:17" x14ac:dyDescent="0.15">
      <c r="K302" s="120"/>
    </row>
    <row r="303" spans="11:17" x14ac:dyDescent="0.15">
      <c r="K303" s="120"/>
    </row>
    <row r="304" spans="11:17" x14ac:dyDescent="0.15">
      <c r="K304" s="120"/>
    </row>
    <row r="305" spans="11:11" x14ac:dyDescent="0.15">
      <c r="K305" s="120"/>
    </row>
    <row r="306" spans="11:11" x14ac:dyDescent="0.15">
      <c r="K306" s="120"/>
    </row>
    <row r="307" spans="11:11" x14ac:dyDescent="0.15">
      <c r="K307" s="120"/>
    </row>
    <row r="308" spans="11:11" x14ac:dyDescent="0.15">
      <c r="K308" s="120"/>
    </row>
    <row r="309" spans="11:11" x14ac:dyDescent="0.15">
      <c r="K309" s="120"/>
    </row>
    <row r="310" spans="11:11" x14ac:dyDescent="0.15">
      <c r="K310" s="120"/>
    </row>
    <row r="311" spans="11:11" x14ac:dyDescent="0.15">
      <c r="K311" s="120"/>
    </row>
    <row r="312" spans="11:11" x14ac:dyDescent="0.15">
      <c r="K312" s="120"/>
    </row>
    <row r="313" spans="11:11" x14ac:dyDescent="0.15">
      <c r="K313" s="120"/>
    </row>
    <row r="314" spans="11:11" x14ac:dyDescent="0.15">
      <c r="K314" s="120"/>
    </row>
    <row r="315" spans="11:11" x14ac:dyDescent="0.15">
      <c r="K315" s="120"/>
    </row>
    <row r="316" spans="11:11" x14ac:dyDescent="0.15">
      <c r="K316" s="120"/>
    </row>
    <row r="317" spans="11:11" x14ac:dyDescent="0.15">
      <c r="K317" s="120"/>
    </row>
    <row r="318" spans="11:11" x14ac:dyDescent="0.15">
      <c r="K318" s="120"/>
    </row>
    <row r="319" spans="11:11" x14ac:dyDescent="0.15">
      <c r="K319" s="120"/>
    </row>
    <row r="320" spans="11:11" x14ac:dyDescent="0.15">
      <c r="K320" s="120"/>
    </row>
    <row r="321" spans="11:11" x14ac:dyDescent="0.15">
      <c r="K321" s="120"/>
    </row>
    <row r="322" spans="11:11" x14ac:dyDescent="0.15">
      <c r="K322" s="120"/>
    </row>
    <row r="323" spans="11:11" x14ac:dyDescent="0.15">
      <c r="K323" s="120"/>
    </row>
    <row r="324" spans="11:11" x14ac:dyDescent="0.15">
      <c r="K324" s="120"/>
    </row>
    <row r="325" spans="11:11" x14ac:dyDescent="0.15">
      <c r="K325" s="120"/>
    </row>
    <row r="326" spans="11:11" x14ac:dyDescent="0.15">
      <c r="K326" s="120"/>
    </row>
    <row r="327" spans="11:11" x14ac:dyDescent="0.15">
      <c r="K327" s="120"/>
    </row>
    <row r="328" spans="11:11" x14ac:dyDescent="0.15">
      <c r="K328" s="120"/>
    </row>
    <row r="329" spans="11:11" x14ac:dyDescent="0.15">
      <c r="K329" s="120"/>
    </row>
    <row r="330" spans="11:11" x14ac:dyDescent="0.15">
      <c r="K330" s="120"/>
    </row>
    <row r="331" spans="11:11" x14ac:dyDescent="0.15">
      <c r="K331" s="120"/>
    </row>
    <row r="332" spans="11:11" x14ac:dyDescent="0.15">
      <c r="K332" s="120"/>
    </row>
    <row r="333" spans="11:11" x14ac:dyDescent="0.15">
      <c r="K333" s="120"/>
    </row>
    <row r="334" spans="11:11" x14ac:dyDescent="0.15">
      <c r="K334" s="120"/>
    </row>
    <row r="335" spans="11:11" x14ac:dyDescent="0.15">
      <c r="K335" s="120"/>
    </row>
    <row r="336" spans="11:11" x14ac:dyDescent="0.15">
      <c r="K336" s="120"/>
    </row>
    <row r="337" spans="11:11" x14ac:dyDescent="0.15">
      <c r="K337" s="120"/>
    </row>
    <row r="338" spans="11:11" x14ac:dyDescent="0.15">
      <c r="K338" s="120"/>
    </row>
    <row r="339" spans="11:11" x14ac:dyDescent="0.15">
      <c r="K339" s="120"/>
    </row>
    <row r="340" spans="11:11" x14ac:dyDescent="0.15">
      <c r="K340" s="120"/>
    </row>
    <row r="341" spans="11:11" x14ac:dyDescent="0.15">
      <c r="K341" s="120"/>
    </row>
    <row r="342" spans="11:11" x14ac:dyDescent="0.15">
      <c r="K342" s="120"/>
    </row>
    <row r="343" spans="11:11" x14ac:dyDescent="0.15">
      <c r="K343" s="120"/>
    </row>
    <row r="344" spans="11:11" x14ac:dyDescent="0.15">
      <c r="K344" s="120"/>
    </row>
    <row r="345" spans="11:11" x14ac:dyDescent="0.15">
      <c r="K345" s="120"/>
    </row>
    <row r="346" spans="11:11" x14ac:dyDescent="0.15">
      <c r="K346" s="120"/>
    </row>
    <row r="347" spans="11:11" x14ac:dyDescent="0.15">
      <c r="K347" s="120"/>
    </row>
    <row r="348" spans="11:11" x14ac:dyDescent="0.15">
      <c r="K348" s="120"/>
    </row>
    <row r="349" spans="11:11" x14ac:dyDescent="0.15">
      <c r="K349" s="120"/>
    </row>
    <row r="350" spans="11:11" x14ac:dyDescent="0.15">
      <c r="K350" s="120"/>
    </row>
    <row r="351" spans="11:11" x14ac:dyDescent="0.15">
      <c r="K351" s="120"/>
    </row>
    <row r="352" spans="11:11" x14ac:dyDescent="0.15">
      <c r="K352" s="120"/>
    </row>
    <row r="353" spans="11:11" x14ac:dyDescent="0.15">
      <c r="K353" s="120"/>
    </row>
    <row r="354" spans="11:11" x14ac:dyDescent="0.15">
      <c r="K354" s="120"/>
    </row>
    <row r="355" spans="11:11" x14ac:dyDescent="0.15">
      <c r="K355" s="120"/>
    </row>
    <row r="356" spans="11:11" x14ac:dyDescent="0.15">
      <c r="K356" s="120"/>
    </row>
    <row r="357" spans="11:11" x14ac:dyDescent="0.15">
      <c r="K357" s="120"/>
    </row>
    <row r="358" spans="11:11" x14ac:dyDescent="0.15">
      <c r="K358" s="120"/>
    </row>
    <row r="359" spans="11:11" x14ac:dyDescent="0.15">
      <c r="K359" s="120"/>
    </row>
    <row r="360" spans="11:11" x14ac:dyDescent="0.15">
      <c r="K360" s="120"/>
    </row>
    <row r="361" spans="11:11" x14ac:dyDescent="0.15">
      <c r="K361" s="120"/>
    </row>
    <row r="362" spans="11:11" x14ac:dyDescent="0.15">
      <c r="K362" s="120"/>
    </row>
    <row r="363" spans="11:11" x14ac:dyDescent="0.15">
      <c r="K363" s="120"/>
    </row>
    <row r="364" spans="11:11" x14ac:dyDescent="0.15">
      <c r="K364" s="120"/>
    </row>
    <row r="365" spans="11:11" x14ac:dyDescent="0.15">
      <c r="K365" s="120"/>
    </row>
    <row r="366" spans="11:11" x14ac:dyDescent="0.15">
      <c r="K366" s="120"/>
    </row>
    <row r="367" spans="11:11" x14ac:dyDescent="0.15">
      <c r="K367" s="120"/>
    </row>
    <row r="368" spans="11:11" x14ac:dyDescent="0.15">
      <c r="K368" s="120"/>
    </row>
    <row r="369" spans="11:11" x14ac:dyDescent="0.15">
      <c r="K369" s="120"/>
    </row>
    <row r="370" spans="11:11" x14ac:dyDescent="0.15">
      <c r="K370" s="120"/>
    </row>
    <row r="371" spans="11:11" x14ac:dyDescent="0.15">
      <c r="K371" s="120"/>
    </row>
    <row r="372" spans="11:11" x14ac:dyDescent="0.15">
      <c r="K372" s="120"/>
    </row>
    <row r="373" spans="11:11" x14ac:dyDescent="0.15">
      <c r="K373" s="120"/>
    </row>
    <row r="374" spans="11:11" x14ac:dyDescent="0.15">
      <c r="K374" s="120"/>
    </row>
    <row r="375" spans="11:11" x14ac:dyDescent="0.15">
      <c r="K375" s="120"/>
    </row>
    <row r="376" spans="11:11" x14ac:dyDescent="0.15">
      <c r="K376" s="120"/>
    </row>
    <row r="377" spans="11:11" x14ac:dyDescent="0.15">
      <c r="K377" s="120"/>
    </row>
    <row r="378" spans="11:11" x14ac:dyDescent="0.15">
      <c r="K378" s="120"/>
    </row>
    <row r="379" spans="11:11" x14ac:dyDescent="0.15">
      <c r="K379" s="120"/>
    </row>
    <row r="380" spans="11:11" x14ac:dyDescent="0.15">
      <c r="K380" s="120"/>
    </row>
    <row r="381" spans="11:11" x14ac:dyDescent="0.15">
      <c r="K381" s="120"/>
    </row>
    <row r="382" spans="11:11" x14ac:dyDescent="0.15">
      <c r="K382" s="120"/>
    </row>
    <row r="383" spans="11:11" x14ac:dyDescent="0.15">
      <c r="K383" s="120"/>
    </row>
    <row r="384" spans="11:11" x14ac:dyDescent="0.15">
      <c r="K384" s="120"/>
    </row>
    <row r="385" spans="11:11" x14ac:dyDescent="0.15">
      <c r="K385" s="120"/>
    </row>
    <row r="386" spans="11:11" x14ac:dyDescent="0.15">
      <c r="K386" s="120"/>
    </row>
    <row r="387" spans="11:11" x14ac:dyDescent="0.15">
      <c r="K387" s="120"/>
    </row>
    <row r="388" spans="11:11" x14ac:dyDescent="0.15">
      <c r="K388" s="120"/>
    </row>
    <row r="389" spans="11:11" x14ac:dyDescent="0.15">
      <c r="K389" s="120"/>
    </row>
    <row r="390" spans="11:11" x14ac:dyDescent="0.15">
      <c r="K390" s="120"/>
    </row>
    <row r="391" spans="11:11" x14ac:dyDescent="0.15">
      <c r="K391" s="120"/>
    </row>
    <row r="392" spans="11:11" x14ac:dyDescent="0.15">
      <c r="K392" s="120"/>
    </row>
    <row r="393" spans="11:11" x14ac:dyDescent="0.15">
      <c r="K393" s="120"/>
    </row>
    <row r="394" spans="11:11" x14ac:dyDescent="0.15">
      <c r="K394" s="120"/>
    </row>
    <row r="395" spans="11:11" x14ac:dyDescent="0.15">
      <c r="K395" s="120"/>
    </row>
    <row r="396" spans="11:11" x14ac:dyDescent="0.15">
      <c r="K396" s="120"/>
    </row>
    <row r="397" spans="11:11" x14ac:dyDescent="0.15">
      <c r="K397" s="120"/>
    </row>
    <row r="398" spans="11:11" x14ac:dyDescent="0.15">
      <c r="K398" s="120"/>
    </row>
    <row r="399" spans="11:11" x14ac:dyDescent="0.15">
      <c r="K399" s="120"/>
    </row>
    <row r="400" spans="11:11" x14ac:dyDescent="0.15">
      <c r="K400" s="120"/>
    </row>
    <row r="401" spans="11:11" x14ac:dyDescent="0.15">
      <c r="K401" s="120"/>
    </row>
    <row r="402" spans="11:11" x14ac:dyDescent="0.15">
      <c r="K402" s="120"/>
    </row>
    <row r="403" spans="11:11" x14ac:dyDescent="0.15">
      <c r="K403" s="120"/>
    </row>
    <row r="404" spans="11:11" x14ac:dyDescent="0.15">
      <c r="K404" s="120"/>
    </row>
    <row r="405" spans="11:11" x14ac:dyDescent="0.15">
      <c r="K405" s="120"/>
    </row>
    <row r="406" spans="11:11" x14ac:dyDescent="0.15">
      <c r="K406" s="120"/>
    </row>
    <row r="407" spans="11:11" x14ac:dyDescent="0.15">
      <c r="K407" s="120"/>
    </row>
    <row r="408" spans="11:11" x14ac:dyDescent="0.15">
      <c r="K408" s="120"/>
    </row>
    <row r="409" spans="11:11" x14ac:dyDescent="0.15">
      <c r="K409" s="120"/>
    </row>
    <row r="410" spans="11:11" x14ac:dyDescent="0.15">
      <c r="K410" s="120"/>
    </row>
    <row r="411" spans="11:11" x14ac:dyDescent="0.15">
      <c r="K411" s="120"/>
    </row>
    <row r="412" spans="11:11" x14ac:dyDescent="0.15">
      <c r="K412" s="120"/>
    </row>
    <row r="413" spans="11:11" x14ac:dyDescent="0.15">
      <c r="K413" s="120"/>
    </row>
    <row r="414" spans="11:11" x14ac:dyDescent="0.15">
      <c r="K414" s="120"/>
    </row>
    <row r="415" spans="11:11" x14ac:dyDescent="0.15">
      <c r="K415" s="120"/>
    </row>
    <row r="416" spans="11:11" x14ac:dyDescent="0.15">
      <c r="K416" s="120"/>
    </row>
    <row r="417" spans="11:11" x14ac:dyDescent="0.15">
      <c r="K417" s="120"/>
    </row>
    <row r="418" spans="11:11" x14ac:dyDescent="0.15">
      <c r="K418" s="120"/>
    </row>
    <row r="419" spans="11:11" x14ac:dyDescent="0.15">
      <c r="K419" s="120"/>
    </row>
    <row r="420" spans="11:11" x14ac:dyDescent="0.15">
      <c r="K420" s="120"/>
    </row>
    <row r="421" spans="11:11" x14ac:dyDescent="0.15">
      <c r="K421" s="120"/>
    </row>
    <row r="422" spans="11:11" x14ac:dyDescent="0.15">
      <c r="K422" s="120"/>
    </row>
    <row r="423" spans="11:11" x14ac:dyDescent="0.15">
      <c r="K423" s="120"/>
    </row>
    <row r="424" spans="11:11" x14ac:dyDescent="0.15">
      <c r="K424" s="120"/>
    </row>
    <row r="425" spans="11:11" x14ac:dyDescent="0.15">
      <c r="K425" s="120"/>
    </row>
    <row r="426" spans="11:11" x14ac:dyDescent="0.15">
      <c r="K426" s="120"/>
    </row>
    <row r="427" spans="11:11" x14ac:dyDescent="0.15">
      <c r="K427" s="120"/>
    </row>
    <row r="428" spans="11:11" x14ac:dyDescent="0.15">
      <c r="K428" s="120"/>
    </row>
    <row r="429" spans="11:11" x14ac:dyDescent="0.15">
      <c r="K429" s="120"/>
    </row>
    <row r="430" spans="11:11" x14ac:dyDescent="0.15">
      <c r="K430" s="120"/>
    </row>
    <row r="431" spans="11:11" x14ac:dyDescent="0.15">
      <c r="K431" s="120"/>
    </row>
    <row r="432" spans="11:11" x14ac:dyDescent="0.15">
      <c r="K432" s="120"/>
    </row>
    <row r="433" spans="11:11" x14ac:dyDescent="0.15">
      <c r="K433" s="120"/>
    </row>
    <row r="434" spans="11:11" x14ac:dyDescent="0.15">
      <c r="K434" s="120"/>
    </row>
    <row r="435" spans="11:11" x14ac:dyDescent="0.15">
      <c r="K435" s="120"/>
    </row>
    <row r="436" spans="11:11" x14ac:dyDescent="0.15">
      <c r="K436" s="120"/>
    </row>
    <row r="437" spans="11:11" x14ac:dyDescent="0.15">
      <c r="K437" s="120"/>
    </row>
    <row r="438" spans="11:11" x14ac:dyDescent="0.15">
      <c r="K438" s="120"/>
    </row>
    <row r="439" spans="11:11" x14ac:dyDescent="0.15">
      <c r="K439" s="120"/>
    </row>
    <row r="440" spans="11:11" x14ac:dyDescent="0.15">
      <c r="K440" s="120"/>
    </row>
    <row r="441" spans="11:11" x14ac:dyDescent="0.15">
      <c r="K441" s="120"/>
    </row>
    <row r="442" spans="11:11" x14ac:dyDescent="0.15">
      <c r="K442" s="120"/>
    </row>
    <row r="443" spans="11:11" x14ac:dyDescent="0.15">
      <c r="K443" s="120"/>
    </row>
  </sheetData>
  <autoFilter ref="A1:BA1" xr:uid="{00000000-0009-0000-0000-000000000000}"/>
  <phoneticPr fontId="3"/>
  <dataValidations count="20">
    <dataValidation type="list" allowBlank="1" showInputMessage="1" showErrorMessage="1" sqref="F2:F491" xr:uid="{86AF1CE9-A0AF-4A64-9AF1-7D49CBDD3F54}">
      <formula1>$AH$2:$AH$11</formula1>
    </dataValidation>
    <dataValidation type="list" allowBlank="1" showInputMessage="1" showErrorMessage="1" sqref="E2:E491" xr:uid="{E72DB35F-31F7-43D6-839C-E497F6311671}">
      <formula1>$AG$2:$AG$11</formula1>
    </dataValidation>
    <dataValidation type="decimal" allowBlank="1" showInputMessage="1" showErrorMessage="1" error="硬度を正しく入力して下さい。" sqref="O2:P491" xr:uid="{1DED2F9B-5028-4C4E-B01F-E5DA8949C2A9}">
      <formula1>0</formula1>
      <formula2>7</formula2>
    </dataValidation>
    <dataValidation type="list" allowBlank="1" showInputMessage="1" showErrorMessage="1" sqref="Y2:AA491" xr:uid="{EFBCEC96-8094-4454-85D4-33EF8B4C3B57}">
      <formula1>$AV$2:$AV$21</formula1>
    </dataValidation>
    <dataValidation type="list" allowBlank="1" showInputMessage="1" showErrorMessage="1" sqref="K444:K491" xr:uid="{82F507F5-BDF7-489C-AFAC-85EE363C99AF}">
      <formula1>$AR$2:$AR$25</formula1>
    </dataValidation>
    <dataValidation type="list" allowBlank="1" showInputMessage="1" showErrorMessage="1" sqref="I2:I491" xr:uid="{61CDFCF4-43D8-43CC-B0DB-C75E2B1D1B96}">
      <formula1>$AN$5:$AN$6</formula1>
    </dataValidation>
    <dataValidation type="list" allowBlank="1" showInputMessage="1" showErrorMessage="1" sqref="H2:H491" xr:uid="{C4259CE9-B6E6-49AE-B49F-41902EB1FCF2}">
      <formula1>$AL$2:$AL$8</formula1>
    </dataValidation>
    <dataValidation type="list" allowBlank="1" showInputMessage="1" showErrorMessage="1" sqref="A2:A491" xr:uid="{31FB2286-8CFB-43BA-A00E-553EAF61DE4A}">
      <formula1>$AE$2:$AE$19</formula1>
    </dataValidation>
    <dataValidation type="list" allowBlank="1" showInputMessage="1" showErrorMessage="1" sqref="X2:X491" xr:uid="{81E4B721-DFB0-4E86-8043-BDE86262B5AC}">
      <formula1>$AT$2:$AT$3</formula1>
    </dataValidation>
    <dataValidation type="list" allowBlank="1" showInputMessage="1" showErrorMessage="1" sqref="G2:G491" xr:uid="{D21ADC3F-1432-4FAD-BD89-25E4A693570B}">
      <formula1>$AJ$2:$AJ$4</formula1>
    </dataValidation>
    <dataValidation type="list" allowBlank="1" showInputMessage="1" showErrorMessage="1" sqref="J2:J491" xr:uid="{4E868024-E4BA-4E59-9614-3413CA5D7107}">
      <formula1>$AP$2:$AP$27</formula1>
    </dataValidation>
    <dataValidation operator="equal" allowBlank="1" showInputMessage="1" showErrorMessage="1" sqref="B2:B46" xr:uid="{09D61A07-E270-494D-A49A-CFDB0CAB5E51}"/>
    <dataValidation type="list" allowBlank="1" showInputMessage="1" showErrorMessage="1" sqref="F492:F64242" xr:uid="{B782EF3D-51C3-4A32-9D38-055F9D4C8C65}">
      <formula1>$AH$2:$AH$8</formula1>
    </dataValidation>
    <dataValidation type="list" allowBlank="1" showInputMessage="1" showErrorMessage="1" sqref="E492:E64242" xr:uid="{445AAA71-AC49-4608-9382-932459E5A5DE}">
      <formula1>$AG$2:$AG$9</formula1>
    </dataValidation>
    <dataValidation type="list" allowBlank="1" showInputMessage="1" showErrorMessage="1" sqref="H492:H64242" xr:uid="{B1297CD5-2182-4842-BEB6-8A6978959DFA}">
      <formula1>$AL$2:$AL$10</formula1>
    </dataValidation>
    <dataValidation type="list" allowBlank="1" showInputMessage="1" showErrorMessage="1" sqref="K492:K64242" xr:uid="{72E43507-774A-4863-8546-60F642609647}">
      <formula1>$AR$2:$AR$28</formula1>
    </dataValidation>
    <dataValidation type="list" allowBlank="1" showInputMessage="1" showErrorMessage="1" sqref="Y492:AA64242" xr:uid="{1B10B14E-EBAC-4040-957A-DFB8ADEA551B}">
      <formula1>$AV$2:$AV$26</formula1>
    </dataValidation>
    <dataValidation type="list" allowBlank="1" showInputMessage="1" showErrorMessage="1" sqref="I492:I64242" xr:uid="{DA0EA99B-613F-4437-9F93-66F734136C28}">
      <formula1>$AN$2:$AN$6</formula1>
    </dataValidation>
    <dataValidation type="list" allowBlank="1" showInputMessage="1" showErrorMessage="1" sqref="J492:J64242" xr:uid="{79C71CB5-51DE-41A3-ACD7-A9E1304D1086}">
      <formula1>$AP$2:$AP$16</formula1>
    </dataValidation>
    <dataValidation type="list" allowBlank="1" showInputMessage="1" showErrorMessage="1" sqref="K2:K443" xr:uid="{B23BC2A3-3236-43C9-BF9D-3E3714AD3CFF}">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AC805-CEF0-4DD5-A5EF-30D84E5DF1AA}">
  <dimension ref="A1:BA136"/>
  <sheetViews>
    <sheetView zoomScale="70" zoomScaleNormal="70" workbookViewId="0">
      <selection activeCell="N142" sqref="N142"/>
    </sheetView>
  </sheetViews>
  <sheetFormatPr defaultColWidth="9" defaultRowHeight="13.5" x14ac:dyDescent="0.15"/>
  <cols>
    <col min="1" max="3" width="9" style="53"/>
    <col min="4" max="4" width="10.5" style="53" bestFit="1" customWidth="1"/>
    <col min="5" max="5" width="10.875" style="53" bestFit="1" customWidth="1"/>
    <col min="6" max="6" width="18.875" style="53" bestFit="1" customWidth="1"/>
    <col min="7" max="9" width="9" style="53"/>
    <col min="10" max="10" width="9.25" style="53" customWidth="1"/>
    <col min="11"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288</v>
      </c>
      <c r="V1" s="5" t="s">
        <v>20</v>
      </c>
      <c r="W1" s="56" t="s">
        <v>21</v>
      </c>
      <c r="X1" s="45" t="s">
        <v>22</v>
      </c>
      <c r="Y1" s="45" t="s">
        <v>23</v>
      </c>
      <c r="Z1" s="45" t="s">
        <v>346</v>
      </c>
      <c r="AA1" s="46" t="s">
        <v>25</v>
      </c>
      <c r="AB1" s="130" t="s">
        <v>26</v>
      </c>
      <c r="AE1" s="60" t="s">
        <v>0</v>
      </c>
      <c r="AF1" s="61"/>
      <c r="AG1" s="17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256</v>
      </c>
      <c r="C2" s="53">
        <v>2019</v>
      </c>
      <c r="D2" s="171" t="s">
        <v>289</v>
      </c>
      <c r="E2" s="53" t="s">
        <v>347</v>
      </c>
      <c r="F2" s="53" t="s">
        <v>348</v>
      </c>
      <c r="G2" s="53" t="s">
        <v>36</v>
      </c>
      <c r="H2" s="53" t="s">
        <v>164</v>
      </c>
      <c r="I2" s="53" t="s">
        <v>159</v>
      </c>
      <c r="J2" s="53" t="s">
        <v>38</v>
      </c>
      <c r="K2" s="53" t="s">
        <v>161</v>
      </c>
      <c r="L2" s="53">
        <v>1</v>
      </c>
      <c r="N2" s="53">
        <v>1</v>
      </c>
      <c r="O2" s="53">
        <v>0.65</v>
      </c>
      <c r="P2" s="53">
        <v>0.8</v>
      </c>
      <c r="Q2" s="74">
        <f t="shared" ref="Q2:Q82" si="0">IF(OR(O2="",P2=""),"",AVERAGE(O2,P2))</f>
        <v>0.72500000000000009</v>
      </c>
      <c r="R2" s="53">
        <v>17.100000000000001</v>
      </c>
      <c r="S2" s="53">
        <v>100</v>
      </c>
      <c r="T2" s="16">
        <f t="shared" ref="T2:T82" si="1">IF(H2="","",IF(OR(H2="GREEN",H2="GK"),IF(S2&gt;=$AX$2,VLOOKUP(S2,$AX$2:$AY$9,2,1),""),IF(S2&gt;=$AZ$2,VLOOKUP(S2,$AZ$2:$BA$9,2,1),"")))</f>
        <v>33</v>
      </c>
      <c r="U2" s="53">
        <v>103</v>
      </c>
      <c r="V2" s="16">
        <f t="shared" ref="V2:V82" si="2">IF(OR(N2="",U2="",T2=""),"",U2/N2*T2)</f>
        <v>3399</v>
      </c>
      <c r="W2" s="53">
        <v>1</v>
      </c>
      <c r="X2" s="53" t="s">
        <v>46</v>
      </c>
      <c r="Y2" s="53" t="s">
        <v>69</v>
      </c>
      <c r="Z2" s="53" t="s">
        <v>47</v>
      </c>
      <c r="AA2" s="53" t="s">
        <v>55</v>
      </c>
      <c r="AB2" s="53" t="s">
        <v>260</v>
      </c>
      <c r="AE2" s="64" t="s">
        <v>35</v>
      </c>
      <c r="AG2" s="172" t="s">
        <v>339</v>
      </c>
      <c r="AH2" s="67" t="s">
        <v>349</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256</v>
      </c>
      <c r="C3" s="53">
        <v>2019</v>
      </c>
      <c r="D3" s="171" t="s">
        <v>289</v>
      </c>
      <c r="E3" s="53" t="s">
        <v>347</v>
      </c>
      <c r="F3" s="53" t="s">
        <v>348</v>
      </c>
      <c r="G3" s="53" t="s">
        <v>36</v>
      </c>
      <c r="H3" s="53" t="s">
        <v>164</v>
      </c>
      <c r="I3" s="53" t="s">
        <v>159</v>
      </c>
      <c r="J3" s="53" t="s">
        <v>38</v>
      </c>
      <c r="K3" s="53" t="s">
        <v>161</v>
      </c>
      <c r="L3" s="53">
        <v>2</v>
      </c>
      <c r="N3" s="53">
        <v>1</v>
      </c>
      <c r="O3" s="53">
        <v>1</v>
      </c>
      <c r="P3" s="53">
        <v>0.95</v>
      </c>
      <c r="Q3" s="74">
        <f t="shared" si="0"/>
        <v>0.97499999999999998</v>
      </c>
      <c r="R3" s="53">
        <v>18.100000000000001</v>
      </c>
      <c r="S3" s="53">
        <v>113</v>
      </c>
      <c r="T3" s="16">
        <f t="shared" si="1"/>
        <v>30</v>
      </c>
      <c r="U3" s="53">
        <v>103</v>
      </c>
      <c r="V3" s="16">
        <f t="shared" si="2"/>
        <v>3090</v>
      </c>
      <c r="W3" s="53">
        <v>1</v>
      </c>
      <c r="X3" s="53" t="s">
        <v>46</v>
      </c>
      <c r="Y3" s="53" t="s">
        <v>69</v>
      </c>
      <c r="Z3" s="53" t="s">
        <v>47</v>
      </c>
      <c r="AA3" s="53" t="s">
        <v>55</v>
      </c>
      <c r="AB3" s="53" t="s">
        <v>260</v>
      </c>
      <c r="AE3" s="22" t="s">
        <v>41</v>
      </c>
      <c r="AG3" s="173" t="s">
        <v>350</v>
      </c>
      <c r="AH3" s="67" t="s">
        <v>349</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256</v>
      </c>
      <c r="C4" s="53">
        <v>2019</v>
      </c>
      <c r="D4" s="171" t="s">
        <v>289</v>
      </c>
      <c r="E4" s="53" t="s">
        <v>347</v>
      </c>
      <c r="F4" s="53" t="s">
        <v>348</v>
      </c>
      <c r="G4" s="53" t="s">
        <v>36</v>
      </c>
      <c r="H4" s="53" t="s">
        <v>164</v>
      </c>
      <c r="I4" s="53" t="s">
        <v>159</v>
      </c>
      <c r="J4" s="53" t="s">
        <v>38</v>
      </c>
      <c r="K4" s="53" t="s">
        <v>161</v>
      </c>
      <c r="L4" s="53">
        <v>3</v>
      </c>
      <c r="N4" s="53">
        <v>1</v>
      </c>
      <c r="O4" s="53">
        <v>0.6</v>
      </c>
      <c r="P4" s="53">
        <v>0.8</v>
      </c>
      <c r="Q4" s="74">
        <f t="shared" si="0"/>
        <v>0.7</v>
      </c>
      <c r="R4" s="53">
        <v>18</v>
      </c>
      <c r="S4" s="53">
        <v>110</v>
      </c>
      <c r="T4" s="16">
        <f t="shared" si="1"/>
        <v>33</v>
      </c>
      <c r="U4" s="53">
        <v>103</v>
      </c>
      <c r="V4" s="16">
        <f t="shared" si="2"/>
        <v>3399</v>
      </c>
      <c r="W4" s="53">
        <v>1</v>
      </c>
      <c r="X4" s="53" t="s">
        <v>46</v>
      </c>
      <c r="Y4" s="53" t="s">
        <v>69</v>
      </c>
      <c r="Z4" s="53" t="s">
        <v>47</v>
      </c>
      <c r="AA4" s="53" t="s">
        <v>55</v>
      </c>
      <c r="AB4" s="53" t="s">
        <v>260</v>
      </c>
      <c r="AE4" s="22" t="s">
        <v>34</v>
      </c>
      <c r="AG4" s="173" t="s">
        <v>351</v>
      </c>
      <c r="AH4" s="67" t="s">
        <v>352</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256</v>
      </c>
      <c r="C5" s="53">
        <v>2019</v>
      </c>
      <c r="D5" s="171" t="s">
        <v>289</v>
      </c>
      <c r="E5" s="53" t="s">
        <v>347</v>
      </c>
      <c r="F5" s="53" t="s">
        <v>348</v>
      </c>
      <c r="G5" s="53" t="s">
        <v>36</v>
      </c>
      <c r="H5" s="53" t="s">
        <v>160</v>
      </c>
      <c r="I5" s="53" t="s">
        <v>159</v>
      </c>
      <c r="J5" s="53" t="s">
        <v>38</v>
      </c>
      <c r="K5" s="53" t="s">
        <v>161</v>
      </c>
      <c r="L5" s="53">
        <v>1</v>
      </c>
      <c r="N5" s="53">
        <v>1</v>
      </c>
      <c r="O5" s="53">
        <v>0.6</v>
      </c>
      <c r="P5" s="53">
        <v>0.6</v>
      </c>
      <c r="Q5" s="74">
        <f t="shared" si="0"/>
        <v>0.6</v>
      </c>
      <c r="R5" s="53">
        <v>17.3</v>
      </c>
      <c r="S5" s="53">
        <v>117</v>
      </c>
      <c r="T5" s="16">
        <f t="shared" si="1"/>
        <v>30</v>
      </c>
      <c r="U5" s="53">
        <v>136</v>
      </c>
      <c r="V5" s="16">
        <f t="shared" si="2"/>
        <v>4080</v>
      </c>
      <c r="W5" s="53">
        <v>2</v>
      </c>
      <c r="X5" s="53" t="s">
        <v>46</v>
      </c>
      <c r="Y5" s="53" t="s">
        <v>69</v>
      </c>
      <c r="Z5" s="53" t="s">
        <v>47</v>
      </c>
      <c r="AA5" s="53" t="s">
        <v>55</v>
      </c>
      <c r="AB5" s="53" t="s">
        <v>260</v>
      </c>
      <c r="AE5" s="22" t="s">
        <v>51</v>
      </c>
      <c r="AG5" s="173" t="s">
        <v>353</v>
      </c>
      <c r="AH5" s="67" t="s">
        <v>354</v>
      </c>
      <c r="AJ5" s="28"/>
      <c r="AL5" s="72" t="s">
        <v>66</v>
      </c>
      <c r="AN5" s="72" t="s">
        <v>52</v>
      </c>
      <c r="AP5" s="23" t="s">
        <v>119</v>
      </c>
      <c r="AR5" s="23" t="s">
        <v>54</v>
      </c>
      <c r="AV5" s="23" t="s">
        <v>55</v>
      </c>
      <c r="AX5" s="24">
        <v>84</v>
      </c>
      <c r="AY5" s="25">
        <v>39</v>
      </c>
      <c r="AZ5" s="25">
        <v>84</v>
      </c>
      <c r="BA5" s="26">
        <v>36</v>
      </c>
    </row>
    <row r="6" spans="1:53" x14ac:dyDescent="0.15">
      <c r="A6" s="53" t="s">
        <v>34</v>
      </c>
      <c r="B6" s="53" t="s">
        <v>256</v>
      </c>
      <c r="C6" s="53">
        <v>2019</v>
      </c>
      <c r="D6" s="171" t="s">
        <v>289</v>
      </c>
      <c r="E6" s="53" t="s">
        <v>347</v>
      </c>
      <c r="F6" s="53" t="s">
        <v>348</v>
      </c>
      <c r="G6" s="53" t="s">
        <v>36</v>
      </c>
      <c r="H6" s="53" t="s">
        <v>160</v>
      </c>
      <c r="I6" s="53" t="s">
        <v>159</v>
      </c>
      <c r="J6" s="53" t="s">
        <v>38</v>
      </c>
      <c r="K6" s="53" t="s">
        <v>161</v>
      </c>
      <c r="L6" s="53">
        <v>2</v>
      </c>
      <c r="N6" s="53">
        <v>1</v>
      </c>
      <c r="O6" s="53">
        <v>0.7</v>
      </c>
      <c r="P6" s="53">
        <v>0.65</v>
      </c>
      <c r="Q6" s="74">
        <f t="shared" si="0"/>
        <v>0.67500000000000004</v>
      </c>
      <c r="R6" s="53">
        <v>19.2</v>
      </c>
      <c r="S6" s="53">
        <v>117</v>
      </c>
      <c r="T6" s="16">
        <f t="shared" si="1"/>
        <v>30</v>
      </c>
      <c r="U6" s="53">
        <v>136</v>
      </c>
      <c r="V6" s="16">
        <f t="shared" si="2"/>
        <v>4080</v>
      </c>
      <c r="W6" s="53">
        <v>2</v>
      </c>
      <c r="X6" s="53" t="s">
        <v>46</v>
      </c>
      <c r="Y6" s="53" t="s">
        <v>69</v>
      </c>
      <c r="Z6" s="53" t="s">
        <v>47</v>
      </c>
      <c r="AA6" s="53" t="s">
        <v>55</v>
      </c>
      <c r="AB6" s="53" t="s">
        <v>260</v>
      </c>
      <c r="AE6" s="22" t="s">
        <v>56</v>
      </c>
      <c r="AG6" s="173" t="s">
        <v>355</v>
      </c>
      <c r="AH6" s="67" t="s">
        <v>356</v>
      </c>
      <c r="AL6" s="72" t="s">
        <v>99</v>
      </c>
      <c r="AN6" s="72" t="s">
        <v>57</v>
      </c>
      <c r="AP6" s="23" t="s">
        <v>53</v>
      </c>
      <c r="AR6" s="23" t="s">
        <v>59</v>
      </c>
      <c r="AV6" s="23" t="s">
        <v>60</v>
      </c>
      <c r="AX6" s="24">
        <v>97</v>
      </c>
      <c r="AY6" s="25">
        <v>36</v>
      </c>
      <c r="AZ6" s="25">
        <v>99</v>
      </c>
      <c r="BA6" s="26">
        <v>33</v>
      </c>
    </row>
    <row r="7" spans="1:53" x14ac:dyDescent="0.15">
      <c r="A7" s="53" t="s">
        <v>34</v>
      </c>
      <c r="B7" s="53" t="s">
        <v>256</v>
      </c>
      <c r="C7" s="53">
        <v>2019</v>
      </c>
      <c r="D7" s="171" t="s">
        <v>289</v>
      </c>
      <c r="E7" s="53" t="s">
        <v>347</v>
      </c>
      <c r="F7" s="53" t="s">
        <v>348</v>
      </c>
      <c r="G7" s="53" t="s">
        <v>36</v>
      </c>
      <c r="H7" s="53" t="s">
        <v>160</v>
      </c>
      <c r="I7" s="53" t="s">
        <v>159</v>
      </c>
      <c r="J7" s="53" t="s">
        <v>38</v>
      </c>
      <c r="K7" s="53" t="s">
        <v>161</v>
      </c>
      <c r="L7" s="53">
        <v>3</v>
      </c>
      <c r="N7" s="53">
        <v>1</v>
      </c>
      <c r="O7" s="53">
        <v>0.6</v>
      </c>
      <c r="P7" s="53">
        <v>0.7</v>
      </c>
      <c r="Q7" s="74">
        <f t="shared" si="0"/>
        <v>0.64999999999999991</v>
      </c>
      <c r="R7" s="53">
        <v>18</v>
      </c>
      <c r="S7" s="53">
        <v>121</v>
      </c>
      <c r="T7" s="16">
        <f t="shared" si="1"/>
        <v>30</v>
      </c>
      <c r="U7" s="53">
        <v>136</v>
      </c>
      <c r="V7" s="16">
        <f t="shared" si="2"/>
        <v>4080</v>
      </c>
      <c r="W7" s="53">
        <v>2</v>
      </c>
      <c r="X7" s="53" t="s">
        <v>46</v>
      </c>
      <c r="Y7" s="53" t="s">
        <v>69</v>
      </c>
      <c r="Z7" s="53" t="s">
        <v>47</v>
      </c>
      <c r="AA7" s="53" t="s">
        <v>55</v>
      </c>
      <c r="AB7" s="53" t="s">
        <v>260</v>
      </c>
      <c r="AE7" s="22" t="s">
        <v>61</v>
      </c>
      <c r="AG7" s="173" t="s">
        <v>242</v>
      </c>
      <c r="AH7" s="67" t="s">
        <v>357</v>
      </c>
      <c r="AL7" s="34" t="s">
        <v>109</v>
      </c>
      <c r="AP7" s="23" t="s">
        <v>58</v>
      </c>
      <c r="AR7" s="23" t="s">
        <v>122</v>
      </c>
      <c r="AV7" s="23" t="s">
        <v>64</v>
      </c>
      <c r="AX7" s="24">
        <v>109</v>
      </c>
      <c r="AY7" s="25">
        <v>33</v>
      </c>
      <c r="AZ7" s="25">
        <v>113</v>
      </c>
      <c r="BA7" s="26">
        <v>30</v>
      </c>
    </row>
    <row r="8" spans="1:53" x14ac:dyDescent="0.15">
      <c r="A8" s="53" t="s">
        <v>34</v>
      </c>
      <c r="B8" s="53" t="s">
        <v>256</v>
      </c>
      <c r="C8" s="53">
        <v>2019</v>
      </c>
      <c r="D8" s="171" t="s">
        <v>289</v>
      </c>
      <c r="E8" s="53" t="s">
        <v>347</v>
      </c>
      <c r="F8" s="53" t="s">
        <v>348</v>
      </c>
      <c r="G8" s="53" t="s">
        <v>36</v>
      </c>
      <c r="H8" s="53" t="s">
        <v>160</v>
      </c>
      <c r="I8" s="53" t="s">
        <v>159</v>
      </c>
      <c r="J8" s="53" t="s">
        <v>38</v>
      </c>
      <c r="K8" s="53" t="s">
        <v>161</v>
      </c>
      <c r="L8" s="53">
        <v>1</v>
      </c>
      <c r="N8" s="53">
        <v>4</v>
      </c>
      <c r="O8" s="53">
        <v>0.5</v>
      </c>
      <c r="P8" s="53">
        <v>0.55000000000000004</v>
      </c>
      <c r="Q8" s="74">
        <f t="shared" si="0"/>
        <v>0.52500000000000002</v>
      </c>
      <c r="R8" s="53">
        <v>18.5</v>
      </c>
      <c r="S8" s="53">
        <v>82</v>
      </c>
      <c r="T8" s="16">
        <f t="shared" si="1"/>
        <v>39</v>
      </c>
      <c r="U8" s="53">
        <v>427</v>
      </c>
      <c r="V8" s="16">
        <f t="shared" si="2"/>
        <v>4163.25</v>
      </c>
      <c r="W8" s="53">
        <v>2</v>
      </c>
      <c r="X8" s="53" t="s">
        <v>46</v>
      </c>
      <c r="Y8" s="53" t="s">
        <v>69</v>
      </c>
      <c r="Z8" s="53" t="s">
        <v>47</v>
      </c>
      <c r="AA8" s="53" t="s">
        <v>55</v>
      </c>
      <c r="AB8" s="53" t="s">
        <v>260</v>
      </c>
      <c r="AE8" s="22" t="s">
        <v>59</v>
      </c>
      <c r="AG8" s="173" t="s">
        <v>358</v>
      </c>
      <c r="AH8" s="67" t="s">
        <v>359</v>
      </c>
      <c r="AL8" s="34" t="s">
        <v>134</v>
      </c>
      <c r="AP8" s="23" t="s">
        <v>62</v>
      </c>
      <c r="AR8" s="23" t="s">
        <v>81</v>
      </c>
      <c r="AV8" s="23" t="s">
        <v>97</v>
      </c>
      <c r="AX8" s="24">
        <v>151</v>
      </c>
      <c r="AY8" s="25">
        <v>22</v>
      </c>
      <c r="AZ8" s="25">
        <v>152</v>
      </c>
      <c r="BA8" s="26">
        <v>18</v>
      </c>
    </row>
    <row r="9" spans="1:53" x14ac:dyDescent="0.15">
      <c r="A9" s="53" t="s">
        <v>34</v>
      </c>
      <c r="B9" s="53" t="s">
        <v>256</v>
      </c>
      <c r="C9" s="53">
        <v>2019</v>
      </c>
      <c r="D9" s="171" t="s">
        <v>289</v>
      </c>
      <c r="E9" s="53" t="s">
        <v>347</v>
      </c>
      <c r="F9" s="53" t="s">
        <v>348</v>
      </c>
      <c r="G9" s="53" t="s">
        <v>36</v>
      </c>
      <c r="H9" s="53" t="s">
        <v>160</v>
      </c>
      <c r="I9" s="53" t="s">
        <v>159</v>
      </c>
      <c r="J9" s="53" t="s">
        <v>38</v>
      </c>
      <c r="K9" s="53" t="s">
        <v>161</v>
      </c>
      <c r="L9" s="53">
        <v>2</v>
      </c>
      <c r="N9" s="53">
        <v>4</v>
      </c>
      <c r="O9" s="53">
        <v>0.45</v>
      </c>
      <c r="P9" s="53">
        <v>0.6</v>
      </c>
      <c r="Q9" s="74">
        <f t="shared" si="0"/>
        <v>0.52500000000000002</v>
      </c>
      <c r="R9" s="53">
        <v>19.899999999999999</v>
      </c>
      <c r="S9" s="53">
        <v>82</v>
      </c>
      <c r="T9" s="16">
        <f t="shared" si="1"/>
        <v>39</v>
      </c>
      <c r="U9" s="53">
        <v>427</v>
      </c>
      <c r="V9" s="16">
        <f t="shared" si="2"/>
        <v>4163.25</v>
      </c>
      <c r="W9" s="53">
        <v>2</v>
      </c>
      <c r="X9" s="53" t="s">
        <v>46</v>
      </c>
      <c r="Y9" s="53" t="s">
        <v>69</v>
      </c>
      <c r="Z9" s="53" t="s">
        <v>47</v>
      </c>
      <c r="AA9" s="53" t="s">
        <v>55</v>
      </c>
      <c r="AB9" s="53" t="s">
        <v>260</v>
      </c>
      <c r="AE9" s="22" t="s">
        <v>98</v>
      </c>
      <c r="AG9" s="173" t="s">
        <v>360</v>
      </c>
      <c r="AH9" s="67" t="s">
        <v>361</v>
      </c>
      <c r="AL9" s="72"/>
      <c r="AP9" s="23" t="s">
        <v>95</v>
      </c>
      <c r="AR9" s="23" t="s">
        <v>89</v>
      </c>
      <c r="AV9" s="23" t="s">
        <v>102</v>
      </c>
      <c r="AX9" s="31">
        <v>180</v>
      </c>
      <c r="AY9" s="32">
        <v>18</v>
      </c>
      <c r="AZ9" s="32">
        <v>181</v>
      </c>
      <c r="BA9" s="33">
        <v>16</v>
      </c>
    </row>
    <row r="10" spans="1:53" x14ac:dyDescent="0.15">
      <c r="A10" s="53" t="s">
        <v>34</v>
      </c>
      <c r="B10" s="53" t="s">
        <v>256</v>
      </c>
      <c r="C10" s="53">
        <v>2019</v>
      </c>
      <c r="D10" s="171" t="s">
        <v>289</v>
      </c>
      <c r="E10" s="53" t="s">
        <v>347</v>
      </c>
      <c r="F10" s="53" t="s">
        <v>348</v>
      </c>
      <c r="G10" s="53" t="s">
        <v>36</v>
      </c>
      <c r="H10" s="53" t="s">
        <v>160</v>
      </c>
      <c r="I10" s="53" t="s">
        <v>159</v>
      </c>
      <c r="J10" s="53" t="s">
        <v>38</v>
      </c>
      <c r="K10" s="53" t="s">
        <v>161</v>
      </c>
      <c r="L10" s="53">
        <v>3</v>
      </c>
      <c r="N10" s="53">
        <v>4</v>
      </c>
      <c r="O10" s="53">
        <v>0.5</v>
      </c>
      <c r="P10" s="53">
        <v>0.65</v>
      </c>
      <c r="Q10" s="74">
        <f t="shared" si="0"/>
        <v>0.57499999999999996</v>
      </c>
      <c r="R10" s="53">
        <v>19.5</v>
      </c>
      <c r="S10" s="53">
        <v>88</v>
      </c>
      <c r="T10" s="16">
        <f t="shared" si="1"/>
        <v>36</v>
      </c>
      <c r="U10" s="53">
        <v>427</v>
      </c>
      <c r="V10" s="16">
        <f t="shared" si="2"/>
        <v>3843</v>
      </c>
      <c r="W10" s="53">
        <v>2</v>
      </c>
      <c r="X10" s="53" t="s">
        <v>46</v>
      </c>
      <c r="Y10" s="53" t="s">
        <v>69</v>
      </c>
      <c r="Z10" s="53" t="s">
        <v>47</v>
      </c>
      <c r="AA10" s="53" t="s">
        <v>55</v>
      </c>
      <c r="AB10" s="53" t="s">
        <v>260</v>
      </c>
      <c r="AE10" s="22" t="s">
        <v>103</v>
      </c>
      <c r="AG10" s="173" t="s">
        <v>347</v>
      </c>
      <c r="AH10" s="67" t="s">
        <v>348</v>
      </c>
      <c r="AL10" s="34"/>
      <c r="AP10" s="23" t="s">
        <v>100</v>
      </c>
      <c r="AR10" s="23" t="s">
        <v>123</v>
      </c>
      <c r="AV10" s="23" t="s">
        <v>106</v>
      </c>
    </row>
    <row r="11" spans="1:53" x14ac:dyDescent="0.15">
      <c r="A11" s="53" t="s">
        <v>34</v>
      </c>
      <c r="B11" s="53" t="s">
        <v>256</v>
      </c>
      <c r="C11" s="53">
        <v>2019</v>
      </c>
      <c r="D11" s="171" t="s">
        <v>289</v>
      </c>
      <c r="E11" s="53" t="s">
        <v>347</v>
      </c>
      <c r="F11" s="53" t="s">
        <v>348</v>
      </c>
      <c r="G11" s="53" t="s">
        <v>36</v>
      </c>
      <c r="H11" s="53" t="s">
        <v>168</v>
      </c>
      <c r="I11" s="53" t="s">
        <v>159</v>
      </c>
      <c r="J11" s="53" t="s">
        <v>38</v>
      </c>
      <c r="K11" s="53" t="s">
        <v>161</v>
      </c>
      <c r="L11" s="53">
        <v>1</v>
      </c>
      <c r="N11" s="53">
        <v>4</v>
      </c>
      <c r="O11" s="53">
        <v>0.55000000000000004</v>
      </c>
      <c r="P11" s="53">
        <v>0.65</v>
      </c>
      <c r="Q11" s="74">
        <f t="shared" si="0"/>
        <v>0.60000000000000009</v>
      </c>
      <c r="R11" s="53">
        <v>20.3</v>
      </c>
      <c r="S11" s="53">
        <v>75</v>
      </c>
      <c r="T11" s="16">
        <f t="shared" si="1"/>
        <v>42</v>
      </c>
      <c r="U11" s="53">
        <v>319</v>
      </c>
      <c r="V11" s="16">
        <f t="shared" si="2"/>
        <v>3349.5</v>
      </c>
      <c r="W11" s="53">
        <v>1</v>
      </c>
      <c r="X11" s="53" t="s">
        <v>46</v>
      </c>
      <c r="Y11" s="53" t="s">
        <v>69</v>
      </c>
      <c r="Z11" s="53" t="s">
        <v>47</v>
      </c>
      <c r="AA11" s="53" t="s">
        <v>55</v>
      </c>
      <c r="AB11" s="53" t="s">
        <v>260</v>
      </c>
      <c r="AE11" s="22" t="s">
        <v>65</v>
      </c>
      <c r="AG11" s="173" t="s">
        <v>210</v>
      </c>
      <c r="AH11" s="67" t="s">
        <v>362</v>
      </c>
      <c r="AL11" s="34"/>
      <c r="AP11" s="23" t="s">
        <v>104</v>
      </c>
      <c r="AR11" s="23" t="s">
        <v>87</v>
      </c>
      <c r="AV11" s="23" t="s">
        <v>69</v>
      </c>
    </row>
    <row r="12" spans="1:53" x14ac:dyDescent="0.15">
      <c r="A12" s="53" t="s">
        <v>34</v>
      </c>
      <c r="B12" s="53" t="s">
        <v>256</v>
      </c>
      <c r="C12" s="53">
        <v>2019</v>
      </c>
      <c r="D12" s="171" t="s">
        <v>289</v>
      </c>
      <c r="E12" s="53" t="s">
        <v>347</v>
      </c>
      <c r="F12" s="53" t="s">
        <v>348</v>
      </c>
      <c r="G12" s="53" t="s">
        <v>36</v>
      </c>
      <c r="H12" s="53" t="s">
        <v>168</v>
      </c>
      <c r="I12" s="53" t="s">
        <v>159</v>
      </c>
      <c r="J12" s="53" t="s">
        <v>38</v>
      </c>
      <c r="K12" s="53" t="s">
        <v>161</v>
      </c>
      <c r="L12" s="53">
        <v>2</v>
      </c>
      <c r="N12" s="53">
        <v>4</v>
      </c>
      <c r="O12" s="53">
        <v>0.45</v>
      </c>
      <c r="P12" s="53">
        <v>0.2</v>
      </c>
      <c r="Q12" s="74">
        <f t="shared" si="0"/>
        <v>0.32500000000000001</v>
      </c>
      <c r="R12" s="53">
        <v>18.5</v>
      </c>
      <c r="S12" s="53">
        <v>78</v>
      </c>
      <c r="T12" s="16">
        <f t="shared" si="1"/>
        <v>39</v>
      </c>
      <c r="U12" s="53">
        <v>319</v>
      </c>
      <c r="V12" s="16">
        <f t="shared" si="2"/>
        <v>3110.25</v>
      </c>
      <c r="W12" s="53">
        <v>1</v>
      </c>
      <c r="X12" s="53" t="s">
        <v>46</v>
      </c>
      <c r="Y12" s="53" t="s">
        <v>69</v>
      </c>
      <c r="Z12" s="53" t="s">
        <v>47</v>
      </c>
      <c r="AA12" s="53" t="s">
        <v>55</v>
      </c>
      <c r="AB12" s="53" t="s">
        <v>260</v>
      </c>
      <c r="AE12" s="22" t="s">
        <v>70</v>
      </c>
      <c r="AG12" s="28"/>
      <c r="AH12" s="23"/>
      <c r="AL12" s="34"/>
      <c r="AP12" s="23" t="s">
        <v>67</v>
      </c>
      <c r="AR12" s="23" t="s">
        <v>124</v>
      </c>
      <c r="AV12" s="23" t="s">
        <v>72</v>
      </c>
    </row>
    <row r="13" spans="1:53" x14ac:dyDescent="0.15">
      <c r="A13" s="53" t="s">
        <v>34</v>
      </c>
      <c r="B13" s="53" t="s">
        <v>256</v>
      </c>
      <c r="C13" s="53">
        <v>2019</v>
      </c>
      <c r="D13" s="171" t="s">
        <v>289</v>
      </c>
      <c r="E13" s="53" t="s">
        <v>347</v>
      </c>
      <c r="F13" s="53" t="s">
        <v>348</v>
      </c>
      <c r="G13" s="53" t="s">
        <v>36</v>
      </c>
      <c r="H13" s="53" t="s">
        <v>168</v>
      </c>
      <c r="I13" s="53" t="s">
        <v>159</v>
      </c>
      <c r="J13" s="53" t="s">
        <v>38</v>
      </c>
      <c r="K13" s="53" t="s">
        <v>161</v>
      </c>
      <c r="L13" s="53">
        <v>3</v>
      </c>
      <c r="N13" s="53">
        <v>4</v>
      </c>
      <c r="O13" s="53">
        <v>0.45</v>
      </c>
      <c r="P13" s="53">
        <v>0.55000000000000004</v>
      </c>
      <c r="Q13" s="74">
        <f t="shared" si="0"/>
        <v>0.5</v>
      </c>
      <c r="R13" s="53">
        <v>18.100000000000001</v>
      </c>
      <c r="S13" s="53">
        <v>76</v>
      </c>
      <c r="T13" s="16">
        <f t="shared" si="1"/>
        <v>39</v>
      </c>
      <c r="U13" s="53">
        <v>319</v>
      </c>
      <c r="V13" s="16">
        <f t="shared" si="2"/>
        <v>3110.25</v>
      </c>
      <c r="W13" s="53">
        <v>1</v>
      </c>
      <c r="X13" s="53" t="s">
        <v>46</v>
      </c>
      <c r="Y13" s="53" t="s">
        <v>69</v>
      </c>
      <c r="Z13" s="53" t="s">
        <v>47</v>
      </c>
      <c r="AA13" s="53" t="s">
        <v>55</v>
      </c>
      <c r="AB13" s="53" t="s">
        <v>260</v>
      </c>
      <c r="AE13" s="22" t="s">
        <v>73</v>
      </c>
      <c r="AH13" s="28"/>
      <c r="AP13" s="23" t="s">
        <v>71</v>
      </c>
      <c r="AR13" s="23" t="s">
        <v>103</v>
      </c>
      <c r="AV13" s="23" t="s">
        <v>75</v>
      </c>
    </row>
    <row r="14" spans="1:53" x14ac:dyDescent="0.15">
      <c r="A14" s="53" t="s">
        <v>34</v>
      </c>
      <c r="B14" s="53" t="s">
        <v>256</v>
      </c>
      <c r="C14" s="53">
        <v>2019</v>
      </c>
      <c r="D14" s="171" t="s">
        <v>289</v>
      </c>
      <c r="E14" s="53" t="s">
        <v>358</v>
      </c>
      <c r="F14" s="53" t="s">
        <v>359</v>
      </c>
      <c r="G14" s="53" t="s">
        <v>36</v>
      </c>
      <c r="H14" s="53" t="s">
        <v>164</v>
      </c>
      <c r="I14" s="53" t="s">
        <v>159</v>
      </c>
      <c r="J14" s="53" t="s">
        <v>38</v>
      </c>
      <c r="K14" s="53" t="s">
        <v>161</v>
      </c>
      <c r="L14" s="53">
        <v>1</v>
      </c>
      <c r="N14" s="53">
        <v>1</v>
      </c>
      <c r="O14" s="53">
        <v>0.65</v>
      </c>
      <c r="P14" s="53">
        <v>0.8</v>
      </c>
      <c r="Q14" s="74">
        <f t="shared" si="0"/>
        <v>0.72500000000000009</v>
      </c>
      <c r="R14" s="53">
        <v>17.8</v>
      </c>
      <c r="S14" s="53">
        <v>124</v>
      </c>
      <c r="T14" s="16">
        <f t="shared" si="1"/>
        <v>30</v>
      </c>
      <c r="U14" s="53">
        <v>105</v>
      </c>
      <c r="V14" s="16">
        <f t="shared" si="2"/>
        <v>3150</v>
      </c>
      <c r="W14" s="53">
        <v>3</v>
      </c>
      <c r="X14" s="53" t="s">
        <v>46</v>
      </c>
      <c r="Y14" s="53" t="s">
        <v>69</v>
      </c>
      <c r="Z14" s="53" t="s">
        <v>55</v>
      </c>
      <c r="AA14" s="53" t="s">
        <v>90</v>
      </c>
      <c r="AB14" s="53" t="s">
        <v>260</v>
      </c>
      <c r="AE14" s="22" t="s">
        <v>76</v>
      </c>
      <c r="AG14" s="174"/>
      <c r="AP14" s="23" t="s">
        <v>74</v>
      </c>
      <c r="AR14" s="23" t="s">
        <v>125</v>
      </c>
      <c r="AV14" s="23" t="s">
        <v>78</v>
      </c>
    </row>
    <row r="15" spans="1:53" x14ac:dyDescent="0.15">
      <c r="A15" s="53" t="s">
        <v>34</v>
      </c>
      <c r="B15" s="53" t="s">
        <v>256</v>
      </c>
      <c r="C15" s="53">
        <v>2019</v>
      </c>
      <c r="D15" s="171" t="s">
        <v>289</v>
      </c>
      <c r="E15" s="53" t="s">
        <v>358</v>
      </c>
      <c r="F15" s="53" t="s">
        <v>359</v>
      </c>
      <c r="G15" s="53" t="s">
        <v>36</v>
      </c>
      <c r="H15" s="53" t="s">
        <v>164</v>
      </c>
      <c r="I15" s="53" t="s">
        <v>159</v>
      </c>
      <c r="J15" s="53" t="s">
        <v>38</v>
      </c>
      <c r="K15" s="53" t="s">
        <v>161</v>
      </c>
      <c r="L15" s="53">
        <v>2</v>
      </c>
      <c r="N15" s="53">
        <v>1</v>
      </c>
      <c r="O15" s="53">
        <v>0.85</v>
      </c>
      <c r="P15" s="53">
        <v>0.8</v>
      </c>
      <c r="Q15" s="74">
        <f t="shared" si="0"/>
        <v>0.82499999999999996</v>
      </c>
      <c r="R15" s="53">
        <v>16.899999999999999</v>
      </c>
      <c r="S15" s="53">
        <v>125</v>
      </c>
      <c r="T15" s="16">
        <f t="shared" si="1"/>
        <v>30</v>
      </c>
      <c r="U15" s="53">
        <v>105</v>
      </c>
      <c r="V15" s="16">
        <f t="shared" si="2"/>
        <v>3150</v>
      </c>
      <c r="W15" s="53">
        <v>3</v>
      </c>
      <c r="X15" s="53" t="s">
        <v>46</v>
      </c>
      <c r="Y15" s="53" t="s">
        <v>69</v>
      </c>
      <c r="Z15" s="53" t="s">
        <v>55</v>
      </c>
      <c r="AA15" s="53" t="s">
        <v>90</v>
      </c>
      <c r="AB15" s="53" t="s">
        <v>260</v>
      </c>
      <c r="AE15" s="22" t="s">
        <v>79</v>
      </c>
      <c r="AP15" s="23" t="s">
        <v>77</v>
      </c>
      <c r="AR15" s="23" t="s">
        <v>94</v>
      </c>
      <c r="AV15" s="23" t="s">
        <v>107</v>
      </c>
    </row>
    <row r="16" spans="1:53" x14ac:dyDescent="0.15">
      <c r="A16" s="53" t="s">
        <v>34</v>
      </c>
      <c r="B16" s="53" t="s">
        <v>256</v>
      </c>
      <c r="C16" s="53">
        <v>2019</v>
      </c>
      <c r="D16" s="171" t="s">
        <v>289</v>
      </c>
      <c r="E16" s="53" t="s">
        <v>358</v>
      </c>
      <c r="F16" s="53" t="s">
        <v>359</v>
      </c>
      <c r="G16" s="53" t="s">
        <v>36</v>
      </c>
      <c r="H16" s="53" t="s">
        <v>164</v>
      </c>
      <c r="I16" s="53" t="s">
        <v>159</v>
      </c>
      <c r="J16" s="53" t="s">
        <v>38</v>
      </c>
      <c r="K16" s="53" t="s">
        <v>161</v>
      </c>
      <c r="L16" s="53">
        <v>3</v>
      </c>
      <c r="N16" s="53">
        <v>1</v>
      </c>
      <c r="O16" s="53">
        <v>0.75</v>
      </c>
      <c r="P16" s="53">
        <v>0.8</v>
      </c>
      <c r="Q16" s="74">
        <f t="shared" si="0"/>
        <v>0.77500000000000002</v>
      </c>
      <c r="R16" s="53">
        <v>17.2</v>
      </c>
      <c r="S16" s="53">
        <v>128</v>
      </c>
      <c r="T16" s="16">
        <f t="shared" si="1"/>
        <v>30</v>
      </c>
      <c r="U16" s="53">
        <v>105</v>
      </c>
      <c r="V16" s="16">
        <f t="shared" si="2"/>
        <v>3150</v>
      </c>
      <c r="W16" s="53">
        <v>3</v>
      </c>
      <c r="X16" s="53" t="s">
        <v>46</v>
      </c>
      <c r="Y16" s="53" t="s">
        <v>69</v>
      </c>
      <c r="Z16" s="53" t="s">
        <v>55</v>
      </c>
      <c r="AA16" s="53" t="s">
        <v>90</v>
      </c>
      <c r="AB16" s="53" t="s">
        <v>260</v>
      </c>
      <c r="AE16" s="22" t="s">
        <v>82</v>
      </c>
      <c r="AP16" s="23" t="s">
        <v>80</v>
      </c>
      <c r="AR16" s="23" t="s">
        <v>63</v>
      </c>
      <c r="AV16" s="23" t="s">
        <v>84</v>
      </c>
    </row>
    <row r="17" spans="1:48" x14ac:dyDescent="0.15">
      <c r="A17" s="53" t="s">
        <v>34</v>
      </c>
      <c r="B17" s="53" t="s">
        <v>256</v>
      </c>
      <c r="C17" s="53">
        <v>2019</v>
      </c>
      <c r="D17" s="171" t="s">
        <v>289</v>
      </c>
      <c r="E17" s="53" t="s">
        <v>358</v>
      </c>
      <c r="F17" s="53" t="s">
        <v>359</v>
      </c>
      <c r="G17" s="53" t="s">
        <v>36</v>
      </c>
      <c r="H17" s="53" t="s">
        <v>164</v>
      </c>
      <c r="I17" s="53" t="s">
        <v>159</v>
      </c>
      <c r="J17" s="53" t="s">
        <v>38</v>
      </c>
      <c r="K17" s="53" t="s">
        <v>161</v>
      </c>
      <c r="L17" s="53">
        <v>1</v>
      </c>
      <c r="N17" s="53">
        <v>8</v>
      </c>
      <c r="O17" s="53">
        <v>0.65</v>
      </c>
      <c r="P17" s="53">
        <v>0.65</v>
      </c>
      <c r="Q17" s="74">
        <f t="shared" si="0"/>
        <v>0.65</v>
      </c>
      <c r="R17" s="53">
        <v>16.8</v>
      </c>
      <c r="S17" s="53">
        <v>92</v>
      </c>
      <c r="T17" s="16">
        <f t="shared" si="1"/>
        <v>36</v>
      </c>
      <c r="U17" s="53">
        <v>410</v>
      </c>
      <c r="V17" s="16">
        <f t="shared" si="2"/>
        <v>1845</v>
      </c>
      <c r="W17" s="53">
        <v>3</v>
      </c>
      <c r="X17" s="53" t="s">
        <v>39</v>
      </c>
      <c r="Y17" s="53" t="s">
        <v>69</v>
      </c>
      <c r="Z17" s="53" t="s">
        <v>55</v>
      </c>
      <c r="AA17" s="53" t="s">
        <v>90</v>
      </c>
      <c r="AB17" s="53" t="s">
        <v>260</v>
      </c>
      <c r="AE17" s="22" t="s">
        <v>85</v>
      </c>
      <c r="AP17" s="27" t="s">
        <v>110</v>
      </c>
      <c r="AR17" s="23" t="s">
        <v>96</v>
      </c>
      <c r="AV17" s="23" t="s">
        <v>86</v>
      </c>
    </row>
    <row r="18" spans="1:48" x14ac:dyDescent="0.15">
      <c r="A18" s="53" t="s">
        <v>34</v>
      </c>
      <c r="B18" s="53" t="s">
        <v>256</v>
      </c>
      <c r="C18" s="53">
        <v>2019</v>
      </c>
      <c r="D18" s="171" t="s">
        <v>289</v>
      </c>
      <c r="E18" s="53" t="s">
        <v>358</v>
      </c>
      <c r="F18" s="53" t="s">
        <v>359</v>
      </c>
      <c r="G18" s="53" t="s">
        <v>36</v>
      </c>
      <c r="H18" s="53" t="s">
        <v>164</v>
      </c>
      <c r="I18" s="53" t="s">
        <v>159</v>
      </c>
      <c r="J18" s="53" t="s">
        <v>38</v>
      </c>
      <c r="K18" s="53" t="s">
        <v>161</v>
      </c>
      <c r="L18" s="53">
        <v>2</v>
      </c>
      <c r="N18" s="53">
        <v>8</v>
      </c>
      <c r="O18" s="53">
        <v>0.7</v>
      </c>
      <c r="P18" s="53">
        <v>0.7</v>
      </c>
      <c r="Q18" s="74">
        <f t="shared" si="0"/>
        <v>0.7</v>
      </c>
      <c r="R18" s="53">
        <v>15.7</v>
      </c>
      <c r="S18" s="53">
        <v>93</v>
      </c>
      <c r="T18" s="16">
        <f t="shared" si="1"/>
        <v>36</v>
      </c>
      <c r="U18" s="53">
        <v>410</v>
      </c>
      <c r="V18" s="16">
        <f t="shared" si="2"/>
        <v>1845</v>
      </c>
      <c r="W18" s="53">
        <v>3</v>
      </c>
      <c r="X18" s="53" t="s">
        <v>39</v>
      </c>
      <c r="Y18" s="53" t="s">
        <v>69</v>
      </c>
      <c r="Z18" s="53" t="s">
        <v>55</v>
      </c>
      <c r="AA18" s="53" t="s">
        <v>90</v>
      </c>
      <c r="AB18" s="53" t="s">
        <v>260</v>
      </c>
      <c r="AE18" s="22" t="s">
        <v>87</v>
      </c>
      <c r="AP18" s="27" t="s">
        <v>111</v>
      </c>
      <c r="AR18" s="23" t="s">
        <v>101</v>
      </c>
      <c r="AV18" s="23" t="s">
        <v>88</v>
      </c>
    </row>
    <row r="19" spans="1:48" x14ac:dyDescent="0.15">
      <c r="A19" s="53" t="s">
        <v>34</v>
      </c>
      <c r="B19" s="53" t="s">
        <v>256</v>
      </c>
      <c r="C19" s="53">
        <v>2019</v>
      </c>
      <c r="D19" s="171" t="s">
        <v>289</v>
      </c>
      <c r="E19" s="53" t="s">
        <v>358</v>
      </c>
      <c r="F19" s="53" t="s">
        <v>359</v>
      </c>
      <c r="G19" s="53" t="s">
        <v>36</v>
      </c>
      <c r="H19" s="53" t="s">
        <v>164</v>
      </c>
      <c r="I19" s="53" t="s">
        <v>159</v>
      </c>
      <c r="J19" s="53" t="s">
        <v>38</v>
      </c>
      <c r="K19" s="53" t="s">
        <v>161</v>
      </c>
      <c r="L19" s="53">
        <v>3</v>
      </c>
      <c r="N19" s="53">
        <v>8</v>
      </c>
      <c r="O19" s="53">
        <v>0.9</v>
      </c>
      <c r="P19" s="53">
        <v>0.8</v>
      </c>
      <c r="Q19" s="74">
        <f t="shared" si="0"/>
        <v>0.85000000000000009</v>
      </c>
      <c r="R19" s="53">
        <v>13.7</v>
      </c>
      <c r="S19" s="53">
        <v>83</v>
      </c>
      <c r="T19" s="16">
        <f t="shared" si="1"/>
        <v>39</v>
      </c>
      <c r="U19" s="53">
        <v>410</v>
      </c>
      <c r="V19" s="16">
        <f t="shared" si="2"/>
        <v>1998.75</v>
      </c>
      <c r="W19" s="53">
        <v>3</v>
      </c>
      <c r="X19" s="53" t="s">
        <v>39</v>
      </c>
      <c r="Y19" s="53" t="s">
        <v>69</v>
      </c>
      <c r="Z19" s="53" t="s">
        <v>55</v>
      </c>
      <c r="AA19" s="53" t="s">
        <v>90</v>
      </c>
      <c r="AB19" s="53" t="s">
        <v>260</v>
      </c>
      <c r="AE19" s="35" t="s">
        <v>89</v>
      </c>
      <c r="AP19" s="27" t="s">
        <v>112</v>
      </c>
      <c r="AR19" s="23" t="s">
        <v>126</v>
      </c>
      <c r="AV19" s="23" t="s">
        <v>90</v>
      </c>
    </row>
    <row r="20" spans="1:48" x14ac:dyDescent="0.15">
      <c r="A20" s="53" t="s">
        <v>34</v>
      </c>
      <c r="B20" s="53" t="s">
        <v>256</v>
      </c>
      <c r="C20" s="53">
        <v>2019</v>
      </c>
      <c r="D20" s="171" t="s">
        <v>289</v>
      </c>
      <c r="E20" s="53" t="s">
        <v>358</v>
      </c>
      <c r="F20" s="53" t="s">
        <v>359</v>
      </c>
      <c r="G20" s="53" t="s">
        <v>36</v>
      </c>
      <c r="H20" s="53" t="s">
        <v>160</v>
      </c>
      <c r="I20" s="53" t="s">
        <v>159</v>
      </c>
      <c r="J20" s="53" t="s">
        <v>38</v>
      </c>
      <c r="K20" s="53" t="s">
        <v>161</v>
      </c>
      <c r="L20" s="53">
        <v>1</v>
      </c>
      <c r="N20" s="53">
        <v>1</v>
      </c>
      <c r="O20" s="53">
        <v>0.65</v>
      </c>
      <c r="P20" s="53">
        <v>0.6</v>
      </c>
      <c r="Q20" s="74">
        <f t="shared" si="0"/>
        <v>0.625</v>
      </c>
      <c r="R20" s="53">
        <v>18.2</v>
      </c>
      <c r="S20" s="53">
        <v>135</v>
      </c>
      <c r="T20" s="16">
        <f t="shared" si="1"/>
        <v>30</v>
      </c>
      <c r="U20" s="53">
        <v>105</v>
      </c>
      <c r="V20" s="16">
        <f t="shared" si="2"/>
        <v>3150</v>
      </c>
      <c r="W20" s="53">
        <v>6</v>
      </c>
      <c r="X20" s="53" t="s">
        <v>46</v>
      </c>
      <c r="Y20" s="53" t="s">
        <v>69</v>
      </c>
      <c r="Z20" s="53" t="s">
        <v>55</v>
      </c>
      <c r="AA20" s="53" t="s">
        <v>90</v>
      </c>
      <c r="AB20" s="53" t="s">
        <v>260</v>
      </c>
      <c r="AP20" s="27" t="s">
        <v>113</v>
      </c>
      <c r="AR20" s="23" t="s">
        <v>105</v>
      </c>
      <c r="AV20" s="27" t="s">
        <v>135</v>
      </c>
    </row>
    <row r="21" spans="1:48" x14ac:dyDescent="0.15">
      <c r="A21" s="53" t="s">
        <v>34</v>
      </c>
      <c r="B21" s="53" t="s">
        <v>256</v>
      </c>
      <c r="C21" s="53">
        <v>2019</v>
      </c>
      <c r="D21" s="171" t="s">
        <v>289</v>
      </c>
      <c r="E21" s="53" t="s">
        <v>358</v>
      </c>
      <c r="F21" s="53" t="s">
        <v>359</v>
      </c>
      <c r="G21" s="53" t="s">
        <v>36</v>
      </c>
      <c r="H21" s="53" t="s">
        <v>160</v>
      </c>
      <c r="I21" s="53" t="s">
        <v>159</v>
      </c>
      <c r="J21" s="53" t="s">
        <v>38</v>
      </c>
      <c r="K21" s="53" t="s">
        <v>161</v>
      </c>
      <c r="L21" s="53">
        <v>2</v>
      </c>
      <c r="N21" s="53">
        <v>1</v>
      </c>
      <c r="O21" s="53">
        <v>0.6</v>
      </c>
      <c r="P21" s="53">
        <v>0.55000000000000004</v>
      </c>
      <c r="Q21" s="74">
        <f t="shared" si="0"/>
        <v>0.57499999999999996</v>
      </c>
      <c r="R21" s="53">
        <v>18.600000000000001</v>
      </c>
      <c r="S21" s="53">
        <v>134</v>
      </c>
      <c r="T21" s="16">
        <f t="shared" si="1"/>
        <v>30</v>
      </c>
      <c r="U21" s="53">
        <v>105</v>
      </c>
      <c r="V21" s="16">
        <f t="shared" si="2"/>
        <v>3150</v>
      </c>
      <c r="W21" s="53">
        <v>6</v>
      </c>
      <c r="X21" s="53" t="s">
        <v>46</v>
      </c>
      <c r="Y21" s="53" t="s">
        <v>69</v>
      </c>
      <c r="Z21" s="53" t="s">
        <v>55</v>
      </c>
      <c r="AA21" s="53" t="s">
        <v>90</v>
      </c>
      <c r="AB21" s="53" t="s">
        <v>260</v>
      </c>
      <c r="AP21" s="27" t="s">
        <v>114</v>
      </c>
      <c r="AR21" s="23" t="s">
        <v>68</v>
      </c>
      <c r="AV21" s="27" t="s">
        <v>136</v>
      </c>
    </row>
    <row r="22" spans="1:48" x14ac:dyDescent="0.15">
      <c r="A22" s="53" t="s">
        <v>34</v>
      </c>
      <c r="B22" s="53" t="s">
        <v>256</v>
      </c>
      <c r="C22" s="53">
        <v>2019</v>
      </c>
      <c r="D22" s="171" t="s">
        <v>289</v>
      </c>
      <c r="E22" s="53" t="s">
        <v>358</v>
      </c>
      <c r="F22" s="53" t="s">
        <v>359</v>
      </c>
      <c r="G22" s="53" t="s">
        <v>36</v>
      </c>
      <c r="H22" s="53" t="s">
        <v>363</v>
      </c>
      <c r="I22" s="53" t="s">
        <v>159</v>
      </c>
      <c r="J22" s="53" t="s">
        <v>38</v>
      </c>
      <c r="K22" s="53" t="s">
        <v>161</v>
      </c>
      <c r="L22" s="53">
        <v>3</v>
      </c>
      <c r="N22" s="53">
        <v>1</v>
      </c>
      <c r="O22" s="53">
        <v>0.75</v>
      </c>
      <c r="P22" s="53">
        <v>0.5</v>
      </c>
      <c r="Q22" s="74">
        <f t="shared" si="0"/>
        <v>0.625</v>
      </c>
      <c r="R22" s="53">
        <v>20.6</v>
      </c>
      <c r="S22" s="53">
        <v>131</v>
      </c>
      <c r="T22" s="16">
        <f t="shared" si="1"/>
        <v>30</v>
      </c>
      <c r="U22" s="53">
        <v>105</v>
      </c>
      <c r="V22" s="16">
        <f t="shared" si="2"/>
        <v>3150</v>
      </c>
      <c r="W22" s="53">
        <v>6</v>
      </c>
      <c r="X22" s="53" t="s">
        <v>46</v>
      </c>
      <c r="Y22" s="53" t="s">
        <v>69</v>
      </c>
      <c r="Z22" s="53" t="s">
        <v>55</v>
      </c>
      <c r="AA22" s="53" t="s">
        <v>90</v>
      </c>
      <c r="AB22" s="53" t="s">
        <v>260</v>
      </c>
      <c r="AP22" s="27" t="s">
        <v>115</v>
      </c>
      <c r="AR22" s="23" t="s">
        <v>83</v>
      </c>
      <c r="AV22" s="27"/>
    </row>
    <row r="23" spans="1:48" x14ac:dyDescent="0.15">
      <c r="A23" s="53" t="s">
        <v>34</v>
      </c>
      <c r="B23" s="53" t="s">
        <v>256</v>
      </c>
      <c r="C23" s="53">
        <v>2019</v>
      </c>
      <c r="D23" s="171" t="s">
        <v>289</v>
      </c>
      <c r="E23" s="53" t="s">
        <v>358</v>
      </c>
      <c r="F23" s="53" t="s">
        <v>359</v>
      </c>
      <c r="G23" s="53" t="s">
        <v>36</v>
      </c>
      <c r="H23" s="53" t="s">
        <v>363</v>
      </c>
      <c r="I23" s="53" t="s">
        <v>159</v>
      </c>
      <c r="J23" s="53" t="s">
        <v>38</v>
      </c>
      <c r="K23" s="53" t="s">
        <v>161</v>
      </c>
      <c r="L23" s="53">
        <v>1</v>
      </c>
      <c r="N23" s="53">
        <v>5</v>
      </c>
      <c r="O23" s="53">
        <v>0.5</v>
      </c>
      <c r="P23" s="53">
        <v>0.55000000000000004</v>
      </c>
      <c r="Q23" s="74">
        <f t="shared" si="0"/>
        <v>0.52500000000000002</v>
      </c>
      <c r="R23" s="53">
        <v>18.5</v>
      </c>
      <c r="S23" s="53">
        <v>89</v>
      </c>
      <c r="T23" s="16">
        <f t="shared" si="1"/>
        <v>36</v>
      </c>
      <c r="U23" s="53">
        <v>429</v>
      </c>
      <c r="V23" s="16">
        <f t="shared" si="2"/>
        <v>3088.7999999999997</v>
      </c>
      <c r="W23" s="53">
        <v>6</v>
      </c>
      <c r="X23" s="53" t="s">
        <v>46</v>
      </c>
      <c r="Y23" s="53" t="s">
        <v>69</v>
      </c>
      <c r="Z23" s="53" t="s">
        <v>55</v>
      </c>
      <c r="AA23" s="53" t="s">
        <v>90</v>
      </c>
      <c r="AB23" s="53" t="s">
        <v>260</v>
      </c>
      <c r="AP23" s="27" t="s">
        <v>117</v>
      </c>
      <c r="AR23" s="23" t="s">
        <v>153</v>
      </c>
    </row>
    <row r="24" spans="1:48" x14ac:dyDescent="0.15">
      <c r="A24" s="53" t="s">
        <v>34</v>
      </c>
      <c r="B24" s="53" t="s">
        <v>256</v>
      </c>
      <c r="C24" s="53">
        <v>2019</v>
      </c>
      <c r="D24" s="171" t="s">
        <v>289</v>
      </c>
      <c r="E24" s="53" t="s">
        <v>358</v>
      </c>
      <c r="F24" s="53" t="s">
        <v>359</v>
      </c>
      <c r="G24" s="53" t="s">
        <v>36</v>
      </c>
      <c r="H24" s="53" t="s">
        <v>363</v>
      </c>
      <c r="I24" s="53" t="s">
        <v>159</v>
      </c>
      <c r="J24" s="53" t="s">
        <v>38</v>
      </c>
      <c r="K24" s="53" t="s">
        <v>161</v>
      </c>
      <c r="L24" s="53">
        <v>2</v>
      </c>
      <c r="N24" s="53">
        <v>5</v>
      </c>
      <c r="O24" s="53">
        <v>0.6</v>
      </c>
      <c r="P24" s="53">
        <v>0.55000000000000004</v>
      </c>
      <c r="Q24" s="74">
        <f t="shared" si="0"/>
        <v>0.57499999999999996</v>
      </c>
      <c r="R24" s="53">
        <v>18.100000000000001</v>
      </c>
      <c r="S24" s="53">
        <v>87</v>
      </c>
      <c r="T24" s="16">
        <f t="shared" si="1"/>
        <v>36</v>
      </c>
      <c r="U24" s="53">
        <v>429</v>
      </c>
      <c r="V24" s="16">
        <f t="shared" si="2"/>
        <v>3088.7999999999997</v>
      </c>
      <c r="W24" s="53">
        <v>6</v>
      </c>
      <c r="X24" s="53" t="s">
        <v>46</v>
      </c>
      <c r="Y24" s="53" t="s">
        <v>69</v>
      </c>
      <c r="Z24" s="53" t="s">
        <v>55</v>
      </c>
      <c r="AA24" s="53" t="s">
        <v>90</v>
      </c>
      <c r="AB24" s="53" t="s">
        <v>260</v>
      </c>
      <c r="AP24" s="27" t="s">
        <v>118</v>
      </c>
    </row>
    <row r="25" spans="1:48" x14ac:dyDescent="0.15">
      <c r="A25" s="53" t="s">
        <v>34</v>
      </c>
      <c r="B25" s="53" t="s">
        <v>256</v>
      </c>
      <c r="C25" s="53">
        <v>2019</v>
      </c>
      <c r="D25" s="171" t="s">
        <v>289</v>
      </c>
      <c r="E25" s="53" t="s">
        <v>358</v>
      </c>
      <c r="F25" s="53" t="s">
        <v>359</v>
      </c>
      <c r="G25" s="53" t="s">
        <v>36</v>
      </c>
      <c r="H25" s="53" t="s">
        <v>363</v>
      </c>
      <c r="I25" s="53" t="s">
        <v>159</v>
      </c>
      <c r="J25" s="53" t="s">
        <v>38</v>
      </c>
      <c r="K25" s="53" t="s">
        <v>161</v>
      </c>
      <c r="L25" s="53">
        <v>3</v>
      </c>
      <c r="N25" s="53">
        <v>5</v>
      </c>
      <c r="O25" s="53">
        <v>0.85</v>
      </c>
      <c r="P25" s="53">
        <v>0.75</v>
      </c>
      <c r="Q25" s="74">
        <f t="shared" si="0"/>
        <v>0.8</v>
      </c>
      <c r="R25" s="53">
        <v>14.1</v>
      </c>
      <c r="S25" s="53">
        <v>91</v>
      </c>
      <c r="T25" s="16">
        <f t="shared" si="1"/>
        <v>36</v>
      </c>
      <c r="U25" s="53">
        <v>429</v>
      </c>
      <c r="V25" s="16">
        <f t="shared" si="2"/>
        <v>3088.7999999999997</v>
      </c>
      <c r="W25" s="53">
        <v>6</v>
      </c>
      <c r="X25" s="53" t="s">
        <v>46</v>
      </c>
      <c r="Y25" s="53" t="s">
        <v>69</v>
      </c>
      <c r="Z25" s="53" t="s">
        <v>55</v>
      </c>
      <c r="AA25" s="53" t="s">
        <v>90</v>
      </c>
      <c r="AB25" s="53" t="s">
        <v>260</v>
      </c>
    </row>
    <row r="26" spans="1:48" x14ac:dyDescent="0.15">
      <c r="A26" s="53" t="s">
        <v>34</v>
      </c>
      <c r="B26" s="53" t="s">
        <v>256</v>
      </c>
      <c r="C26" s="53">
        <v>2019</v>
      </c>
      <c r="D26" s="171" t="s">
        <v>289</v>
      </c>
      <c r="E26" s="53" t="s">
        <v>210</v>
      </c>
      <c r="F26" s="53" t="s">
        <v>362</v>
      </c>
      <c r="G26" s="53" t="s">
        <v>36</v>
      </c>
      <c r="H26" s="53" t="s">
        <v>164</v>
      </c>
      <c r="I26" s="53" t="s">
        <v>159</v>
      </c>
      <c r="J26" s="53" t="s">
        <v>38</v>
      </c>
      <c r="K26" s="53" t="s">
        <v>161</v>
      </c>
      <c r="L26" s="53">
        <v>1</v>
      </c>
      <c r="N26" s="53">
        <v>1</v>
      </c>
      <c r="O26" s="53">
        <v>0.5</v>
      </c>
      <c r="P26" s="53">
        <v>0.2</v>
      </c>
      <c r="Q26" s="74">
        <f t="shared" si="0"/>
        <v>0.35</v>
      </c>
      <c r="R26" s="53">
        <v>17.100000000000001</v>
      </c>
      <c r="S26" s="53">
        <v>102</v>
      </c>
      <c r="T26" s="16">
        <f t="shared" si="1"/>
        <v>33</v>
      </c>
      <c r="U26" s="53">
        <v>96</v>
      </c>
      <c r="V26" s="16">
        <f t="shared" si="2"/>
        <v>3168</v>
      </c>
      <c r="W26" s="53">
        <v>6</v>
      </c>
      <c r="X26" s="53" t="s">
        <v>46</v>
      </c>
      <c r="Y26" s="53" t="s">
        <v>55</v>
      </c>
      <c r="Z26" s="53" t="s">
        <v>69</v>
      </c>
      <c r="AA26" s="53" t="s">
        <v>47</v>
      </c>
      <c r="AB26" s="53" t="s">
        <v>260</v>
      </c>
    </row>
    <row r="27" spans="1:48" x14ac:dyDescent="0.15">
      <c r="A27" s="53" t="s">
        <v>34</v>
      </c>
      <c r="B27" s="53" t="s">
        <v>256</v>
      </c>
      <c r="C27" s="53">
        <v>2019</v>
      </c>
      <c r="D27" s="171" t="s">
        <v>289</v>
      </c>
      <c r="E27" s="53" t="s">
        <v>210</v>
      </c>
      <c r="F27" s="53" t="s">
        <v>362</v>
      </c>
      <c r="G27" s="53" t="s">
        <v>36</v>
      </c>
      <c r="H27" s="53" t="s">
        <v>164</v>
      </c>
      <c r="I27" s="53" t="s">
        <v>159</v>
      </c>
      <c r="J27" s="53" t="s">
        <v>38</v>
      </c>
      <c r="K27" s="53" t="s">
        <v>161</v>
      </c>
      <c r="L27" s="53">
        <v>2</v>
      </c>
      <c r="N27" s="53">
        <v>1</v>
      </c>
      <c r="O27" s="53">
        <v>0.55000000000000004</v>
      </c>
      <c r="P27" s="53">
        <v>0.55000000000000004</v>
      </c>
      <c r="Q27" s="74">
        <f t="shared" si="0"/>
        <v>0.55000000000000004</v>
      </c>
      <c r="R27" s="53">
        <v>17.3</v>
      </c>
      <c r="S27" s="53">
        <v>108</v>
      </c>
      <c r="T27" s="16">
        <f t="shared" si="1"/>
        <v>33</v>
      </c>
      <c r="U27" s="53">
        <v>96</v>
      </c>
      <c r="V27" s="16">
        <f t="shared" si="2"/>
        <v>3168</v>
      </c>
      <c r="W27" s="53">
        <v>6</v>
      </c>
      <c r="X27" s="53" t="s">
        <v>46</v>
      </c>
      <c r="Y27" s="53" t="s">
        <v>55</v>
      </c>
      <c r="Z27" s="53" t="s">
        <v>69</v>
      </c>
      <c r="AA27" s="53" t="s">
        <v>47</v>
      </c>
      <c r="AB27" s="53" t="s">
        <v>260</v>
      </c>
    </row>
    <row r="28" spans="1:48" x14ac:dyDescent="0.15">
      <c r="A28" s="53" t="s">
        <v>34</v>
      </c>
      <c r="B28" s="53" t="s">
        <v>256</v>
      </c>
      <c r="C28" s="53">
        <v>2019</v>
      </c>
      <c r="D28" s="171" t="s">
        <v>289</v>
      </c>
      <c r="E28" s="53" t="s">
        <v>210</v>
      </c>
      <c r="F28" s="53" t="s">
        <v>362</v>
      </c>
      <c r="G28" s="53" t="s">
        <v>36</v>
      </c>
      <c r="H28" s="53" t="s">
        <v>164</v>
      </c>
      <c r="I28" s="53" t="s">
        <v>159</v>
      </c>
      <c r="J28" s="53" t="s">
        <v>38</v>
      </c>
      <c r="K28" s="53" t="s">
        <v>161</v>
      </c>
      <c r="L28" s="53">
        <v>3</v>
      </c>
      <c r="N28" s="53">
        <v>1</v>
      </c>
      <c r="O28" s="53">
        <v>0.7</v>
      </c>
      <c r="P28" s="53">
        <v>0.55000000000000004</v>
      </c>
      <c r="Q28" s="74">
        <f>IF(OR(O28="",P28=""),"",AVERAGE(O28,P28))</f>
        <v>0.625</v>
      </c>
      <c r="R28" s="53">
        <v>17.3</v>
      </c>
      <c r="S28" s="53">
        <v>113</v>
      </c>
      <c r="T28" s="16">
        <f t="shared" si="1"/>
        <v>30</v>
      </c>
      <c r="U28" s="53">
        <v>96</v>
      </c>
      <c r="V28" s="16">
        <f t="shared" si="2"/>
        <v>2880</v>
      </c>
      <c r="W28" s="53">
        <v>6</v>
      </c>
      <c r="X28" s="53" t="s">
        <v>46</v>
      </c>
      <c r="Y28" s="53" t="s">
        <v>55</v>
      </c>
      <c r="Z28" s="53" t="s">
        <v>69</v>
      </c>
      <c r="AA28" s="53" t="s">
        <v>47</v>
      </c>
      <c r="AB28" s="53" t="s">
        <v>260</v>
      </c>
    </row>
    <row r="29" spans="1:48" x14ac:dyDescent="0.15">
      <c r="A29" s="53" t="s">
        <v>34</v>
      </c>
      <c r="B29" s="53" t="s">
        <v>256</v>
      </c>
      <c r="C29" s="53">
        <v>2019</v>
      </c>
      <c r="D29" s="171" t="s">
        <v>289</v>
      </c>
      <c r="E29" s="53" t="s">
        <v>210</v>
      </c>
      <c r="F29" s="53" t="s">
        <v>362</v>
      </c>
      <c r="G29" s="53" t="s">
        <v>36</v>
      </c>
      <c r="H29" s="53" t="s">
        <v>164</v>
      </c>
      <c r="I29" s="53" t="s">
        <v>159</v>
      </c>
      <c r="J29" s="53" t="s">
        <v>38</v>
      </c>
      <c r="K29" s="53" t="s">
        <v>161</v>
      </c>
      <c r="L29" s="53">
        <v>1</v>
      </c>
      <c r="N29" s="53">
        <v>4</v>
      </c>
      <c r="O29" s="53">
        <v>0.45</v>
      </c>
      <c r="P29" s="53">
        <v>0.55000000000000004</v>
      </c>
      <c r="Q29" s="74">
        <f t="shared" si="0"/>
        <v>0.5</v>
      </c>
      <c r="R29" s="53">
        <v>19</v>
      </c>
      <c r="S29" s="53">
        <v>82</v>
      </c>
      <c r="T29" s="16">
        <f t="shared" si="1"/>
        <v>39</v>
      </c>
      <c r="U29" s="53">
        <v>320</v>
      </c>
      <c r="V29" s="16">
        <f t="shared" si="2"/>
        <v>3120</v>
      </c>
      <c r="W29" s="53">
        <v>6</v>
      </c>
      <c r="X29" s="53" t="s">
        <v>46</v>
      </c>
      <c r="Y29" s="53" t="s">
        <v>55</v>
      </c>
      <c r="Z29" s="53" t="s">
        <v>69</v>
      </c>
      <c r="AA29" s="53" t="s">
        <v>47</v>
      </c>
      <c r="AB29" s="53" t="s">
        <v>260</v>
      </c>
    </row>
    <row r="30" spans="1:48" x14ac:dyDescent="0.15">
      <c r="A30" s="53" t="s">
        <v>34</v>
      </c>
      <c r="B30" s="53" t="s">
        <v>256</v>
      </c>
      <c r="C30" s="53">
        <v>2019</v>
      </c>
      <c r="D30" s="171" t="s">
        <v>289</v>
      </c>
      <c r="E30" s="53" t="s">
        <v>210</v>
      </c>
      <c r="F30" s="53" t="s">
        <v>362</v>
      </c>
      <c r="G30" s="53" t="s">
        <v>36</v>
      </c>
      <c r="H30" s="53" t="s">
        <v>164</v>
      </c>
      <c r="I30" s="53" t="s">
        <v>159</v>
      </c>
      <c r="J30" s="53" t="s">
        <v>38</v>
      </c>
      <c r="K30" s="53" t="s">
        <v>161</v>
      </c>
      <c r="L30" s="53">
        <v>2</v>
      </c>
      <c r="N30" s="53">
        <v>4</v>
      </c>
      <c r="O30" s="53">
        <v>0.5</v>
      </c>
      <c r="P30" s="53">
        <v>0.55000000000000004</v>
      </c>
      <c r="Q30" s="74">
        <f t="shared" si="0"/>
        <v>0.52500000000000002</v>
      </c>
      <c r="R30" s="53">
        <v>18.3</v>
      </c>
      <c r="S30" s="53">
        <v>80</v>
      </c>
      <c r="T30" s="16">
        <f t="shared" si="1"/>
        <v>39</v>
      </c>
      <c r="U30" s="53">
        <v>320</v>
      </c>
      <c r="V30" s="16">
        <f t="shared" si="2"/>
        <v>3120</v>
      </c>
      <c r="W30" s="53">
        <v>6</v>
      </c>
      <c r="X30" s="53" t="s">
        <v>46</v>
      </c>
      <c r="Y30" s="53" t="s">
        <v>55</v>
      </c>
      <c r="Z30" s="53" t="s">
        <v>69</v>
      </c>
      <c r="AA30" s="53" t="s">
        <v>47</v>
      </c>
      <c r="AB30" s="53" t="s">
        <v>260</v>
      </c>
    </row>
    <row r="31" spans="1:48" x14ac:dyDescent="0.15">
      <c r="A31" s="53" t="s">
        <v>34</v>
      </c>
      <c r="B31" s="53" t="s">
        <v>256</v>
      </c>
      <c r="C31" s="53">
        <v>2019</v>
      </c>
      <c r="D31" s="171" t="s">
        <v>289</v>
      </c>
      <c r="E31" s="53" t="s">
        <v>210</v>
      </c>
      <c r="F31" s="53" t="s">
        <v>362</v>
      </c>
      <c r="G31" s="53" t="s">
        <v>36</v>
      </c>
      <c r="H31" s="53" t="s">
        <v>164</v>
      </c>
      <c r="I31" s="53" t="s">
        <v>159</v>
      </c>
      <c r="J31" s="53" t="s">
        <v>38</v>
      </c>
      <c r="K31" s="53" t="s">
        <v>161</v>
      </c>
      <c r="L31" s="53">
        <v>3</v>
      </c>
      <c r="N31" s="53">
        <v>4</v>
      </c>
      <c r="O31" s="53">
        <v>0.5</v>
      </c>
      <c r="P31" s="53">
        <v>0.55000000000000004</v>
      </c>
      <c r="Q31" s="74">
        <f t="shared" si="0"/>
        <v>0.52500000000000002</v>
      </c>
      <c r="R31" s="53">
        <v>17.2</v>
      </c>
      <c r="S31" s="53">
        <v>75</v>
      </c>
      <c r="T31" s="16">
        <f t="shared" si="1"/>
        <v>42</v>
      </c>
      <c r="U31" s="53">
        <v>320</v>
      </c>
      <c r="V31" s="16">
        <f t="shared" si="2"/>
        <v>3360</v>
      </c>
      <c r="W31" s="53">
        <v>6</v>
      </c>
      <c r="X31" s="53" t="s">
        <v>46</v>
      </c>
      <c r="Y31" s="53" t="s">
        <v>55</v>
      </c>
      <c r="Z31" s="53" t="s">
        <v>69</v>
      </c>
      <c r="AA31" s="53" t="s">
        <v>47</v>
      </c>
      <c r="AB31" s="53" t="s">
        <v>260</v>
      </c>
    </row>
    <row r="32" spans="1:48" x14ac:dyDescent="0.15">
      <c r="A32" s="53" t="s">
        <v>34</v>
      </c>
      <c r="B32" s="53" t="s">
        <v>256</v>
      </c>
      <c r="C32" s="53">
        <v>2019</v>
      </c>
      <c r="D32" s="171" t="s">
        <v>289</v>
      </c>
      <c r="E32" s="53" t="s">
        <v>210</v>
      </c>
      <c r="F32" s="53" t="s">
        <v>362</v>
      </c>
      <c r="G32" s="53" t="s">
        <v>36</v>
      </c>
      <c r="H32" s="53" t="s">
        <v>160</v>
      </c>
      <c r="I32" s="53" t="s">
        <v>159</v>
      </c>
      <c r="J32" s="53" t="s">
        <v>38</v>
      </c>
      <c r="K32" s="53" t="s">
        <v>161</v>
      </c>
      <c r="L32" s="53">
        <v>1</v>
      </c>
      <c r="N32" s="53">
        <v>1</v>
      </c>
      <c r="O32" s="53">
        <v>0.65</v>
      </c>
      <c r="P32" s="53">
        <v>0.5</v>
      </c>
      <c r="Q32" s="74">
        <f t="shared" si="0"/>
        <v>0.57499999999999996</v>
      </c>
      <c r="R32" s="53">
        <v>19</v>
      </c>
      <c r="S32" s="53">
        <v>120</v>
      </c>
      <c r="T32" s="16">
        <f t="shared" si="1"/>
        <v>30</v>
      </c>
      <c r="U32" s="53">
        <v>96</v>
      </c>
      <c r="V32" s="16">
        <f t="shared" si="2"/>
        <v>2880</v>
      </c>
      <c r="W32" s="53">
        <v>11</v>
      </c>
      <c r="X32" s="53" t="s">
        <v>46</v>
      </c>
      <c r="Y32" s="53" t="s">
        <v>55</v>
      </c>
      <c r="Z32" s="53" t="s">
        <v>69</v>
      </c>
      <c r="AA32" s="53" t="s">
        <v>47</v>
      </c>
      <c r="AB32" s="53" t="s">
        <v>260</v>
      </c>
    </row>
    <row r="33" spans="1:28" x14ac:dyDescent="0.15">
      <c r="A33" s="53" t="s">
        <v>34</v>
      </c>
      <c r="B33" s="53" t="s">
        <v>256</v>
      </c>
      <c r="C33" s="53">
        <v>2019</v>
      </c>
      <c r="D33" s="171" t="s">
        <v>289</v>
      </c>
      <c r="E33" s="53" t="s">
        <v>210</v>
      </c>
      <c r="F33" s="53" t="s">
        <v>362</v>
      </c>
      <c r="G33" s="53" t="s">
        <v>36</v>
      </c>
      <c r="H33" s="53" t="s">
        <v>160</v>
      </c>
      <c r="I33" s="53" t="s">
        <v>159</v>
      </c>
      <c r="J33" s="53" t="s">
        <v>38</v>
      </c>
      <c r="K33" s="53" t="s">
        <v>161</v>
      </c>
      <c r="L33" s="53">
        <v>2</v>
      </c>
      <c r="N33" s="53">
        <v>1</v>
      </c>
      <c r="O33" s="53">
        <v>0.55000000000000004</v>
      </c>
      <c r="P33" s="53">
        <v>0.8</v>
      </c>
      <c r="Q33" s="74">
        <f t="shared" si="0"/>
        <v>0.67500000000000004</v>
      </c>
      <c r="R33" s="53">
        <v>18.2</v>
      </c>
      <c r="S33" s="53">
        <v>122</v>
      </c>
      <c r="T33" s="16">
        <f t="shared" si="1"/>
        <v>30</v>
      </c>
      <c r="U33" s="53">
        <v>96</v>
      </c>
      <c r="V33" s="16">
        <f t="shared" si="2"/>
        <v>2880</v>
      </c>
      <c r="W33" s="53">
        <v>11</v>
      </c>
      <c r="X33" s="53" t="s">
        <v>46</v>
      </c>
      <c r="Y33" s="53" t="s">
        <v>55</v>
      </c>
      <c r="Z33" s="53" t="s">
        <v>69</v>
      </c>
      <c r="AA33" s="53" t="s">
        <v>47</v>
      </c>
      <c r="AB33" s="53" t="s">
        <v>260</v>
      </c>
    </row>
    <row r="34" spans="1:28" x14ac:dyDescent="0.15">
      <c r="A34" s="53" t="s">
        <v>34</v>
      </c>
      <c r="B34" s="53" t="s">
        <v>256</v>
      </c>
      <c r="C34" s="53">
        <v>2019</v>
      </c>
      <c r="D34" s="171" t="s">
        <v>289</v>
      </c>
      <c r="E34" s="53" t="s">
        <v>210</v>
      </c>
      <c r="F34" s="53" t="s">
        <v>362</v>
      </c>
      <c r="G34" s="53" t="s">
        <v>36</v>
      </c>
      <c r="H34" s="53" t="s">
        <v>160</v>
      </c>
      <c r="I34" s="53" t="s">
        <v>159</v>
      </c>
      <c r="J34" s="53" t="s">
        <v>38</v>
      </c>
      <c r="K34" s="53" t="s">
        <v>161</v>
      </c>
      <c r="L34" s="53">
        <v>3</v>
      </c>
      <c r="N34" s="53">
        <v>1</v>
      </c>
      <c r="O34" s="53">
        <v>0.85</v>
      </c>
      <c r="P34" s="53">
        <v>0.9</v>
      </c>
      <c r="Q34" s="74">
        <f>IF(OR(O34="",P34=""),"",AVERAGE(O34,P34))</f>
        <v>0.875</v>
      </c>
      <c r="R34" s="53">
        <v>18.899999999999999</v>
      </c>
      <c r="S34" s="53">
        <v>128</v>
      </c>
      <c r="T34" s="16">
        <f t="shared" si="1"/>
        <v>30</v>
      </c>
      <c r="U34" s="53">
        <v>96</v>
      </c>
      <c r="V34" s="16">
        <f t="shared" si="2"/>
        <v>2880</v>
      </c>
      <c r="W34" s="53">
        <v>11</v>
      </c>
      <c r="X34" s="53" t="s">
        <v>46</v>
      </c>
      <c r="Y34" s="53" t="s">
        <v>55</v>
      </c>
      <c r="Z34" s="53" t="s">
        <v>69</v>
      </c>
      <c r="AA34" s="53" t="s">
        <v>47</v>
      </c>
      <c r="AB34" s="53" t="s">
        <v>260</v>
      </c>
    </row>
    <row r="35" spans="1:28" x14ac:dyDescent="0.15">
      <c r="A35" s="53" t="s">
        <v>34</v>
      </c>
      <c r="B35" s="53" t="s">
        <v>256</v>
      </c>
      <c r="C35" s="53">
        <v>2019</v>
      </c>
      <c r="D35" s="171" t="s">
        <v>289</v>
      </c>
      <c r="E35" s="53" t="s">
        <v>210</v>
      </c>
      <c r="F35" s="53" t="s">
        <v>362</v>
      </c>
      <c r="G35" s="53" t="s">
        <v>36</v>
      </c>
      <c r="H35" s="53" t="s">
        <v>160</v>
      </c>
      <c r="I35" s="53" t="s">
        <v>159</v>
      </c>
      <c r="J35" s="53" t="s">
        <v>38</v>
      </c>
      <c r="K35" s="53" t="s">
        <v>161</v>
      </c>
      <c r="L35" s="53">
        <v>1</v>
      </c>
      <c r="N35" s="53">
        <v>4</v>
      </c>
      <c r="O35" s="53">
        <v>0.8</v>
      </c>
      <c r="P35" s="53">
        <v>0.85</v>
      </c>
      <c r="Q35" s="74">
        <f t="shared" ref="Q35:Q36" si="3">IF(OR(O35="",P35=""),"",AVERAGE(O35,P35))</f>
        <v>0.82499999999999996</v>
      </c>
      <c r="R35" s="53">
        <v>19.2</v>
      </c>
      <c r="S35" s="53">
        <v>94</v>
      </c>
      <c r="T35" s="16">
        <f t="shared" si="1"/>
        <v>36</v>
      </c>
      <c r="U35" s="53">
        <v>320</v>
      </c>
      <c r="V35" s="16">
        <f t="shared" si="2"/>
        <v>2880</v>
      </c>
      <c r="W35" s="53">
        <v>11</v>
      </c>
      <c r="X35" s="53" t="s">
        <v>46</v>
      </c>
      <c r="Y35" s="53" t="s">
        <v>55</v>
      </c>
      <c r="Z35" s="53" t="s">
        <v>69</v>
      </c>
      <c r="AA35" s="53" t="s">
        <v>47</v>
      </c>
      <c r="AB35" s="53" t="s">
        <v>260</v>
      </c>
    </row>
    <row r="36" spans="1:28" x14ac:dyDescent="0.15">
      <c r="A36" s="53" t="s">
        <v>34</v>
      </c>
      <c r="B36" s="53" t="s">
        <v>256</v>
      </c>
      <c r="C36" s="53">
        <v>2019</v>
      </c>
      <c r="D36" s="171" t="s">
        <v>289</v>
      </c>
      <c r="E36" s="53" t="s">
        <v>210</v>
      </c>
      <c r="F36" s="53" t="s">
        <v>362</v>
      </c>
      <c r="G36" s="53" t="s">
        <v>36</v>
      </c>
      <c r="H36" s="53" t="s">
        <v>160</v>
      </c>
      <c r="I36" s="53" t="s">
        <v>159</v>
      </c>
      <c r="J36" s="53" t="s">
        <v>38</v>
      </c>
      <c r="K36" s="53" t="s">
        <v>161</v>
      </c>
      <c r="L36" s="53">
        <v>2</v>
      </c>
      <c r="N36" s="53">
        <v>4</v>
      </c>
      <c r="O36" s="53">
        <v>0.7</v>
      </c>
      <c r="P36" s="53">
        <v>0.85</v>
      </c>
      <c r="Q36" s="74">
        <f t="shared" si="3"/>
        <v>0.77499999999999991</v>
      </c>
      <c r="R36" s="53">
        <v>17.7</v>
      </c>
      <c r="S36" s="53">
        <v>95</v>
      </c>
      <c r="T36" s="16">
        <f t="shared" si="1"/>
        <v>36</v>
      </c>
      <c r="U36" s="53">
        <v>320</v>
      </c>
      <c r="V36" s="16">
        <f t="shared" si="2"/>
        <v>2880</v>
      </c>
      <c r="W36" s="53">
        <v>11</v>
      </c>
      <c r="X36" s="53" t="s">
        <v>46</v>
      </c>
      <c r="Y36" s="53" t="s">
        <v>55</v>
      </c>
      <c r="Z36" s="53" t="s">
        <v>69</v>
      </c>
      <c r="AA36" s="53" t="s">
        <v>47</v>
      </c>
      <c r="AB36" s="53" t="s">
        <v>260</v>
      </c>
    </row>
    <row r="37" spans="1:28" x14ac:dyDescent="0.15">
      <c r="A37" s="53" t="s">
        <v>34</v>
      </c>
      <c r="B37" s="53" t="s">
        <v>256</v>
      </c>
      <c r="C37" s="53">
        <v>2019</v>
      </c>
      <c r="D37" s="171" t="s">
        <v>289</v>
      </c>
      <c r="E37" s="53" t="s">
        <v>210</v>
      </c>
      <c r="F37" s="53" t="s">
        <v>362</v>
      </c>
      <c r="G37" s="53" t="s">
        <v>36</v>
      </c>
      <c r="H37" s="53" t="s">
        <v>160</v>
      </c>
      <c r="I37" s="53" t="s">
        <v>159</v>
      </c>
      <c r="J37" s="53" t="s">
        <v>38</v>
      </c>
      <c r="K37" s="53" t="s">
        <v>161</v>
      </c>
      <c r="L37" s="53">
        <v>3</v>
      </c>
      <c r="N37" s="53">
        <v>4</v>
      </c>
      <c r="O37" s="53">
        <v>0.7</v>
      </c>
      <c r="P37" s="53">
        <v>0.75</v>
      </c>
      <c r="Q37" s="74">
        <f>IF(OR(O37="",P37=""),"",AVERAGE(O37,P37))</f>
        <v>0.72499999999999998</v>
      </c>
      <c r="R37" s="53">
        <v>20.100000000000001</v>
      </c>
      <c r="S37" s="53">
        <v>92</v>
      </c>
      <c r="T37" s="16">
        <f t="shared" si="1"/>
        <v>36</v>
      </c>
      <c r="U37" s="53">
        <v>320</v>
      </c>
      <c r="V37" s="16">
        <f t="shared" si="2"/>
        <v>2880</v>
      </c>
      <c r="W37" s="53">
        <v>11</v>
      </c>
      <c r="X37" s="53" t="s">
        <v>46</v>
      </c>
      <c r="Y37" s="53" t="s">
        <v>55</v>
      </c>
      <c r="Z37" s="53" t="s">
        <v>69</v>
      </c>
      <c r="AA37" s="53" t="s">
        <v>47</v>
      </c>
      <c r="AB37" s="53" t="s">
        <v>260</v>
      </c>
    </row>
    <row r="38" spans="1:28" x14ac:dyDescent="0.15">
      <c r="A38" s="53" t="s">
        <v>34</v>
      </c>
      <c r="B38" s="53" t="s">
        <v>256</v>
      </c>
      <c r="C38" s="53">
        <v>2019</v>
      </c>
      <c r="D38" s="171" t="s">
        <v>289</v>
      </c>
      <c r="E38" s="53" t="s">
        <v>351</v>
      </c>
      <c r="F38" s="53" t="s">
        <v>352</v>
      </c>
      <c r="G38" s="53" t="s">
        <v>36</v>
      </c>
      <c r="H38" s="53" t="s">
        <v>164</v>
      </c>
      <c r="I38" s="53" t="s">
        <v>159</v>
      </c>
      <c r="J38" s="53" t="s">
        <v>38</v>
      </c>
      <c r="K38" s="53" t="s">
        <v>161</v>
      </c>
      <c r="L38" s="53">
        <v>1</v>
      </c>
      <c r="N38" s="53">
        <v>1</v>
      </c>
      <c r="O38" s="53">
        <v>0.6</v>
      </c>
      <c r="P38" s="53">
        <v>0.55000000000000004</v>
      </c>
      <c r="Q38" s="74">
        <f t="shared" ref="Q38:Q39" si="4">IF(OR(O38="",P38=""),"",AVERAGE(O38,P38))</f>
        <v>0.57499999999999996</v>
      </c>
      <c r="R38" s="53">
        <v>17.600000000000001</v>
      </c>
      <c r="S38" s="53">
        <v>142</v>
      </c>
      <c r="T38" s="16">
        <f t="shared" si="1"/>
        <v>30</v>
      </c>
      <c r="U38" s="53">
        <v>108</v>
      </c>
      <c r="V38" s="16">
        <f t="shared" si="2"/>
        <v>3240</v>
      </c>
      <c r="W38" s="53">
        <v>5</v>
      </c>
      <c r="X38" s="53" t="s">
        <v>46</v>
      </c>
      <c r="Y38" s="53" t="s">
        <v>55</v>
      </c>
      <c r="Z38" s="53" t="s">
        <v>69</v>
      </c>
      <c r="AA38" s="53" t="s">
        <v>86</v>
      </c>
      <c r="AB38" s="53" t="s">
        <v>260</v>
      </c>
    </row>
    <row r="39" spans="1:28" x14ac:dyDescent="0.15">
      <c r="A39" s="53" t="s">
        <v>34</v>
      </c>
      <c r="B39" s="53" t="s">
        <v>256</v>
      </c>
      <c r="C39" s="53">
        <v>2019</v>
      </c>
      <c r="D39" s="171" t="s">
        <v>289</v>
      </c>
      <c r="E39" s="53" t="s">
        <v>351</v>
      </c>
      <c r="F39" s="53" t="s">
        <v>352</v>
      </c>
      <c r="G39" s="53" t="s">
        <v>36</v>
      </c>
      <c r="H39" s="53" t="s">
        <v>164</v>
      </c>
      <c r="I39" s="53" t="s">
        <v>159</v>
      </c>
      <c r="J39" s="53" t="s">
        <v>38</v>
      </c>
      <c r="K39" s="53" t="s">
        <v>161</v>
      </c>
      <c r="L39" s="53">
        <v>2</v>
      </c>
      <c r="N39" s="53">
        <v>1</v>
      </c>
      <c r="O39" s="53">
        <v>0.85</v>
      </c>
      <c r="P39" s="53">
        <v>0.85</v>
      </c>
      <c r="Q39" s="74">
        <f t="shared" si="4"/>
        <v>0.85</v>
      </c>
      <c r="R39" s="53">
        <v>14.6</v>
      </c>
      <c r="S39" s="53">
        <v>146</v>
      </c>
      <c r="T39" s="16">
        <f t="shared" si="1"/>
        <v>30</v>
      </c>
      <c r="U39" s="53">
        <v>108</v>
      </c>
      <c r="V39" s="16">
        <f t="shared" si="2"/>
        <v>3240</v>
      </c>
      <c r="W39" s="53">
        <v>5</v>
      </c>
      <c r="X39" s="53" t="s">
        <v>46</v>
      </c>
      <c r="Y39" s="53" t="s">
        <v>55</v>
      </c>
      <c r="Z39" s="53" t="s">
        <v>69</v>
      </c>
      <c r="AA39" s="53" t="s">
        <v>86</v>
      </c>
      <c r="AB39" s="53" t="s">
        <v>260</v>
      </c>
    </row>
    <row r="40" spans="1:28" x14ac:dyDescent="0.15">
      <c r="A40" s="53" t="s">
        <v>34</v>
      </c>
      <c r="B40" s="53" t="s">
        <v>256</v>
      </c>
      <c r="C40" s="53">
        <v>2019</v>
      </c>
      <c r="D40" s="171" t="s">
        <v>289</v>
      </c>
      <c r="E40" s="53" t="s">
        <v>351</v>
      </c>
      <c r="F40" s="53" t="s">
        <v>352</v>
      </c>
      <c r="G40" s="53" t="s">
        <v>36</v>
      </c>
      <c r="H40" s="53" t="s">
        <v>164</v>
      </c>
      <c r="I40" s="53" t="s">
        <v>159</v>
      </c>
      <c r="J40" s="53" t="s">
        <v>38</v>
      </c>
      <c r="K40" s="53" t="s">
        <v>161</v>
      </c>
      <c r="L40" s="53">
        <v>3</v>
      </c>
      <c r="N40" s="53">
        <v>1</v>
      </c>
      <c r="O40" s="53">
        <v>0.65</v>
      </c>
      <c r="P40" s="53">
        <v>0.7</v>
      </c>
      <c r="Q40" s="74">
        <f>IF(OR(O40="",P40=""),"",AVERAGE(O40,P40))</f>
        <v>0.67500000000000004</v>
      </c>
      <c r="R40" s="53">
        <v>17.3</v>
      </c>
      <c r="S40" s="53">
        <v>141</v>
      </c>
      <c r="T40" s="16">
        <f t="shared" si="1"/>
        <v>30</v>
      </c>
      <c r="U40" s="53">
        <v>108</v>
      </c>
      <c r="V40" s="16">
        <f t="shared" si="2"/>
        <v>3240</v>
      </c>
      <c r="W40" s="53">
        <v>5</v>
      </c>
      <c r="X40" s="53" t="s">
        <v>46</v>
      </c>
      <c r="Y40" s="53" t="s">
        <v>55</v>
      </c>
      <c r="Z40" s="53" t="s">
        <v>69</v>
      </c>
      <c r="AA40" s="53" t="s">
        <v>86</v>
      </c>
      <c r="AB40" s="53" t="s">
        <v>260</v>
      </c>
    </row>
    <row r="41" spans="1:28" x14ac:dyDescent="0.15">
      <c r="A41" s="53" t="s">
        <v>34</v>
      </c>
      <c r="B41" s="53" t="s">
        <v>256</v>
      </c>
      <c r="C41" s="53">
        <v>2019</v>
      </c>
      <c r="D41" s="171" t="s">
        <v>289</v>
      </c>
      <c r="E41" s="53" t="s">
        <v>351</v>
      </c>
      <c r="F41" s="53" t="s">
        <v>352</v>
      </c>
      <c r="G41" s="53" t="s">
        <v>36</v>
      </c>
      <c r="H41" s="53" t="s">
        <v>164</v>
      </c>
      <c r="I41" s="53" t="s">
        <v>159</v>
      </c>
      <c r="J41" s="53" t="s">
        <v>38</v>
      </c>
      <c r="K41" s="53" t="s">
        <v>161</v>
      </c>
      <c r="L41" s="53">
        <v>1</v>
      </c>
      <c r="N41" s="53">
        <v>4</v>
      </c>
      <c r="O41" s="53">
        <v>0.45</v>
      </c>
      <c r="P41" s="53">
        <v>0.45</v>
      </c>
      <c r="Q41" s="74">
        <f t="shared" si="0"/>
        <v>0.45</v>
      </c>
      <c r="R41" s="53">
        <v>17.8</v>
      </c>
      <c r="S41" s="53">
        <v>105</v>
      </c>
      <c r="T41" s="16">
        <f t="shared" si="1"/>
        <v>33</v>
      </c>
      <c r="U41" s="53">
        <v>321</v>
      </c>
      <c r="V41" s="16">
        <f t="shared" si="2"/>
        <v>2648.25</v>
      </c>
      <c r="W41" s="53">
        <v>5</v>
      </c>
      <c r="X41" s="53" t="s">
        <v>46</v>
      </c>
      <c r="Y41" s="53" t="s">
        <v>55</v>
      </c>
      <c r="Z41" s="53" t="s">
        <v>69</v>
      </c>
      <c r="AA41" s="53" t="s">
        <v>86</v>
      </c>
      <c r="AB41" s="53" t="s">
        <v>260</v>
      </c>
    </row>
    <row r="42" spans="1:28" x14ac:dyDescent="0.15">
      <c r="A42" s="53" t="s">
        <v>34</v>
      </c>
      <c r="B42" s="53" t="s">
        <v>256</v>
      </c>
      <c r="C42" s="53">
        <v>2019</v>
      </c>
      <c r="D42" s="171" t="s">
        <v>289</v>
      </c>
      <c r="E42" s="53" t="s">
        <v>351</v>
      </c>
      <c r="F42" s="53" t="s">
        <v>352</v>
      </c>
      <c r="G42" s="53" t="s">
        <v>36</v>
      </c>
      <c r="H42" s="53" t="s">
        <v>164</v>
      </c>
      <c r="I42" s="53" t="s">
        <v>159</v>
      </c>
      <c r="J42" s="53" t="s">
        <v>38</v>
      </c>
      <c r="K42" s="53" t="s">
        <v>161</v>
      </c>
      <c r="L42" s="53">
        <v>2</v>
      </c>
      <c r="N42" s="53">
        <v>4</v>
      </c>
      <c r="O42" s="53">
        <v>0.5</v>
      </c>
      <c r="P42" s="53">
        <v>0.2</v>
      </c>
      <c r="Q42" s="74">
        <f t="shared" si="0"/>
        <v>0.35</v>
      </c>
      <c r="R42" s="53">
        <v>17.5</v>
      </c>
      <c r="S42" s="53">
        <v>103</v>
      </c>
      <c r="T42" s="16">
        <f t="shared" si="1"/>
        <v>33</v>
      </c>
      <c r="U42" s="53">
        <v>321</v>
      </c>
      <c r="V42" s="16">
        <f t="shared" si="2"/>
        <v>2648.25</v>
      </c>
      <c r="W42" s="53">
        <v>5</v>
      </c>
      <c r="X42" s="53" t="s">
        <v>46</v>
      </c>
      <c r="Y42" s="53" t="s">
        <v>55</v>
      </c>
      <c r="Z42" s="53" t="s">
        <v>69</v>
      </c>
      <c r="AA42" s="53" t="s">
        <v>86</v>
      </c>
      <c r="AB42" s="53" t="s">
        <v>260</v>
      </c>
    </row>
    <row r="43" spans="1:28" x14ac:dyDescent="0.15">
      <c r="A43" s="53" t="s">
        <v>34</v>
      </c>
      <c r="B43" s="53" t="s">
        <v>256</v>
      </c>
      <c r="C43" s="53">
        <v>2019</v>
      </c>
      <c r="D43" s="171" t="s">
        <v>289</v>
      </c>
      <c r="E43" s="53" t="s">
        <v>351</v>
      </c>
      <c r="F43" s="53" t="s">
        <v>352</v>
      </c>
      <c r="G43" s="53" t="s">
        <v>36</v>
      </c>
      <c r="H43" s="53" t="s">
        <v>164</v>
      </c>
      <c r="I43" s="53" t="s">
        <v>159</v>
      </c>
      <c r="J43" s="53" t="s">
        <v>38</v>
      </c>
      <c r="K43" s="53" t="s">
        <v>161</v>
      </c>
      <c r="L43" s="53">
        <v>3</v>
      </c>
      <c r="N43" s="53">
        <v>4</v>
      </c>
      <c r="O43" s="53">
        <v>0.6</v>
      </c>
      <c r="P43" s="53">
        <v>0.7</v>
      </c>
      <c r="Q43" s="74">
        <f t="shared" si="0"/>
        <v>0.64999999999999991</v>
      </c>
      <c r="R43" s="53">
        <v>18.100000000000001</v>
      </c>
      <c r="S43" s="53">
        <v>97</v>
      </c>
      <c r="T43" s="16">
        <f t="shared" si="1"/>
        <v>36</v>
      </c>
      <c r="U43" s="53">
        <v>321</v>
      </c>
      <c r="V43" s="16">
        <f t="shared" si="2"/>
        <v>2889</v>
      </c>
      <c r="W43" s="53">
        <v>5</v>
      </c>
      <c r="X43" s="53" t="s">
        <v>46</v>
      </c>
      <c r="Y43" s="53" t="s">
        <v>55</v>
      </c>
      <c r="Z43" s="53" t="s">
        <v>69</v>
      </c>
      <c r="AA43" s="53" t="s">
        <v>86</v>
      </c>
      <c r="AB43" s="53" t="s">
        <v>260</v>
      </c>
    </row>
    <row r="44" spans="1:28" x14ac:dyDescent="0.15">
      <c r="A44" s="53" t="s">
        <v>34</v>
      </c>
      <c r="B44" s="53" t="s">
        <v>256</v>
      </c>
      <c r="C44" s="53">
        <v>2019</v>
      </c>
      <c r="D44" s="171" t="s">
        <v>289</v>
      </c>
      <c r="E44" s="53" t="s">
        <v>351</v>
      </c>
      <c r="F44" s="53" t="s">
        <v>352</v>
      </c>
      <c r="G44" s="53" t="s">
        <v>36</v>
      </c>
      <c r="H44" s="53" t="s">
        <v>160</v>
      </c>
      <c r="I44" s="53" t="s">
        <v>159</v>
      </c>
      <c r="J44" s="53" t="s">
        <v>38</v>
      </c>
      <c r="K44" s="53" t="s">
        <v>161</v>
      </c>
      <c r="L44" s="53">
        <v>1</v>
      </c>
      <c r="N44" s="53">
        <v>1</v>
      </c>
      <c r="O44" s="53">
        <v>0.5</v>
      </c>
      <c r="P44" s="53">
        <v>0.2</v>
      </c>
      <c r="Q44" s="74">
        <f t="shared" si="0"/>
        <v>0.35</v>
      </c>
      <c r="R44" s="53">
        <v>18</v>
      </c>
      <c r="S44" s="53">
        <v>137</v>
      </c>
      <c r="T44" s="16">
        <f t="shared" si="1"/>
        <v>30</v>
      </c>
      <c r="U44" s="53">
        <v>108</v>
      </c>
      <c r="V44" s="16">
        <f t="shared" si="2"/>
        <v>3240</v>
      </c>
      <c r="W44" s="53">
        <v>8</v>
      </c>
      <c r="X44" s="53" t="s">
        <v>46</v>
      </c>
      <c r="Y44" s="53" t="s">
        <v>55</v>
      </c>
      <c r="Z44" s="53" t="s">
        <v>69</v>
      </c>
      <c r="AA44" s="53" t="s">
        <v>86</v>
      </c>
      <c r="AB44" s="53" t="s">
        <v>260</v>
      </c>
    </row>
    <row r="45" spans="1:28" x14ac:dyDescent="0.15">
      <c r="A45" s="53" t="s">
        <v>34</v>
      </c>
      <c r="B45" s="53" t="s">
        <v>256</v>
      </c>
      <c r="C45" s="53">
        <v>2019</v>
      </c>
      <c r="D45" s="171" t="s">
        <v>289</v>
      </c>
      <c r="E45" s="53" t="s">
        <v>351</v>
      </c>
      <c r="F45" s="53" t="s">
        <v>352</v>
      </c>
      <c r="G45" s="53" t="s">
        <v>36</v>
      </c>
      <c r="H45" s="53" t="s">
        <v>160</v>
      </c>
      <c r="I45" s="53" t="s">
        <v>159</v>
      </c>
      <c r="J45" s="53" t="s">
        <v>38</v>
      </c>
      <c r="K45" s="53" t="s">
        <v>161</v>
      </c>
      <c r="L45" s="53">
        <v>2</v>
      </c>
      <c r="N45" s="53">
        <v>1</v>
      </c>
      <c r="O45" s="53">
        <v>0.65</v>
      </c>
      <c r="P45" s="53">
        <v>0.65</v>
      </c>
      <c r="Q45" s="74">
        <f t="shared" si="0"/>
        <v>0.65</v>
      </c>
      <c r="R45" s="53">
        <v>18.8</v>
      </c>
      <c r="S45" s="53">
        <v>137</v>
      </c>
      <c r="T45" s="16">
        <f t="shared" si="1"/>
        <v>30</v>
      </c>
      <c r="U45" s="53">
        <v>108</v>
      </c>
      <c r="V45" s="16">
        <f t="shared" si="2"/>
        <v>3240</v>
      </c>
      <c r="W45" s="53">
        <v>8</v>
      </c>
      <c r="X45" s="53" t="s">
        <v>46</v>
      </c>
      <c r="Y45" s="53" t="s">
        <v>55</v>
      </c>
      <c r="Z45" s="53" t="s">
        <v>69</v>
      </c>
      <c r="AA45" s="53" t="s">
        <v>86</v>
      </c>
      <c r="AB45" s="53" t="s">
        <v>260</v>
      </c>
    </row>
    <row r="46" spans="1:28" x14ac:dyDescent="0.15">
      <c r="A46" s="53" t="s">
        <v>34</v>
      </c>
      <c r="B46" s="53" t="s">
        <v>256</v>
      </c>
      <c r="C46" s="53">
        <v>2019</v>
      </c>
      <c r="D46" s="171" t="s">
        <v>289</v>
      </c>
      <c r="E46" s="53" t="s">
        <v>351</v>
      </c>
      <c r="F46" s="53" t="s">
        <v>352</v>
      </c>
      <c r="G46" s="53" t="s">
        <v>36</v>
      </c>
      <c r="H46" s="53" t="s">
        <v>160</v>
      </c>
      <c r="I46" s="53" t="s">
        <v>159</v>
      </c>
      <c r="J46" s="53" t="s">
        <v>38</v>
      </c>
      <c r="K46" s="53" t="s">
        <v>161</v>
      </c>
      <c r="L46" s="53">
        <v>3</v>
      </c>
      <c r="N46" s="53">
        <v>1</v>
      </c>
      <c r="O46" s="53">
        <v>0.6</v>
      </c>
      <c r="P46" s="53">
        <v>0.65</v>
      </c>
      <c r="Q46" s="74">
        <f t="shared" si="0"/>
        <v>0.625</v>
      </c>
      <c r="R46" s="53">
        <v>18.100000000000001</v>
      </c>
      <c r="S46" s="53">
        <v>136</v>
      </c>
      <c r="T46" s="16">
        <f t="shared" si="1"/>
        <v>30</v>
      </c>
      <c r="U46" s="53">
        <v>108</v>
      </c>
      <c r="V46" s="16">
        <f t="shared" si="2"/>
        <v>3240</v>
      </c>
      <c r="W46" s="53">
        <v>8</v>
      </c>
      <c r="X46" s="53" t="s">
        <v>46</v>
      </c>
      <c r="Y46" s="53" t="s">
        <v>55</v>
      </c>
      <c r="Z46" s="53" t="s">
        <v>69</v>
      </c>
      <c r="AA46" s="53" t="s">
        <v>86</v>
      </c>
      <c r="AB46" s="53" t="s">
        <v>260</v>
      </c>
    </row>
    <row r="47" spans="1:28" x14ac:dyDescent="0.15">
      <c r="A47" s="53" t="s">
        <v>34</v>
      </c>
      <c r="B47" s="53" t="s">
        <v>256</v>
      </c>
      <c r="C47" s="53">
        <v>2019</v>
      </c>
      <c r="D47" s="171" t="s">
        <v>289</v>
      </c>
      <c r="E47" s="53" t="s">
        <v>351</v>
      </c>
      <c r="F47" s="53" t="s">
        <v>352</v>
      </c>
      <c r="G47" s="53" t="s">
        <v>36</v>
      </c>
      <c r="H47" s="53" t="s">
        <v>160</v>
      </c>
      <c r="I47" s="53" t="s">
        <v>159</v>
      </c>
      <c r="J47" s="53" t="s">
        <v>38</v>
      </c>
      <c r="K47" s="53" t="s">
        <v>161</v>
      </c>
      <c r="L47" s="53">
        <v>1</v>
      </c>
      <c r="N47" s="53">
        <v>4</v>
      </c>
      <c r="O47" s="53">
        <v>0.75</v>
      </c>
      <c r="P47" s="53">
        <v>0.7</v>
      </c>
      <c r="Q47" s="74">
        <f t="shared" si="0"/>
        <v>0.72499999999999998</v>
      </c>
      <c r="R47" s="53">
        <v>19.899999999999999</v>
      </c>
      <c r="S47" s="53">
        <v>112</v>
      </c>
      <c r="T47" s="16">
        <f t="shared" si="1"/>
        <v>33</v>
      </c>
      <c r="U47" s="53">
        <v>429</v>
      </c>
      <c r="V47" s="16">
        <f t="shared" si="2"/>
        <v>3539.25</v>
      </c>
      <c r="W47" s="53">
        <v>8</v>
      </c>
      <c r="X47" s="53" t="s">
        <v>46</v>
      </c>
      <c r="Y47" s="53" t="s">
        <v>55</v>
      </c>
      <c r="Z47" s="53" t="s">
        <v>69</v>
      </c>
      <c r="AA47" s="53" t="s">
        <v>86</v>
      </c>
      <c r="AB47" s="53" t="s">
        <v>260</v>
      </c>
    </row>
    <row r="48" spans="1:28" x14ac:dyDescent="0.15">
      <c r="A48" s="53" t="s">
        <v>34</v>
      </c>
      <c r="B48" s="53" t="s">
        <v>256</v>
      </c>
      <c r="C48" s="53">
        <v>2019</v>
      </c>
      <c r="D48" s="171" t="s">
        <v>289</v>
      </c>
      <c r="E48" s="53" t="s">
        <v>351</v>
      </c>
      <c r="F48" s="53" t="s">
        <v>352</v>
      </c>
      <c r="G48" s="53" t="s">
        <v>36</v>
      </c>
      <c r="H48" s="53" t="s">
        <v>160</v>
      </c>
      <c r="I48" s="53" t="s">
        <v>159</v>
      </c>
      <c r="J48" s="53" t="s">
        <v>38</v>
      </c>
      <c r="K48" s="53" t="s">
        <v>161</v>
      </c>
      <c r="L48" s="53">
        <v>2</v>
      </c>
      <c r="N48" s="53">
        <v>4</v>
      </c>
      <c r="O48" s="53">
        <v>0.75</v>
      </c>
      <c r="P48" s="53">
        <v>0.75</v>
      </c>
      <c r="Q48" s="74">
        <f t="shared" si="0"/>
        <v>0.75</v>
      </c>
      <c r="R48" s="53">
        <v>19.7</v>
      </c>
      <c r="S48" s="53">
        <v>115</v>
      </c>
      <c r="T48" s="16">
        <f t="shared" si="1"/>
        <v>30</v>
      </c>
      <c r="U48" s="53">
        <v>429</v>
      </c>
      <c r="V48" s="16">
        <f t="shared" si="2"/>
        <v>3217.5</v>
      </c>
      <c r="W48" s="53">
        <v>8</v>
      </c>
      <c r="X48" s="53" t="s">
        <v>46</v>
      </c>
      <c r="Y48" s="53" t="s">
        <v>55</v>
      </c>
      <c r="Z48" s="53" t="s">
        <v>69</v>
      </c>
      <c r="AA48" s="53" t="s">
        <v>86</v>
      </c>
      <c r="AB48" s="53" t="s">
        <v>260</v>
      </c>
    </row>
    <row r="49" spans="1:28" x14ac:dyDescent="0.15">
      <c r="A49" s="53" t="s">
        <v>34</v>
      </c>
      <c r="B49" s="53" t="s">
        <v>256</v>
      </c>
      <c r="C49" s="53">
        <v>2019</v>
      </c>
      <c r="D49" s="171" t="s">
        <v>289</v>
      </c>
      <c r="E49" s="53" t="s">
        <v>351</v>
      </c>
      <c r="F49" s="53" t="s">
        <v>352</v>
      </c>
      <c r="G49" s="53" t="s">
        <v>36</v>
      </c>
      <c r="H49" s="53" t="s">
        <v>160</v>
      </c>
      <c r="I49" s="53" t="s">
        <v>159</v>
      </c>
      <c r="J49" s="53" t="s">
        <v>38</v>
      </c>
      <c r="K49" s="53" t="s">
        <v>161</v>
      </c>
      <c r="L49" s="53">
        <v>3</v>
      </c>
      <c r="N49" s="53">
        <v>4</v>
      </c>
      <c r="O49" s="53">
        <v>0.7</v>
      </c>
      <c r="P49" s="53">
        <v>0.65</v>
      </c>
      <c r="Q49" s="74">
        <f t="shared" si="0"/>
        <v>0.67500000000000004</v>
      </c>
      <c r="R49" s="53">
        <v>19.899999999999999</v>
      </c>
      <c r="S49" s="53">
        <v>108</v>
      </c>
      <c r="T49" s="16">
        <f t="shared" si="1"/>
        <v>33</v>
      </c>
      <c r="U49" s="53">
        <v>429</v>
      </c>
      <c r="V49" s="16">
        <f t="shared" si="2"/>
        <v>3539.25</v>
      </c>
      <c r="W49" s="53">
        <v>8</v>
      </c>
      <c r="X49" s="53" t="s">
        <v>46</v>
      </c>
      <c r="Y49" s="53" t="s">
        <v>55</v>
      </c>
      <c r="Z49" s="53" t="s">
        <v>69</v>
      </c>
      <c r="AA49" s="53" t="s">
        <v>86</v>
      </c>
      <c r="AB49" s="53" t="s">
        <v>260</v>
      </c>
    </row>
    <row r="50" spans="1:28" x14ac:dyDescent="0.15">
      <c r="A50" s="53" t="s">
        <v>34</v>
      </c>
      <c r="B50" s="53" t="s">
        <v>256</v>
      </c>
      <c r="C50" s="53">
        <v>2019</v>
      </c>
      <c r="D50" s="171" t="s">
        <v>289</v>
      </c>
      <c r="E50" s="53" t="s">
        <v>360</v>
      </c>
      <c r="F50" s="53" t="s">
        <v>361</v>
      </c>
      <c r="G50" s="53" t="s">
        <v>36</v>
      </c>
      <c r="H50" s="53" t="s">
        <v>164</v>
      </c>
      <c r="I50" s="53" t="s">
        <v>159</v>
      </c>
      <c r="J50" s="53" t="s">
        <v>38</v>
      </c>
      <c r="K50" s="53" t="s">
        <v>161</v>
      </c>
      <c r="L50" s="53">
        <v>1</v>
      </c>
      <c r="N50" s="53">
        <v>1</v>
      </c>
      <c r="O50" s="53">
        <v>0.6</v>
      </c>
      <c r="P50" s="53">
        <v>0.65</v>
      </c>
      <c r="Q50" s="74">
        <f t="shared" si="0"/>
        <v>0.625</v>
      </c>
      <c r="R50" s="53">
        <v>16.5</v>
      </c>
      <c r="S50" s="53">
        <v>121</v>
      </c>
      <c r="T50" s="16">
        <f t="shared" si="1"/>
        <v>30</v>
      </c>
      <c r="U50" s="53">
        <v>81</v>
      </c>
      <c r="V50" s="16">
        <f t="shared" si="2"/>
        <v>2430</v>
      </c>
      <c r="W50" s="53">
        <v>7</v>
      </c>
      <c r="X50" s="53" t="s">
        <v>46</v>
      </c>
      <c r="Y50" s="53" t="s">
        <v>86</v>
      </c>
      <c r="Z50" s="53" t="s">
        <v>69</v>
      </c>
      <c r="AA50" s="53" t="s">
        <v>55</v>
      </c>
      <c r="AB50" s="53" t="s">
        <v>260</v>
      </c>
    </row>
    <row r="51" spans="1:28" x14ac:dyDescent="0.15">
      <c r="A51" s="53" t="s">
        <v>34</v>
      </c>
      <c r="B51" s="53" t="s">
        <v>256</v>
      </c>
      <c r="C51" s="53">
        <v>2019</v>
      </c>
      <c r="D51" s="171" t="s">
        <v>289</v>
      </c>
      <c r="E51" s="53" t="s">
        <v>360</v>
      </c>
      <c r="F51" s="53" t="s">
        <v>361</v>
      </c>
      <c r="G51" s="53" t="s">
        <v>36</v>
      </c>
      <c r="H51" s="53" t="s">
        <v>164</v>
      </c>
      <c r="I51" s="53" t="s">
        <v>159</v>
      </c>
      <c r="J51" s="53" t="s">
        <v>38</v>
      </c>
      <c r="K51" s="53" t="s">
        <v>161</v>
      </c>
      <c r="L51" s="53">
        <v>2</v>
      </c>
      <c r="N51" s="53">
        <v>1</v>
      </c>
      <c r="O51" s="53">
        <v>0.8</v>
      </c>
      <c r="P51" s="53">
        <v>0.7</v>
      </c>
      <c r="Q51" s="74">
        <f t="shared" si="0"/>
        <v>0.75</v>
      </c>
      <c r="R51" s="53">
        <v>18.600000000000001</v>
      </c>
      <c r="S51" s="53">
        <v>118</v>
      </c>
      <c r="T51" s="16">
        <f t="shared" si="1"/>
        <v>30</v>
      </c>
      <c r="U51" s="53">
        <v>81</v>
      </c>
      <c r="V51" s="16">
        <f t="shared" si="2"/>
        <v>2430</v>
      </c>
      <c r="W51" s="53">
        <v>7</v>
      </c>
      <c r="X51" s="53" t="s">
        <v>46</v>
      </c>
      <c r="Y51" s="53" t="s">
        <v>86</v>
      </c>
      <c r="Z51" s="53" t="s">
        <v>69</v>
      </c>
      <c r="AA51" s="53" t="s">
        <v>55</v>
      </c>
      <c r="AB51" s="53" t="s">
        <v>260</v>
      </c>
    </row>
    <row r="52" spans="1:28" x14ac:dyDescent="0.15">
      <c r="A52" s="53" t="s">
        <v>34</v>
      </c>
      <c r="B52" s="53" t="s">
        <v>256</v>
      </c>
      <c r="C52" s="53">
        <v>2019</v>
      </c>
      <c r="D52" s="171" t="s">
        <v>289</v>
      </c>
      <c r="E52" s="53" t="s">
        <v>360</v>
      </c>
      <c r="F52" s="53" t="s">
        <v>361</v>
      </c>
      <c r="G52" s="53" t="s">
        <v>36</v>
      </c>
      <c r="H52" s="53" t="s">
        <v>164</v>
      </c>
      <c r="I52" s="53" t="s">
        <v>159</v>
      </c>
      <c r="J52" s="53" t="s">
        <v>38</v>
      </c>
      <c r="K52" s="53" t="s">
        <v>161</v>
      </c>
      <c r="L52" s="53">
        <v>3</v>
      </c>
      <c r="N52" s="53">
        <v>1</v>
      </c>
      <c r="O52" s="53">
        <v>0.8</v>
      </c>
      <c r="P52" s="53">
        <v>0.6</v>
      </c>
      <c r="Q52" s="74">
        <f t="shared" si="0"/>
        <v>0.7</v>
      </c>
      <c r="R52" s="53">
        <v>17.600000000000001</v>
      </c>
      <c r="S52" s="53">
        <v>121</v>
      </c>
      <c r="T52" s="16">
        <f t="shared" si="1"/>
        <v>30</v>
      </c>
      <c r="U52" s="53">
        <v>81</v>
      </c>
      <c r="V52" s="16">
        <f t="shared" si="2"/>
        <v>2430</v>
      </c>
      <c r="W52" s="53">
        <v>7</v>
      </c>
      <c r="X52" s="53" t="s">
        <v>46</v>
      </c>
      <c r="Y52" s="53" t="s">
        <v>86</v>
      </c>
      <c r="Z52" s="53" t="s">
        <v>69</v>
      </c>
      <c r="AA52" s="53" t="s">
        <v>55</v>
      </c>
      <c r="AB52" s="53" t="s">
        <v>260</v>
      </c>
    </row>
    <row r="53" spans="1:28" x14ac:dyDescent="0.15">
      <c r="A53" s="53" t="s">
        <v>34</v>
      </c>
      <c r="B53" s="53" t="s">
        <v>256</v>
      </c>
      <c r="C53" s="53">
        <v>2019</v>
      </c>
      <c r="D53" s="171" t="s">
        <v>289</v>
      </c>
      <c r="E53" s="53" t="s">
        <v>360</v>
      </c>
      <c r="F53" s="53" t="s">
        <v>361</v>
      </c>
      <c r="G53" s="53" t="s">
        <v>36</v>
      </c>
      <c r="H53" s="53" t="s">
        <v>164</v>
      </c>
      <c r="I53" s="53" t="s">
        <v>159</v>
      </c>
      <c r="J53" s="53" t="s">
        <v>38</v>
      </c>
      <c r="K53" s="53" t="s">
        <v>161</v>
      </c>
      <c r="L53" s="53">
        <v>1</v>
      </c>
      <c r="N53" s="53">
        <v>8</v>
      </c>
      <c r="O53" s="53">
        <v>0.2</v>
      </c>
      <c r="P53" s="53">
        <v>0.2</v>
      </c>
      <c r="Q53" s="74">
        <f t="shared" si="0"/>
        <v>0.2</v>
      </c>
      <c r="R53" s="53">
        <v>18.100000000000001</v>
      </c>
      <c r="S53" s="53">
        <v>101</v>
      </c>
      <c r="T53" s="16">
        <f t="shared" si="1"/>
        <v>33</v>
      </c>
      <c r="U53" s="53">
        <v>537</v>
      </c>
      <c r="V53" s="16">
        <f t="shared" si="2"/>
        <v>2215.125</v>
      </c>
      <c r="W53" s="53">
        <v>7</v>
      </c>
      <c r="X53" s="53" t="s">
        <v>46</v>
      </c>
      <c r="Y53" s="53" t="s">
        <v>86</v>
      </c>
      <c r="Z53" s="53" t="s">
        <v>69</v>
      </c>
      <c r="AA53" s="53" t="s">
        <v>55</v>
      </c>
      <c r="AB53" s="53" t="s">
        <v>260</v>
      </c>
    </row>
    <row r="54" spans="1:28" x14ac:dyDescent="0.15">
      <c r="A54" s="53" t="s">
        <v>34</v>
      </c>
      <c r="B54" s="53" t="s">
        <v>256</v>
      </c>
      <c r="C54" s="53">
        <v>2019</v>
      </c>
      <c r="D54" s="171" t="s">
        <v>289</v>
      </c>
      <c r="E54" s="53" t="s">
        <v>360</v>
      </c>
      <c r="F54" s="53" t="s">
        <v>361</v>
      </c>
      <c r="G54" s="53" t="s">
        <v>36</v>
      </c>
      <c r="H54" s="53" t="s">
        <v>164</v>
      </c>
      <c r="I54" s="53" t="s">
        <v>159</v>
      </c>
      <c r="J54" s="53" t="s">
        <v>38</v>
      </c>
      <c r="K54" s="53" t="s">
        <v>161</v>
      </c>
      <c r="L54" s="53">
        <v>2</v>
      </c>
      <c r="N54" s="53">
        <v>8</v>
      </c>
      <c r="O54" s="53">
        <v>0.55000000000000004</v>
      </c>
      <c r="P54" s="53">
        <v>0.7</v>
      </c>
      <c r="Q54" s="74">
        <f t="shared" si="0"/>
        <v>0.625</v>
      </c>
      <c r="R54" s="53">
        <v>19.2</v>
      </c>
      <c r="S54" s="53">
        <v>104</v>
      </c>
      <c r="T54" s="16">
        <f t="shared" si="1"/>
        <v>33</v>
      </c>
      <c r="U54" s="53">
        <v>537</v>
      </c>
      <c r="V54" s="16">
        <f t="shared" si="2"/>
        <v>2215.125</v>
      </c>
      <c r="W54" s="53">
        <v>7</v>
      </c>
      <c r="X54" s="53" t="s">
        <v>46</v>
      </c>
      <c r="Y54" s="53" t="s">
        <v>86</v>
      </c>
      <c r="Z54" s="53" t="s">
        <v>69</v>
      </c>
      <c r="AA54" s="53" t="s">
        <v>55</v>
      </c>
      <c r="AB54" s="53" t="s">
        <v>260</v>
      </c>
    </row>
    <row r="55" spans="1:28" x14ac:dyDescent="0.15">
      <c r="A55" s="53" t="s">
        <v>34</v>
      </c>
      <c r="B55" s="53" t="s">
        <v>256</v>
      </c>
      <c r="C55" s="53">
        <v>2019</v>
      </c>
      <c r="D55" s="171" t="s">
        <v>289</v>
      </c>
      <c r="E55" s="53" t="s">
        <v>360</v>
      </c>
      <c r="F55" s="53" t="s">
        <v>361</v>
      </c>
      <c r="G55" s="53" t="s">
        <v>36</v>
      </c>
      <c r="H55" s="53" t="s">
        <v>164</v>
      </c>
      <c r="I55" s="53" t="s">
        <v>159</v>
      </c>
      <c r="J55" s="53" t="s">
        <v>38</v>
      </c>
      <c r="K55" s="53" t="s">
        <v>161</v>
      </c>
      <c r="L55" s="53">
        <v>3</v>
      </c>
      <c r="N55" s="53">
        <v>8</v>
      </c>
      <c r="O55" s="53">
        <v>0.2</v>
      </c>
      <c r="P55" s="53">
        <v>0.5</v>
      </c>
      <c r="Q55" s="74">
        <f t="shared" si="0"/>
        <v>0.35</v>
      </c>
      <c r="R55" s="53">
        <v>17.8</v>
      </c>
      <c r="S55" s="53">
        <v>98</v>
      </c>
      <c r="T55" s="16">
        <f t="shared" si="1"/>
        <v>36</v>
      </c>
      <c r="U55" s="53">
        <v>537</v>
      </c>
      <c r="V55" s="16">
        <f t="shared" si="2"/>
        <v>2416.5</v>
      </c>
      <c r="W55" s="53">
        <v>7</v>
      </c>
      <c r="X55" s="53" t="s">
        <v>46</v>
      </c>
      <c r="Y55" s="53" t="s">
        <v>86</v>
      </c>
      <c r="Z55" s="53" t="s">
        <v>69</v>
      </c>
      <c r="AA55" s="53" t="s">
        <v>55</v>
      </c>
      <c r="AB55" s="53" t="s">
        <v>260</v>
      </c>
    </row>
    <row r="56" spans="1:28" x14ac:dyDescent="0.15">
      <c r="A56" s="53" t="s">
        <v>34</v>
      </c>
      <c r="B56" s="53" t="s">
        <v>256</v>
      </c>
      <c r="C56" s="53">
        <v>2019</v>
      </c>
      <c r="D56" s="171" t="s">
        <v>289</v>
      </c>
      <c r="E56" s="53" t="s">
        <v>360</v>
      </c>
      <c r="F56" s="53" t="s">
        <v>361</v>
      </c>
      <c r="G56" s="53" t="s">
        <v>36</v>
      </c>
      <c r="H56" s="53" t="s">
        <v>164</v>
      </c>
      <c r="I56" s="53" t="s">
        <v>165</v>
      </c>
      <c r="J56" s="53" t="s">
        <v>38</v>
      </c>
      <c r="K56" s="53" t="s">
        <v>161</v>
      </c>
      <c r="L56" s="53">
        <v>1</v>
      </c>
      <c r="N56" s="53">
        <v>4</v>
      </c>
      <c r="O56" s="53">
        <v>0.2</v>
      </c>
      <c r="P56" s="53">
        <v>0.2</v>
      </c>
      <c r="Q56" s="74">
        <f t="shared" si="0"/>
        <v>0.2</v>
      </c>
      <c r="R56" s="53">
        <v>16.7</v>
      </c>
      <c r="S56" s="53">
        <v>105</v>
      </c>
      <c r="T56" s="16">
        <f t="shared" si="1"/>
        <v>33</v>
      </c>
      <c r="U56" s="53">
        <v>537</v>
      </c>
      <c r="V56" s="16">
        <f t="shared" si="2"/>
        <v>4430.25</v>
      </c>
      <c r="W56" s="53">
        <v>7</v>
      </c>
      <c r="X56" s="53" t="s">
        <v>46</v>
      </c>
      <c r="Y56" s="53" t="s">
        <v>86</v>
      </c>
      <c r="Z56" s="53" t="s">
        <v>69</v>
      </c>
      <c r="AA56" s="53" t="s">
        <v>55</v>
      </c>
      <c r="AB56" s="53" t="s">
        <v>260</v>
      </c>
    </row>
    <row r="57" spans="1:28" x14ac:dyDescent="0.15">
      <c r="A57" s="53" t="s">
        <v>34</v>
      </c>
      <c r="B57" s="53" t="s">
        <v>256</v>
      </c>
      <c r="C57" s="53">
        <v>2019</v>
      </c>
      <c r="D57" s="171" t="s">
        <v>289</v>
      </c>
      <c r="E57" s="53" t="s">
        <v>360</v>
      </c>
      <c r="F57" s="53" t="s">
        <v>361</v>
      </c>
      <c r="G57" s="53" t="s">
        <v>36</v>
      </c>
      <c r="H57" s="53" t="s">
        <v>164</v>
      </c>
      <c r="I57" s="53" t="s">
        <v>165</v>
      </c>
      <c r="J57" s="53" t="s">
        <v>38</v>
      </c>
      <c r="K57" s="53" t="s">
        <v>161</v>
      </c>
      <c r="L57" s="53">
        <v>2</v>
      </c>
      <c r="N57" s="53">
        <v>4</v>
      </c>
      <c r="O57" s="53">
        <v>0.5</v>
      </c>
      <c r="P57" s="53">
        <v>0.65</v>
      </c>
      <c r="Q57" s="74">
        <f t="shared" si="0"/>
        <v>0.57499999999999996</v>
      </c>
      <c r="R57" s="53">
        <v>13.1</v>
      </c>
      <c r="S57" s="53">
        <v>103</v>
      </c>
      <c r="T57" s="16">
        <f t="shared" si="1"/>
        <v>33</v>
      </c>
      <c r="U57" s="53">
        <v>537</v>
      </c>
      <c r="V57" s="16">
        <f t="shared" si="2"/>
        <v>4430.25</v>
      </c>
      <c r="W57" s="53">
        <v>7</v>
      </c>
      <c r="X57" s="53" t="s">
        <v>46</v>
      </c>
      <c r="Y57" s="53" t="s">
        <v>86</v>
      </c>
      <c r="Z57" s="53" t="s">
        <v>69</v>
      </c>
      <c r="AA57" s="53" t="s">
        <v>55</v>
      </c>
      <c r="AB57" s="53" t="s">
        <v>260</v>
      </c>
    </row>
    <row r="58" spans="1:28" x14ac:dyDescent="0.15">
      <c r="A58" s="53" t="s">
        <v>34</v>
      </c>
      <c r="B58" s="53" t="s">
        <v>256</v>
      </c>
      <c r="C58" s="53">
        <v>2019</v>
      </c>
      <c r="D58" s="171" t="s">
        <v>289</v>
      </c>
      <c r="E58" s="53" t="s">
        <v>360</v>
      </c>
      <c r="F58" s="53" t="s">
        <v>361</v>
      </c>
      <c r="G58" s="53" t="s">
        <v>36</v>
      </c>
      <c r="H58" s="53" t="s">
        <v>164</v>
      </c>
      <c r="I58" s="53" t="s">
        <v>165</v>
      </c>
      <c r="J58" s="53" t="s">
        <v>38</v>
      </c>
      <c r="K58" s="53" t="s">
        <v>161</v>
      </c>
      <c r="L58" s="53">
        <v>3</v>
      </c>
      <c r="N58" s="53">
        <v>4</v>
      </c>
      <c r="O58" s="53">
        <v>0.2</v>
      </c>
      <c r="P58" s="53">
        <v>0.2</v>
      </c>
      <c r="Q58" s="74">
        <f t="shared" si="0"/>
        <v>0.2</v>
      </c>
      <c r="R58" s="53">
        <v>17.2</v>
      </c>
      <c r="S58" s="53">
        <v>98</v>
      </c>
      <c r="T58" s="16">
        <f t="shared" si="1"/>
        <v>36</v>
      </c>
      <c r="U58" s="53">
        <v>537</v>
      </c>
      <c r="V58" s="16">
        <f t="shared" si="2"/>
        <v>4833</v>
      </c>
      <c r="W58" s="53">
        <v>7</v>
      </c>
      <c r="X58" s="53" t="s">
        <v>46</v>
      </c>
      <c r="Y58" s="53" t="s">
        <v>86</v>
      </c>
      <c r="Z58" s="53" t="s">
        <v>69</v>
      </c>
      <c r="AA58" s="53" t="s">
        <v>55</v>
      </c>
      <c r="AB58" s="53" t="s">
        <v>260</v>
      </c>
    </row>
    <row r="59" spans="1:28" x14ac:dyDescent="0.15">
      <c r="A59" s="53" t="s">
        <v>34</v>
      </c>
      <c r="B59" s="53" t="s">
        <v>256</v>
      </c>
      <c r="C59" s="53">
        <v>2019</v>
      </c>
      <c r="D59" s="171" t="s">
        <v>289</v>
      </c>
      <c r="E59" s="53" t="s">
        <v>360</v>
      </c>
      <c r="F59" s="53" t="s">
        <v>361</v>
      </c>
      <c r="G59" s="53" t="s">
        <v>36</v>
      </c>
      <c r="H59" s="53" t="s">
        <v>160</v>
      </c>
      <c r="I59" s="53" t="s">
        <v>159</v>
      </c>
      <c r="J59" s="53" t="s">
        <v>38</v>
      </c>
      <c r="K59" s="53" t="s">
        <v>161</v>
      </c>
      <c r="L59" s="53">
        <v>1</v>
      </c>
      <c r="N59" s="53">
        <v>1</v>
      </c>
      <c r="O59" s="53">
        <v>0.6</v>
      </c>
      <c r="P59" s="53">
        <v>0.55000000000000004</v>
      </c>
      <c r="Q59" s="74">
        <f t="shared" si="0"/>
        <v>0.57499999999999996</v>
      </c>
      <c r="R59" s="53">
        <v>18.5</v>
      </c>
      <c r="S59" s="53">
        <v>142</v>
      </c>
      <c r="T59" s="16">
        <f t="shared" si="1"/>
        <v>30</v>
      </c>
      <c r="U59" s="53">
        <v>138</v>
      </c>
      <c r="V59" s="16">
        <f t="shared" si="2"/>
        <v>4140</v>
      </c>
      <c r="W59" s="53">
        <v>6</v>
      </c>
      <c r="X59" s="53" t="s">
        <v>46</v>
      </c>
      <c r="Y59" s="53" t="s">
        <v>86</v>
      </c>
      <c r="Z59" s="53" t="s">
        <v>69</v>
      </c>
      <c r="AA59" s="53" t="s">
        <v>55</v>
      </c>
      <c r="AB59" s="53" t="s">
        <v>260</v>
      </c>
    </row>
    <row r="60" spans="1:28" x14ac:dyDescent="0.15">
      <c r="A60" s="53" t="s">
        <v>34</v>
      </c>
      <c r="B60" s="53" t="s">
        <v>256</v>
      </c>
      <c r="C60" s="53">
        <v>2019</v>
      </c>
      <c r="D60" s="171" t="s">
        <v>289</v>
      </c>
      <c r="E60" s="53" t="s">
        <v>360</v>
      </c>
      <c r="F60" s="53" t="s">
        <v>361</v>
      </c>
      <c r="G60" s="53" t="s">
        <v>36</v>
      </c>
      <c r="H60" s="53" t="s">
        <v>160</v>
      </c>
      <c r="I60" s="53" t="s">
        <v>159</v>
      </c>
      <c r="J60" s="53" t="s">
        <v>38</v>
      </c>
      <c r="K60" s="53" t="s">
        <v>161</v>
      </c>
      <c r="L60" s="53">
        <v>2</v>
      </c>
      <c r="N60" s="53">
        <v>1</v>
      </c>
      <c r="O60" s="53">
        <v>0.45</v>
      </c>
      <c r="P60" s="53">
        <v>0.55000000000000004</v>
      </c>
      <c r="Q60" s="74">
        <f t="shared" si="0"/>
        <v>0.5</v>
      </c>
      <c r="R60" s="53">
        <v>17.8</v>
      </c>
      <c r="S60" s="53">
        <v>139</v>
      </c>
      <c r="T60" s="16">
        <f t="shared" si="1"/>
        <v>30</v>
      </c>
      <c r="U60" s="53">
        <v>138</v>
      </c>
      <c r="V60" s="16">
        <f t="shared" si="2"/>
        <v>4140</v>
      </c>
      <c r="W60" s="53">
        <v>6</v>
      </c>
      <c r="X60" s="53" t="s">
        <v>46</v>
      </c>
      <c r="Y60" s="53" t="s">
        <v>86</v>
      </c>
      <c r="Z60" s="53" t="s">
        <v>69</v>
      </c>
      <c r="AA60" s="53" t="s">
        <v>55</v>
      </c>
      <c r="AB60" s="53" t="s">
        <v>260</v>
      </c>
    </row>
    <row r="61" spans="1:28" x14ac:dyDescent="0.15">
      <c r="A61" s="53" t="s">
        <v>34</v>
      </c>
      <c r="B61" s="53" t="s">
        <v>256</v>
      </c>
      <c r="C61" s="53">
        <v>2019</v>
      </c>
      <c r="D61" s="171" t="s">
        <v>289</v>
      </c>
      <c r="E61" s="53" t="s">
        <v>360</v>
      </c>
      <c r="F61" s="53" t="s">
        <v>361</v>
      </c>
      <c r="G61" s="53" t="s">
        <v>36</v>
      </c>
      <c r="H61" s="53" t="s">
        <v>160</v>
      </c>
      <c r="I61" s="53" t="s">
        <v>159</v>
      </c>
      <c r="J61" s="53" t="s">
        <v>38</v>
      </c>
      <c r="K61" s="53" t="s">
        <v>161</v>
      </c>
      <c r="L61" s="53">
        <v>3</v>
      </c>
      <c r="N61" s="53">
        <v>1</v>
      </c>
      <c r="O61" s="53">
        <v>0.65</v>
      </c>
      <c r="P61" s="53">
        <v>0.5</v>
      </c>
      <c r="Q61" s="74">
        <f t="shared" si="0"/>
        <v>0.57499999999999996</v>
      </c>
      <c r="R61" s="53">
        <v>18.8</v>
      </c>
      <c r="S61" s="53">
        <v>141</v>
      </c>
      <c r="T61" s="16">
        <f t="shared" si="1"/>
        <v>30</v>
      </c>
      <c r="U61" s="53">
        <v>138</v>
      </c>
      <c r="V61" s="16">
        <f t="shared" si="2"/>
        <v>4140</v>
      </c>
      <c r="W61" s="53">
        <v>6</v>
      </c>
      <c r="X61" s="53" t="s">
        <v>46</v>
      </c>
      <c r="Y61" s="53" t="s">
        <v>86</v>
      </c>
      <c r="Z61" s="53" t="s">
        <v>69</v>
      </c>
      <c r="AA61" s="53" t="s">
        <v>55</v>
      </c>
      <c r="AB61" s="53" t="s">
        <v>260</v>
      </c>
    </row>
    <row r="62" spans="1:28" x14ac:dyDescent="0.15">
      <c r="A62" s="53" t="s">
        <v>34</v>
      </c>
      <c r="B62" s="53" t="s">
        <v>256</v>
      </c>
      <c r="C62" s="53">
        <v>2019</v>
      </c>
      <c r="D62" s="171" t="s">
        <v>289</v>
      </c>
      <c r="E62" s="53" t="s">
        <v>360</v>
      </c>
      <c r="F62" s="53" t="s">
        <v>361</v>
      </c>
      <c r="G62" s="53" t="s">
        <v>36</v>
      </c>
      <c r="H62" s="53" t="s">
        <v>160</v>
      </c>
      <c r="I62" s="53" t="s">
        <v>159</v>
      </c>
      <c r="J62" s="53" t="s">
        <v>38</v>
      </c>
      <c r="K62" s="53" t="s">
        <v>161</v>
      </c>
      <c r="L62" s="53">
        <v>1</v>
      </c>
      <c r="N62" s="53">
        <v>4</v>
      </c>
      <c r="O62" s="53">
        <v>0.65</v>
      </c>
      <c r="P62" s="53">
        <v>0.65</v>
      </c>
      <c r="Q62" s="74">
        <f t="shared" si="0"/>
        <v>0.65</v>
      </c>
      <c r="R62" s="53">
        <v>17.899999999999999</v>
      </c>
      <c r="S62" s="53">
        <v>102</v>
      </c>
      <c r="T62" s="16">
        <f t="shared" si="1"/>
        <v>33</v>
      </c>
      <c r="U62" s="53">
        <v>537</v>
      </c>
      <c r="V62" s="16">
        <f t="shared" si="2"/>
        <v>4430.25</v>
      </c>
      <c r="W62" s="53">
        <v>6</v>
      </c>
      <c r="X62" s="53" t="s">
        <v>46</v>
      </c>
      <c r="Y62" s="53" t="s">
        <v>86</v>
      </c>
      <c r="Z62" s="53" t="s">
        <v>69</v>
      </c>
      <c r="AA62" s="53" t="s">
        <v>55</v>
      </c>
      <c r="AB62" s="53" t="s">
        <v>260</v>
      </c>
    </row>
    <row r="63" spans="1:28" x14ac:dyDescent="0.15">
      <c r="A63" s="53" t="s">
        <v>34</v>
      </c>
      <c r="B63" s="53" t="s">
        <v>256</v>
      </c>
      <c r="C63" s="53">
        <v>2019</v>
      </c>
      <c r="D63" s="171" t="s">
        <v>289</v>
      </c>
      <c r="E63" s="53" t="s">
        <v>360</v>
      </c>
      <c r="F63" s="53" t="s">
        <v>361</v>
      </c>
      <c r="G63" s="53" t="s">
        <v>36</v>
      </c>
      <c r="H63" s="53" t="s">
        <v>160</v>
      </c>
      <c r="I63" s="53" t="s">
        <v>159</v>
      </c>
      <c r="J63" s="53" t="s">
        <v>38</v>
      </c>
      <c r="K63" s="53" t="s">
        <v>161</v>
      </c>
      <c r="L63" s="53">
        <v>2</v>
      </c>
      <c r="N63" s="53">
        <v>4</v>
      </c>
      <c r="O63" s="53">
        <v>0.7</v>
      </c>
      <c r="P63" s="53">
        <v>0.7</v>
      </c>
      <c r="Q63" s="74">
        <f t="shared" si="0"/>
        <v>0.7</v>
      </c>
      <c r="R63" s="53">
        <v>17.100000000000001</v>
      </c>
      <c r="S63" s="53">
        <v>104</v>
      </c>
      <c r="T63" s="16">
        <f t="shared" si="1"/>
        <v>33</v>
      </c>
      <c r="U63" s="53">
        <v>537</v>
      </c>
      <c r="V63" s="16">
        <f t="shared" si="2"/>
        <v>4430.25</v>
      </c>
      <c r="W63" s="53">
        <v>6</v>
      </c>
      <c r="X63" s="53" t="s">
        <v>46</v>
      </c>
      <c r="Y63" s="53" t="s">
        <v>86</v>
      </c>
      <c r="Z63" s="53" t="s">
        <v>69</v>
      </c>
      <c r="AA63" s="53" t="s">
        <v>55</v>
      </c>
      <c r="AB63" s="53" t="s">
        <v>260</v>
      </c>
    </row>
    <row r="64" spans="1:28" x14ac:dyDescent="0.15">
      <c r="A64" s="53" t="s">
        <v>34</v>
      </c>
      <c r="B64" s="53" t="s">
        <v>256</v>
      </c>
      <c r="C64" s="53">
        <v>2019</v>
      </c>
      <c r="D64" s="171" t="s">
        <v>289</v>
      </c>
      <c r="E64" s="53" t="s">
        <v>360</v>
      </c>
      <c r="F64" s="53" t="s">
        <v>361</v>
      </c>
      <c r="G64" s="53" t="s">
        <v>36</v>
      </c>
      <c r="H64" s="53" t="s">
        <v>160</v>
      </c>
      <c r="I64" s="53" t="s">
        <v>159</v>
      </c>
      <c r="J64" s="53" t="s">
        <v>38</v>
      </c>
      <c r="K64" s="53" t="s">
        <v>161</v>
      </c>
      <c r="L64" s="53">
        <v>3</v>
      </c>
      <c r="N64" s="53">
        <v>4</v>
      </c>
      <c r="O64" s="53">
        <v>0.65</v>
      </c>
      <c r="P64" s="53">
        <v>0.65</v>
      </c>
      <c r="Q64" s="74">
        <f t="shared" si="0"/>
        <v>0.65</v>
      </c>
      <c r="R64" s="53">
        <v>17.7</v>
      </c>
      <c r="S64" s="53">
        <v>101</v>
      </c>
      <c r="T64" s="16">
        <f t="shared" si="1"/>
        <v>33</v>
      </c>
      <c r="U64" s="53">
        <v>537</v>
      </c>
      <c r="V64" s="16">
        <f t="shared" si="2"/>
        <v>4430.25</v>
      </c>
      <c r="W64" s="53">
        <v>6</v>
      </c>
      <c r="X64" s="53" t="s">
        <v>46</v>
      </c>
      <c r="Y64" s="53" t="s">
        <v>86</v>
      </c>
      <c r="Z64" s="53" t="s">
        <v>69</v>
      </c>
      <c r="AA64" s="53" t="s">
        <v>55</v>
      </c>
      <c r="AB64" s="53" t="s">
        <v>260</v>
      </c>
    </row>
    <row r="65" spans="1:28" x14ac:dyDescent="0.15">
      <c r="A65" s="53" t="s">
        <v>34</v>
      </c>
      <c r="B65" s="53" t="s">
        <v>256</v>
      </c>
      <c r="C65" s="53">
        <v>2019</v>
      </c>
      <c r="D65" s="171" t="s">
        <v>289</v>
      </c>
      <c r="E65" s="53" t="s">
        <v>360</v>
      </c>
      <c r="F65" s="53" t="s">
        <v>361</v>
      </c>
      <c r="G65" s="53" t="s">
        <v>36</v>
      </c>
      <c r="H65" s="53" t="s">
        <v>160</v>
      </c>
      <c r="I65" s="53" t="s">
        <v>165</v>
      </c>
      <c r="J65" s="53" t="s">
        <v>38</v>
      </c>
      <c r="K65" s="53" t="s">
        <v>161</v>
      </c>
      <c r="L65" s="53">
        <v>1</v>
      </c>
      <c r="N65" s="53">
        <v>4</v>
      </c>
      <c r="O65" s="53">
        <v>0.65</v>
      </c>
      <c r="P65" s="53">
        <v>0.65</v>
      </c>
      <c r="Q65" s="74">
        <f t="shared" si="0"/>
        <v>0.65</v>
      </c>
      <c r="R65" s="53">
        <v>18.899999999999999</v>
      </c>
      <c r="S65" s="53">
        <v>118</v>
      </c>
      <c r="T65" s="16">
        <f t="shared" si="1"/>
        <v>30</v>
      </c>
      <c r="U65" s="53">
        <v>537</v>
      </c>
      <c r="V65" s="16">
        <f t="shared" si="2"/>
        <v>4027.5</v>
      </c>
      <c r="W65" s="53">
        <v>6</v>
      </c>
      <c r="X65" s="53" t="s">
        <v>46</v>
      </c>
      <c r="Y65" s="53" t="s">
        <v>86</v>
      </c>
      <c r="Z65" s="53" t="s">
        <v>69</v>
      </c>
      <c r="AA65" s="53" t="s">
        <v>55</v>
      </c>
      <c r="AB65" s="53" t="s">
        <v>260</v>
      </c>
    </row>
    <row r="66" spans="1:28" x14ac:dyDescent="0.15">
      <c r="A66" s="53" t="s">
        <v>34</v>
      </c>
      <c r="B66" s="53" t="s">
        <v>256</v>
      </c>
      <c r="C66" s="53">
        <v>2019</v>
      </c>
      <c r="D66" s="171" t="s">
        <v>289</v>
      </c>
      <c r="E66" s="53" t="s">
        <v>360</v>
      </c>
      <c r="F66" s="53" t="s">
        <v>361</v>
      </c>
      <c r="G66" s="53" t="s">
        <v>36</v>
      </c>
      <c r="H66" s="53" t="s">
        <v>160</v>
      </c>
      <c r="I66" s="53" t="s">
        <v>165</v>
      </c>
      <c r="J66" s="53" t="s">
        <v>38</v>
      </c>
      <c r="K66" s="53" t="s">
        <v>161</v>
      </c>
      <c r="L66" s="53">
        <v>2</v>
      </c>
      <c r="N66" s="53">
        <v>4</v>
      </c>
      <c r="O66" s="53">
        <v>0.6</v>
      </c>
      <c r="P66" s="53">
        <v>0.6</v>
      </c>
      <c r="Q66" s="74">
        <f t="shared" si="0"/>
        <v>0.6</v>
      </c>
      <c r="R66" s="53">
        <v>17</v>
      </c>
      <c r="S66" s="53">
        <v>107</v>
      </c>
      <c r="T66" s="16">
        <f t="shared" si="1"/>
        <v>33</v>
      </c>
      <c r="U66" s="53">
        <v>537</v>
      </c>
      <c r="V66" s="16">
        <f t="shared" si="2"/>
        <v>4430.25</v>
      </c>
      <c r="W66" s="53">
        <v>6</v>
      </c>
      <c r="X66" s="53" t="s">
        <v>46</v>
      </c>
      <c r="Y66" s="53" t="s">
        <v>86</v>
      </c>
      <c r="Z66" s="53" t="s">
        <v>69</v>
      </c>
      <c r="AA66" s="53" t="s">
        <v>55</v>
      </c>
      <c r="AB66" s="53" t="s">
        <v>260</v>
      </c>
    </row>
    <row r="67" spans="1:28" x14ac:dyDescent="0.15">
      <c r="A67" s="53" t="s">
        <v>34</v>
      </c>
      <c r="B67" s="53" t="s">
        <v>256</v>
      </c>
      <c r="C67" s="53">
        <v>2019</v>
      </c>
      <c r="D67" s="171" t="s">
        <v>289</v>
      </c>
      <c r="E67" s="53" t="s">
        <v>360</v>
      </c>
      <c r="F67" s="53" t="s">
        <v>361</v>
      </c>
      <c r="G67" s="53" t="s">
        <v>36</v>
      </c>
      <c r="H67" s="53" t="s">
        <v>160</v>
      </c>
      <c r="I67" s="53" t="s">
        <v>165</v>
      </c>
      <c r="J67" s="53" t="s">
        <v>38</v>
      </c>
      <c r="K67" s="53" t="s">
        <v>161</v>
      </c>
      <c r="L67" s="53">
        <v>3</v>
      </c>
      <c r="N67" s="53">
        <v>4</v>
      </c>
      <c r="O67" s="53">
        <v>0.85</v>
      </c>
      <c r="P67" s="53">
        <v>0.85</v>
      </c>
      <c r="Q67" s="74">
        <f t="shared" si="0"/>
        <v>0.85</v>
      </c>
      <c r="R67" s="53">
        <v>17.899999999999999</v>
      </c>
      <c r="S67" s="53">
        <v>110</v>
      </c>
      <c r="T67" s="16">
        <f t="shared" si="1"/>
        <v>33</v>
      </c>
      <c r="U67" s="53">
        <v>537</v>
      </c>
      <c r="V67" s="16">
        <f t="shared" si="2"/>
        <v>4430.25</v>
      </c>
      <c r="W67" s="53">
        <v>6</v>
      </c>
      <c r="X67" s="53" t="s">
        <v>46</v>
      </c>
      <c r="Y67" s="53" t="s">
        <v>86</v>
      </c>
      <c r="Z67" s="53" t="s">
        <v>69</v>
      </c>
      <c r="AA67" s="53" t="s">
        <v>55</v>
      </c>
      <c r="AB67" s="53" t="s">
        <v>260</v>
      </c>
    </row>
    <row r="68" spans="1:28" x14ac:dyDescent="0.15">
      <c r="A68" s="53" t="s">
        <v>34</v>
      </c>
      <c r="B68" s="53" t="s">
        <v>256</v>
      </c>
      <c r="C68" s="53">
        <v>2019</v>
      </c>
      <c r="D68" s="171" t="s">
        <v>289</v>
      </c>
      <c r="E68" s="53" t="s">
        <v>350</v>
      </c>
      <c r="F68" s="53" t="s">
        <v>349</v>
      </c>
      <c r="G68" s="53" t="s">
        <v>36</v>
      </c>
      <c r="H68" s="53" t="s">
        <v>164</v>
      </c>
      <c r="I68" s="53" t="s">
        <v>159</v>
      </c>
      <c r="J68" s="53" t="s">
        <v>38</v>
      </c>
      <c r="K68" s="53" t="s">
        <v>161</v>
      </c>
      <c r="L68" s="53">
        <v>1</v>
      </c>
      <c r="N68" s="53">
        <v>1</v>
      </c>
      <c r="O68" s="53">
        <v>0.85</v>
      </c>
      <c r="P68" s="53">
        <v>0.8</v>
      </c>
      <c r="Q68" s="74">
        <f t="shared" si="0"/>
        <v>0.82499999999999996</v>
      </c>
      <c r="R68" s="53">
        <v>17.5</v>
      </c>
      <c r="S68" s="53">
        <v>141</v>
      </c>
      <c r="T68" s="16">
        <f t="shared" si="1"/>
        <v>30</v>
      </c>
      <c r="U68" s="53">
        <v>108</v>
      </c>
      <c r="V68" s="16">
        <f t="shared" si="2"/>
        <v>3240</v>
      </c>
      <c r="W68" s="53">
        <v>2</v>
      </c>
      <c r="X68" s="53" t="s">
        <v>46</v>
      </c>
      <c r="Y68" s="53" t="s">
        <v>86</v>
      </c>
      <c r="Z68" s="53" t="s">
        <v>55</v>
      </c>
      <c r="AA68" s="53" t="s">
        <v>69</v>
      </c>
      <c r="AB68" s="53" t="s">
        <v>260</v>
      </c>
    </row>
    <row r="69" spans="1:28" x14ac:dyDescent="0.15">
      <c r="A69" s="53" t="s">
        <v>34</v>
      </c>
      <c r="B69" s="53" t="s">
        <v>256</v>
      </c>
      <c r="C69" s="53">
        <v>2019</v>
      </c>
      <c r="D69" s="171" t="s">
        <v>289</v>
      </c>
      <c r="E69" s="53" t="s">
        <v>350</v>
      </c>
      <c r="F69" s="53" t="s">
        <v>349</v>
      </c>
      <c r="G69" s="53" t="s">
        <v>36</v>
      </c>
      <c r="H69" s="53" t="s">
        <v>164</v>
      </c>
      <c r="I69" s="53" t="s">
        <v>159</v>
      </c>
      <c r="J69" s="53" t="s">
        <v>38</v>
      </c>
      <c r="K69" s="53" t="s">
        <v>161</v>
      </c>
      <c r="L69" s="53">
        <v>2</v>
      </c>
      <c r="N69" s="53">
        <v>1</v>
      </c>
      <c r="O69" s="53">
        <v>1.4</v>
      </c>
      <c r="P69" s="53">
        <v>1.4</v>
      </c>
      <c r="Q69" s="74">
        <f t="shared" si="0"/>
        <v>1.4</v>
      </c>
      <c r="R69" s="53">
        <v>14.2</v>
      </c>
      <c r="S69" s="53">
        <v>140</v>
      </c>
      <c r="T69" s="16">
        <f t="shared" si="1"/>
        <v>30</v>
      </c>
      <c r="U69" s="53">
        <v>108</v>
      </c>
      <c r="V69" s="16">
        <f t="shared" si="2"/>
        <v>3240</v>
      </c>
      <c r="W69" s="53">
        <v>2</v>
      </c>
      <c r="X69" s="53" t="s">
        <v>46</v>
      </c>
      <c r="Y69" s="53" t="s">
        <v>86</v>
      </c>
      <c r="Z69" s="53" t="s">
        <v>55</v>
      </c>
      <c r="AA69" s="53" t="s">
        <v>69</v>
      </c>
      <c r="AB69" s="53" t="s">
        <v>260</v>
      </c>
    </row>
    <row r="70" spans="1:28" x14ac:dyDescent="0.15">
      <c r="A70" s="53" t="s">
        <v>34</v>
      </c>
      <c r="B70" s="53" t="s">
        <v>256</v>
      </c>
      <c r="C70" s="53">
        <v>2019</v>
      </c>
      <c r="D70" s="171" t="s">
        <v>289</v>
      </c>
      <c r="E70" s="53" t="s">
        <v>350</v>
      </c>
      <c r="F70" s="53" t="s">
        <v>349</v>
      </c>
      <c r="G70" s="53" t="s">
        <v>36</v>
      </c>
      <c r="H70" s="53" t="s">
        <v>164</v>
      </c>
      <c r="I70" s="53" t="s">
        <v>159</v>
      </c>
      <c r="J70" s="53" t="s">
        <v>38</v>
      </c>
      <c r="K70" s="53" t="s">
        <v>161</v>
      </c>
      <c r="L70" s="53">
        <v>3</v>
      </c>
      <c r="N70" s="53">
        <v>1</v>
      </c>
      <c r="O70" s="53">
        <v>0.65</v>
      </c>
      <c r="P70" s="53">
        <v>0.65</v>
      </c>
      <c r="Q70" s="74">
        <f t="shared" si="0"/>
        <v>0.65</v>
      </c>
      <c r="R70" s="53">
        <v>17.8</v>
      </c>
      <c r="S70" s="53">
        <v>140</v>
      </c>
      <c r="T70" s="16">
        <f t="shared" si="1"/>
        <v>30</v>
      </c>
      <c r="U70" s="53">
        <v>108</v>
      </c>
      <c r="V70" s="16">
        <f t="shared" si="2"/>
        <v>3240</v>
      </c>
      <c r="W70" s="53">
        <v>2</v>
      </c>
      <c r="X70" s="53" t="s">
        <v>46</v>
      </c>
      <c r="Y70" s="53" t="s">
        <v>86</v>
      </c>
      <c r="Z70" s="53" t="s">
        <v>55</v>
      </c>
      <c r="AA70" s="53" t="s">
        <v>69</v>
      </c>
      <c r="AB70" s="53" t="s">
        <v>260</v>
      </c>
    </row>
    <row r="71" spans="1:28" x14ac:dyDescent="0.15">
      <c r="A71" s="53" t="s">
        <v>34</v>
      </c>
      <c r="B71" s="53" t="s">
        <v>256</v>
      </c>
      <c r="C71" s="53">
        <v>2019</v>
      </c>
      <c r="D71" s="171" t="s">
        <v>289</v>
      </c>
      <c r="E71" s="53" t="s">
        <v>350</v>
      </c>
      <c r="F71" s="53" t="s">
        <v>349</v>
      </c>
      <c r="G71" s="53" t="s">
        <v>36</v>
      </c>
      <c r="H71" s="53" t="s">
        <v>160</v>
      </c>
      <c r="I71" s="53" t="s">
        <v>159</v>
      </c>
      <c r="J71" s="53" t="s">
        <v>38</v>
      </c>
      <c r="K71" s="53" t="s">
        <v>161</v>
      </c>
      <c r="L71" s="53">
        <v>1</v>
      </c>
      <c r="N71" s="53">
        <v>1</v>
      </c>
      <c r="O71" s="53">
        <v>1</v>
      </c>
      <c r="P71" s="53">
        <v>1</v>
      </c>
      <c r="Q71" s="74">
        <f t="shared" si="0"/>
        <v>1</v>
      </c>
      <c r="R71" s="53">
        <v>19.2</v>
      </c>
      <c r="S71" s="53">
        <v>142</v>
      </c>
      <c r="T71" s="16">
        <f t="shared" si="1"/>
        <v>30</v>
      </c>
      <c r="U71" s="53">
        <v>108</v>
      </c>
      <c r="V71" s="16">
        <f t="shared" si="2"/>
        <v>3240</v>
      </c>
      <c r="W71" s="53">
        <v>9</v>
      </c>
      <c r="X71" s="53" t="s">
        <v>46</v>
      </c>
      <c r="Y71" s="53" t="s">
        <v>86</v>
      </c>
      <c r="Z71" s="53" t="s">
        <v>55</v>
      </c>
      <c r="AA71" s="53" t="s">
        <v>69</v>
      </c>
      <c r="AB71" s="53" t="s">
        <v>260</v>
      </c>
    </row>
    <row r="72" spans="1:28" x14ac:dyDescent="0.15">
      <c r="A72" s="53" t="s">
        <v>34</v>
      </c>
      <c r="B72" s="53" t="s">
        <v>256</v>
      </c>
      <c r="C72" s="53">
        <v>2019</v>
      </c>
      <c r="D72" s="171" t="s">
        <v>289</v>
      </c>
      <c r="E72" s="53" t="s">
        <v>350</v>
      </c>
      <c r="F72" s="53" t="s">
        <v>349</v>
      </c>
      <c r="G72" s="53" t="s">
        <v>36</v>
      </c>
      <c r="H72" s="53" t="s">
        <v>160</v>
      </c>
      <c r="I72" s="53" t="s">
        <v>159</v>
      </c>
      <c r="J72" s="53" t="s">
        <v>38</v>
      </c>
      <c r="K72" s="53" t="s">
        <v>161</v>
      </c>
      <c r="L72" s="53">
        <v>2</v>
      </c>
      <c r="N72" s="53">
        <v>1</v>
      </c>
      <c r="O72" s="53">
        <v>0.7</v>
      </c>
      <c r="P72" s="53">
        <v>0.7</v>
      </c>
      <c r="Q72" s="74">
        <f t="shared" si="0"/>
        <v>0.7</v>
      </c>
      <c r="R72" s="53">
        <v>17.3</v>
      </c>
      <c r="S72" s="53">
        <v>152</v>
      </c>
      <c r="T72" s="16">
        <f t="shared" si="1"/>
        <v>18</v>
      </c>
      <c r="U72" s="53">
        <v>108</v>
      </c>
      <c r="V72" s="16">
        <f t="shared" si="2"/>
        <v>1944</v>
      </c>
      <c r="W72" s="53">
        <v>9</v>
      </c>
      <c r="X72" s="53" t="s">
        <v>46</v>
      </c>
      <c r="Y72" s="53" t="s">
        <v>86</v>
      </c>
      <c r="Z72" s="53" t="s">
        <v>55</v>
      </c>
      <c r="AA72" s="53" t="s">
        <v>69</v>
      </c>
      <c r="AB72" s="53" t="s">
        <v>260</v>
      </c>
    </row>
    <row r="73" spans="1:28" x14ac:dyDescent="0.15">
      <c r="A73" s="53" t="s">
        <v>34</v>
      </c>
      <c r="B73" s="53" t="s">
        <v>256</v>
      </c>
      <c r="C73" s="53">
        <v>2019</v>
      </c>
      <c r="D73" s="171" t="s">
        <v>289</v>
      </c>
      <c r="E73" s="53" t="s">
        <v>350</v>
      </c>
      <c r="F73" s="53" t="s">
        <v>349</v>
      </c>
      <c r="G73" s="53" t="s">
        <v>36</v>
      </c>
      <c r="H73" s="53" t="s">
        <v>160</v>
      </c>
      <c r="I73" s="53" t="s">
        <v>159</v>
      </c>
      <c r="J73" s="53" t="s">
        <v>38</v>
      </c>
      <c r="K73" s="53" t="s">
        <v>161</v>
      </c>
      <c r="L73" s="53">
        <v>3</v>
      </c>
      <c r="N73" s="53">
        <v>1</v>
      </c>
      <c r="O73" s="53">
        <v>0.7</v>
      </c>
      <c r="P73" s="53">
        <v>0.7</v>
      </c>
      <c r="Q73" s="74">
        <f t="shared" si="0"/>
        <v>0.7</v>
      </c>
      <c r="R73" s="53">
        <v>18.600000000000001</v>
      </c>
      <c r="S73" s="53">
        <v>150</v>
      </c>
      <c r="T73" s="16">
        <f t="shared" si="1"/>
        <v>30</v>
      </c>
      <c r="U73" s="53">
        <v>108</v>
      </c>
      <c r="V73" s="16">
        <f t="shared" si="2"/>
        <v>3240</v>
      </c>
      <c r="W73" s="53">
        <v>9</v>
      </c>
      <c r="X73" s="53" t="s">
        <v>46</v>
      </c>
      <c r="Y73" s="53" t="s">
        <v>86</v>
      </c>
      <c r="Z73" s="53" t="s">
        <v>55</v>
      </c>
      <c r="AA73" s="53" t="s">
        <v>69</v>
      </c>
      <c r="AB73" s="53" t="s">
        <v>260</v>
      </c>
    </row>
    <row r="74" spans="1:28" x14ac:dyDescent="0.15">
      <c r="A74" s="53" t="s">
        <v>34</v>
      </c>
      <c r="B74" s="53" t="s">
        <v>256</v>
      </c>
      <c r="C74" s="53">
        <v>2019</v>
      </c>
      <c r="D74" s="171" t="s">
        <v>289</v>
      </c>
      <c r="E74" s="53" t="s">
        <v>350</v>
      </c>
      <c r="F74" s="53" t="s">
        <v>349</v>
      </c>
      <c r="G74" s="53" t="s">
        <v>36</v>
      </c>
      <c r="H74" s="53" t="s">
        <v>160</v>
      </c>
      <c r="I74" s="53" t="s">
        <v>159</v>
      </c>
      <c r="J74" s="53" t="s">
        <v>38</v>
      </c>
      <c r="K74" s="53" t="s">
        <v>161</v>
      </c>
      <c r="L74" s="53">
        <v>1</v>
      </c>
      <c r="N74" s="53">
        <v>4</v>
      </c>
      <c r="O74" s="53">
        <v>0.6</v>
      </c>
      <c r="P74" s="53">
        <v>0.6</v>
      </c>
      <c r="Q74" s="74">
        <f t="shared" si="0"/>
        <v>0.6</v>
      </c>
      <c r="R74" s="53">
        <v>19.7</v>
      </c>
      <c r="S74" s="53">
        <v>114</v>
      </c>
      <c r="T74" s="16">
        <f t="shared" si="1"/>
        <v>30</v>
      </c>
      <c r="U74" s="53">
        <v>429</v>
      </c>
      <c r="V74" s="16">
        <f t="shared" si="2"/>
        <v>3217.5</v>
      </c>
      <c r="W74" s="53">
        <v>9</v>
      </c>
      <c r="X74" s="53" t="s">
        <v>46</v>
      </c>
      <c r="Y74" s="53" t="s">
        <v>86</v>
      </c>
      <c r="Z74" s="53" t="s">
        <v>55</v>
      </c>
      <c r="AA74" s="53" t="s">
        <v>69</v>
      </c>
      <c r="AB74" s="53" t="s">
        <v>260</v>
      </c>
    </row>
    <row r="75" spans="1:28" x14ac:dyDescent="0.15">
      <c r="A75" s="53" t="s">
        <v>34</v>
      </c>
      <c r="B75" s="53" t="s">
        <v>256</v>
      </c>
      <c r="C75" s="53">
        <v>2019</v>
      </c>
      <c r="D75" s="171" t="s">
        <v>289</v>
      </c>
      <c r="E75" s="53" t="s">
        <v>350</v>
      </c>
      <c r="F75" s="53" t="s">
        <v>349</v>
      </c>
      <c r="G75" s="53" t="s">
        <v>36</v>
      </c>
      <c r="H75" s="53" t="s">
        <v>160</v>
      </c>
      <c r="I75" s="53" t="s">
        <v>159</v>
      </c>
      <c r="J75" s="53" t="s">
        <v>38</v>
      </c>
      <c r="K75" s="53" t="s">
        <v>161</v>
      </c>
      <c r="L75" s="53">
        <v>2</v>
      </c>
      <c r="N75" s="53">
        <v>4</v>
      </c>
      <c r="O75" s="53">
        <v>0.6</v>
      </c>
      <c r="P75" s="53">
        <v>0.6</v>
      </c>
      <c r="Q75" s="74">
        <f t="shared" si="0"/>
        <v>0.6</v>
      </c>
      <c r="R75" s="53">
        <v>18.2</v>
      </c>
      <c r="S75" s="53">
        <v>112</v>
      </c>
      <c r="T75" s="16">
        <f t="shared" si="1"/>
        <v>33</v>
      </c>
      <c r="U75" s="53">
        <v>429</v>
      </c>
      <c r="V75" s="16">
        <f t="shared" si="2"/>
        <v>3539.25</v>
      </c>
      <c r="W75" s="53">
        <v>9</v>
      </c>
      <c r="X75" s="53" t="s">
        <v>46</v>
      </c>
      <c r="Y75" s="53" t="s">
        <v>86</v>
      </c>
      <c r="Z75" s="53" t="s">
        <v>55</v>
      </c>
      <c r="AA75" s="53" t="s">
        <v>69</v>
      </c>
      <c r="AB75" s="53" t="s">
        <v>260</v>
      </c>
    </row>
    <row r="76" spans="1:28" x14ac:dyDescent="0.15">
      <c r="A76" s="53" t="s">
        <v>34</v>
      </c>
      <c r="B76" s="53" t="s">
        <v>256</v>
      </c>
      <c r="C76" s="53">
        <v>2019</v>
      </c>
      <c r="D76" s="171" t="s">
        <v>289</v>
      </c>
      <c r="E76" s="53" t="s">
        <v>350</v>
      </c>
      <c r="F76" s="53" t="s">
        <v>349</v>
      </c>
      <c r="G76" s="53" t="s">
        <v>36</v>
      </c>
      <c r="H76" s="53" t="s">
        <v>160</v>
      </c>
      <c r="I76" s="53" t="s">
        <v>159</v>
      </c>
      <c r="J76" s="53" t="s">
        <v>38</v>
      </c>
      <c r="K76" s="53" t="s">
        <v>161</v>
      </c>
      <c r="L76" s="53">
        <v>3</v>
      </c>
      <c r="N76" s="53">
        <v>4</v>
      </c>
      <c r="O76" s="53">
        <v>0.55000000000000004</v>
      </c>
      <c r="P76" s="53">
        <v>0.55000000000000004</v>
      </c>
      <c r="Q76" s="74">
        <f t="shared" si="0"/>
        <v>0.55000000000000004</v>
      </c>
      <c r="R76" s="53">
        <v>18.3</v>
      </c>
      <c r="S76" s="53">
        <v>108</v>
      </c>
      <c r="T76" s="16">
        <f t="shared" si="1"/>
        <v>33</v>
      </c>
      <c r="U76" s="53">
        <v>429</v>
      </c>
      <c r="V76" s="16">
        <f t="shared" si="2"/>
        <v>3539.25</v>
      </c>
      <c r="W76" s="53">
        <v>9</v>
      </c>
      <c r="X76" s="53" t="s">
        <v>46</v>
      </c>
      <c r="Y76" s="53" t="s">
        <v>86</v>
      </c>
      <c r="Z76" s="53" t="s">
        <v>55</v>
      </c>
      <c r="AA76" s="53" t="s">
        <v>69</v>
      </c>
      <c r="AB76" s="53" t="s">
        <v>260</v>
      </c>
    </row>
    <row r="77" spans="1:28" x14ac:dyDescent="0.15">
      <c r="A77" s="53" t="s">
        <v>34</v>
      </c>
      <c r="B77" s="53" t="s">
        <v>256</v>
      </c>
      <c r="C77" s="53">
        <v>2019</v>
      </c>
      <c r="D77" s="171" t="s">
        <v>289</v>
      </c>
      <c r="E77" s="53" t="s">
        <v>350</v>
      </c>
      <c r="F77" s="53" t="s">
        <v>349</v>
      </c>
      <c r="G77" s="53" t="s">
        <v>36</v>
      </c>
      <c r="H77" s="53" t="s">
        <v>160</v>
      </c>
      <c r="I77" s="53" t="s">
        <v>159</v>
      </c>
      <c r="J77" s="53" t="s">
        <v>38</v>
      </c>
      <c r="K77" s="53" t="s">
        <v>161</v>
      </c>
      <c r="L77" s="53">
        <v>1</v>
      </c>
      <c r="N77" s="53">
        <v>5</v>
      </c>
      <c r="O77" s="53">
        <v>0.65</v>
      </c>
      <c r="P77" s="53">
        <v>0.65</v>
      </c>
      <c r="Q77" s="74">
        <f t="shared" si="0"/>
        <v>0.65</v>
      </c>
      <c r="R77" s="53">
        <v>19.3</v>
      </c>
      <c r="S77" s="53">
        <v>147</v>
      </c>
      <c r="T77" s="16">
        <f t="shared" si="1"/>
        <v>30</v>
      </c>
      <c r="U77" s="53">
        <v>626</v>
      </c>
      <c r="V77" s="16">
        <f t="shared" si="2"/>
        <v>3756</v>
      </c>
      <c r="W77" s="53">
        <v>9</v>
      </c>
      <c r="X77" s="53" t="s">
        <v>46</v>
      </c>
      <c r="Y77" s="53" t="s">
        <v>86</v>
      </c>
      <c r="Z77" s="53" t="s">
        <v>55</v>
      </c>
      <c r="AA77" s="53" t="s">
        <v>69</v>
      </c>
      <c r="AB77" s="53" t="s">
        <v>260</v>
      </c>
    </row>
    <row r="78" spans="1:28" x14ac:dyDescent="0.15">
      <c r="A78" s="53" t="s">
        <v>34</v>
      </c>
      <c r="B78" s="53" t="s">
        <v>256</v>
      </c>
      <c r="C78" s="53">
        <v>2019</v>
      </c>
      <c r="D78" s="171" t="s">
        <v>289</v>
      </c>
      <c r="E78" s="53" t="s">
        <v>350</v>
      </c>
      <c r="F78" s="53" t="s">
        <v>349</v>
      </c>
      <c r="G78" s="53" t="s">
        <v>36</v>
      </c>
      <c r="H78" s="53" t="s">
        <v>160</v>
      </c>
      <c r="I78" s="53" t="s">
        <v>159</v>
      </c>
      <c r="J78" s="53" t="s">
        <v>38</v>
      </c>
      <c r="K78" s="53" t="s">
        <v>161</v>
      </c>
      <c r="L78" s="53">
        <v>2</v>
      </c>
      <c r="N78" s="53">
        <v>5</v>
      </c>
      <c r="O78" s="53">
        <v>0.6</v>
      </c>
      <c r="P78" s="53">
        <v>0.6</v>
      </c>
      <c r="Q78" s="74">
        <f t="shared" si="0"/>
        <v>0.6</v>
      </c>
      <c r="R78" s="53">
        <v>20.100000000000001</v>
      </c>
      <c r="S78" s="53">
        <v>154</v>
      </c>
      <c r="T78" s="16">
        <f t="shared" si="1"/>
        <v>18</v>
      </c>
      <c r="U78" s="53">
        <v>626</v>
      </c>
      <c r="V78" s="16">
        <f t="shared" si="2"/>
        <v>2253.6</v>
      </c>
      <c r="W78" s="53">
        <v>9</v>
      </c>
      <c r="X78" s="53" t="s">
        <v>46</v>
      </c>
      <c r="Y78" s="53" t="s">
        <v>86</v>
      </c>
      <c r="Z78" s="53" t="s">
        <v>55</v>
      </c>
      <c r="AA78" s="53" t="s">
        <v>69</v>
      </c>
      <c r="AB78" s="53" t="s">
        <v>260</v>
      </c>
    </row>
    <row r="79" spans="1:28" x14ac:dyDescent="0.15">
      <c r="A79" s="53" t="s">
        <v>34</v>
      </c>
      <c r="B79" s="53" t="s">
        <v>256</v>
      </c>
      <c r="C79" s="53">
        <v>2019</v>
      </c>
      <c r="D79" s="171" t="s">
        <v>289</v>
      </c>
      <c r="E79" s="53" t="s">
        <v>350</v>
      </c>
      <c r="F79" s="53" t="s">
        <v>349</v>
      </c>
      <c r="G79" s="53" t="s">
        <v>36</v>
      </c>
      <c r="H79" s="53" t="s">
        <v>160</v>
      </c>
      <c r="I79" s="53" t="s">
        <v>159</v>
      </c>
      <c r="J79" s="53" t="s">
        <v>38</v>
      </c>
      <c r="K79" s="53" t="s">
        <v>161</v>
      </c>
      <c r="L79" s="53">
        <v>3</v>
      </c>
      <c r="N79" s="53">
        <v>5</v>
      </c>
      <c r="O79" s="53">
        <v>0.7</v>
      </c>
      <c r="P79" s="53">
        <v>0.7</v>
      </c>
      <c r="Q79" s="74">
        <f t="shared" si="0"/>
        <v>0.7</v>
      </c>
      <c r="R79" s="53">
        <v>19.3</v>
      </c>
      <c r="S79" s="53">
        <v>161</v>
      </c>
      <c r="T79" s="16">
        <f t="shared" si="1"/>
        <v>18</v>
      </c>
      <c r="U79" s="53">
        <v>626</v>
      </c>
      <c r="V79" s="16">
        <f t="shared" si="2"/>
        <v>2253.6</v>
      </c>
      <c r="W79" s="53">
        <v>9</v>
      </c>
      <c r="X79" s="53" t="s">
        <v>46</v>
      </c>
      <c r="Y79" s="53" t="s">
        <v>86</v>
      </c>
      <c r="Z79" s="53" t="s">
        <v>55</v>
      </c>
      <c r="AA79" s="53" t="s">
        <v>69</v>
      </c>
      <c r="AB79" s="53" t="s">
        <v>260</v>
      </c>
    </row>
    <row r="80" spans="1:28" x14ac:dyDescent="0.15">
      <c r="A80" s="53" t="s">
        <v>34</v>
      </c>
      <c r="B80" s="53" t="s">
        <v>256</v>
      </c>
      <c r="C80" s="53">
        <v>2019</v>
      </c>
      <c r="D80" s="171" t="s">
        <v>289</v>
      </c>
      <c r="E80" s="53" t="s">
        <v>339</v>
      </c>
      <c r="F80" s="53" t="s">
        <v>349</v>
      </c>
      <c r="G80" s="53" t="s">
        <v>36</v>
      </c>
      <c r="H80" s="53" t="s">
        <v>164</v>
      </c>
      <c r="I80" s="53" t="s">
        <v>159</v>
      </c>
      <c r="J80" s="53" t="s">
        <v>38</v>
      </c>
      <c r="K80" s="53" t="s">
        <v>161</v>
      </c>
      <c r="L80" s="53">
        <v>1</v>
      </c>
      <c r="N80" s="53">
        <v>1</v>
      </c>
      <c r="O80" s="53">
        <v>0.2</v>
      </c>
      <c r="P80" s="53">
        <v>0.2</v>
      </c>
      <c r="Q80" s="74">
        <f t="shared" si="0"/>
        <v>0.2</v>
      </c>
      <c r="R80" s="53">
        <v>15.7</v>
      </c>
      <c r="S80" s="53">
        <v>125</v>
      </c>
      <c r="T80" s="16">
        <f t="shared" si="1"/>
        <v>30</v>
      </c>
      <c r="U80" s="53">
        <v>101</v>
      </c>
      <c r="V80" s="16">
        <f t="shared" si="2"/>
        <v>3030</v>
      </c>
      <c r="W80" s="53">
        <v>6</v>
      </c>
      <c r="X80" s="53" t="s">
        <v>46</v>
      </c>
      <c r="Y80" s="53" t="s">
        <v>55</v>
      </c>
      <c r="Z80" s="53" t="s">
        <v>69</v>
      </c>
      <c r="AA80" s="53" t="s">
        <v>90</v>
      </c>
      <c r="AB80" s="53" t="s">
        <v>260</v>
      </c>
    </row>
    <row r="81" spans="1:28" x14ac:dyDescent="0.15">
      <c r="A81" s="53" t="s">
        <v>34</v>
      </c>
      <c r="B81" s="53" t="s">
        <v>256</v>
      </c>
      <c r="C81" s="53">
        <v>2019</v>
      </c>
      <c r="D81" s="171" t="s">
        <v>289</v>
      </c>
      <c r="E81" s="53" t="s">
        <v>339</v>
      </c>
      <c r="F81" s="53" t="s">
        <v>349</v>
      </c>
      <c r="G81" s="53" t="s">
        <v>36</v>
      </c>
      <c r="H81" s="53" t="s">
        <v>164</v>
      </c>
      <c r="I81" s="53" t="s">
        <v>159</v>
      </c>
      <c r="J81" s="53" t="s">
        <v>38</v>
      </c>
      <c r="K81" s="53" t="s">
        <v>161</v>
      </c>
      <c r="L81" s="53">
        <v>2</v>
      </c>
      <c r="N81" s="53">
        <v>1</v>
      </c>
      <c r="O81" s="53">
        <v>0.75</v>
      </c>
      <c r="P81" s="53">
        <v>0.7</v>
      </c>
      <c r="Q81" s="74">
        <f t="shared" si="0"/>
        <v>0.72499999999999998</v>
      </c>
      <c r="R81" s="53">
        <v>18</v>
      </c>
      <c r="S81" s="53">
        <v>131</v>
      </c>
      <c r="T81" s="16">
        <f t="shared" si="1"/>
        <v>30</v>
      </c>
      <c r="U81" s="53">
        <v>101</v>
      </c>
      <c r="V81" s="16">
        <f t="shared" si="2"/>
        <v>3030</v>
      </c>
      <c r="W81" s="53">
        <v>6</v>
      </c>
      <c r="X81" s="53" t="s">
        <v>46</v>
      </c>
      <c r="Y81" s="53" t="s">
        <v>55</v>
      </c>
      <c r="Z81" s="53" t="s">
        <v>69</v>
      </c>
      <c r="AA81" s="53" t="s">
        <v>90</v>
      </c>
      <c r="AB81" s="53" t="s">
        <v>260</v>
      </c>
    </row>
    <row r="82" spans="1:28" x14ac:dyDescent="0.15">
      <c r="A82" s="53" t="s">
        <v>34</v>
      </c>
      <c r="B82" s="53" t="s">
        <v>256</v>
      </c>
      <c r="C82" s="53">
        <v>2019</v>
      </c>
      <c r="D82" s="171" t="s">
        <v>289</v>
      </c>
      <c r="E82" s="53" t="s">
        <v>339</v>
      </c>
      <c r="F82" s="53" t="s">
        <v>349</v>
      </c>
      <c r="G82" s="53" t="s">
        <v>36</v>
      </c>
      <c r="H82" s="53" t="s">
        <v>164</v>
      </c>
      <c r="I82" s="53" t="s">
        <v>159</v>
      </c>
      <c r="J82" s="53" t="s">
        <v>38</v>
      </c>
      <c r="K82" s="53" t="s">
        <v>161</v>
      </c>
      <c r="L82" s="53">
        <v>3</v>
      </c>
      <c r="N82" s="53">
        <v>1</v>
      </c>
      <c r="O82" s="53">
        <v>0.6</v>
      </c>
      <c r="P82" s="53">
        <v>0.5</v>
      </c>
      <c r="Q82" s="74">
        <f t="shared" si="0"/>
        <v>0.55000000000000004</v>
      </c>
      <c r="R82" s="53">
        <v>17.7</v>
      </c>
      <c r="S82" s="53">
        <v>103</v>
      </c>
      <c r="T82" s="16">
        <f t="shared" si="1"/>
        <v>33</v>
      </c>
      <c r="U82" s="53">
        <v>101</v>
      </c>
      <c r="V82" s="16">
        <f t="shared" si="2"/>
        <v>3333</v>
      </c>
      <c r="W82" s="53">
        <v>6</v>
      </c>
      <c r="X82" s="53" t="s">
        <v>46</v>
      </c>
      <c r="Y82" s="53" t="s">
        <v>55</v>
      </c>
      <c r="Z82" s="53" t="s">
        <v>69</v>
      </c>
      <c r="AA82" s="53" t="s">
        <v>90</v>
      </c>
      <c r="AB82" s="53" t="s">
        <v>260</v>
      </c>
    </row>
    <row r="83" spans="1:28" x14ac:dyDescent="0.15">
      <c r="A83" s="53" t="s">
        <v>34</v>
      </c>
      <c r="B83" s="53" t="s">
        <v>256</v>
      </c>
      <c r="C83" s="53">
        <v>2019</v>
      </c>
      <c r="D83" s="171" t="s">
        <v>289</v>
      </c>
      <c r="E83" s="53" t="s">
        <v>339</v>
      </c>
      <c r="F83" s="53" t="s">
        <v>349</v>
      </c>
      <c r="G83" s="53" t="s">
        <v>36</v>
      </c>
      <c r="H83" s="53" t="s">
        <v>164</v>
      </c>
      <c r="I83" s="53" t="s">
        <v>165</v>
      </c>
      <c r="J83" s="53" t="s">
        <v>38</v>
      </c>
      <c r="K83" s="53" t="s">
        <v>161</v>
      </c>
      <c r="L83" s="53">
        <v>1</v>
      </c>
      <c r="N83" s="53">
        <v>9</v>
      </c>
      <c r="O83" s="53">
        <v>0.8</v>
      </c>
      <c r="P83" s="53">
        <v>0.75</v>
      </c>
      <c r="Q83" s="74">
        <f t="shared" ref="Q83:Q136" si="5">IF(OR(O83="",P83=""),"",AVERAGE(O83,P83))</f>
        <v>0.77500000000000002</v>
      </c>
      <c r="R83" s="53">
        <v>17.3</v>
      </c>
      <c r="S83" s="53">
        <v>84</v>
      </c>
      <c r="T83" s="16">
        <f t="shared" ref="T83:T136" si="6">IF(H83="","",IF(OR(H83="GREEN",H83="GK"),IF(S83&gt;=$AX$2,VLOOKUP(S83,$AX$2:$AY$9,2,1),""),IF(S83&gt;=$AZ$2,VLOOKUP(S83,$AZ$2:$BA$9,2,1),"")))</f>
        <v>36</v>
      </c>
      <c r="U83" s="53">
        <v>537</v>
      </c>
      <c r="V83" s="16">
        <f t="shared" ref="V83:V136" si="7">IF(OR(N83="",U83="",T83=""),"",U83/N83*T83)</f>
        <v>2148</v>
      </c>
      <c r="W83" s="53">
        <v>6</v>
      </c>
      <c r="X83" s="53" t="s">
        <v>46</v>
      </c>
      <c r="Y83" s="53" t="s">
        <v>55</v>
      </c>
      <c r="Z83" s="53" t="s">
        <v>69</v>
      </c>
      <c r="AA83" s="53" t="s">
        <v>90</v>
      </c>
      <c r="AB83" s="53" t="s">
        <v>260</v>
      </c>
    </row>
    <row r="84" spans="1:28" x14ac:dyDescent="0.15">
      <c r="A84" s="53" t="s">
        <v>34</v>
      </c>
      <c r="B84" s="53" t="s">
        <v>256</v>
      </c>
      <c r="C84" s="53">
        <v>2019</v>
      </c>
      <c r="D84" s="171" t="s">
        <v>289</v>
      </c>
      <c r="E84" s="53" t="s">
        <v>339</v>
      </c>
      <c r="F84" s="53" t="s">
        <v>349</v>
      </c>
      <c r="G84" s="53" t="s">
        <v>36</v>
      </c>
      <c r="H84" s="53" t="s">
        <v>164</v>
      </c>
      <c r="I84" s="53" t="s">
        <v>165</v>
      </c>
      <c r="J84" s="53" t="s">
        <v>38</v>
      </c>
      <c r="K84" s="53" t="s">
        <v>161</v>
      </c>
      <c r="L84" s="53">
        <v>2</v>
      </c>
      <c r="N84" s="53">
        <v>9</v>
      </c>
      <c r="O84" s="53">
        <v>0.85</v>
      </c>
      <c r="P84" s="53">
        <v>0.75</v>
      </c>
      <c r="Q84" s="74">
        <f t="shared" si="5"/>
        <v>0.8</v>
      </c>
      <c r="R84" s="53">
        <v>13.1</v>
      </c>
      <c r="S84" s="53">
        <v>87</v>
      </c>
      <c r="T84" s="16">
        <f t="shared" si="6"/>
        <v>36</v>
      </c>
      <c r="U84" s="53">
        <v>537</v>
      </c>
      <c r="V84" s="16">
        <f t="shared" si="7"/>
        <v>2148</v>
      </c>
      <c r="W84" s="53">
        <v>6</v>
      </c>
      <c r="X84" s="53" t="s">
        <v>46</v>
      </c>
      <c r="Y84" s="53" t="s">
        <v>55</v>
      </c>
      <c r="Z84" s="53" t="s">
        <v>69</v>
      </c>
      <c r="AA84" s="53" t="s">
        <v>90</v>
      </c>
      <c r="AB84" s="53" t="s">
        <v>260</v>
      </c>
    </row>
    <row r="85" spans="1:28" x14ac:dyDescent="0.15">
      <c r="A85" s="53" t="s">
        <v>34</v>
      </c>
      <c r="B85" s="53" t="s">
        <v>256</v>
      </c>
      <c r="C85" s="53">
        <v>2019</v>
      </c>
      <c r="D85" s="171" t="s">
        <v>289</v>
      </c>
      <c r="E85" s="53" t="s">
        <v>339</v>
      </c>
      <c r="F85" s="53" t="s">
        <v>349</v>
      </c>
      <c r="G85" s="53" t="s">
        <v>36</v>
      </c>
      <c r="H85" s="53" t="s">
        <v>164</v>
      </c>
      <c r="I85" s="53" t="s">
        <v>165</v>
      </c>
      <c r="J85" s="53" t="s">
        <v>38</v>
      </c>
      <c r="K85" s="53" t="s">
        <v>161</v>
      </c>
      <c r="L85" s="53">
        <v>3</v>
      </c>
      <c r="N85" s="53">
        <v>9</v>
      </c>
      <c r="O85" s="53">
        <v>0.85</v>
      </c>
      <c r="P85" s="53">
        <v>0.9</v>
      </c>
      <c r="Q85" s="74">
        <f t="shared" si="5"/>
        <v>0.875</v>
      </c>
      <c r="R85" s="53">
        <v>17.600000000000001</v>
      </c>
      <c r="S85" s="53">
        <v>89</v>
      </c>
      <c r="T85" s="16">
        <f t="shared" si="6"/>
        <v>36</v>
      </c>
      <c r="U85" s="53">
        <v>537</v>
      </c>
      <c r="V85" s="16">
        <f t="shared" si="7"/>
        <v>2148</v>
      </c>
      <c r="W85" s="53">
        <v>6</v>
      </c>
      <c r="X85" s="53" t="s">
        <v>46</v>
      </c>
      <c r="Y85" s="53" t="s">
        <v>55</v>
      </c>
      <c r="Z85" s="53" t="s">
        <v>69</v>
      </c>
      <c r="AA85" s="53" t="s">
        <v>90</v>
      </c>
      <c r="AB85" s="53" t="s">
        <v>260</v>
      </c>
    </row>
    <row r="86" spans="1:28" x14ac:dyDescent="0.15">
      <c r="A86" s="53" t="s">
        <v>34</v>
      </c>
      <c r="B86" s="53" t="s">
        <v>256</v>
      </c>
      <c r="C86" s="53">
        <v>2019</v>
      </c>
      <c r="D86" s="171" t="s">
        <v>289</v>
      </c>
      <c r="E86" s="53" t="s">
        <v>339</v>
      </c>
      <c r="F86" s="53" t="s">
        <v>349</v>
      </c>
      <c r="G86" s="53" t="s">
        <v>36</v>
      </c>
      <c r="H86" s="53" t="s">
        <v>160</v>
      </c>
      <c r="I86" s="53" t="s">
        <v>159</v>
      </c>
      <c r="J86" s="53" t="s">
        <v>38</v>
      </c>
      <c r="K86" s="53" t="s">
        <v>161</v>
      </c>
      <c r="L86" s="53">
        <v>1</v>
      </c>
      <c r="N86" s="53">
        <v>1</v>
      </c>
      <c r="O86" s="53">
        <v>0.55000000000000004</v>
      </c>
      <c r="P86" s="53">
        <v>0.7</v>
      </c>
      <c r="Q86" s="74">
        <f t="shared" si="5"/>
        <v>0.625</v>
      </c>
      <c r="R86" s="53">
        <v>18.3</v>
      </c>
      <c r="S86" s="53">
        <v>130</v>
      </c>
      <c r="T86" s="16">
        <f t="shared" si="6"/>
        <v>30</v>
      </c>
      <c r="U86" s="53">
        <v>101</v>
      </c>
      <c r="V86" s="16">
        <f t="shared" si="7"/>
        <v>3030</v>
      </c>
      <c r="W86" s="53">
        <v>10</v>
      </c>
      <c r="X86" s="53" t="s">
        <v>46</v>
      </c>
      <c r="Y86" s="53" t="s">
        <v>55</v>
      </c>
      <c r="Z86" s="53" t="s">
        <v>69</v>
      </c>
      <c r="AA86" s="53" t="s">
        <v>90</v>
      </c>
      <c r="AB86" s="53" t="s">
        <v>260</v>
      </c>
    </row>
    <row r="87" spans="1:28" x14ac:dyDescent="0.15">
      <c r="A87" s="53" t="s">
        <v>34</v>
      </c>
      <c r="B87" s="53" t="s">
        <v>256</v>
      </c>
      <c r="C87" s="53">
        <v>2019</v>
      </c>
      <c r="D87" s="171" t="s">
        <v>289</v>
      </c>
      <c r="E87" s="53" t="s">
        <v>339</v>
      </c>
      <c r="F87" s="53" t="s">
        <v>349</v>
      </c>
      <c r="G87" s="53" t="s">
        <v>36</v>
      </c>
      <c r="H87" s="53" t="s">
        <v>160</v>
      </c>
      <c r="I87" s="53" t="s">
        <v>159</v>
      </c>
      <c r="J87" s="53" t="s">
        <v>38</v>
      </c>
      <c r="K87" s="53" t="s">
        <v>161</v>
      </c>
      <c r="L87" s="53">
        <v>2</v>
      </c>
      <c r="N87" s="53">
        <v>1</v>
      </c>
      <c r="O87" s="53">
        <v>0.55000000000000004</v>
      </c>
      <c r="P87" s="53">
        <v>0.45</v>
      </c>
      <c r="Q87" s="74">
        <f t="shared" si="5"/>
        <v>0.5</v>
      </c>
      <c r="R87" s="53">
        <v>20.6</v>
      </c>
      <c r="S87" s="53">
        <v>129</v>
      </c>
      <c r="T87" s="16">
        <f t="shared" si="6"/>
        <v>30</v>
      </c>
      <c r="U87" s="53">
        <v>101</v>
      </c>
      <c r="V87" s="16">
        <f t="shared" si="7"/>
        <v>3030</v>
      </c>
      <c r="W87" s="53">
        <v>10</v>
      </c>
      <c r="X87" s="53" t="s">
        <v>46</v>
      </c>
      <c r="Y87" s="53" t="s">
        <v>55</v>
      </c>
      <c r="Z87" s="53" t="s">
        <v>69</v>
      </c>
      <c r="AA87" s="53" t="s">
        <v>90</v>
      </c>
      <c r="AB87" s="53" t="s">
        <v>260</v>
      </c>
    </row>
    <row r="88" spans="1:28" x14ac:dyDescent="0.15">
      <c r="A88" s="53" t="s">
        <v>34</v>
      </c>
      <c r="B88" s="53" t="s">
        <v>256</v>
      </c>
      <c r="C88" s="53">
        <v>2019</v>
      </c>
      <c r="D88" s="171" t="s">
        <v>289</v>
      </c>
      <c r="E88" s="53" t="s">
        <v>339</v>
      </c>
      <c r="F88" s="53" t="s">
        <v>349</v>
      </c>
      <c r="G88" s="53" t="s">
        <v>36</v>
      </c>
      <c r="H88" s="53" t="s">
        <v>160</v>
      </c>
      <c r="I88" s="53" t="s">
        <v>159</v>
      </c>
      <c r="J88" s="53" t="s">
        <v>38</v>
      </c>
      <c r="K88" s="53" t="s">
        <v>161</v>
      </c>
      <c r="L88" s="53">
        <v>3</v>
      </c>
      <c r="N88" s="53">
        <v>1</v>
      </c>
      <c r="O88" s="53">
        <v>0.2</v>
      </c>
      <c r="P88" s="53">
        <v>0.2</v>
      </c>
      <c r="Q88" s="74">
        <f t="shared" si="5"/>
        <v>0.2</v>
      </c>
      <c r="R88" s="53">
        <v>20</v>
      </c>
      <c r="S88" s="53">
        <v>134</v>
      </c>
      <c r="T88" s="16">
        <f t="shared" si="6"/>
        <v>30</v>
      </c>
      <c r="U88" s="53">
        <v>101</v>
      </c>
      <c r="V88" s="16">
        <f t="shared" si="7"/>
        <v>3030</v>
      </c>
      <c r="W88" s="53">
        <v>10</v>
      </c>
      <c r="X88" s="53" t="s">
        <v>46</v>
      </c>
      <c r="Y88" s="53" t="s">
        <v>55</v>
      </c>
      <c r="Z88" s="53" t="s">
        <v>69</v>
      </c>
      <c r="AA88" s="53" t="s">
        <v>90</v>
      </c>
      <c r="AB88" s="53" t="s">
        <v>260</v>
      </c>
    </row>
    <row r="89" spans="1:28" x14ac:dyDescent="0.15">
      <c r="A89" s="53" t="s">
        <v>34</v>
      </c>
      <c r="B89" s="53" t="s">
        <v>256</v>
      </c>
      <c r="C89" s="53">
        <v>2019</v>
      </c>
      <c r="D89" s="171" t="s">
        <v>289</v>
      </c>
      <c r="E89" s="53" t="s">
        <v>339</v>
      </c>
      <c r="F89" s="53" t="s">
        <v>349</v>
      </c>
      <c r="G89" s="53" t="s">
        <v>36</v>
      </c>
      <c r="H89" s="53" t="s">
        <v>160</v>
      </c>
      <c r="I89" s="53" t="s">
        <v>159</v>
      </c>
      <c r="J89" s="53" t="s">
        <v>38</v>
      </c>
      <c r="K89" s="53" t="s">
        <v>161</v>
      </c>
      <c r="L89" s="53">
        <v>1</v>
      </c>
      <c r="N89" s="53">
        <v>7</v>
      </c>
      <c r="O89" s="53">
        <v>0.75</v>
      </c>
      <c r="P89" s="53">
        <v>0.75</v>
      </c>
      <c r="Q89" s="74">
        <f t="shared" si="5"/>
        <v>0.75</v>
      </c>
      <c r="R89" s="53">
        <v>20.7</v>
      </c>
      <c r="S89" s="53">
        <v>84</v>
      </c>
      <c r="T89" s="16">
        <f t="shared" si="6"/>
        <v>36</v>
      </c>
      <c r="U89" s="53">
        <v>645</v>
      </c>
      <c r="V89" s="16">
        <f t="shared" si="7"/>
        <v>3317.1428571428569</v>
      </c>
      <c r="W89" s="53">
        <v>10</v>
      </c>
      <c r="X89" s="53" t="s">
        <v>46</v>
      </c>
      <c r="Y89" s="53" t="s">
        <v>55</v>
      </c>
      <c r="Z89" s="53" t="s">
        <v>69</v>
      </c>
      <c r="AA89" s="53" t="s">
        <v>90</v>
      </c>
      <c r="AB89" s="53" t="s">
        <v>260</v>
      </c>
    </row>
    <row r="90" spans="1:28" x14ac:dyDescent="0.15">
      <c r="A90" s="53" t="s">
        <v>34</v>
      </c>
      <c r="B90" s="53" t="s">
        <v>256</v>
      </c>
      <c r="C90" s="53">
        <v>2019</v>
      </c>
      <c r="D90" s="171" t="s">
        <v>289</v>
      </c>
      <c r="E90" s="53" t="s">
        <v>339</v>
      </c>
      <c r="F90" s="53" t="s">
        <v>349</v>
      </c>
      <c r="G90" s="53" t="s">
        <v>36</v>
      </c>
      <c r="H90" s="53" t="s">
        <v>160</v>
      </c>
      <c r="I90" s="53" t="s">
        <v>159</v>
      </c>
      <c r="J90" s="53" t="s">
        <v>38</v>
      </c>
      <c r="K90" s="53" t="s">
        <v>161</v>
      </c>
      <c r="L90" s="53">
        <v>2</v>
      </c>
      <c r="N90" s="53">
        <v>7</v>
      </c>
      <c r="O90" s="53">
        <v>0.95</v>
      </c>
      <c r="P90" s="53">
        <v>1.1499999999999999</v>
      </c>
      <c r="Q90" s="74">
        <f t="shared" si="5"/>
        <v>1.0499999999999998</v>
      </c>
      <c r="R90" s="53">
        <v>17.2</v>
      </c>
      <c r="S90" s="53">
        <v>86</v>
      </c>
      <c r="T90" s="16">
        <f t="shared" si="6"/>
        <v>36</v>
      </c>
      <c r="U90" s="53">
        <v>6454</v>
      </c>
      <c r="V90" s="16">
        <f t="shared" si="7"/>
        <v>33192</v>
      </c>
      <c r="W90" s="53">
        <v>10</v>
      </c>
      <c r="X90" s="53" t="s">
        <v>46</v>
      </c>
      <c r="Y90" s="53" t="s">
        <v>55</v>
      </c>
      <c r="Z90" s="53" t="s">
        <v>69</v>
      </c>
      <c r="AA90" s="53" t="s">
        <v>90</v>
      </c>
      <c r="AB90" s="53" t="s">
        <v>260</v>
      </c>
    </row>
    <row r="91" spans="1:28" x14ac:dyDescent="0.15">
      <c r="A91" s="53" t="s">
        <v>34</v>
      </c>
      <c r="B91" s="53" t="s">
        <v>256</v>
      </c>
      <c r="C91" s="53">
        <v>2019</v>
      </c>
      <c r="D91" s="171" t="s">
        <v>289</v>
      </c>
      <c r="E91" s="53" t="s">
        <v>339</v>
      </c>
      <c r="F91" s="53" t="s">
        <v>349</v>
      </c>
      <c r="G91" s="53" t="s">
        <v>36</v>
      </c>
      <c r="H91" s="53" t="s">
        <v>160</v>
      </c>
      <c r="I91" s="53" t="s">
        <v>159</v>
      </c>
      <c r="J91" s="53" t="s">
        <v>38</v>
      </c>
      <c r="K91" s="53" t="s">
        <v>161</v>
      </c>
      <c r="L91" s="53">
        <v>3</v>
      </c>
      <c r="N91" s="53">
        <v>7</v>
      </c>
      <c r="O91" s="53">
        <v>0.85</v>
      </c>
      <c r="P91" s="53">
        <v>1.1000000000000001</v>
      </c>
      <c r="Q91" s="74">
        <f t="shared" si="5"/>
        <v>0.97500000000000009</v>
      </c>
      <c r="R91" s="53">
        <v>17.3</v>
      </c>
      <c r="S91" s="53">
        <v>88</v>
      </c>
      <c r="T91" s="16">
        <f t="shared" si="6"/>
        <v>36</v>
      </c>
      <c r="U91" s="53">
        <v>645</v>
      </c>
      <c r="V91" s="16">
        <f t="shared" si="7"/>
        <v>3317.1428571428569</v>
      </c>
      <c r="W91" s="53">
        <v>10</v>
      </c>
      <c r="X91" s="53" t="s">
        <v>46</v>
      </c>
      <c r="Y91" s="53" t="s">
        <v>55</v>
      </c>
      <c r="Z91" s="53" t="s">
        <v>69</v>
      </c>
      <c r="AA91" s="53" t="s">
        <v>90</v>
      </c>
      <c r="AB91" s="53" t="s">
        <v>260</v>
      </c>
    </row>
    <row r="92" spans="1:28" x14ac:dyDescent="0.15">
      <c r="A92" s="53" t="s">
        <v>34</v>
      </c>
      <c r="B92" s="53" t="s">
        <v>256</v>
      </c>
      <c r="C92" s="53">
        <v>2019</v>
      </c>
      <c r="D92" s="171" t="s">
        <v>289</v>
      </c>
      <c r="E92" s="53" t="s">
        <v>339</v>
      </c>
      <c r="F92" s="53" t="s">
        <v>349</v>
      </c>
      <c r="G92" s="53" t="s">
        <v>36</v>
      </c>
      <c r="H92" s="53" t="s">
        <v>168</v>
      </c>
      <c r="I92" s="53" t="s">
        <v>159</v>
      </c>
      <c r="J92" s="53" t="s">
        <v>38</v>
      </c>
      <c r="K92" s="53" t="s">
        <v>161</v>
      </c>
      <c r="L92" s="53">
        <v>1</v>
      </c>
      <c r="N92" s="53">
        <v>9</v>
      </c>
      <c r="O92" s="53">
        <v>0.2</v>
      </c>
      <c r="P92" s="53">
        <v>0.2</v>
      </c>
      <c r="Q92" s="74">
        <f t="shared" si="5"/>
        <v>0.2</v>
      </c>
      <c r="R92" s="53">
        <v>16.8</v>
      </c>
      <c r="S92" s="53">
        <v>104</v>
      </c>
      <c r="T92" s="16">
        <f t="shared" si="6"/>
        <v>33</v>
      </c>
      <c r="U92" s="53">
        <v>537</v>
      </c>
      <c r="V92" s="16">
        <f t="shared" si="7"/>
        <v>1969</v>
      </c>
      <c r="W92" s="53">
        <v>1</v>
      </c>
      <c r="X92" s="53" t="s">
        <v>46</v>
      </c>
      <c r="Y92" s="53" t="s">
        <v>55</v>
      </c>
      <c r="Z92" s="53" t="s">
        <v>69</v>
      </c>
      <c r="AA92" s="53" t="s">
        <v>90</v>
      </c>
      <c r="AB92" s="53" t="s">
        <v>260</v>
      </c>
    </row>
    <row r="93" spans="1:28" x14ac:dyDescent="0.15">
      <c r="A93" s="53" t="s">
        <v>34</v>
      </c>
      <c r="B93" s="53" t="s">
        <v>256</v>
      </c>
      <c r="C93" s="53">
        <v>2019</v>
      </c>
      <c r="D93" s="171" t="s">
        <v>289</v>
      </c>
      <c r="E93" s="53" t="s">
        <v>339</v>
      </c>
      <c r="F93" s="53" t="s">
        <v>349</v>
      </c>
      <c r="G93" s="53" t="s">
        <v>36</v>
      </c>
      <c r="H93" s="53" t="s">
        <v>168</v>
      </c>
      <c r="I93" s="53" t="s">
        <v>159</v>
      </c>
      <c r="J93" s="53" t="s">
        <v>38</v>
      </c>
      <c r="K93" s="53" t="s">
        <v>161</v>
      </c>
      <c r="L93" s="53">
        <v>2</v>
      </c>
      <c r="N93" s="53">
        <v>9</v>
      </c>
      <c r="O93" s="53">
        <v>0.55000000000000004</v>
      </c>
      <c r="P93" s="53">
        <v>0.7</v>
      </c>
      <c r="Q93" s="74">
        <f t="shared" si="5"/>
        <v>0.625</v>
      </c>
      <c r="R93" s="53">
        <v>16.8</v>
      </c>
      <c r="S93" s="53">
        <v>96</v>
      </c>
      <c r="T93" s="16">
        <f t="shared" si="6"/>
        <v>36</v>
      </c>
      <c r="U93" s="53">
        <v>537</v>
      </c>
      <c r="V93" s="16">
        <f t="shared" si="7"/>
        <v>2148</v>
      </c>
      <c r="W93" s="53">
        <v>1</v>
      </c>
      <c r="X93" s="53" t="s">
        <v>46</v>
      </c>
      <c r="Y93" s="53" t="s">
        <v>55</v>
      </c>
      <c r="Z93" s="53" t="s">
        <v>69</v>
      </c>
      <c r="AA93" s="53" t="s">
        <v>90</v>
      </c>
      <c r="AB93" s="53" t="s">
        <v>260</v>
      </c>
    </row>
    <row r="94" spans="1:28" x14ac:dyDescent="0.15">
      <c r="A94" s="53" t="s">
        <v>34</v>
      </c>
      <c r="B94" s="53" t="s">
        <v>256</v>
      </c>
      <c r="C94" s="53">
        <v>2019</v>
      </c>
      <c r="D94" s="171" t="s">
        <v>289</v>
      </c>
      <c r="E94" s="53" t="s">
        <v>339</v>
      </c>
      <c r="F94" s="53" t="s">
        <v>349</v>
      </c>
      <c r="G94" s="53" t="s">
        <v>36</v>
      </c>
      <c r="H94" s="53" t="s">
        <v>168</v>
      </c>
      <c r="I94" s="53" t="s">
        <v>159</v>
      </c>
      <c r="J94" s="53" t="s">
        <v>38</v>
      </c>
      <c r="K94" s="53" t="s">
        <v>161</v>
      </c>
      <c r="L94" s="53">
        <v>3</v>
      </c>
      <c r="N94" s="53">
        <v>9</v>
      </c>
      <c r="O94" s="53">
        <v>0.2</v>
      </c>
      <c r="P94" s="53">
        <v>0.2</v>
      </c>
      <c r="Q94" s="74">
        <f t="shared" si="5"/>
        <v>0.2</v>
      </c>
      <c r="R94" s="53">
        <v>18</v>
      </c>
      <c r="S94" s="53">
        <v>93</v>
      </c>
      <c r="T94" s="16">
        <f t="shared" si="6"/>
        <v>36</v>
      </c>
      <c r="U94" s="53">
        <v>537</v>
      </c>
      <c r="V94" s="16">
        <f t="shared" si="7"/>
        <v>2148</v>
      </c>
      <c r="W94" s="53">
        <v>1</v>
      </c>
      <c r="X94" s="53" t="s">
        <v>46</v>
      </c>
      <c r="Y94" s="53" t="s">
        <v>55</v>
      </c>
      <c r="Z94" s="53" t="s">
        <v>69</v>
      </c>
      <c r="AA94" s="53" t="s">
        <v>90</v>
      </c>
      <c r="AB94" s="53" t="s">
        <v>260</v>
      </c>
    </row>
    <row r="95" spans="1:28" x14ac:dyDescent="0.15">
      <c r="A95" s="53" t="s">
        <v>34</v>
      </c>
      <c r="B95" s="53" t="s">
        <v>256</v>
      </c>
      <c r="C95" s="53">
        <v>2019</v>
      </c>
      <c r="D95" s="171" t="s">
        <v>289</v>
      </c>
      <c r="E95" s="53" t="s">
        <v>353</v>
      </c>
      <c r="F95" s="53" t="s">
        <v>354</v>
      </c>
      <c r="G95" s="53" t="s">
        <v>36</v>
      </c>
      <c r="H95" s="53" t="s">
        <v>164</v>
      </c>
      <c r="I95" s="53" t="s">
        <v>159</v>
      </c>
      <c r="J95" s="53" t="s">
        <v>38</v>
      </c>
      <c r="K95" s="53" t="s">
        <v>161</v>
      </c>
      <c r="L95" s="53">
        <v>1</v>
      </c>
      <c r="N95" s="53">
        <v>1</v>
      </c>
      <c r="O95" s="53">
        <v>0.95</v>
      </c>
      <c r="P95" s="53">
        <v>0.9</v>
      </c>
      <c r="Q95" s="74">
        <f t="shared" si="5"/>
        <v>0.92500000000000004</v>
      </c>
      <c r="R95" s="53">
        <v>16</v>
      </c>
      <c r="S95" s="53">
        <v>126</v>
      </c>
      <c r="T95" s="16">
        <f t="shared" si="6"/>
        <v>30</v>
      </c>
      <c r="U95" s="53">
        <v>105</v>
      </c>
      <c r="V95" s="16">
        <f t="shared" si="7"/>
        <v>3150</v>
      </c>
      <c r="W95" s="53">
        <v>4</v>
      </c>
      <c r="X95" s="53" t="s">
        <v>46</v>
      </c>
      <c r="Y95" s="53" t="s">
        <v>55</v>
      </c>
      <c r="Z95" s="53" t="s">
        <v>69</v>
      </c>
      <c r="AA95" s="53" t="s">
        <v>90</v>
      </c>
      <c r="AB95" s="53" t="s">
        <v>260</v>
      </c>
    </row>
    <row r="96" spans="1:28" x14ac:dyDescent="0.15">
      <c r="A96" s="53" t="s">
        <v>34</v>
      </c>
      <c r="B96" s="53" t="s">
        <v>256</v>
      </c>
      <c r="C96" s="53">
        <v>2019</v>
      </c>
      <c r="D96" s="171" t="s">
        <v>289</v>
      </c>
      <c r="E96" s="53" t="s">
        <v>353</v>
      </c>
      <c r="F96" s="53" t="s">
        <v>354</v>
      </c>
      <c r="G96" s="53" t="s">
        <v>36</v>
      </c>
      <c r="H96" s="53" t="s">
        <v>164</v>
      </c>
      <c r="I96" s="53" t="s">
        <v>159</v>
      </c>
      <c r="J96" s="53" t="s">
        <v>38</v>
      </c>
      <c r="K96" s="53" t="s">
        <v>161</v>
      </c>
      <c r="L96" s="53">
        <v>2</v>
      </c>
      <c r="N96" s="53">
        <v>1</v>
      </c>
      <c r="O96" s="53">
        <v>1.05</v>
      </c>
      <c r="P96" s="53">
        <v>0.95</v>
      </c>
      <c r="Q96" s="74">
        <f t="shared" si="5"/>
        <v>1</v>
      </c>
      <c r="R96" s="53">
        <v>17.5</v>
      </c>
      <c r="S96" s="53">
        <v>130</v>
      </c>
      <c r="T96" s="16">
        <f t="shared" si="6"/>
        <v>30</v>
      </c>
      <c r="U96" s="53">
        <v>105</v>
      </c>
      <c r="V96" s="16">
        <f t="shared" si="7"/>
        <v>3150</v>
      </c>
      <c r="W96" s="53">
        <v>4</v>
      </c>
      <c r="X96" s="53" t="s">
        <v>46</v>
      </c>
      <c r="Y96" s="53" t="s">
        <v>55</v>
      </c>
      <c r="Z96" s="53" t="s">
        <v>69</v>
      </c>
      <c r="AA96" s="53" t="s">
        <v>90</v>
      </c>
      <c r="AB96" s="53" t="s">
        <v>260</v>
      </c>
    </row>
    <row r="97" spans="1:28" x14ac:dyDescent="0.15">
      <c r="A97" s="53" t="s">
        <v>34</v>
      </c>
      <c r="B97" s="53" t="s">
        <v>256</v>
      </c>
      <c r="C97" s="53">
        <v>2019</v>
      </c>
      <c r="D97" s="171" t="s">
        <v>289</v>
      </c>
      <c r="E97" s="53" t="s">
        <v>353</v>
      </c>
      <c r="F97" s="53" t="s">
        <v>354</v>
      </c>
      <c r="G97" s="53" t="s">
        <v>36</v>
      </c>
      <c r="H97" s="53" t="s">
        <v>164</v>
      </c>
      <c r="I97" s="53" t="s">
        <v>159</v>
      </c>
      <c r="J97" s="53" t="s">
        <v>38</v>
      </c>
      <c r="K97" s="53" t="s">
        <v>161</v>
      </c>
      <c r="L97" s="53">
        <v>3</v>
      </c>
      <c r="N97" s="53">
        <v>1</v>
      </c>
      <c r="O97" s="53">
        <v>0.6</v>
      </c>
      <c r="P97" s="53">
        <v>0.7</v>
      </c>
      <c r="Q97" s="74">
        <f t="shared" si="5"/>
        <v>0.64999999999999991</v>
      </c>
      <c r="R97" s="53">
        <v>18.100000000000001</v>
      </c>
      <c r="S97" s="53">
        <v>124</v>
      </c>
      <c r="T97" s="16">
        <f t="shared" si="6"/>
        <v>30</v>
      </c>
      <c r="U97" s="53">
        <v>105</v>
      </c>
      <c r="V97" s="16">
        <f t="shared" si="7"/>
        <v>3150</v>
      </c>
      <c r="W97" s="53">
        <v>4</v>
      </c>
      <c r="X97" s="53" t="s">
        <v>46</v>
      </c>
      <c r="Y97" s="53" t="s">
        <v>55</v>
      </c>
      <c r="Z97" s="53" t="s">
        <v>69</v>
      </c>
      <c r="AA97" s="53" t="s">
        <v>90</v>
      </c>
      <c r="AB97" s="53" t="s">
        <v>260</v>
      </c>
    </row>
    <row r="98" spans="1:28" x14ac:dyDescent="0.15">
      <c r="A98" s="53" t="s">
        <v>34</v>
      </c>
      <c r="B98" s="53" t="s">
        <v>256</v>
      </c>
      <c r="C98" s="53">
        <v>2019</v>
      </c>
      <c r="D98" s="171" t="s">
        <v>289</v>
      </c>
      <c r="E98" s="53" t="s">
        <v>353</v>
      </c>
      <c r="F98" s="53" t="s">
        <v>354</v>
      </c>
      <c r="G98" s="53" t="s">
        <v>36</v>
      </c>
      <c r="H98" s="53" t="s">
        <v>164</v>
      </c>
      <c r="I98" s="53" t="s">
        <v>159</v>
      </c>
      <c r="J98" s="53" t="s">
        <v>38</v>
      </c>
      <c r="K98" s="53" t="s">
        <v>161</v>
      </c>
      <c r="L98" s="53">
        <v>1</v>
      </c>
      <c r="N98" s="53">
        <v>4</v>
      </c>
      <c r="O98" s="53">
        <v>0.55000000000000004</v>
      </c>
      <c r="P98" s="53">
        <v>0.5</v>
      </c>
      <c r="Q98" s="74">
        <f t="shared" si="5"/>
        <v>0.52500000000000002</v>
      </c>
      <c r="R98" s="53">
        <v>18.100000000000001</v>
      </c>
      <c r="S98" s="53">
        <v>100</v>
      </c>
      <c r="T98" s="16">
        <f t="shared" si="6"/>
        <v>33</v>
      </c>
      <c r="U98" s="53">
        <v>321</v>
      </c>
      <c r="V98" s="16">
        <f t="shared" si="7"/>
        <v>2648.25</v>
      </c>
      <c r="W98" s="53">
        <v>4</v>
      </c>
      <c r="X98" s="53" t="s">
        <v>46</v>
      </c>
      <c r="Y98" s="53" t="s">
        <v>55</v>
      </c>
      <c r="Z98" s="53" t="s">
        <v>69</v>
      </c>
      <c r="AA98" s="53" t="s">
        <v>90</v>
      </c>
      <c r="AB98" s="53" t="s">
        <v>260</v>
      </c>
    </row>
    <row r="99" spans="1:28" x14ac:dyDescent="0.15">
      <c r="A99" s="53" t="s">
        <v>34</v>
      </c>
      <c r="B99" s="53" t="s">
        <v>256</v>
      </c>
      <c r="C99" s="53">
        <v>2019</v>
      </c>
      <c r="D99" s="171" t="s">
        <v>289</v>
      </c>
      <c r="E99" s="53" t="s">
        <v>353</v>
      </c>
      <c r="F99" s="53" t="s">
        <v>354</v>
      </c>
      <c r="G99" s="53" t="s">
        <v>36</v>
      </c>
      <c r="H99" s="53" t="s">
        <v>164</v>
      </c>
      <c r="I99" s="53" t="s">
        <v>159</v>
      </c>
      <c r="J99" s="53" t="s">
        <v>38</v>
      </c>
      <c r="K99" s="53" t="s">
        <v>161</v>
      </c>
      <c r="L99" s="53">
        <v>2</v>
      </c>
      <c r="N99" s="53">
        <v>4</v>
      </c>
      <c r="O99" s="53">
        <v>0.2</v>
      </c>
      <c r="P99" s="53">
        <v>0.55000000000000004</v>
      </c>
      <c r="Q99" s="74">
        <f t="shared" si="5"/>
        <v>0.375</v>
      </c>
      <c r="R99" s="53">
        <v>16.7</v>
      </c>
      <c r="S99" s="53">
        <v>101</v>
      </c>
      <c r="T99" s="16">
        <f t="shared" si="6"/>
        <v>33</v>
      </c>
      <c r="U99" s="53">
        <v>321</v>
      </c>
      <c r="V99" s="16">
        <f t="shared" si="7"/>
        <v>2648.25</v>
      </c>
      <c r="W99" s="53">
        <v>4</v>
      </c>
      <c r="X99" s="53" t="s">
        <v>46</v>
      </c>
      <c r="Y99" s="53" t="s">
        <v>55</v>
      </c>
      <c r="Z99" s="53" t="s">
        <v>69</v>
      </c>
      <c r="AA99" s="53" t="s">
        <v>90</v>
      </c>
      <c r="AB99" s="53" t="s">
        <v>260</v>
      </c>
    </row>
    <row r="100" spans="1:28" x14ac:dyDescent="0.15">
      <c r="A100" s="53" t="s">
        <v>34</v>
      </c>
      <c r="B100" s="53" t="s">
        <v>256</v>
      </c>
      <c r="C100" s="53">
        <v>2019</v>
      </c>
      <c r="D100" s="171" t="s">
        <v>289</v>
      </c>
      <c r="E100" s="53" t="s">
        <v>353</v>
      </c>
      <c r="F100" s="53" t="s">
        <v>354</v>
      </c>
      <c r="G100" s="53" t="s">
        <v>36</v>
      </c>
      <c r="H100" s="53" t="s">
        <v>164</v>
      </c>
      <c r="I100" s="53" t="s">
        <v>159</v>
      </c>
      <c r="J100" s="53" t="s">
        <v>38</v>
      </c>
      <c r="K100" s="53" t="s">
        <v>161</v>
      </c>
      <c r="L100" s="53">
        <v>3</v>
      </c>
      <c r="N100" s="53">
        <v>4</v>
      </c>
      <c r="O100" s="53">
        <v>0.2</v>
      </c>
      <c r="P100" s="53">
        <v>0.2</v>
      </c>
      <c r="Q100" s="74">
        <f t="shared" si="5"/>
        <v>0.2</v>
      </c>
      <c r="R100" s="53">
        <v>17.5</v>
      </c>
      <c r="S100" s="53">
        <v>96</v>
      </c>
      <c r="T100" s="16">
        <f t="shared" si="6"/>
        <v>36</v>
      </c>
      <c r="U100" s="53">
        <v>321</v>
      </c>
      <c r="V100" s="16">
        <f t="shared" si="7"/>
        <v>2889</v>
      </c>
      <c r="W100" s="53">
        <v>4</v>
      </c>
      <c r="X100" s="53" t="s">
        <v>46</v>
      </c>
      <c r="Y100" s="53" t="s">
        <v>55</v>
      </c>
      <c r="Z100" s="53" t="s">
        <v>69</v>
      </c>
      <c r="AA100" s="53" t="s">
        <v>90</v>
      </c>
      <c r="AB100" s="53" t="s">
        <v>260</v>
      </c>
    </row>
    <row r="101" spans="1:28" x14ac:dyDescent="0.15">
      <c r="A101" s="53" t="s">
        <v>34</v>
      </c>
      <c r="B101" s="53" t="s">
        <v>256</v>
      </c>
      <c r="C101" s="53">
        <v>2019</v>
      </c>
      <c r="D101" s="171" t="s">
        <v>289</v>
      </c>
      <c r="E101" s="53" t="s">
        <v>353</v>
      </c>
      <c r="F101" s="53" t="s">
        <v>354</v>
      </c>
      <c r="G101" s="53" t="s">
        <v>36</v>
      </c>
      <c r="H101" s="53" t="s">
        <v>160</v>
      </c>
      <c r="I101" s="53" t="s">
        <v>165</v>
      </c>
      <c r="J101" s="53" t="s">
        <v>38</v>
      </c>
      <c r="K101" s="53" t="s">
        <v>161</v>
      </c>
      <c r="L101" s="53">
        <v>1</v>
      </c>
      <c r="N101" s="53">
        <v>1</v>
      </c>
      <c r="O101" s="53">
        <v>0.55000000000000004</v>
      </c>
      <c r="P101" s="53">
        <v>0.45</v>
      </c>
      <c r="Q101" s="74">
        <f t="shared" si="5"/>
        <v>0.5</v>
      </c>
      <c r="R101" s="53">
        <v>21.5</v>
      </c>
      <c r="S101" s="53">
        <v>140</v>
      </c>
      <c r="T101" s="16">
        <f t="shared" si="6"/>
        <v>30</v>
      </c>
      <c r="U101" s="53">
        <v>108</v>
      </c>
      <c r="V101" s="16">
        <f t="shared" si="7"/>
        <v>3240</v>
      </c>
      <c r="W101" s="53">
        <v>8</v>
      </c>
      <c r="X101" s="53" t="s">
        <v>46</v>
      </c>
      <c r="Y101" s="53" t="s">
        <v>55</v>
      </c>
      <c r="Z101" s="53" t="s">
        <v>69</v>
      </c>
      <c r="AA101" s="53" t="s">
        <v>90</v>
      </c>
      <c r="AB101" s="53" t="s">
        <v>260</v>
      </c>
    </row>
    <row r="102" spans="1:28" x14ac:dyDescent="0.15">
      <c r="A102" s="53" t="s">
        <v>34</v>
      </c>
      <c r="B102" s="53" t="s">
        <v>256</v>
      </c>
      <c r="C102" s="53">
        <v>2019</v>
      </c>
      <c r="D102" s="171" t="s">
        <v>289</v>
      </c>
      <c r="E102" s="53" t="s">
        <v>353</v>
      </c>
      <c r="F102" s="53" t="s">
        <v>354</v>
      </c>
      <c r="G102" s="53" t="s">
        <v>36</v>
      </c>
      <c r="H102" s="53" t="s">
        <v>160</v>
      </c>
      <c r="I102" s="53" t="s">
        <v>165</v>
      </c>
      <c r="J102" s="53" t="s">
        <v>38</v>
      </c>
      <c r="K102" s="53" t="s">
        <v>161</v>
      </c>
      <c r="L102" s="53">
        <v>2</v>
      </c>
      <c r="N102" s="53">
        <v>1</v>
      </c>
      <c r="O102" s="53">
        <v>0.2</v>
      </c>
      <c r="P102" s="53">
        <v>0.2</v>
      </c>
      <c r="Q102" s="74">
        <f t="shared" si="5"/>
        <v>0.2</v>
      </c>
      <c r="R102" s="53">
        <v>20.9</v>
      </c>
      <c r="S102" s="53">
        <v>143</v>
      </c>
      <c r="T102" s="16">
        <f t="shared" si="6"/>
        <v>30</v>
      </c>
      <c r="U102" s="53">
        <v>108</v>
      </c>
      <c r="V102" s="16">
        <f t="shared" si="7"/>
        <v>3240</v>
      </c>
      <c r="W102" s="53">
        <v>8</v>
      </c>
      <c r="X102" s="53" t="s">
        <v>46</v>
      </c>
      <c r="Y102" s="53" t="s">
        <v>55</v>
      </c>
      <c r="Z102" s="53" t="s">
        <v>69</v>
      </c>
      <c r="AA102" s="53" t="s">
        <v>90</v>
      </c>
      <c r="AB102" s="53" t="s">
        <v>260</v>
      </c>
    </row>
    <row r="103" spans="1:28" x14ac:dyDescent="0.15">
      <c r="A103" s="53" t="s">
        <v>34</v>
      </c>
      <c r="B103" s="53" t="s">
        <v>256</v>
      </c>
      <c r="C103" s="53">
        <v>2019</v>
      </c>
      <c r="D103" s="171" t="s">
        <v>289</v>
      </c>
      <c r="E103" s="53" t="s">
        <v>353</v>
      </c>
      <c r="F103" s="53" t="s">
        <v>354</v>
      </c>
      <c r="G103" s="53" t="s">
        <v>36</v>
      </c>
      <c r="H103" s="53" t="s">
        <v>160</v>
      </c>
      <c r="I103" s="53" t="s">
        <v>165</v>
      </c>
      <c r="J103" s="53" t="s">
        <v>38</v>
      </c>
      <c r="K103" s="53" t="s">
        <v>161</v>
      </c>
      <c r="L103" s="53">
        <v>3</v>
      </c>
      <c r="N103" s="53">
        <v>1</v>
      </c>
      <c r="O103" s="53">
        <v>0.2</v>
      </c>
      <c r="P103" s="53">
        <v>0.2</v>
      </c>
      <c r="Q103" s="74">
        <f t="shared" si="5"/>
        <v>0.2</v>
      </c>
      <c r="R103" s="53">
        <v>21.4</v>
      </c>
      <c r="S103" s="53">
        <v>145</v>
      </c>
      <c r="T103" s="16">
        <f t="shared" si="6"/>
        <v>30</v>
      </c>
      <c r="U103" s="53">
        <v>108</v>
      </c>
      <c r="V103" s="16">
        <f t="shared" si="7"/>
        <v>3240</v>
      </c>
      <c r="W103" s="53">
        <v>8</v>
      </c>
      <c r="X103" s="53" t="s">
        <v>46</v>
      </c>
      <c r="Y103" s="53" t="s">
        <v>55</v>
      </c>
      <c r="Z103" s="53" t="s">
        <v>69</v>
      </c>
      <c r="AA103" s="53" t="s">
        <v>90</v>
      </c>
      <c r="AB103" s="53" t="s">
        <v>260</v>
      </c>
    </row>
    <row r="104" spans="1:28" x14ac:dyDescent="0.15">
      <c r="A104" s="53" t="s">
        <v>34</v>
      </c>
      <c r="B104" s="53" t="s">
        <v>256</v>
      </c>
      <c r="C104" s="53">
        <v>2019</v>
      </c>
      <c r="D104" s="171" t="s">
        <v>289</v>
      </c>
      <c r="E104" s="53" t="s">
        <v>353</v>
      </c>
      <c r="F104" s="53" t="s">
        <v>354</v>
      </c>
      <c r="G104" s="53" t="s">
        <v>36</v>
      </c>
      <c r="H104" s="53" t="s">
        <v>160</v>
      </c>
      <c r="I104" s="53" t="s">
        <v>159</v>
      </c>
      <c r="J104" s="53" t="s">
        <v>38</v>
      </c>
      <c r="K104" s="53" t="s">
        <v>161</v>
      </c>
      <c r="L104" s="53">
        <v>1</v>
      </c>
      <c r="N104" s="53">
        <v>4</v>
      </c>
      <c r="O104" s="53">
        <v>0.6</v>
      </c>
      <c r="P104" s="53">
        <v>0.6</v>
      </c>
      <c r="Q104" s="74">
        <f t="shared" si="5"/>
        <v>0.6</v>
      </c>
      <c r="R104" s="53">
        <v>17.8</v>
      </c>
      <c r="S104" s="53">
        <v>102</v>
      </c>
      <c r="T104" s="16">
        <f t="shared" si="6"/>
        <v>33</v>
      </c>
      <c r="U104" s="53">
        <v>537</v>
      </c>
      <c r="V104" s="16">
        <f t="shared" si="7"/>
        <v>4430.25</v>
      </c>
      <c r="W104" s="53">
        <v>8</v>
      </c>
      <c r="X104" s="53" t="s">
        <v>46</v>
      </c>
      <c r="Y104" s="53" t="s">
        <v>55</v>
      </c>
      <c r="Z104" s="53" t="s">
        <v>69</v>
      </c>
      <c r="AA104" s="53" t="s">
        <v>90</v>
      </c>
      <c r="AB104" s="53" t="s">
        <v>260</v>
      </c>
    </row>
    <row r="105" spans="1:28" x14ac:dyDescent="0.15">
      <c r="A105" s="53" t="s">
        <v>34</v>
      </c>
      <c r="B105" s="53" t="s">
        <v>256</v>
      </c>
      <c r="C105" s="53">
        <v>2019</v>
      </c>
      <c r="D105" s="171" t="s">
        <v>289</v>
      </c>
      <c r="E105" s="53" t="s">
        <v>353</v>
      </c>
      <c r="F105" s="53" t="s">
        <v>354</v>
      </c>
      <c r="G105" s="53" t="s">
        <v>36</v>
      </c>
      <c r="H105" s="53" t="s">
        <v>160</v>
      </c>
      <c r="I105" s="53" t="s">
        <v>159</v>
      </c>
      <c r="J105" s="53" t="s">
        <v>38</v>
      </c>
      <c r="K105" s="53" t="s">
        <v>161</v>
      </c>
      <c r="L105" s="53">
        <v>2</v>
      </c>
      <c r="N105" s="53">
        <v>4</v>
      </c>
      <c r="O105" s="53">
        <v>0.65</v>
      </c>
      <c r="P105" s="53">
        <v>0.55000000000000004</v>
      </c>
      <c r="Q105" s="74">
        <f t="shared" si="5"/>
        <v>0.60000000000000009</v>
      </c>
      <c r="R105" s="53">
        <v>17.399999999999999</v>
      </c>
      <c r="S105" s="53">
        <v>104</v>
      </c>
      <c r="T105" s="16">
        <f t="shared" si="6"/>
        <v>33</v>
      </c>
      <c r="U105" s="53">
        <v>537</v>
      </c>
      <c r="V105" s="16">
        <f t="shared" si="7"/>
        <v>4430.25</v>
      </c>
      <c r="W105" s="53">
        <v>8</v>
      </c>
      <c r="X105" s="53" t="s">
        <v>46</v>
      </c>
      <c r="Y105" s="53" t="s">
        <v>55</v>
      </c>
      <c r="Z105" s="53" t="s">
        <v>69</v>
      </c>
      <c r="AA105" s="53" t="s">
        <v>90</v>
      </c>
      <c r="AB105" s="53" t="s">
        <v>260</v>
      </c>
    </row>
    <row r="106" spans="1:28" x14ac:dyDescent="0.15">
      <c r="A106" s="53" t="s">
        <v>34</v>
      </c>
      <c r="B106" s="53" t="s">
        <v>256</v>
      </c>
      <c r="C106" s="53">
        <v>2019</v>
      </c>
      <c r="D106" s="171" t="s">
        <v>289</v>
      </c>
      <c r="E106" s="53" t="s">
        <v>353</v>
      </c>
      <c r="F106" s="53" t="s">
        <v>354</v>
      </c>
      <c r="G106" s="53" t="s">
        <v>36</v>
      </c>
      <c r="H106" s="53" t="s">
        <v>160</v>
      </c>
      <c r="I106" s="53" t="s">
        <v>159</v>
      </c>
      <c r="J106" s="53" t="s">
        <v>38</v>
      </c>
      <c r="K106" s="53" t="s">
        <v>161</v>
      </c>
      <c r="L106" s="53">
        <v>3</v>
      </c>
      <c r="N106" s="53">
        <v>4</v>
      </c>
      <c r="O106" s="53">
        <v>0.6</v>
      </c>
      <c r="P106" s="53">
        <v>0.6</v>
      </c>
      <c r="Q106" s="74">
        <f t="shared" si="5"/>
        <v>0.6</v>
      </c>
      <c r="R106" s="53">
        <v>19.600000000000001</v>
      </c>
      <c r="S106" s="53">
        <v>103</v>
      </c>
      <c r="T106" s="16">
        <f t="shared" si="6"/>
        <v>33</v>
      </c>
      <c r="U106" s="53">
        <v>537</v>
      </c>
      <c r="V106" s="16">
        <f t="shared" si="7"/>
        <v>4430.25</v>
      </c>
      <c r="W106" s="53">
        <v>8</v>
      </c>
      <c r="X106" s="53" t="s">
        <v>46</v>
      </c>
      <c r="Y106" s="53" t="s">
        <v>55</v>
      </c>
      <c r="Z106" s="53" t="s">
        <v>69</v>
      </c>
      <c r="AA106" s="53" t="s">
        <v>90</v>
      </c>
      <c r="AB106" s="53" t="s">
        <v>260</v>
      </c>
    </row>
    <row r="107" spans="1:28" x14ac:dyDescent="0.15">
      <c r="A107" s="53" t="s">
        <v>34</v>
      </c>
      <c r="B107" s="53" t="s">
        <v>256</v>
      </c>
      <c r="C107" s="53">
        <v>2019</v>
      </c>
      <c r="D107" s="171" t="s">
        <v>289</v>
      </c>
      <c r="E107" s="53" t="s">
        <v>353</v>
      </c>
      <c r="F107" s="53" t="s">
        <v>354</v>
      </c>
      <c r="G107" s="53" t="s">
        <v>36</v>
      </c>
      <c r="H107" s="53" t="s">
        <v>168</v>
      </c>
      <c r="I107" s="53" t="s">
        <v>159</v>
      </c>
      <c r="J107" s="53" t="s">
        <v>38</v>
      </c>
      <c r="K107" s="53" t="s">
        <v>161</v>
      </c>
      <c r="L107" s="53">
        <v>1</v>
      </c>
      <c r="N107" s="53">
        <v>5</v>
      </c>
      <c r="O107" s="53">
        <v>0.2</v>
      </c>
      <c r="P107" s="53">
        <v>0.2</v>
      </c>
      <c r="Q107" s="74">
        <f t="shared" si="5"/>
        <v>0.2</v>
      </c>
      <c r="R107" s="53">
        <v>20</v>
      </c>
      <c r="S107" s="53">
        <v>87</v>
      </c>
      <c r="T107" s="16">
        <f t="shared" si="6"/>
        <v>36</v>
      </c>
      <c r="U107" s="53">
        <v>321</v>
      </c>
      <c r="V107" s="16">
        <f t="shared" si="7"/>
        <v>2311.2000000000003</v>
      </c>
      <c r="W107" s="53">
        <v>2</v>
      </c>
      <c r="X107" s="53" t="s">
        <v>46</v>
      </c>
      <c r="Y107" s="53" t="s">
        <v>55</v>
      </c>
      <c r="Z107" s="53" t="s">
        <v>69</v>
      </c>
      <c r="AA107" s="53" t="s">
        <v>90</v>
      </c>
      <c r="AB107" s="53" t="s">
        <v>260</v>
      </c>
    </row>
    <row r="108" spans="1:28" x14ac:dyDescent="0.15">
      <c r="A108" s="53" t="s">
        <v>34</v>
      </c>
      <c r="B108" s="53" t="s">
        <v>256</v>
      </c>
      <c r="C108" s="53">
        <v>2019</v>
      </c>
      <c r="D108" s="171" t="s">
        <v>289</v>
      </c>
      <c r="E108" s="53" t="s">
        <v>353</v>
      </c>
      <c r="F108" s="53" t="s">
        <v>354</v>
      </c>
      <c r="G108" s="53" t="s">
        <v>36</v>
      </c>
      <c r="H108" s="53" t="s">
        <v>168</v>
      </c>
      <c r="I108" s="53" t="s">
        <v>159</v>
      </c>
      <c r="J108" s="53" t="s">
        <v>38</v>
      </c>
      <c r="K108" s="53" t="s">
        <v>161</v>
      </c>
      <c r="L108" s="53">
        <v>2</v>
      </c>
      <c r="N108" s="53">
        <v>5</v>
      </c>
      <c r="O108" s="53">
        <v>0.2</v>
      </c>
      <c r="P108" s="53">
        <v>0.2</v>
      </c>
      <c r="Q108" s="74">
        <f t="shared" si="5"/>
        <v>0.2</v>
      </c>
      <c r="R108" s="53">
        <v>20.9</v>
      </c>
      <c r="S108" s="53">
        <v>86</v>
      </c>
      <c r="T108" s="16">
        <f t="shared" si="6"/>
        <v>36</v>
      </c>
      <c r="U108" s="53">
        <v>321</v>
      </c>
      <c r="V108" s="16">
        <f t="shared" si="7"/>
        <v>2311.2000000000003</v>
      </c>
      <c r="W108" s="53">
        <v>2</v>
      </c>
      <c r="X108" s="53" t="s">
        <v>46</v>
      </c>
      <c r="Y108" s="53" t="s">
        <v>55</v>
      </c>
      <c r="Z108" s="53" t="s">
        <v>69</v>
      </c>
      <c r="AA108" s="53" t="s">
        <v>90</v>
      </c>
      <c r="AB108" s="53" t="s">
        <v>260</v>
      </c>
    </row>
    <row r="109" spans="1:28" x14ac:dyDescent="0.15">
      <c r="A109" s="53" t="s">
        <v>34</v>
      </c>
      <c r="B109" s="53" t="s">
        <v>256</v>
      </c>
      <c r="C109" s="53">
        <v>2019</v>
      </c>
      <c r="D109" s="171" t="s">
        <v>289</v>
      </c>
      <c r="E109" s="53" t="s">
        <v>353</v>
      </c>
      <c r="F109" s="53" t="s">
        <v>354</v>
      </c>
      <c r="G109" s="53" t="s">
        <v>36</v>
      </c>
      <c r="H109" s="53" t="s">
        <v>168</v>
      </c>
      <c r="I109" s="53" t="s">
        <v>159</v>
      </c>
      <c r="J109" s="53" t="s">
        <v>38</v>
      </c>
      <c r="K109" s="53" t="s">
        <v>161</v>
      </c>
      <c r="L109" s="53">
        <v>3</v>
      </c>
      <c r="N109" s="53">
        <v>5</v>
      </c>
      <c r="O109" s="53">
        <v>0.2</v>
      </c>
      <c r="P109" s="53">
        <v>0.2</v>
      </c>
      <c r="Q109" s="74">
        <f t="shared" si="5"/>
        <v>0.2</v>
      </c>
      <c r="R109" s="53">
        <v>20.2</v>
      </c>
      <c r="S109" s="53">
        <v>82</v>
      </c>
      <c r="T109" s="16">
        <f t="shared" si="6"/>
        <v>39</v>
      </c>
      <c r="U109" s="53">
        <v>321</v>
      </c>
      <c r="V109" s="16">
        <f t="shared" si="7"/>
        <v>2503.8000000000002</v>
      </c>
      <c r="W109" s="53">
        <v>2</v>
      </c>
      <c r="X109" s="53" t="s">
        <v>46</v>
      </c>
      <c r="Y109" s="53" t="s">
        <v>55</v>
      </c>
      <c r="Z109" s="53" t="s">
        <v>69</v>
      </c>
      <c r="AA109" s="53" t="s">
        <v>90</v>
      </c>
      <c r="AB109" s="53" t="s">
        <v>260</v>
      </c>
    </row>
    <row r="110" spans="1:28" x14ac:dyDescent="0.15">
      <c r="A110" s="53" t="s">
        <v>34</v>
      </c>
      <c r="B110" s="53" t="s">
        <v>256</v>
      </c>
      <c r="C110" s="53">
        <v>2019</v>
      </c>
      <c r="D110" s="171" t="s">
        <v>289</v>
      </c>
      <c r="E110" s="53" t="s">
        <v>355</v>
      </c>
      <c r="F110" s="53" t="s">
        <v>356</v>
      </c>
      <c r="G110" s="53" t="s">
        <v>36</v>
      </c>
      <c r="H110" s="53" t="s">
        <v>164</v>
      </c>
      <c r="I110" s="53" t="s">
        <v>159</v>
      </c>
      <c r="J110" s="53" t="s">
        <v>38</v>
      </c>
      <c r="K110" s="53" t="s">
        <v>161</v>
      </c>
      <c r="L110" s="53">
        <v>1</v>
      </c>
      <c r="N110" s="53">
        <v>1</v>
      </c>
      <c r="O110" s="53">
        <v>0.2</v>
      </c>
      <c r="P110" s="53">
        <v>0.2</v>
      </c>
      <c r="Q110" s="74">
        <f t="shared" si="5"/>
        <v>0.2</v>
      </c>
      <c r="R110" s="53">
        <v>17.600000000000001</v>
      </c>
      <c r="S110" s="53">
        <v>109</v>
      </c>
      <c r="T110" s="16">
        <f t="shared" si="6"/>
        <v>33</v>
      </c>
      <c r="U110" s="53">
        <v>73</v>
      </c>
      <c r="V110" s="16">
        <f t="shared" si="7"/>
        <v>2409</v>
      </c>
      <c r="W110" s="53">
        <v>8</v>
      </c>
      <c r="X110" s="53" t="s">
        <v>46</v>
      </c>
      <c r="Y110" s="53" t="s">
        <v>55</v>
      </c>
      <c r="Z110" s="53" t="s">
        <v>69</v>
      </c>
      <c r="AA110" s="53" t="s">
        <v>47</v>
      </c>
      <c r="AB110" s="53" t="s">
        <v>260</v>
      </c>
    </row>
    <row r="111" spans="1:28" x14ac:dyDescent="0.15">
      <c r="A111" s="53" t="s">
        <v>34</v>
      </c>
      <c r="B111" s="53" t="s">
        <v>256</v>
      </c>
      <c r="C111" s="53">
        <v>2019</v>
      </c>
      <c r="D111" s="171" t="s">
        <v>289</v>
      </c>
      <c r="E111" s="53" t="s">
        <v>355</v>
      </c>
      <c r="F111" s="53" t="s">
        <v>356</v>
      </c>
      <c r="G111" s="53" t="s">
        <v>36</v>
      </c>
      <c r="H111" s="53" t="s">
        <v>164</v>
      </c>
      <c r="I111" s="53" t="s">
        <v>159</v>
      </c>
      <c r="J111" s="53" t="s">
        <v>38</v>
      </c>
      <c r="K111" s="53" t="s">
        <v>161</v>
      </c>
      <c r="L111" s="53">
        <v>2</v>
      </c>
      <c r="N111" s="53">
        <v>1</v>
      </c>
      <c r="O111" s="53">
        <v>0.45</v>
      </c>
      <c r="P111" s="53">
        <v>0.5</v>
      </c>
      <c r="Q111" s="74">
        <f t="shared" si="5"/>
        <v>0.47499999999999998</v>
      </c>
      <c r="R111" s="53">
        <v>15.3</v>
      </c>
      <c r="S111" s="53">
        <v>106</v>
      </c>
      <c r="T111" s="16">
        <f t="shared" si="6"/>
        <v>33</v>
      </c>
      <c r="U111" s="53">
        <v>73</v>
      </c>
      <c r="V111" s="16">
        <f t="shared" si="7"/>
        <v>2409</v>
      </c>
      <c r="W111" s="53">
        <v>8</v>
      </c>
      <c r="X111" s="53" t="s">
        <v>46</v>
      </c>
      <c r="Y111" s="53" t="s">
        <v>55</v>
      </c>
      <c r="Z111" s="53" t="s">
        <v>69</v>
      </c>
      <c r="AA111" s="53" t="s">
        <v>47</v>
      </c>
      <c r="AB111" s="53" t="s">
        <v>260</v>
      </c>
    </row>
    <row r="112" spans="1:28" x14ac:dyDescent="0.15">
      <c r="A112" s="53" t="s">
        <v>34</v>
      </c>
      <c r="B112" s="53" t="s">
        <v>256</v>
      </c>
      <c r="C112" s="53">
        <v>2019</v>
      </c>
      <c r="D112" s="171" t="s">
        <v>289</v>
      </c>
      <c r="E112" s="53" t="s">
        <v>355</v>
      </c>
      <c r="F112" s="53" t="s">
        <v>356</v>
      </c>
      <c r="G112" s="53" t="s">
        <v>36</v>
      </c>
      <c r="H112" s="53" t="s">
        <v>164</v>
      </c>
      <c r="I112" s="53" t="s">
        <v>159</v>
      </c>
      <c r="J112" s="53" t="s">
        <v>38</v>
      </c>
      <c r="K112" s="53" t="s">
        <v>161</v>
      </c>
      <c r="L112" s="53">
        <v>3</v>
      </c>
      <c r="N112" s="53">
        <v>1</v>
      </c>
      <c r="O112" s="53">
        <v>0.75</v>
      </c>
      <c r="P112" s="53">
        <v>0.7</v>
      </c>
      <c r="Q112" s="74">
        <f t="shared" si="5"/>
        <v>0.72499999999999998</v>
      </c>
      <c r="R112" s="53">
        <v>17.2</v>
      </c>
      <c r="S112" s="53">
        <v>117</v>
      </c>
      <c r="T112" s="16">
        <f t="shared" si="6"/>
        <v>30</v>
      </c>
      <c r="U112" s="53">
        <v>73</v>
      </c>
      <c r="V112" s="16">
        <f t="shared" si="7"/>
        <v>2190</v>
      </c>
      <c r="W112" s="53">
        <v>8</v>
      </c>
      <c r="X112" s="53" t="s">
        <v>46</v>
      </c>
      <c r="Y112" s="53" t="s">
        <v>55</v>
      </c>
      <c r="Z112" s="53" t="s">
        <v>69</v>
      </c>
      <c r="AA112" s="53" t="s">
        <v>47</v>
      </c>
      <c r="AB112" s="53" t="s">
        <v>260</v>
      </c>
    </row>
    <row r="113" spans="1:28" x14ac:dyDescent="0.15">
      <c r="A113" s="53" t="s">
        <v>34</v>
      </c>
      <c r="B113" s="53" t="s">
        <v>256</v>
      </c>
      <c r="C113" s="53">
        <v>2019</v>
      </c>
      <c r="D113" s="171" t="s">
        <v>289</v>
      </c>
      <c r="E113" s="53" t="s">
        <v>355</v>
      </c>
      <c r="F113" s="53" t="s">
        <v>356</v>
      </c>
      <c r="G113" s="53" t="s">
        <v>36</v>
      </c>
      <c r="H113" s="53" t="s">
        <v>164</v>
      </c>
      <c r="I113" s="53" t="s">
        <v>159</v>
      </c>
      <c r="J113" s="53" t="s">
        <v>38</v>
      </c>
      <c r="K113" s="53" t="s">
        <v>161</v>
      </c>
      <c r="L113" s="53">
        <v>1</v>
      </c>
      <c r="N113" s="53">
        <v>8</v>
      </c>
      <c r="O113" s="53">
        <v>0.6</v>
      </c>
      <c r="P113" s="53">
        <v>0.6</v>
      </c>
      <c r="Q113" s="16">
        <f t="shared" si="5"/>
        <v>0.6</v>
      </c>
      <c r="R113" s="53">
        <v>17.8</v>
      </c>
      <c r="S113" s="53">
        <v>87</v>
      </c>
      <c r="T113" s="16">
        <f t="shared" si="6"/>
        <v>36</v>
      </c>
      <c r="U113" s="53">
        <v>645</v>
      </c>
      <c r="V113" s="16">
        <f t="shared" si="7"/>
        <v>2902.5</v>
      </c>
      <c r="W113" s="53">
        <v>8</v>
      </c>
      <c r="X113" s="53" t="s">
        <v>46</v>
      </c>
      <c r="Y113" s="53" t="s">
        <v>55</v>
      </c>
      <c r="Z113" s="53" t="s">
        <v>69</v>
      </c>
      <c r="AA113" s="53" t="s">
        <v>47</v>
      </c>
      <c r="AB113" s="53" t="s">
        <v>260</v>
      </c>
    </row>
    <row r="114" spans="1:28" x14ac:dyDescent="0.15">
      <c r="A114" s="53" t="s">
        <v>34</v>
      </c>
      <c r="B114" s="53" t="s">
        <v>256</v>
      </c>
      <c r="C114" s="53">
        <v>2019</v>
      </c>
      <c r="D114" s="171" t="s">
        <v>289</v>
      </c>
      <c r="E114" s="53" t="s">
        <v>355</v>
      </c>
      <c r="F114" s="53" t="s">
        <v>356</v>
      </c>
      <c r="G114" s="53" t="s">
        <v>36</v>
      </c>
      <c r="H114" s="53" t="s">
        <v>164</v>
      </c>
      <c r="I114" s="53" t="s">
        <v>159</v>
      </c>
      <c r="J114" s="53" t="s">
        <v>38</v>
      </c>
      <c r="K114" s="53" t="s">
        <v>161</v>
      </c>
      <c r="L114" s="53">
        <v>2</v>
      </c>
      <c r="N114" s="53">
        <v>8</v>
      </c>
      <c r="O114" s="53">
        <v>0.75</v>
      </c>
      <c r="P114" s="53">
        <v>0.8</v>
      </c>
      <c r="Q114" s="16">
        <f t="shared" si="5"/>
        <v>0.77500000000000002</v>
      </c>
      <c r="R114" s="53">
        <v>17</v>
      </c>
      <c r="S114" s="53">
        <v>90</v>
      </c>
      <c r="T114" s="16">
        <f t="shared" si="6"/>
        <v>36</v>
      </c>
      <c r="U114" s="53">
        <v>645</v>
      </c>
      <c r="V114" s="16">
        <f t="shared" si="7"/>
        <v>2902.5</v>
      </c>
      <c r="W114" s="53">
        <v>8</v>
      </c>
      <c r="X114" s="53" t="s">
        <v>46</v>
      </c>
      <c r="Y114" s="53" t="s">
        <v>55</v>
      </c>
      <c r="Z114" s="53" t="s">
        <v>69</v>
      </c>
      <c r="AA114" s="53" t="s">
        <v>47</v>
      </c>
      <c r="AB114" s="53" t="s">
        <v>260</v>
      </c>
    </row>
    <row r="115" spans="1:28" x14ac:dyDescent="0.15">
      <c r="A115" s="53" t="s">
        <v>34</v>
      </c>
      <c r="B115" s="53" t="s">
        <v>256</v>
      </c>
      <c r="C115" s="53">
        <v>2019</v>
      </c>
      <c r="D115" s="171" t="s">
        <v>289</v>
      </c>
      <c r="E115" s="53" t="s">
        <v>355</v>
      </c>
      <c r="F115" s="53" t="s">
        <v>356</v>
      </c>
      <c r="G115" s="53" t="s">
        <v>36</v>
      </c>
      <c r="H115" s="53" t="s">
        <v>164</v>
      </c>
      <c r="I115" s="53" t="s">
        <v>159</v>
      </c>
      <c r="J115" s="53" t="s">
        <v>38</v>
      </c>
      <c r="K115" s="53" t="s">
        <v>161</v>
      </c>
      <c r="L115" s="53">
        <v>3</v>
      </c>
      <c r="N115" s="53">
        <v>8</v>
      </c>
      <c r="O115" s="53">
        <v>0.7</v>
      </c>
      <c r="P115" s="53">
        <v>0.7</v>
      </c>
      <c r="Q115" s="16">
        <f t="shared" si="5"/>
        <v>0.7</v>
      </c>
      <c r="R115" s="53">
        <v>17.600000000000001</v>
      </c>
      <c r="S115" s="53">
        <v>89</v>
      </c>
      <c r="T115" s="16">
        <f t="shared" si="6"/>
        <v>36</v>
      </c>
      <c r="U115" s="53">
        <v>645</v>
      </c>
      <c r="V115" s="16">
        <f t="shared" si="7"/>
        <v>2902.5</v>
      </c>
      <c r="W115" s="53">
        <v>8</v>
      </c>
      <c r="X115" s="53" t="s">
        <v>46</v>
      </c>
      <c r="Y115" s="53" t="s">
        <v>55</v>
      </c>
      <c r="Z115" s="53" t="s">
        <v>69</v>
      </c>
      <c r="AA115" s="53" t="s">
        <v>47</v>
      </c>
      <c r="AB115" s="53" t="s">
        <v>260</v>
      </c>
    </row>
    <row r="116" spans="1:28" x14ac:dyDescent="0.15">
      <c r="A116" s="53" t="s">
        <v>34</v>
      </c>
      <c r="B116" s="53" t="s">
        <v>256</v>
      </c>
      <c r="C116" s="53">
        <v>2019</v>
      </c>
      <c r="D116" s="171" t="s">
        <v>289</v>
      </c>
      <c r="E116" s="53" t="s">
        <v>355</v>
      </c>
      <c r="F116" s="53" t="s">
        <v>356</v>
      </c>
      <c r="G116" s="53" t="s">
        <v>36</v>
      </c>
      <c r="H116" s="53" t="s">
        <v>164</v>
      </c>
      <c r="I116" s="53" t="s">
        <v>165</v>
      </c>
      <c r="J116" s="53" t="s">
        <v>38</v>
      </c>
      <c r="K116" s="53" t="s">
        <v>161</v>
      </c>
      <c r="L116" s="53">
        <v>1</v>
      </c>
      <c r="N116" s="53">
        <v>4</v>
      </c>
      <c r="O116" s="53">
        <v>0.2</v>
      </c>
      <c r="P116" s="53">
        <v>0.6</v>
      </c>
      <c r="Q116" s="16">
        <f t="shared" si="5"/>
        <v>0.4</v>
      </c>
      <c r="R116" s="53">
        <v>17.399999999999999</v>
      </c>
      <c r="S116" s="53">
        <v>104</v>
      </c>
      <c r="T116" s="16">
        <f t="shared" si="6"/>
        <v>33</v>
      </c>
      <c r="U116" s="53">
        <v>429</v>
      </c>
      <c r="V116" s="16">
        <f t="shared" si="7"/>
        <v>3539.25</v>
      </c>
      <c r="W116" s="53">
        <v>8</v>
      </c>
      <c r="X116" s="53" t="s">
        <v>46</v>
      </c>
      <c r="Y116" s="53" t="s">
        <v>55</v>
      </c>
      <c r="Z116" s="53" t="s">
        <v>69</v>
      </c>
      <c r="AA116" s="53" t="s">
        <v>47</v>
      </c>
      <c r="AB116" s="53" t="s">
        <v>260</v>
      </c>
    </row>
    <row r="117" spans="1:28" x14ac:dyDescent="0.15">
      <c r="A117" s="53" t="s">
        <v>34</v>
      </c>
      <c r="B117" s="53" t="s">
        <v>256</v>
      </c>
      <c r="C117" s="53">
        <v>2019</v>
      </c>
      <c r="D117" s="171" t="s">
        <v>289</v>
      </c>
      <c r="E117" s="53" t="s">
        <v>355</v>
      </c>
      <c r="F117" s="53" t="s">
        <v>356</v>
      </c>
      <c r="G117" s="53" t="s">
        <v>36</v>
      </c>
      <c r="H117" s="53" t="s">
        <v>164</v>
      </c>
      <c r="I117" s="53" t="s">
        <v>165</v>
      </c>
      <c r="J117" s="53" t="s">
        <v>38</v>
      </c>
      <c r="K117" s="53" t="s">
        <v>161</v>
      </c>
      <c r="L117" s="53">
        <v>2</v>
      </c>
      <c r="N117" s="53">
        <v>4</v>
      </c>
      <c r="O117" s="53">
        <v>0.75</v>
      </c>
      <c r="P117" s="53">
        <v>0.6</v>
      </c>
      <c r="Q117" s="16">
        <f t="shared" si="5"/>
        <v>0.67500000000000004</v>
      </c>
      <c r="R117" s="53">
        <v>17.2</v>
      </c>
      <c r="S117" s="53">
        <v>105</v>
      </c>
      <c r="T117" s="16">
        <f t="shared" si="6"/>
        <v>33</v>
      </c>
      <c r="U117" s="53">
        <v>429</v>
      </c>
      <c r="V117" s="16">
        <f t="shared" si="7"/>
        <v>3539.25</v>
      </c>
      <c r="W117" s="53">
        <v>8</v>
      </c>
      <c r="X117" s="53" t="s">
        <v>46</v>
      </c>
      <c r="Y117" s="53" t="s">
        <v>55</v>
      </c>
      <c r="Z117" s="53" t="s">
        <v>69</v>
      </c>
      <c r="AA117" s="53" t="s">
        <v>47</v>
      </c>
      <c r="AB117" s="53" t="s">
        <v>260</v>
      </c>
    </row>
    <row r="118" spans="1:28" x14ac:dyDescent="0.15">
      <c r="A118" s="53" t="s">
        <v>34</v>
      </c>
      <c r="B118" s="53" t="s">
        <v>256</v>
      </c>
      <c r="C118" s="53">
        <v>2019</v>
      </c>
      <c r="D118" s="171" t="s">
        <v>289</v>
      </c>
      <c r="E118" s="53" t="s">
        <v>355</v>
      </c>
      <c r="F118" s="53" t="s">
        <v>356</v>
      </c>
      <c r="G118" s="53" t="s">
        <v>36</v>
      </c>
      <c r="H118" s="53" t="s">
        <v>164</v>
      </c>
      <c r="I118" s="53" t="s">
        <v>165</v>
      </c>
      <c r="J118" s="53" t="s">
        <v>38</v>
      </c>
      <c r="K118" s="53" t="s">
        <v>161</v>
      </c>
      <c r="L118" s="53">
        <v>3</v>
      </c>
      <c r="N118" s="53">
        <v>4</v>
      </c>
      <c r="O118" s="53">
        <v>0.55000000000000004</v>
      </c>
      <c r="P118" s="53">
        <v>0.55000000000000004</v>
      </c>
      <c r="Q118" s="16">
        <f t="shared" si="5"/>
        <v>0.55000000000000004</v>
      </c>
      <c r="R118" s="53">
        <v>17</v>
      </c>
      <c r="S118" s="53">
        <v>105</v>
      </c>
      <c r="T118" s="16">
        <f t="shared" si="6"/>
        <v>33</v>
      </c>
      <c r="U118" s="53">
        <v>429</v>
      </c>
      <c r="V118" s="16">
        <f t="shared" si="7"/>
        <v>3539.25</v>
      </c>
      <c r="W118" s="53">
        <v>8</v>
      </c>
      <c r="X118" s="53" t="s">
        <v>46</v>
      </c>
      <c r="Y118" s="53" t="s">
        <v>55</v>
      </c>
      <c r="Z118" s="53" t="s">
        <v>69</v>
      </c>
      <c r="AA118" s="53" t="s">
        <v>47</v>
      </c>
      <c r="AB118" s="53" t="s">
        <v>260</v>
      </c>
    </row>
    <row r="119" spans="1:28" x14ac:dyDescent="0.15">
      <c r="A119" s="53" t="s">
        <v>34</v>
      </c>
      <c r="B119" s="53" t="s">
        <v>256</v>
      </c>
      <c r="C119" s="53">
        <v>2019</v>
      </c>
      <c r="D119" s="171" t="s">
        <v>289</v>
      </c>
      <c r="E119" s="53" t="s">
        <v>355</v>
      </c>
      <c r="F119" s="53" t="s">
        <v>356</v>
      </c>
      <c r="G119" s="53" t="s">
        <v>36</v>
      </c>
      <c r="H119" s="53" t="s">
        <v>168</v>
      </c>
      <c r="I119" s="53" t="s">
        <v>159</v>
      </c>
      <c r="J119" s="53" t="s">
        <v>38</v>
      </c>
      <c r="K119" s="53" t="s">
        <v>161</v>
      </c>
      <c r="L119" s="53">
        <v>1</v>
      </c>
      <c r="N119" s="53">
        <v>6</v>
      </c>
      <c r="O119" s="53">
        <v>0.2</v>
      </c>
      <c r="P119" s="53">
        <v>0.2</v>
      </c>
      <c r="Q119" s="16">
        <f t="shared" si="5"/>
        <v>0.2</v>
      </c>
      <c r="R119" s="53">
        <v>18.2</v>
      </c>
      <c r="S119" s="53">
        <v>76</v>
      </c>
      <c r="T119" s="16">
        <f t="shared" si="6"/>
        <v>39</v>
      </c>
      <c r="U119" s="53">
        <v>429</v>
      </c>
      <c r="V119" s="16">
        <f t="shared" si="7"/>
        <v>2788.5</v>
      </c>
      <c r="W119" s="53">
        <v>1</v>
      </c>
      <c r="X119" s="53" t="s">
        <v>46</v>
      </c>
      <c r="Y119" s="53" t="s">
        <v>55</v>
      </c>
      <c r="Z119" s="53" t="s">
        <v>69</v>
      </c>
      <c r="AA119" s="53" t="s">
        <v>47</v>
      </c>
      <c r="AB119" s="53" t="s">
        <v>260</v>
      </c>
    </row>
    <row r="120" spans="1:28" x14ac:dyDescent="0.15">
      <c r="A120" s="53" t="s">
        <v>34</v>
      </c>
      <c r="B120" s="53" t="s">
        <v>256</v>
      </c>
      <c r="C120" s="53">
        <v>2019</v>
      </c>
      <c r="D120" s="171" t="s">
        <v>289</v>
      </c>
      <c r="E120" s="53" t="s">
        <v>355</v>
      </c>
      <c r="F120" s="53" t="s">
        <v>356</v>
      </c>
      <c r="G120" s="53" t="s">
        <v>36</v>
      </c>
      <c r="H120" s="53" t="s">
        <v>168</v>
      </c>
      <c r="I120" s="53" t="s">
        <v>159</v>
      </c>
      <c r="J120" s="53" t="s">
        <v>38</v>
      </c>
      <c r="K120" s="53" t="s">
        <v>161</v>
      </c>
      <c r="L120" s="53">
        <v>2</v>
      </c>
      <c r="N120" s="53">
        <v>6</v>
      </c>
      <c r="O120" s="53">
        <v>0.2</v>
      </c>
      <c r="P120" s="53">
        <v>0.2</v>
      </c>
      <c r="Q120" s="16">
        <f t="shared" si="5"/>
        <v>0.2</v>
      </c>
      <c r="R120" s="53">
        <v>19</v>
      </c>
      <c r="S120" s="53">
        <v>77</v>
      </c>
      <c r="T120" s="16">
        <f t="shared" si="6"/>
        <v>39</v>
      </c>
      <c r="U120" s="53">
        <v>429</v>
      </c>
      <c r="V120" s="16">
        <f t="shared" si="7"/>
        <v>2788.5</v>
      </c>
      <c r="W120" s="53">
        <v>1</v>
      </c>
      <c r="X120" s="53" t="s">
        <v>46</v>
      </c>
      <c r="Y120" s="53" t="s">
        <v>55</v>
      </c>
      <c r="Z120" s="53" t="s">
        <v>69</v>
      </c>
      <c r="AA120" s="53" t="s">
        <v>47</v>
      </c>
      <c r="AB120" s="53" t="s">
        <v>260</v>
      </c>
    </row>
    <row r="121" spans="1:28" x14ac:dyDescent="0.15">
      <c r="A121" s="53" t="s">
        <v>34</v>
      </c>
      <c r="B121" s="53" t="s">
        <v>256</v>
      </c>
      <c r="C121" s="53">
        <v>2019</v>
      </c>
      <c r="D121" s="171" t="s">
        <v>289</v>
      </c>
      <c r="E121" s="53" t="s">
        <v>355</v>
      </c>
      <c r="F121" s="53" t="s">
        <v>356</v>
      </c>
      <c r="G121" s="53" t="s">
        <v>36</v>
      </c>
      <c r="H121" s="53" t="s">
        <v>168</v>
      </c>
      <c r="I121" s="53" t="s">
        <v>159</v>
      </c>
      <c r="J121" s="53" t="s">
        <v>38</v>
      </c>
      <c r="K121" s="53" t="s">
        <v>161</v>
      </c>
      <c r="L121" s="53">
        <v>3</v>
      </c>
      <c r="N121" s="53">
        <v>6</v>
      </c>
      <c r="O121" s="53">
        <v>0.2</v>
      </c>
      <c r="P121" s="53">
        <v>0.2</v>
      </c>
      <c r="Q121" s="16">
        <f t="shared" si="5"/>
        <v>0.2</v>
      </c>
      <c r="R121" s="53">
        <v>17.899999999999999</v>
      </c>
      <c r="S121" s="53">
        <v>73</v>
      </c>
      <c r="T121" s="16">
        <f t="shared" si="6"/>
        <v>42</v>
      </c>
      <c r="U121" s="53">
        <v>429</v>
      </c>
      <c r="V121" s="16">
        <f t="shared" si="7"/>
        <v>3003</v>
      </c>
      <c r="W121" s="53">
        <v>1</v>
      </c>
      <c r="X121" s="53" t="s">
        <v>46</v>
      </c>
      <c r="Y121" s="53" t="s">
        <v>55</v>
      </c>
      <c r="Z121" s="53" t="s">
        <v>69</v>
      </c>
      <c r="AA121" s="53" t="s">
        <v>47</v>
      </c>
      <c r="AB121" s="53" t="s">
        <v>260</v>
      </c>
    </row>
    <row r="122" spans="1:28" x14ac:dyDescent="0.15">
      <c r="A122" s="53" t="s">
        <v>34</v>
      </c>
      <c r="B122" s="53" t="s">
        <v>256</v>
      </c>
      <c r="C122" s="53">
        <v>2019</v>
      </c>
      <c r="D122" s="171" t="s">
        <v>289</v>
      </c>
      <c r="E122" s="53" t="s">
        <v>355</v>
      </c>
      <c r="F122" s="53" t="s">
        <v>356</v>
      </c>
      <c r="G122" s="53" t="s">
        <v>36</v>
      </c>
      <c r="H122" s="53" t="s">
        <v>160</v>
      </c>
      <c r="I122" s="53" t="s">
        <v>159</v>
      </c>
      <c r="J122" s="53" t="s">
        <v>38</v>
      </c>
      <c r="K122" s="53" t="s">
        <v>161</v>
      </c>
      <c r="L122" s="53">
        <v>1</v>
      </c>
      <c r="N122" s="53">
        <v>1</v>
      </c>
      <c r="O122" s="53">
        <v>0.75</v>
      </c>
      <c r="P122" s="53">
        <v>0.7</v>
      </c>
      <c r="Q122" s="16">
        <f t="shared" si="5"/>
        <v>0.72499999999999998</v>
      </c>
      <c r="R122" s="53">
        <v>17.3</v>
      </c>
      <c r="S122" s="53">
        <v>105</v>
      </c>
      <c r="T122" s="16">
        <f t="shared" si="6"/>
        <v>33</v>
      </c>
      <c r="U122" s="53">
        <v>73</v>
      </c>
      <c r="V122" s="16">
        <f t="shared" si="7"/>
        <v>2409</v>
      </c>
      <c r="W122" s="53">
        <v>7</v>
      </c>
      <c r="X122" s="53" t="s">
        <v>46</v>
      </c>
      <c r="Y122" s="53" t="s">
        <v>55</v>
      </c>
      <c r="Z122" s="53" t="s">
        <v>69</v>
      </c>
      <c r="AA122" s="53" t="s">
        <v>47</v>
      </c>
      <c r="AB122" s="53" t="s">
        <v>260</v>
      </c>
    </row>
    <row r="123" spans="1:28" x14ac:dyDescent="0.15">
      <c r="A123" s="53" t="s">
        <v>34</v>
      </c>
      <c r="B123" s="53" t="s">
        <v>256</v>
      </c>
      <c r="C123" s="53">
        <v>2019</v>
      </c>
      <c r="D123" s="171" t="s">
        <v>289</v>
      </c>
      <c r="E123" s="53" t="s">
        <v>355</v>
      </c>
      <c r="F123" s="53" t="s">
        <v>356</v>
      </c>
      <c r="G123" s="53" t="s">
        <v>36</v>
      </c>
      <c r="H123" s="53" t="s">
        <v>160</v>
      </c>
      <c r="I123" s="53" t="s">
        <v>159</v>
      </c>
      <c r="J123" s="53" t="s">
        <v>38</v>
      </c>
      <c r="K123" s="53" t="s">
        <v>161</v>
      </c>
      <c r="L123" s="53">
        <v>2</v>
      </c>
      <c r="N123" s="53">
        <v>1</v>
      </c>
      <c r="O123" s="53">
        <v>0.75</v>
      </c>
      <c r="P123" s="53">
        <v>0.7</v>
      </c>
      <c r="Q123" s="16">
        <f t="shared" si="5"/>
        <v>0.72499999999999998</v>
      </c>
      <c r="R123" s="53">
        <v>13.5</v>
      </c>
      <c r="S123" s="53">
        <v>96</v>
      </c>
      <c r="T123" s="16">
        <f t="shared" si="6"/>
        <v>36</v>
      </c>
      <c r="U123" s="53">
        <v>73</v>
      </c>
      <c r="V123" s="16">
        <f t="shared" si="7"/>
        <v>2628</v>
      </c>
      <c r="W123" s="53">
        <v>7</v>
      </c>
      <c r="X123" s="53" t="s">
        <v>46</v>
      </c>
      <c r="Y123" s="53" t="s">
        <v>55</v>
      </c>
      <c r="Z123" s="53" t="s">
        <v>69</v>
      </c>
      <c r="AA123" s="53" t="s">
        <v>47</v>
      </c>
      <c r="AB123" s="53" t="s">
        <v>260</v>
      </c>
    </row>
    <row r="124" spans="1:28" x14ac:dyDescent="0.15">
      <c r="A124" s="53" t="s">
        <v>34</v>
      </c>
      <c r="B124" s="53" t="s">
        <v>256</v>
      </c>
      <c r="C124" s="53">
        <v>2019</v>
      </c>
      <c r="D124" s="171" t="s">
        <v>289</v>
      </c>
      <c r="E124" s="53" t="s">
        <v>355</v>
      </c>
      <c r="F124" s="53" t="s">
        <v>356</v>
      </c>
      <c r="G124" s="53" t="s">
        <v>36</v>
      </c>
      <c r="H124" s="53" t="s">
        <v>160</v>
      </c>
      <c r="I124" s="53" t="s">
        <v>159</v>
      </c>
      <c r="J124" s="53" t="s">
        <v>38</v>
      </c>
      <c r="K124" s="53" t="s">
        <v>161</v>
      </c>
      <c r="L124" s="53">
        <v>3</v>
      </c>
      <c r="N124" s="53">
        <v>1</v>
      </c>
      <c r="O124" s="53">
        <v>0.85</v>
      </c>
      <c r="P124" s="53">
        <v>0.75</v>
      </c>
      <c r="Q124" s="16">
        <f t="shared" si="5"/>
        <v>0.8</v>
      </c>
      <c r="R124" s="53">
        <v>16.8</v>
      </c>
      <c r="S124" s="53">
        <v>102</v>
      </c>
      <c r="T124" s="16">
        <f t="shared" si="6"/>
        <v>33</v>
      </c>
      <c r="U124" s="53">
        <v>73</v>
      </c>
      <c r="V124" s="16">
        <f t="shared" si="7"/>
        <v>2409</v>
      </c>
      <c r="W124" s="53">
        <v>7</v>
      </c>
      <c r="X124" s="53" t="s">
        <v>46</v>
      </c>
      <c r="Y124" s="53" t="s">
        <v>55</v>
      </c>
      <c r="Z124" s="53" t="s">
        <v>69</v>
      </c>
      <c r="AA124" s="53" t="s">
        <v>47</v>
      </c>
      <c r="AB124" s="53" t="s">
        <v>260</v>
      </c>
    </row>
    <row r="125" spans="1:28" x14ac:dyDescent="0.15">
      <c r="A125" s="53" t="s">
        <v>34</v>
      </c>
      <c r="B125" s="53" t="s">
        <v>256</v>
      </c>
      <c r="C125" s="53">
        <v>2019</v>
      </c>
      <c r="D125" s="171" t="s">
        <v>289</v>
      </c>
      <c r="E125" s="53" t="s">
        <v>355</v>
      </c>
      <c r="F125" s="53" t="s">
        <v>356</v>
      </c>
      <c r="G125" s="53" t="s">
        <v>36</v>
      </c>
      <c r="H125" s="53" t="s">
        <v>160</v>
      </c>
      <c r="I125" s="53" t="s">
        <v>159</v>
      </c>
      <c r="J125" s="53" t="s">
        <v>38</v>
      </c>
      <c r="K125" s="53" t="s">
        <v>161</v>
      </c>
      <c r="L125" s="53">
        <v>1</v>
      </c>
      <c r="N125" s="53">
        <v>8</v>
      </c>
      <c r="O125" s="53">
        <v>0.75</v>
      </c>
      <c r="P125" s="53">
        <v>0.7</v>
      </c>
      <c r="Q125" s="16">
        <f t="shared" si="5"/>
        <v>0.72499999999999998</v>
      </c>
      <c r="R125" s="53">
        <v>18.899999999999999</v>
      </c>
      <c r="S125" s="53">
        <v>101</v>
      </c>
      <c r="T125" s="16">
        <f t="shared" si="6"/>
        <v>33</v>
      </c>
      <c r="U125" s="53">
        <v>753</v>
      </c>
      <c r="V125" s="16">
        <f t="shared" si="7"/>
        <v>3106.125</v>
      </c>
      <c r="W125" s="53">
        <v>7</v>
      </c>
      <c r="X125" s="53" t="s">
        <v>46</v>
      </c>
      <c r="Y125" s="53" t="s">
        <v>55</v>
      </c>
      <c r="Z125" s="53" t="s">
        <v>69</v>
      </c>
      <c r="AA125" s="53" t="s">
        <v>47</v>
      </c>
      <c r="AB125" s="53" t="s">
        <v>260</v>
      </c>
    </row>
    <row r="126" spans="1:28" x14ac:dyDescent="0.15">
      <c r="A126" s="53" t="s">
        <v>34</v>
      </c>
      <c r="B126" s="53" t="s">
        <v>256</v>
      </c>
      <c r="C126" s="53">
        <v>2019</v>
      </c>
      <c r="D126" s="171" t="s">
        <v>289</v>
      </c>
      <c r="E126" s="53" t="s">
        <v>355</v>
      </c>
      <c r="F126" s="53" t="s">
        <v>356</v>
      </c>
      <c r="G126" s="53" t="s">
        <v>36</v>
      </c>
      <c r="H126" s="53" t="s">
        <v>160</v>
      </c>
      <c r="I126" s="53" t="s">
        <v>159</v>
      </c>
      <c r="J126" s="53" t="s">
        <v>38</v>
      </c>
      <c r="K126" s="53" t="s">
        <v>161</v>
      </c>
      <c r="L126" s="53">
        <v>2</v>
      </c>
      <c r="N126" s="53">
        <v>8</v>
      </c>
      <c r="O126" s="53">
        <v>0.6</v>
      </c>
      <c r="P126" s="53">
        <v>0.55000000000000004</v>
      </c>
      <c r="Q126" s="16">
        <f t="shared" si="5"/>
        <v>0.57499999999999996</v>
      </c>
      <c r="R126" s="53">
        <v>20.6</v>
      </c>
      <c r="S126" s="53">
        <v>98</v>
      </c>
      <c r="T126" s="16">
        <f t="shared" si="6"/>
        <v>36</v>
      </c>
      <c r="U126" s="53">
        <v>753</v>
      </c>
      <c r="V126" s="16">
        <f t="shared" si="7"/>
        <v>3388.5</v>
      </c>
      <c r="W126" s="53">
        <v>7</v>
      </c>
      <c r="X126" s="53" t="s">
        <v>46</v>
      </c>
      <c r="Y126" s="53" t="s">
        <v>55</v>
      </c>
      <c r="Z126" s="53" t="s">
        <v>69</v>
      </c>
      <c r="AA126" s="53" t="s">
        <v>47</v>
      </c>
      <c r="AB126" s="53" t="s">
        <v>260</v>
      </c>
    </row>
    <row r="127" spans="1:28" x14ac:dyDescent="0.15">
      <c r="A127" s="53" t="s">
        <v>34</v>
      </c>
      <c r="B127" s="53" t="s">
        <v>256</v>
      </c>
      <c r="C127" s="53">
        <v>2019</v>
      </c>
      <c r="D127" s="171" t="s">
        <v>289</v>
      </c>
      <c r="E127" s="53" t="s">
        <v>355</v>
      </c>
      <c r="F127" s="53" t="s">
        <v>356</v>
      </c>
      <c r="G127" s="53" t="s">
        <v>36</v>
      </c>
      <c r="H127" s="53" t="s">
        <v>160</v>
      </c>
      <c r="I127" s="53" t="s">
        <v>159</v>
      </c>
      <c r="J127" s="53" t="s">
        <v>38</v>
      </c>
      <c r="K127" s="53" t="s">
        <v>161</v>
      </c>
      <c r="L127" s="53">
        <v>3</v>
      </c>
      <c r="N127" s="53">
        <v>8</v>
      </c>
      <c r="O127" s="53">
        <v>0.6</v>
      </c>
      <c r="P127" s="53">
        <v>0.65</v>
      </c>
      <c r="Q127" s="16">
        <f t="shared" si="5"/>
        <v>0.625</v>
      </c>
      <c r="R127" s="53">
        <v>19.5</v>
      </c>
      <c r="S127" s="53">
        <v>102</v>
      </c>
      <c r="T127" s="16">
        <f t="shared" si="6"/>
        <v>33</v>
      </c>
      <c r="U127" s="53">
        <v>753</v>
      </c>
      <c r="V127" s="16">
        <f t="shared" si="7"/>
        <v>3106.125</v>
      </c>
      <c r="W127" s="53">
        <v>7</v>
      </c>
      <c r="X127" s="53" t="s">
        <v>46</v>
      </c>
      <c r="Y127" s="53" t="s">
        <v>55</v>
      </c>
      <c r="Z127" s="53" t="s">
        <v>69</v>
      </c>
      <c r="AA127" s="53" t="s">
        <v>47</v>
      </c>
      <c r="AB127" s="53" t="s">
        <v>260</v>
      </c>
    </row>
    <row r="128" spans="1:28" x14ac:dyDescent="0.15">
      <c r="A128" s="53" t="s">
        <v>34</v>
      </c>
      <c r="B128" s="53" t="s">
        <v>256</v>
      </c>
      <c r="C128" s="53">
        <v>2019</v>
      </c>
      <c r="D128" s="171" t="s">
        <v>289</v>
      </c>
      <c r="E128" s="53" t="s">
        <v>242</v>
      </c>
      <c r="F128" s="53" t="s">
        <v>357</v>
      </c>
      <c r="G128" s="53" t="s">
        <v>36</v>
      </c>
      <c r="H128" s="53" t="s">
        <v>164</v>
      </c>
      <c r="I128" s="53" t="s">
        <v>159</v>
      </c>
      <c r="J128" s="53" t="s">
        <v>38</v>
      </c>
      <c r="K128" s="53" t="s">
        <v>161</v>
      </c>
      <c r="L128" s="53">
        <v>1</v>
      </c>
      <c r="N128" s="53">
        <v>1</v>
      </c>
      <c r="O128" s="53">
        <v>0.65</v>
      </c>
      <c r="P128" s="53">
        <v>0.7</v>
      </c>
      <c r="Q128" s="16">
        <f t="shared" si="5"/>
        <v>0.67500000000000004</v>
      </c>
      <c r="R128" s="53">
        <v>17.100000000000001</v>
      </c>
      <c r="S128" s="53">
        <v>116</v>
      </c>
      <c r="T128" s="16">
        <f t="shared" si="6"/>
        <v>30</v>
      </c>
      <c r="U128" s="53">
        <v>138</v>
      </c>
      <c r="V128" s="16">
        <f t="shared" si="7"/>
        <v>4140</v>
      </c>
      <c r="W128" s="53">
        <v>4</v>
      </c>
      <c r="X128" s="53" t="s">
        <v>46</v>
      </c>
      <c r="Y128" s="53" t="s">
        <v>55</v>
      </c>
      <c r="Z128" s="53" t="s">
        <v>97</v>
      </c>
      <c r="AA128" s="53" t="s">
        <v>64</v>
      </c>
      <c r="AB128" s="53" t="s">
        <v>260</v>
      </c>
    </row>
    <row r="129" spans="1:28" x14ac:dyDescent="0.15">
      <c r="A129" s="53" t="s">
        <v>34</v>
      </c>
      <c r="B129" s="53" t="s">
        <v>256</v>
      </c>
      <c r="C129" s="53">
        <v>2019</v>
      </c>
      <c r="D129" s="171" t="s">
        <v>289</v>
      </c>
      <c r="E129" s="53" t="s">
        <v>242</v>
      </c>
      <c r="F129" s="53" t="s">
        <v>357</v>
      </c>
      <c r="G129" s="53" t="s">
        <v>36</v>
      </c>
      <c r="H129" s="53" t="s">
        <v>164</v>
      </c>
      <c r="I129" s="53" t="s">
        <v>159</v>
      </c>
      <c r="J129" s="53" t="s">
        <v>38</v>
      </c>
      <c r="K129" s="53" t="s">
        <v>161</v>
      </c>
      <c r="L129" s="53">
        <v>2</v>
      </c>
      <c r="N129" s="53">
        <v>1</v>
      </c>
      <c r="O129" s="53">
        <v>0.85</v>
      </c>
      <c r="P129" s="53">
        <v>0.95</v>
      </c>
      <c r="Q129" s="16">
        <f t="shared" si="5"/>
        <v>0.89999999999999991</v>
      </c>
      <c r="R129" s="53">
        <v>17.2</v>
      </c>
      <c r="S129" s="53">
        <v>115</v>
      </c>
      <c r="T129" s="16">
        <f t="shared" si="6"/>
        <v>30</v>
      </c>
      <c r="U129" s="53">
        <v>138</v>
      </c>
      <c r="V129" s="16">
        <f t="shared" si="7"/>
        <v>4140</v>
      </c>
      <c r="W129" s="53">
        <v>4</v>
      </c>
      <c r="X129" s="53" t="s">
        <v>46</v>
      </c>
      <c r="Y129" s="53" t="s">
        <v>55</v>
      </c>
      <c r="Z129" s="53" t="s">
        <v>97</v>
      </c>
      <c r="AA129" s="53" t="s">
        <v>64</v>
      </c>
      <c r="AB129" s="53" t="s">
        <v>260</v>
      </c>
    </row>
    <row r="130" spans="1:28" x14ac:dyDescent="0.15">
      <c r="A130" s="53" t="s">
        <v>34</v>
      </c>
      <c r="B130" s="53" t="s">
        <v>256</v>
      </c>
      <c r="C130" s="53">
        <v>2019</v>
      </c>
      <c r="D130" s="171" t="s">
        <v>289</v>
      </c>
      <c r="E130" s="53" t="s">
        <v>242</v>
      </c>
      <c r="F130" s="53" t="s">
        <v>357</v>
      </c>
      <c r="G130" s="53" t="s">
        <v>36</v>
      </c>
      <c r="H130" s="53" t="s">
        <v>164</v>
      </c>
      <c r="I130" s="53" t="s">
        <v>159</v>
      </c>
      <c r="J130" s="53" t="s">
        <v>38</v>
      </c>
      <c r="K130" s="53" t="s">
        <v>161</v>
      </c>
      <c r="L130" s="53">
        <v>3</v>
      </c>
      <c r="N130" s="53">
        <v>1</v>
      </c>
      <c r="O130" s="53">
        <v>0.75</v>
      </c>
      <c r="P130" s="53">
        <v>0.7</v>
      </c>
      <c r="Q130" s="16">
        <f t="shared" si="5"/>
        <v>0.72499999999999998</v>
      </c>
      <c r="R130" s="53">
        <v>17.600000000000001</v>
      </c>
      <c r="S130" s="53">
        <v>118</v>
      </c>
      <c r="T130" s="16">
        <f t="shared" si="6"/>
        <v>30</v>
      </c>
      <c r="U130" s="53">
        <v>138</v>
      </c>
      <c r="V130" s="16">
        <f t="shared" si="7"/>
        <v>4140</v>
      </c>
      <c r="W130" s="53">
        <v>4</v>
      </c>
      <c r="X130" s="53" t="s">
        <v>46</v>
      </c>
      <c r="Y130" s="53" t="s">
        <v>55</v>
      </c>
      <c r="Z130" s="53" t="s">
        <v>97</v>
      </c>
      <c r="AA130" s="53" t="s">
        <v>64</v>
      </c>
      <c r="AB130" s="53" t="s">
        <v>260</v>
      </c>
    </row>
    <row r="131" spans="1:28" x14ac:dyDescent="0.15">
      <c r="A131" s="53" t="s">
        <v>34</v>
      </c>
      <c r="B131" s="53" t="s">
        <v>256</v>
      </c>
      <c r="C131" s="53">
        <v>2019</v>
      </c>
      <c r="D131" s="171" t="s">
        <v>289</v>
      </c>
      <c r="E131" s="53" t="s">
        <v>242</v>
      </c>
      <c r="F131" s="53" t="s">
        <v>357</v>
      </c>
      <c r="G131" s="53" t="s">
        <v>36</v>
      </c>
      <c r="H131" s="53" t="s">
        <v>164</v>
      </c>
      <c r="I131" s="53" t="s">
        <v>159</v>
      </c>
      <c r="J131" s="53" t="s">
        <v>38</v>
      </c>
      <c r="K131" s="53" t="s">
        <v>161</v>
      </c>
      <c r="L131" s="53">
        <v>1</v>
      </c>
      <c r="N131" s="53">
        <v>5</v>
      </c>
      <c r="O131" s="53">
        <v>0.55000000000000004</v>
      </c>
      <c r="P131" s="53">
        <v>0.2</v>
      </c>
      <c r="Q131" s="16">
        <f t="shared" si="5"/>
        <v>0.375</v>
      </c>
      <c r="R131" s="53">
        <v>16.600000000000001</v>
      </c>
      <c r="S131" s="53">
        <v>75</v>
      </c>
      <c r="T131" s="16">
        <f t="shared" si="6"/>
        <v>42</v>
      </c>
      <c r="U131" s="53">
        <v>365</v>
      </c>
      <c r="V131" s="16">
        <f t="shared" si="7"/>
        <v>3066</v>
      </c>
      <c r="W131" s="53">
        <v>4</v>
      </c>
      <c r="X131" s="53" t="s">
        <v>46</v>
      </c>
      <c r="Y131" s="53" t="s">
        <v>55</v>
      </c>
      <c r="Z131" s="53" t="s">
        <v>97</v>
      </c>
      <c r="AA131" s="53" t="s">
        <v>64</v>
      </c>
      <c r="AB131" s="53" t="s">
        <v>260</v>
      </c>
    </row>
    <row r="132" spans="1:28" x14ac:dyDescent="0.15">
      <c r="A132" s="53" t="s">
        <v>34</v>
      </c>
      <c r="B132" s="53" t="s">
        <v>256</v>
      </c>
      <c r="C132" s="53">
        <v>2019</v>
      </c>
      <c r="D132" s="171" t="s">
        <v>289</v>
      </c>
      <c r="E132" s="53" t="s">
        <v>242</v>
      </c>
      <c r="F132" s="53" t="s">
        <v>357</v>
      </c>
      <c r="G132" s="53" t="s">
        <v>36</v>
      </c>
      <c r="H132" s="53" t="s">
        <v>164</v>
      </c>
      <c r="I132" s="53" t="s">
        <v>159</v>
      </c>
      <c r="J132" s="53" t="s">
        <v>38</v>
      </c>
      <c r="K132" s="53" t="s">
        <v>161</v>
      </c>
      <c r="L132" s="53">
        <v>2</v>
      </c>
      <c r="N132" s="53">
        <v>5</v>
      </c>
      <c r="O132" s="53">
        <v>0.5</v>
      </c>
      <c r="P132" s="53">
        <v>0.5</v>
      </c>
      <c r="Q132" s="16">
        <f t="shared" si="5"/>
        <v>0.5</v>
      </c>
      <c r="R132" s="53">
        <v>15</v>
      </c>
      <c r="S132" s="53">
        <v>79</v>
      </c>
      <c r="T132" s="16">
        <f t="shared" si="6"/>
        <v>39</v>
      </c>
      <c r="U132" s="53">
        <v>365</v>
      </c>
      <c r="V132" s="16">
        <f t="shared" si="7"/>
        <v>2847</v>
      </c>
      <c r="W132" s="53">
        <v>4</v>
      </c>
      <c r="X132" s="53" t="s">
        <v>46</v>
      </c>
      <c r="Y132" s="53" t="s">
        <v>55</v>
      </c>
      <c r="Z132" s="53" t="s">
        <v>97</v>
      </c>
      <c r="AA132" s="53" t="s">
        <v>64</v>
      </c>
      <c r="AB132" s="53" t="s">
        <v>260</v>
      </c>
    </row>
    <row r="133" spans="1:28" x14ac:dyDescent="0.15">
      <c r="A133" s="53" t="s">
        <v>34</v>
      </c>
      <c r="B133" s="53" t="s">
        <v>256</v>
      </c>
      <c r="C133" s="53">
        <v>2019</v>
      </c>
      <c r="D133" s="171" t="s">
        <v>289</v>
      </c>
      <c r="E133" s="53" t="s">
        <v>242</v>
      </c>
      <c r="F133" s="53" t="s">
        <v>357</v>
      </c>
      <c r="G133" s="53" t="s">
        <v>36</v>
      </c>
      <c r="H133" s="53" t="s">
        <v>164</v>
      </c>
      <c r="I133" s="53" t="s">
        <v>159</v>
      </c>
      <c r="J133" s="53" t="s">
        <v>38</v>
      </c>
      <c r="K133" s="53" t="s">
        <v>161</v>
      </c>
      <c r="L133" s="53">
        <v>3</v>
      </c>
      <c r="N133" s="53">
        <v>5</v>
      </c>
      <c r="O133" s="53">
        <v>0.75</v>
      </c>
      <c r="P133" s="53">
        <v>0.75</v>
      </c>
      <c r="Q133" s="16">
        <f t="shared" si="5"/>
        <v>0.75</v>
      </c>
      <c r="R133" s="53">
        <v>17.5</v>
      </c>
      <c r="S133" s="53">
        <v>74</v>
      </c>
      <c r="T133" s="16">
        <f t="shared" si="6"/>
        <v>42</v>
      </c>
      <c r="U133" s="53">
        <v>365</v>
      </c>
      <c r="V133" s="16">
        <f t="shared" si="7"/>
        <v>3066</v>
      </c>
      <c r="W133" s="53">
        <v>4</v>
      </c>
      <c r="X133" s="53" t="s">
        <v>46</v>
      </c>
      <c r="Y133" s="53" t="s">
        <v>55</v>
      </c>
      <c r="Z133" s="53" t="s">
        <v>97</v>
      </c>
      <c r="AA133" s="53" t="s">
        <v>64</v>
      </c>
      <c r="AB133" s="53" t="s">
        <v>260</v>
      </c>
    </row>
    <row r="134" spans="1:28" x14ac:dyDescent="0.15">
      <c r="A134" s="53" t="s">
        <v>34</v>
      </c>
      <c r="B134" s="53" t="s">
        <v>256</v>
      </c>
      <c r="C134" s="53">
        <v>2019</v>
      </c>
      <c r="D134" s="171" t="s">
        <v>289</v>
      </c>
      <c r="E134" s="53" t="s">
        <v>242</v>
      </c>
      <c r="F134" s="53" t="s">
        <v>357</v>
      </c>
      <c r="G134" s="53" t="s">
        <v>36</v>
      </c>
      <c r="H134" s="53" t="s">
        <v>160</v>
      </c>
      <c r="I134" s="53" t="s">
        <v>159</v>
      </c>
      <c r="J134" s="53" t="s">
        <v>38</v>
      </c>
      <c r="K134" s="53" t="s">
        <v>161</v>
      </c>
      <c r="L134" s="53">
        <v>1</v>
      </c>
      <c r="N134" s="53">
        <v>1</v>
      </c>
      <c r="O134" s="53">
        <v>0.5</v>
      </c>
      <c r="P134" s="53">
        <v>0.5</v>
      </c>
      <c r="Q134" s="16">
        <f t="shared" si="5"/>
        <v>0.5</v>
      </c>
      <c r="R134" s="53">
        <v>18.3</v>
      </c>
      <c r="S134" s="53">
        <v>86</v>
      </c>
      <c r="T134" s="16">
        <f t="shared" si="6"/>
        <v>36</v>
      </c>
      <c r="U134" s="53">
        <v>105</v>
      </c>
      <c r="V134" s="16">
        <f t="shared" si="7"/>
        <v>3780</v>
      </c>
      <c r="W134" s="53">
        <v>4</v>
      </c>
      <c r="X134" s="53" t="s">
        <v>46</v>
      </c>
      <c r="Y134" s="53" t="s">
        <v>55</v>
      </c>
      <c r="Z134" s="53" t="s">
        <v>97</v>
      </c>
      <c r="AA134" s="53" t="s">
        <v>64</v>
      </c>
      <c r="AB134" s="53" t="s">
        <v>260</v>
      </c>
    </row>
    <row r="135" spans="1:28" x14ac:dyDescent="0.15">
      <c r="A135" s="53" t="s">
        <v>34</v>
      </c>
      <c r="B135" s="53" t="s">
        <v>256</v>
      </c>
      <c r="C135" s="53">
        <v>2019</v>
      </c>
      <c r="D135" s="171" t="s">
        <v>289</v>
      </c>
      <c r="E135" s="53" t="s">
        <v>242</v>
      </c>
      <c r="F135" s="53" t="s">
        <v>357</v>
      </c>
      <c r="G135" s="53" t="s">
        <v>36</v>
      </c>
      <c r="H135" s="53" t="s">
        <v>160</v>
      </c>
      <c r="I135" s="53" t="s">
        <v>159</v>
      </c>
      <c r="J135" s="53" t="s">
        <v>38</v>
      </c>
      <c r="K135" s="53" t="s">
        <v>161</v>
      </c>
      <c r="L135" s="53">
        <v>2</v>
      </c>
      <c r="N135" s="53">
        <v>1</v>
      </c>
      <c r="O135" s="53">
        <v>0.2</v>
      </c>
      <c r="P135" s="53">
        <v>0.2</v>
      </c>
      <c r="Q135" s="16">
        <f t="shared" si="5"/>
        <v>0.2</v>
      </c>
      <c r="R135" s="53">
        <v>20.100000000000001</v>
      </c>
      <c r="S135" s="53">
        <v>84</v>
      </c>
      <c r="T135" s="16">
        <f t="shared" si="6"/>
        <v>36</v>
      </c>
      <c r="U135" s="53">
        <v>105</v>
      </c>
      <c r="V135" s="16">
        <f t="shared" si="7"/>
        <v>3780</v>
      </c>
      <c r="W135" s="53">
        <v>4</v>
      </c>
      <c r="X135" s="53" t="s">
        <v>46</v>
      </c>
      <c r="Y135" s="53" t="s">
        <v>55</v>
      </c>
      <c r="Z135" s="53" t="s">
        <v>97</v>
      </c>
      <c r="AA135" s="53" t="s">
        <v>64</v>
      </c>
      <c r="AB135" s="53" t="s">
        <v>260</v>
      </c>
    </row>
    <row r="136" spans="1:28" x14ac:dyDescent="0.15">
      <c r="A136" s="53" t="s">
        <v>34</v>
      </c>
      <c r="B136" s="53" t="s">
        <v>256</v>
      </c>
      <c r="C136" s="53">
        <v>2019</v>
      </c>
      <c r="D136" s="171" t="s">
        <v>289</v>
      </c>
      <c r="E136" s="53" t="s">
        <v>242</v>
      </c>
      <c r="F136" s="53" t="s">
        <v>357</v>
      </c>
      <c r="G136" s="53" t="s">
        <v>36</v>
      </c>
      <c r="H136" s="53" t="s">
        <v>160</v>
      </c>
      <c r="I136" s="53" t="s">
        <v>159</v>
      </c>
      <c r="J136" s="53" t="s">
        <v>38</v>
      </c>
      <c r="K136" s="53" t="s">
        <v>161</v>
      </c>
      <c r="L136" s="53">
        <v>3</v>
      </c>
      <c r="N136" s="53">
        <v>1</v>
      </c>
      <c r="O136" s="53">
        <v>0.65</v>
      </c>
      <c r="P136" s="53">
        <v>0.65</v>
      </c>
      <c r="Q136" s="16">
        <f t="shared" si="5"/>
        <v>0.65</v>
      </c>
      <c r="R136" s="53">
        <v>18.8</v>
      </c>
      <c r="S136" s="53">
        <v>83</v>
      </c>
      <c r="T136" s="16">
        <f t="shared" si="6"/>
        <v>39</v>
      </c>
      <c r="U136" s="53">
        <v>105</v>
      </c>
      <c r="V136" s="16">
        <f t="shared" si="7"/>
        <v>4095</v>
      </c>
      <c r="W136" s="53">
        <v>4</v>
      </c>
      <c r="X136" s="53" t="s">
        <v>46</v>
      </c>
      <c r="Y136" s="53" t="s">
        <v>55</v>
      </c>
      <c r="Z136" s="53" t="s">
        <v>97</v>
      </c>
      <c r="AA136" s="53" t="s">
        <v>64</v>
      </c>
      <c r="AB136" s="53" t="s">
        <v>260</v>
      </c>
    </row>
  </sheetData>
  <autoFilter ref="A1:BA82" xr:uid="{00000000-0009-0000-0000-000000000000}"/>
  <phoneticPr fontId="3"/>
  <dataValidations count="12">
    <dataValidation type="list" allowBlank="1" showInputMessage="1" showErrorMessage="1" sqref="K2:K729" xr:uid="{9F3B246C-895A-446F-873A-C5338C282293}">
      <formula1>$AR$2:$AR$23</formula1>
    </dataValidation>
    <dataValidation type="list" allowBlank="1" showInputMessage="1" showErrorMessage="1" sqref="A2:A416" xr:uid="{30A69FD2-905A-436D-840A-6036254D4D41}">
      <formula1>$AE$2:$AE$19</formula1>
    </dataValidation>
    <dataValidation type="list" allowBlank="1" showInputMessage="1" showErrorMessage="1" sqref="Y2:AA417" xr:uid="{B5B27BC3-F4F3-40AF-8066-C87944262C34}">
      <formula1>$AV$2:$AV$21</formula1>
    </dataValidation>
    <dataValidation type="list" allowBlank="1" showInputMessage="1" showErrorMessage="1" sqref="H2:H417" xr:uid="{40105EE2-524D-48F7-AA0D-9348C90123BB}">
      <formula1>$AL$2:$AL$8</formula1>
    </dataValidation>
    <dataValidation type="list" allowBlank="1" showInputMessage="1" showErrorMessage="1" sqref="X2:X417" xr:uid="{27F99EEF-B4B5-4E56-AB68-230123D0B55D}">
      <formula1>$AT$2:$AT$3</formula1>
    </dataValidation>
    <dataValidation type="list" allowBlank="1" showInputMessage="1" showErrorMessage="1" sqref="G2:G417" xr:uid="{0F4885F3-3CC6-4615-B5A6-C8D1B7A9EC48}">
      <formula1>$AJ$2:$AJ$4</formula1>
    </dataValidation>
    <dataValidation type="list" allowBlank="1" showInputMessage="1" showErrorMessage="1" sqref="I2:I417" xr:uid="{EDD79CC8-859B-46E5-9380-FC967D985EC0}">
      <formula1>$AN$5:$AN$6</formula1>
    </dataValidation>
    <dataValidation type="list" allowBlank="1" showInputMessage="1" showErrorMessage="1" sqref="J2:J417" xr:uid="{E8958F65-9390-407D-B1AB-E87B4704AD87}">
      <formula1>$AP$2:$AP$24</formula1>
    </dataValidation>
    <dataValidation type="list" allowBlank="1" showInputMessage="1" showErrorMessage="1" sqref="F2:F417" xr:uid="{5F4530E0-A5D6-49BE-AC4F-00203BCB636D}">
      <formula1>$AH$2:$AH$11</formula1>
    </dataValidation>
    <dataValidation type="list" allowBlank="1" showInputMessage="1" showErrorMessage="1" sqref="E2:E417" xr:uid="{43F8F228-7835-44F5-82D8-89A2348E30DD}">
      <formula1>$AG$2:$AG$11</formula1>
    </dataValidation>
    <dataValidation type="decimal" allowBlank="1" showInputMessage="1" showErrorMessage="1" error="硬度を正しく入力して下さい。" sqref="O2:P49 O59:P417" xr:uid="{64BD486E-289D-46D5-9EF0-2BEC1156CFA1}">
      <formula1>0</formula1>
      <formula2>7</formula2>
    </dataValidation>
    <dataValidation operator="equal" allowBlank="1" showInputMessage="1" showErrorMessage="1" sqref="B2:B136" xr:uid="{A7481B97-464B-4E7F-BA91-13EEECD432B9}"/>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44B75E7-7A1E-4C0C-8827-54EAACA7851C}"/>
</file>

<file path=customXml/itemProps2.xml><?xml version="1.0" encoding="utf-8"?>
<ds:datastoreItem xmlns:ds="http://schemas.openxmlformats.org/officeDocument/2006/customXml" ds:itemID="{0F869430-CA44-4DA1-A7D5-4249E19C90E0}"/>
</file>

<file path=customXml/itemProps3.xml><?xml version="1.0" encoding="utf-8"?>
<ds:datastoreItem xmlns:ds="http://schemas.openxmlformats.org/officeDocument/2006/customXml" ds:itemID="{8F057DF3-0414-42BA-9FA5-7481ECD6342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2019-06-24T02:51:21Z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