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6週\"/>
    </mc:Choice>
  </mc:AlternateContent>
  <xr:revisionPtr revIDLastSave="0" documentId="13_ncr:1_{69480FF8-8CF8-4D57-86D7-AED6BF8AB55F}"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onishi)" sheetId="24" r:id="rId8"/>
  </sheets>
  <definedNames>
    <definedName name="_xlnm._FilterDatabase" localSheetId="5" hidden="1">fukuoka!$A$1:$BA$130</definedName>
    <definedName name="_xlnm._FilterDatabase" localSheetId="4" hidden="1">hiroshima!$A$1:$BA$1</definedName>
    <definedName name="_xlnm._FilterDatabase" localSheetId="1" hidden="1">miyagi!$A$1:$BA$311</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'tokyo-west(konishi)'!$A$1:$BA$149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73" i="24" l="1"/>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0" i="23" l="1"/>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42" i="23"/>
  <c r="V42" i="23" s="1"/>
  <c r="Q42" i="23"/>
  <c r="T41" i="23"/>
  <c r="V41" i="23" s="1"/>
  <c r="Q41" i="23"/>
  <c r="T40" i="23"/>
  <c r="V40" i="23" s="1"/>
  <c r="Q40"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30" i="22" l="1"/>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5" i="21" l="1"/>
  <c r="V85" i="21" s="1"/>
  <c r="Q85" i="21"/>
  <c r="T84" i="21"/>
  <c r="V84" i="21" s="1"/>
  <c r="Q84" i="21"/>
  <c r="T83" i="21"/>
  <c r="V83" i="21" s="1"/>
  <c r="Q83"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11" i="18" l="1"/>
  <c r="T310" i="18"/>
  <c r="T309" i="18"/>
  <c r="T308" i="18"/>
  <c r="T307" i="18"/>
  <c r="T306" i="18"/>
  <c r="T305" i="18"/>
  <c r="T304" i="18"/>
  <c r="T303" i="18"/>
  <c r="T302" i="18"/>
  <c r="T301" i="18"/>
  <c r="T300" i="18"/>
  <c r="T299" i="18"/>
  <c r="T298" i="18"/>
  <c r="T297" i="18"/>
  <c r="T296" i="18"/>
  <c r="T295" i="18"/>
  <c r="T294" i="18"/>
  <c r="T293" i="18"/>
  <c r="T292" i="18"/>
  <c r="T291" i="18"/>
  <c r="V291" i="18" s="1"/>
  <c r="T290" i="18"/>
  <c r="V290" i="18" s="1"/>
  <c r="T289" i="18"/>
  <c r="V289" i="18" s="1"/>
  <c r="V288" i="18"/>
  <c r="T288" i="18"/>
  <c r="V287" i="18"/>
  <c r="T287" i="18"/>
  <c r="T286" i="18"/>
  <c r="V286" i="18" s="1"/>
  <c r="T285" i="18"/>
  <c r="V285" i="18" s="1"/>
  <c r="T284" i="18"/>
  <c r="V284" i="18" s="1"/>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Q64" i="18"/>
  <c r="T63" i="18"/>
  <c r="Q63" i="18"/>
  <c r="T62" i="18"/>
  <c r="Q62" i="18"/>
  <c r="T61" i="18"/>
  <c r="Q61" i="18"/>
  <c r="T60" i="18"/>
  <c r="Q60" i="18"/>
  <c r="T59" i="18"/>
  <c r="Q59" i="18"/>
  <c r="T58" i="18"/>
  <c r="Q58" i="18"/>
  <c r="T57" i="18"/>
  <c r="Q57" i="18"/>
  <c r="T56" i="18"/>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T39" i="18"/>
  <c r="V39" i="18" s="1"/>
  <c r="V38" i="18"/>
  <c r="T38" i="18"/>
  <c r="T37" i="18"/>
  <c r="V37" i="18" s="1"/>
  <c r="T36" i="18"/>
  <c r="V36" i="18" s="1"/>
  <c r="T35" i="18"/>
  <c r="V35" i="18" s="1"/>
  <c r="T34" i="18"/>
  <c r="V34" i="18" s="1"/>
  <c r="T33" i="18"/>
  <c r="V33" i="18" s="1"/>
  <c r="V32" i="18"/>
  <c r="T32" i="18"/>
  <c r="T31" i="18"/>
  <c r="V31" i="18" s="1"/>
  <c r="T30" i="18"/>
  <c r="V30" i="18" s="1"/>
  <c r="T29" i="18"/>
  <c r="V29" i="18" s="1"/>
  <c r="T28" i="18"/>
  <c r="V28" i="18" s="1"/>
  <c r="T27" i="18"/>
  <c r="V27" i="18" s="1"/>
  <c r="V26" i="18"/>
  <c r="T26" i="18"/>
  <c r="T25" i="18"/>
  <c r="V25" i="18" s="1"/>
  <c r="T24" i="18"/>
  <c r="V24" i="18" s="1"/>
  <c r="T23" i="18"/>
  <c r="V23" i="18" s="1"/>
  <c r="T22" i="18"/>
  <c r="V22" i="18" s="1"/>
  <c r="T21" i="18"/>
  <c r="V21" i="18" s="1"/>
  <c r="T20" i="18"/>
  <c r="V20" i="18" s="1"/>
  <c r="T19" i="18"/>
  <c r="V19" i="18" s="1"/>
  <c r="T18" i="18"/>
  <c r="V18" i="18" s="1"/>
  <c r="T17" i="18"/>
  <c r="V17" i="18" s="1"/>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<sst xmlns="http://schemas.openxmlformats.org/spreadsheetml/2006/main" count="8502" uniqueCount="389">
  <si>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</si>
  <si>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</si>
  <si>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</si>
  <si>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</si>
  <si>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</si>
  <si>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</si>
  <si>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</si>
  <si>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</si>
  <si>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</si>
  <si>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</si>
  <si>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</si>
  <si>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</si>
  <si>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</si>
  <si>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</si>
  <si>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</si>
  <si>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</si>
  <si>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</si>
  <si>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</si>
  <si>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</si>
  <si>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</si>
  <si>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</si>
  <si>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</si>
  <si>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</si>
  <si>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</si>
  <si>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</si>
  <si>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</si>
  <si>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</si>
  <si>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</si>
  <si>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</si>
  <si>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</si>
  <si>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</si>
  <si>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</si>
  <si>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</si>
  <si>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</si>
  <si>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</si>
  <si>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</si>
  <si>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</si>
  <si>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</si>
  <si>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</si>
  <si>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</si>
  <si>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</si>
  <si>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</si>
  <si>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</si>
  <si>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</si>
  <si>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</si>
  <si>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</si>
  <si>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</si>
  <si>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</si>
  <si>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</si>
  <si>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</si>
  <si>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</si>
  <si>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</si>
  <si>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</si>
  <si>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</si>
  <si>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</si>
  <si>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</si>
  <si>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</si>
  <si>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</si>
  <si>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</si>
  <si>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</si>
  <si>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</si>
  <si>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</si>
  <si>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</si>
  <si>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</si>
  <si>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</si>
  <si>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</si>
  <si>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</si>
  <si>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</si>
  <si>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</si>
  <si>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</si>
  <si>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</si>
  <si>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</si>
  <si>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</si>
  <si>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</si>
  <si>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</si>
  <si>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</si>
  <si>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</si>
  <si>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</si>
  <si>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</si>
  <si>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</si>
  <si>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</si>
  <si>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</si>
  <si>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</si>
  <si>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</si>
  <si>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</si>
  <si>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</si>
  <si>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</si>
  <si>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</si>
  <si>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</si>
  <si>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</si>
  <si>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</si>
  <si>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</si>
  <si>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</si>
  <si>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</si>
  <si>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</si>
  <si>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</si>
  <si>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</si>
  <si>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</si>
  <si>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</si>
  <si>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</si>
  <si>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</si>
  <si>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</si>
  <si>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</si>
  <si>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</si>
  <si>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</si>
  <si>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</si>
  <si>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</si>
  <si>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</si>
  <si>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</si>
  <si>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</si>
  <si>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</si>
  <si>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</si>
  <si>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</si>
  <si>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</si>
  <si>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</si>
  <si>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</si>
  <si>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</si>
  <si>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</si>
  <si>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</si>
  <si>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</si>
  <si>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</si>
  <si>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</si>
  <si>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</si>
  <si>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</si>
  <si>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</si>
  <si>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</si>
  <si>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</si>
  <si>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</si>
  <si>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</si>
  <si>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</si>
  <si>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</si>
  <si>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</si>
  <si>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</si>
  <si>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</si>
  <si>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</si>
  <si>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</si>
  <si>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</si>
  <si>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</si>
  <si>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</si>
  <si>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</si>
  <si>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</si>
  <si>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</si>
  <si>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</si>
  <si>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</si>
  <si>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</si>
  <si>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</si>
  <si>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</si>
  <si>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</si>
  <si>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</si>
  <si>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</si>
  <si>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</si>
  <si>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</si>
  <si>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</si>
  <si>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</si>
  <si>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</si>
  <si>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</si>
  <si>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</si>
  <si>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</si>
  <si>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</si>
  <si>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</si>
  <si>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</si>
  <si>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</si>
  <si>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</si>
  <si>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</si>
  <si>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</si>
  <si>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</si>
  <si>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12.11.2019</t>
  </si>
  <si>
    <t>12.11.2019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</si>
  <si>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</si>
  <si>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</si>
  <si>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</si>
  <si>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</si>
  <si>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</si>
  <si>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</si>
  <si>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</si>
  <si>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</si>
  <si>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</si>
  <si>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</si>
  <si>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</si>
  <si>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</si>
  <si>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</si>
  <si>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</si>
  <si>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</si>
  <si>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</si>
  <si>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11.11.2019</t>
    <phoneticPr fontId="16"/>
  </si>
  <si>
    <t>利府店</t>
  </si>
  <si>
    <t>その他グリーン</t>
  </si>
  <si>
    <t>みやぎ生協</t>
  </si>
  <si>
    <t>その他ゴールド</t>
  </si>
  <si>
    <t>11.11.2019</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</si>
  <si>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</si>
  <si>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</si>
  <si>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</si>
  <si>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</si>
  <si>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</si>
  <si>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</si>
  <si>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</si>
  <si>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</si>
  <si>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</si>
  <si>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</si>
  <si>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</si>
  <si>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</si>
  <si>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</si>
  <si>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</si>
  <si>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</si>
  <si>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</si>
  <si>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</si>
  <si>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</si>
  <si>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</si>
  <si>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</si>
  <si>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</si>
  <si>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</si>
  <si>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</si>
  <si>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</si>
  <si>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</si>
  <si>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</si>
  <si>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</si>
  <si>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</si>
  <si>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</si>
  <si>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</si>
  <si>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</si>
  <si>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</si>
  <si>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</si>
  <si>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</si>
  <si>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</si>
  <si>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</si>
  <si>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</si>
  <si>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</si>
  <si>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</si>
  <si>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</si>
  <si>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</si>
  <si>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</si>
  <si>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</si>
  <si>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</si>
  <si>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15.11.2019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</si>
  <si>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</si>
  <si>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</si>
  <si>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</si>
  <si>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</si>
  <si>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</si>
  <si>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</si>
  <si>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</si>
  <si>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</si>
  <si>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</si>
  <si>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</si>
  <si>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</si>
  <si>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</si>
  <si>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</si>
  <si>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</si>
  <si>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</si>
  <si>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</si>
  <si>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</si>
  <si>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</si>
  <si>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</si>
  <si>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</si>
  <si>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</si>
  <si>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</si>
  <si>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</si>
  <si>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</si>
  <si>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</si>
  <si>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</si>
  <si>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</si>
  <si>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15.11.2019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</si>
  <si>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</si>
  <si>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</si>
  <si>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</si>
  <si>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</si>
  <si>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</si>
  <si>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</si>
  <si>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</si>
  <si>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</si>
  <si>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</si>
  <si>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</si>
  <si>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</si>
  <si>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</si>
  <si>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</si>
  <si>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</si>
  <si>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</si>
  <si>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</si>
  <si>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</si>
  <si>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</si>
  <si>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</si>
  <si>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</si>
  <si>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</si>
  <si>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11.11.2019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</si>
  <si>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</si>
  <si>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</si>
  <si>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</si>
  <si>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</si>
  <si>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</si>
  <si>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</si>
  <si>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みかん</t>
    <phoneticPr fontId="4"/>
  </si>
  <si>
    <t>マンゴー</t>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</si>
  <si>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</si>
  <si>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</si>
  <si>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</si>
  <si>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</si>
  <si>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</si>
  <si>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</si>
  <si>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</si>
  <si>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</si>
  <si>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</si>
  <si>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</si>
  <si>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</si>
  <si>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</si>
  <si>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</si>
  <si>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山陽マルナカ</t>
  </si>
  <si>
    <t>白島店</t>
    <rPh sb="0" eb="2">
      <t>ハクシマ</t>
    </rPh>
    <rPh sb="2" eb="3">
      <t>テン</t>
    </rPh>
    <phoneticPr fontId="3"/>
  </si>
  <si>
    <t>りんご</t>
    <phoneticPr fontId="3"/>
  </si>
  <si>
    <t>アルク</t>
  </si>
  <si>
    <t>東千田店</t>
    <rPh sb="3" eb="4">
      <t>テン</t>
    </rPh>
    <phoneticPr fontId="3"/>
  </si>
  <si>
    <t>フレスタ</t>
  </si>
  <si>
    <t>吉島店</t>
    <rPh sb="0" eb="2">
      <t>ヨシジマ</t>
    </rPh>
    <rPh sb="2" eb="3">
      <t>テン</t>
    </rPh>
    <phoneticPr fontId="3"/>
  </si>
  <si>
    <t>販売
ユニット
個数</t>
    <phoneticPr fontId="4"/>
  </si>
  <si>
    <t>U/P JPY</t>
    <phoneticPr fontId="4"/>
  </si>
  <si>
    <t>13.11.2019</t>
    <phoneticPr fontId="3"/>
  </si>
  <si>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</si>
  <si>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</si>
  <si>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</si>
  <si>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</si>
  <si>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</si>
  <si>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</si>
  <si>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</si>
  <si>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</si>
  <si>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</si>
  <si>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</si>
  <si>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</si>
  <si>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</si>
  <si>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</si>
  <si>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</si>
  <si>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</si>
  <si>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</si>
  <si>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</si>
  <si>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</si>
  <si>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</si>
  <si>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</si>
  <si>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</si>
  <si>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</si>
  <si>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ＪＡみなみ筑後</t>
    <rPh sb="5" eb="7">
      <t>チクゴ</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</si>
  <si>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</si>
  <si>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</si>
  <si>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</si>
  <si>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</si>
  <si>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</si>
  <si>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</si>
  <si>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</si>
  <si>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</si>
  <si>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</si>
  <si>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</si>
  <si>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</si>
  <si>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14.11.2019</t>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</si>
  <si>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</si>
  <si>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</si>
  <si>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</si>
  <si>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</si>
  <si>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</si>
  <si>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</si>
  <si>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</si>
  <si>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</si>
  <si>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</si>
  <si>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</si>
  <si>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14.11.2019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</si>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</sst>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2" xfId="1" applyFont="1" applyBorder="1"/>
    <xf numFmtId="0" fontId="0" fillId="0" borderId="16"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62583AD2-48F8-481B-BD68-13ACDC29BE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topLeftCell="A13" zoomScale="85" zoomScaleNormal="85" workbookViewId="0">
      <selection activeCell="AC8" sqref="AC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0.75</v>
      </c>
      <c r="P2" s="15">
        <v>0.65</v>
      </c>
      <c r="Q2" s="51">
        <f t="shared" ref="Q2:Q65" si="0">IF(OR(O2="",P2=""),"",AVERAGE(O2,P2))</f>
        <v>0.7</v>
      </c>
      <c r="R2" s="15">
        <v>13</v>
      </c>
      <c r="S2" s="15">
        <v>126</v>
      </c>
      <c r="T2" s="38">
        <f t="shared" ref="T2:T59" si="1">IF(H2="","",IF(OR(H2="GREEN",H2="GK"),IF(S2&gt;=$AX$2,VLOOKUP(S2,$AX$2:$AY$12,2,1),""),IF(S2&gt;=$AZ$2,VLOOKUP(S2,$AZ$2:$BA$12,2,1),"")))</f>
        <v>27</v>
      </c>
      <c r="U2" s="15">
        <v>98</v>
      </c>
      <c r="V2" s="38">
        <f t="shared" ref="V2:V65" si="2">IF(OR(N2="",U2="",T2=""),"",U2/N2*T2)</f>
        <v>2646</v>
      </c>
      <c r="W2" s="15">
        <v>7</v>
      </c>
      <c r="X2" s="15" t="s">
        <v>39</v>
      </c>
      <c r="Y2" s="15" t="s">
        <v>84</v>
      </c>
      <c r="Z2" s="15" t="s">
        <v>50</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0.75</v>
      </c>
      <c r="P3" s="7">
        <v>0.6</v>
      </c>
      <c r="Q3" s="52">
        <f t="shared" si="0"/>
        <v>0.67500000000000004</v>
      </c>
      <c r="R3" s="7">
        <v>12.4</v>
      </c>
      <c r="S3" s="7">
        <v>124</v>
      </c>
      <c r="T3" s="16">
        <f t="shared" si="1"/>
        <v>27</v>
      </c>
      <c r="U3" s="15">
        <v>98</v>
      </c>
      <c r="V3" s="16">
        <f t="shared" si="2"/>
        <v>2646</v>
      </c>
      <c r="W3" s="15">
        <v>7</v>
      </c>
      <c r="X3" s="15" t="s">
        <v>39</v>
      </c>
      <c r="Y3" s="54" t="s">
        <v>84</v>
      </c>
      <c r="Z3" s="54" t="s">
        <v>50</v>
      </c>
      <c r="AA3" s="54"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0.65</v>
      </c>
      <c r="P4" s="7">
        <v>0.7</v>
      </c>
      <c r="Q4" s="52">
        <f t="shared" si="0"/>
        <v>0.67500000000000004</v>
      </c>
      <c r="R4" s="7">
        <v>13.2</v>
      </c>
      <c r="S4" s="7">
        <v>124</v>
      </c>
      <c r="T4" s="16">
        <f t="shared" si="1"/>
        <v>27</v>
      </c>
      <c r="U4" s="15">
        <v>98</v>
      </c>
      <c r="V4" s="16">
        <f t="shared" si="2"/>
        <v>2646</v>
      </c>
      <c r="W4" s="15">
        <v>7</v>
      </c>
      <c r="X4" s="54" t="s">
        <v>39</v>
      </c>
      <c r="Y4" s="54" t="s">
        <v>84</v>
      </c>
      <c r="Z4" s="54" t="s">
        <v>50</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133</v>
      </c>
      <c r="F5" s="15" t="s">
        <v>150</v>
      </c>
      <c r="G5" s="7" t="s">
        <v>36</v>
      </c>
      <c r="H5" s="54" t="s">
        <v>164</v>
      </c>
      <c r="I5" s="7" t="s">
        <v>159</v>
      </c>
      <c r="J5" s="15" t="s">
        <v>38</v>
      </c>
      <c r="K5" s="7" t="s">
        <v>161</v>
      </c>
      <c r="L5" s="7">
        <v>1</v>
      </c>
      <c r="N5" s="53">
        <v>1</v>
      </c>
      <c r="O5" s="7">
        <v>0.55000000000000004</v>
      </c>
      <c r="P5" s="7">
        <v>0.7</v>
      </c>
      <c r="Q5" s="52">
        <f t="shared" si="0"/>
        <v>0.625</v>
      </c>
      <c r="R5" s="7">
        <v>14.8</v>
      </c>
      <c r="S5" s="7">
        <v>116</v>
      </c>
      <c r="T5" s="16">
        <f t="shared" si="1"/>
        <v>30</v>
      </c>
      <c r="U5" s="15">
        <v>90</v>
      </c>
      <c r="V5" s="16">
        <f t="shared" si="2"/>
        <v>2700</v>
      </c>
      <c r="W5" s="15">
        <v>10</v>
      </c>
      <c r="X5" s="54" t="s">
        <v>46</v>
      </c>
      <c r="Y5" s="54" t="s">
        <v>84</v>
      </c>
      <c r="Z5" s="54" t="s">
        <v>90</v>
      </c>
      <c r="AA5" s="54" t="s">
        <v>50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133</v>
      </c>
      <c r="F6" s="7" t="s">
        <v>150</v>
      </c>
      <c r="G6" s="7" t="s">
        <v>36</v>
      </c>
      <c r="H6" s="54" t="s">
        <v>164</v>
      </c>
      <c r="I6" s="53" t="s">
        <v>159</v>
      </c>
      <c r="J6" s="15" t="s">
        <v>38</v>
      </c>
      <c r="K6" s="7" t="s">
        <v>161</v>
      </c>
      <c r="L6" s="7">
        <v>2</v>
      </c>
      <c r="N6" s="53">
        <v>1</v>
      </c>
      <c r="O6" s="7">
        <v>0.5</v>
      </c>
      <c r="P6" s="7">
        <v>0.5</v>
      </c>
      <c r="Q6" s="52">
        <f t="shared" si="0"/>
        <v>0.5</v>
      </c>
      <c r="R6" s="7">
        <v>17.399999999999999</v>
      </c>
      <c r="S6" s="7">
        <v>122</v>
      </c>
      <c r="T6" s="16">
        <f t="shared" si="1"/>
        <v>27</v>
      </c>
      <c r="U6" s="15">
        <v>90</v>
      </c>
      <c r="V6" s="16">
        <f t="shared" si="2"/>
        <v>2430</v>
      </c>
      <c r="W6" s="15">
        <v>10</v>
      </c>
      <c r="X6" s="54" t="s">
        <v>46</v>
      </c>
      <c r="Y6" s="54" t="s">
        <v>84</v>
      </c>
      <c r="Z6" s="54" t="s">
        <v>90</v>
      </c>
      <c r="AA6" s="54" t="s">
        <v>50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133</v>
      </c>
      <c r="F7" s="7" t="s">
        <v>150</v>
      </c>
      <c r="G7" s="7" t="s">
        <v>36</v>
      </c>
      <c r="H7" s="54" t="s">
        <v>164</v>
      </c>
      <c r="I7" s="53" t="s">
        <v>159</v>
      </c>
      <c r="J7" s="15" t="s">
        <v>38</v>
      </c>
      <c r="K7" s="7" t="s">
        <v>161</v>
      </c>
      <c r="L7" s="7">
        <v>3</v>
      </c>
      <c r="N7" s="53">
        <v>1</v>
      </c>
      <c r="O7" s="7">
        <v>0.5</v>
      </c>
      <c r="P7" s="7">
        <v>0.5</v>
      </c>
      <c r="Q7" s="52">
        <f t="shared" si="0"/>
        <v>0.5</v>
      </c>
      <c r="R7" s="34">
        <v>17.7</v>
      </c>
      <c r="S7" s="7">
        <v>124</v>
      </c>
      <c r="T7" s="16">
        <f t="shared" si="1"/>
        <v>27</v>
      </c>
      <c r="U7" s="15">
        <v>90</v>
      </c>
      <c r="V7" s="16">
        <f t="shared" si="2"/>
        <v>2430</v>
      </c>
      <c r="W7" s="15">
        <v>10</v>
      </c>
      <c r="X7" s="54" t="s">
        <v>46</v>
      </c>
      <c r="Y7" s="54" t="s">
        <v>84</v>
      </c>
      <c r="Z7" s="54" t="s">
        <v>90</v>
      </c>
      <c r="AA7" s="54" t="s">
        <v>50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160</v>
      </c>
      <c r="I8" s="7" t="s">
        <v>159</v>
      </c>
      <c r="J8" s="15" t="s">
        <v>38</v>
      </c>
      <c r="K8" s="7" t="s">
        <v>161</v>
      </c>
      <c r="L8" s="7">
        <v>1</v>
      </c>
      <c r="N8" s="53">
        <v>4</v>
      </c>
      <c r="O8" s="7">
        <v>0.5</v>
      </c>
      <c r="P8" s="7">
        <v>0.5</v>
      </c>
      <c r="Q8" s="52">
        <f t="shared" si="0"/>
        <v>0.5</v>
      </c>
      <c r="R8" s="34">
        <v>18.8</v>
      </c>
      <c r="S8" s="7">
        <v>99</v>
      </c>
      <c r="T8" s="16">
        <f t="shared" si="1"/>
        <v>33</v>
      </c>
      <c r="U8" s="15">
        <v>498</v>
      </c>
      <c r="V8" s="16">
        <f t="shared" si="2"/>
        <v>4108.5</v>
      </c>
      <c r="W8" s="15">
        <v>2</v>
      </c>
      <c r="X8" s="54" t="s">
        <v>46</v>
      </c>
      <c r="Y8" s="54" t="s">
        <v>84</v>
      </c>
      <c r="Z8" s="54" t="s">
        <v>90</v>
      </c>
      <c r="AA8" s="54" t="s">
        <v>50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160</v>
      </c>
      <c r="I9" s="53" t="s">
        <v>159</v>
      </c>
      <c r="J9" s="54" t="s">
        <v>38</v>
      </c>
      <c r="K9" s="53" t="s">
        <v>161</v>
      </c>
      <c r="L9" s="7">
        <v>2</v>
      </c>
      <c r="N9" s="7">
        <v>4</v>
      </c>
      <c r="O9" s="7">
        <v>0.5</v>
      </c>
      <c r="P9" s="7">
        <v>0.5</v>
      </c>
      <c r="Q9" s="52">
        <f t="shared" si="0"/>
        <v>0.5</v>
      </c>
      <c r="R9" s="7">
        <v>18.399999999999999</v>
      </c>
      <c r="S9" s="7">
        <v>101</v>
      </c>
      <c r="T9" s="16">
        <f t="shared" si="1"/>
        <v>33</v>
      </c>
      <c r="U9" s="15">
        <v>498</v>
      </c>
      <c r="V9" s="16">
        <f t="shared" si="2"/>
        <v>4108.5</v>
      </c>
      <c r="W9" s="15">
        <v>2</v>
      </c>
      <c r="X9" s="54" t="s">
        <v>46</v>
      </c>
      <c r="Y9" s="54" t="s">
        <v>84</v>
      </c>
      <c r="Z9" s="54" t="s">
        <v>90</v>
      </c>
      <c r="AA9" s="54" t="s">
        <v>50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160</v>
      </c>
      <c r="I10" s="53" t="s">
        <v>159</v>
      </c>
      <c r="J10" s="54" t="s">
        <v>38</v>
      </c>
      <c r="K10" s="53" t="s">
        <v>161</v>
      </c>
      <c r="L10" s="7">
        <v>3</v>
      </c>
      <c r="N10" s="7">
        <v>4</v>
      </c>
      <c r="O10" s="7">
        <v>0.5</v>
      </c>
      <c r="P10" s="7">
        <v>0.5</v>
      </c>
      <c r="Q10" s="52">
        <f t="shared" si="0"/>
        <v>0.5</v>
      </c>
      <c r="R10" s="7">
        <v>12.5</v>
      </c>
      <c r="S10" s="7">
        <v>103</v>
      </c>
      <c r="T10" s="16">
        <f t="shared" si="1"/>
        <v>33</v>
      </c>
      <c r="U10" s="15">
        <v>498</v>
      </c>
      <c r="V10" s="16">
        <f t="shared" si="2"/>
        <v>4108.5</v>
      </c>
      <c r="W10" s="15">
        <v>2</v>
      </c>
      <c r="X10" s="54" t="s">
        <v>46</v>
      </c>
      <c r="Y10" s="54" t="s">
        <v>84</v>
      </c>
      <c r="Z10" s="54" t="s">
        <v>90</v>
      </c>
      <c r="AA10" s="54" t="s">
        <v>50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128</v>
      </c>
      <c r="I11" s="7" t="s">
        <v>159</v>
      </c>
      <c r="J11" s="15" t="s">
        <v>80</v>
      </c>
      <c r="K11" s="7" t="s">
        <v>45</v>
      </c>
      <c r="L11" s="7">
        <v>1</v>
      </c>
      <c r="N11" s="7">
        <v>1</v>
      </c>
      <c r="O11" s="7">
        <v>0.7</v>
      </c>
      <c r="P11" s="7">
        <v>0.8</v>
      </c>
      <c r="Q11" s="52">
        <f t="shared" si="0"/>
        <v>0.75</v>
      </c>
      <c r="R11" s="7">
        <v>12.5</v>
      </c>
      <c r="S11" s="7">
        <v>123</v>
      </c>
      <c r="T11" s="16">
        <f t="shared" si="1"/>
        <v>27</v>
      </c>
      <c r="U11" s="7">
        <v>90</v>
      </c>
      <c r="V11" s="16">
        <f t="shared" si="2"/>
        <v>2430</v>
      </c>
      <c r="W11" s="7">
        <v>4</v>
      </c>
      <c r="X11" s="54" t="s">
        <v>46</v>
      </c>
      <c r="Y11" s="54" t="s">
        <v>84</v>
      </c>
      <c r="Z11" s="54" t="s">
        <v>90</v>
      </c>
      <c r="AA11" s="54" t="s">
        <v>50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128</v>
      </c>
      <c r="I12" s="53" t="s">
        <v>159</v>
      </c>
      <c r="J12" s="15" t="s">
        <v>80</v>
      </c>
      <c r="K12" s="7" t="s">
        <v>45</v>
      </c>
      <c r="L12" s="7">
        <v>2</v>
      </c>
      <c r="N12" s="7">
        <v>1</v>
      </c>
      <c r="O12" s="7">
        <v>1</v>
      </c>
      <c r="P12" s="7">
        <v>1.1000000000000001</v>
      </c>
      <c r="Q12" s="52">
        <f t="shared" si="0"/>
        <v>1.05</v>
      </c>
      <c r="R12" s="34">
        <v>12.4</v>
      </c>
      <c r="S12" s="7">
        <v>120</v>
      </c>
      <c r="T12" s="16">
        <f t="shared" si="1"/>
        <v>30</v>
      </c>
      <c r="U12" s="7">
        <v>90</v>
      </c>
      <c r="V12" s="16">
        <f t="shared" si="2"/>
        <v>2700</v>
      </c>
      <c r="W12" s="7">
        <v>4</v>
      </c>
      <c r="X12" s="54" t="s">
        <v>46</v>
      </c>
      <c r="Y12" s="54" t="s">
        <v>84</v>
      </c>
      <c r="Z12" s="54" t="s">
        <v>90</v>
      </c>
      <c r="AA12" s="54" t="s">
        <v>50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128</v>
      </c>
      <c r="I13" s="53" t="s">
        <v>159</v>
      </c>
      <c r="J13" s="15" t="s">
        <v>80</v>
      </c>
      <c r="K13" s="7" t="s">
        <v>45</v>
      </c>
      <c r="L13" s="7">
        <v>3</v>
      </c>
      <c r="N13" s="7">
        <v>1</v>
      </c>
      <c r="O13" s="7">
        <v>1.1000000000000001</v>
      </c>
      <c r="P13" s="7">
        <v>1.05</v>
      </c>
      <c r="Q13" s="52">
        <f t="shared" si="0"/>
        <v>1.0750000000000002</v>
      </c>
      <c r="R13" s="7">
        <v>12.6</v>
      </c>
      <c r="S13" s="7">
        <v>114</v>
      </c>
      <c r="T13" s="16">
        <f t="shared" si="1"/>
        <v>30</v>
      </c>
      <c r="U13" s="7">
        <v>90</v>
      </c>
      <c r="V13" s="16">
        <f t="shared" si="2"/>
        <v>2700</v>
      </c>
      <c r="W13" s="7">
        <v>4</v>
      </c>
      <c r="X13" s="54" t="s">
        <v>46</v>
      </c>
      <c r="Y13" s="54" t="s">
        <v>84</v>
      </c>
      <c r="Z13" s="54" t="s">
        <v>90</v>
      </c>
      <c r="AA13" s="54" t="s">
        <v>50</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0.5</v>
      </c>
      <c r="P14" s="7">
        <v>0.5</v>
      </c>
      <c r="Q14" s="52">
        <f t="shared" si="0"/>
        <v>0.5</v>
      </c>
      <c r="R14" s="7">
        <v>14</v>
      </c>
      <c r="S14" s="7">
        <v>124</v>
      </c>
      <c r="T14" s="16">
        <f t="shared" si="1"/>
        <v>27</v>
      </c>
      <c r="U14" s="7">
        <v>138</v>
      </c>
      <c r="V14" s="16">
        <f t="shared" si="2"/>
        <v>3726</v>
      </c>
      <c r="W14" s="7">
        <v>2</v>
      </c>
      <c r="X14" s="54" t="s">
        <v>46</v>
      </c>
      <c r="Y14" s="54" t="s">
        <v>84</v>
      </c>
      <c r="Z14" s="54" t="s">
        <v>90</v>
      </c>
      <c r="AA14" s="54" t="s">
        <v>50</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0.5</v>
      </c>
      <c r="P15" s="7">
        <v>0.5</v>
      </c>
      <c r="Q15" s="52">
        <f t="shared" si="0"/>
        <v>0.5</v>
      </c>
      <c r="R15" s="7">
        <v>12.8</v>
      </c>
      <c r="S15" s="7">
        <v>123</v>
      </c>
      <c r="T15" s="16">
        <f t="shared" si="1"/>
        <v>27</v>
      </c>
      <c r="U15" s="7">
        <v>138</v>
      </c>
      <c r="V15" s="16">
        <f t="shared" si="2"/>
        <v>3726</v>
      </c>
      <c r="W15" s="7">
        <v>2</v>
      </c>
      <c r="X15" s="54" t="s">
        <v>46</v>
      </c>
      <c r="Y15" s="54" t="s">
        <v>84</v>
      </c>
      <c r="Z15" s="54" t="s">
        <v>90</v>
      </c>
      <c r="AA15" s="54" t="s">
        <v>50</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0.5</v>
      </c>
      <c r="P16" s="7">
        <v>0.5</v>
      </c>
      <c r="Q16" s="52">
        <f t="shared" si="0"/>
        <v>0.5</v>
      </c>
      <c r="R16" s="7">
        <v>13.2</v>
      </c>
      <c r="S16" s="7">
        <v>124</v>
      </c>
      <c r="T16" s="16">
        <f t="shared" si="1"/>
        <v>27</v>
      </c>
      <c r="U16" s="7">
        <v>138</v>
      </c>
      <c r="V16" s="16">
        <f t="shared" si="2"/>
        <v>3726</v>
      </c>
      <c r="W16" s="7">
        <v>2</v>
      </c>
      <c r="X16" s="54" t="s">
        <v>46</v>
      </c>
      <c r="Y16" s="54" t="s">
        <v>84</v>
      </c>
      <c r="Z16" s="54" t="s">
        <v>90</v>
      </c>
      <c r="AA16" s="54" t="s">
        <v>50</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0.5</v>
      </c>
      <c r="P17" s="7">
        <v>0.5</v>
      </c>
      <c r="Q17" s="52">
        <f t="shared" si="0"/>
        <v>0.5</v>
      </c>
      <c r="R17" s="7">
        <v>19.7</v>
      </c>
      <c r="S17" s="7">
        <v>117</v>
      </c>
      <c r="T17" s="16">
        <f t="shared" si="1"/>
        <v>30</v>
      </c>
      <c r="U17" s="7">
        <v>158</v>
      </c>
      <c r="V17" s="16">
        <f t="shared" si="2"/>
        <v>4740</v>
      </c>
      <c r="W17" s="7">
        <v>3</v>
      </c>
      <c r="X17" s="54" t="s">
        <v>39</v>
      </c>
      <c r="Y17" s="54" t="s">
        <v>84</v>
      </c>
      <c r="Z17" s="54" t="s">
        <v>90</v>
      </c>
      <c r="AA17" s="54" t="s">
        <v>50</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0.5</v>
      </c>
      <c r="P18" s="7">
        <v>0.5</v>
      </c>
      <c r="Q18" s="52">
        <f t="shared" si="0"/>
        <v>0.5</v>
      </c>
      <c r="R18" s="7">
        <v>15.5</v>
      </c>
      <c r="S18" s="7">
        <v>119</v>
      </c>
      <c r="T18" s="16">
        <f t="shared" si="1"/>
        <v>30</v>
      </c>
      <c r="U18" s="7">
        <v>158</v>
      </c>
      <c r="V18" s="16">
        <f t="shared" si="2"/>
        <v>4740</v>
      </c>
      <c r="W18" s="7">
        <v>3</v>
      </c>
      <c r="X18" s="54" t="s">
        <v>39</v>
      </c>
      <c r="Y18" s="54" t="s">
        <v>84</v>
      </c>
      <c r="Z18" s="54" t="s">
        <v>90</v>
      </c>
      <c r="AA18" s="54" t="s">
        <v>50</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0.5</v>
      </c>
      <c r="P19" s="7">
        <v>0.5</v>
      </c>
      <c r="Q19" s="52">
        <f t="shared" si="0"/>
        <v>0.5</v>
      </c>
      <c r="R19" s="7">
        <v>18.5</v>
      </c>
      <c r="S19" s="7">
        <v>122</v>
      </c>
      <c r="T19" s="16">
        <f t="shared" si="1"/>
        <v>27</v>
      </c>
      <c r="U19" s="7">
        <v>158</v>
      </c>
      <c r="V19" s="16">
        <f t="shared" si="2"/>
        <v>4266</v>
      </c>
      <c r="W19" s="7">
        <v>3</v>
      </c>
      <c r="X19" s="54" t="s">
        <v>39</v>
      </c>
      <c r="Y19" s="54" t="s">
        <v>84</v>
      </c>
      <c r="Z19" s="54" t="s">
        <v>90</v>
      </c>
      <c r="AA19" s="54" t="s">
        <v>50</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0.5</v>
      </c>
      <c r="P20" s="34">
        <v>0.5</v>
      </c>
      <c r="Q20" s="52">
        <f t="shared" si="0"/>
        <v>0.5</v>
      </c>
      <c r="R20" s="7">
        <v>14.4</v>
      </c>
      <c r="S20" s="7">
        <v>120</v>
      </c>
      <c r="T20" s="16">
        <f t="shared" si="1"/>
        <v>30</v>
      </c>
      <c r="U20" s="7">
        <v>98</v>
      </c>
      <c r="V20" s="16">
        <f t="shared" si="2"/>
        <v>2940</v>
      </c>
      <c r="W20" s="7">
        <v>2</v>
      </c>
      <c r="X20" s="15" t="s">
        <v>46</v>
      </c>
      <c r="Y20" s="54" t="s">
        <v>50</v>
      </c>
      <c r="Z20" s="54" t="s">
        <v>84</v>
      </c>
      <c r="AA20" s="54" t="s">
        <v>90</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0.5</v>
      </c>
      <c r="P21" s="7">
        <v>0.5</v>
      </c>
      <c r="Q21" s="52">
        <f t="shared" si="0"/>
        <v>0.5</v>
      </c>
      <c r="R21" s="7">
        <v>15.7</v>
      </c>
      <c r="S21" s="7">
        <v>127</v>
      </c>
      <c r="T21" s="16">
        <f t="shared" si="1"/>
        <v>27</v>
      </c>
      <c r="U21" s="7">
        <v>98</v>
      </c>
      <c r="V21" s="16">
        <f t="shared" si="2"/>
        <v>2646</v>
      </c>
      <c r="W21" s="7">
        <v>2</v>
      </c>
      <c r="X21" s="54" t="s">
        <v>46</v>
      </c>
      <c r="Y21" s="54" t="s">
        <v>50</v>
      </c>
      <c r="Z21" s="54" t="s">
        <v>84</v>
      </c>
      <c r="AA21" s="54" t="s">
        <v>90</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0.5</v>
      </c>
      <c r="P22" s="7">
        <v>0.5</v>
      </c>
      <c r="Q22" s="52">
        <f t="shared" si="0"/>
        <v>0.5</v>
      </c>
      <c r="R22" s="7">
        <v>12.7</v>
      </c>
      <c r="S22" s="7">
        <v>121</v>
      </c>
      <c r="T22" s="16">
        <f t="shared" si="1"/>
        <v>27</v>
      </c>
      <c r="U22" s="7">
        <v>98</v>
      </c>
      <c r="V22" s="16">
        <f t="shared" si="2"/>
        <v>2646</v>
      </c>
      <c r="W22" s="7">
        <v>2</v>
      </c>
      <c r="X22" s="54" t="s">
        <v>46</v>
      </c>
      <c r="Y22" s="54" t="s">
        <v>50</v>
      </c>
      <c r="Z22" s="54" t="s">
        <v>84</v>
      </c>
      <c r="AA22" s="54" t="s">
        <v>90</v>
      </c>
      <c r="AB22" s="39" t="s">
        <v>158</v>
      </c>
      <c r="AE22" s="35"/>
      <c r="AP22" s="43" t="s">
        <v>115</v>
      </c>
      <c r="AR22" s="41" t="s">
        <v>83</v>
      </c>
      <c r="AV22" s="27"/>
    </row>
    <row r="23" spans="1:48" x14ac:dyDescent="0.15">
      <c r="A23" s="15" t="s">
        <v>156</v>
      </c>
      <c r="B23" s="15" t="s">
        <v>157</v>
      </c>
      <c r="C23" s="15">
        <v>2019</v>
      </c>
      <c r="D23" s="37" t="s">
        <v>166</v>
      </c>
      <c r="E23" s="7" t="s">
        <v>131</v>
      </c>
      <c r="F23" s="7" t="s">
        <v>144</v>
      </c>
      <c r="G23" s="7" t="s">
        <v>36</v>
      </c>
      <c r="H23" s="15" t="s">
        <v>164</v>
      </c>
      <c r="I23" s="7" t="s">
        <v>159</v>
      </c>
      <c r="J23" s="15" t="s">
        <v>38</v>
      </c>
      <c r="K23" s="7" t="s">
        <v>161</v>
      </c>
      <c r="L23" s="7">
        <v>1</v>
      </c>
      <c r="N23" s="7">
        <v>1</v>
      </c>
      <c r="O23" s="34">
        <v>0.5</v>
      </c>
      <c r="P23" s="7">
        <v>0.5</v>
      </c>
      <c r="Q23" s="52">
        <f t="shared" si="0"/>
        <v>0.5</v>
      </c>
      <c r="R23" s="7">
        <v>15.1</v>
      </c>
      <c r="S23" s="7">
        <v>125</v>
      </c>
      <c r="T23" s="16">
        <f t="shared" si="1"/>
        <v>27</v>
      </c>
      <c r="U23" s="7">
        <v>95</v>
      </c>
      <c r="V23" s="16">
        <f t="shared" si="2"/>
        <v>2565</v>
      </c>
      <c r="W23" s="7">
        <v>5</v>
      </c>
      <c r="X23" s="54" t="s">
        <v>46</v>
      </c>
      <c r="Y23" s="54" t="s">
        <v>50</v>
      </c>
      <c r="Z23" s="54" t="s">
        <v>84</v>
      </c>
      <c r="AA23" s="54" t="s">
        <v>78</v>
      </c>
      <c r="AB23" s="39" t="s">
        <v>158</v>
      </c>
      <c r="AE23" s="22"/>
      <c r="AP23" s="43" t="s">
        <v>137</v>
      </c>
      <c r="AR23" s="41" t="s">
        <v>61</v>
      </c>
      <c r="AV23" s="27"/>
    </row>
    <row r="24" spans="1:48" x14ac:dyDescent="0.15">
      <c r="A24" s="15" t="s">
        <v>156</v>
      </c>
      <c r="B24" s="15" t="s">
        <v>157</v>
      </c>
      <c r="C24" s="15">
        <v>2019</v>
      </c>
      <c r="D24" s="37" t="s">
        <v>166</v>
      </c>
      <c r="E24" s="7" t="s">
        <v>131</v>
      </c>
      <c r="F24" s="7" t="s">
        <v>144</v>
      </c>
      <c r="G24" s="7" t="s">
        <v>36</v>
      </c>
      <c r="H24" s="15" t="s">
        <v>164</v>
      </c>
      <c r="I24" s="7" t="s">
        <v>159</v>
      </c>
      <c r="J24" s="15" t="s">
        <v>38</v>
      </c>
      <c r="K24" s="7" t="s">
        <v>161</v>
      </c>
      <c r="L24" s="7">
        <v>2</v>
      </c>
      <c r="N24" s="7">
        <v>1</v>
      </c>
      <c r="O24" s="7">
        <v>0.5</v>
      </c>
      <c r="P24" s="7">
        <v>0.5</v>
      </c>
      <c r="Q24" s="52">
        <f t="shared" si="0"/>
        <v>0.5</v>
      </c>
      <c r="R24" s="7">
        <v>14.6</v>
      </c>
      <c r="S24" s="7">
        <v>130</v>
      </c>
      <c r="T24" s="16">
        <f t="shared" si="1"/>
        <v>25</v>
      </c>
      <c r="U24" s="7">
        <v>95</v>
      </c>
      <c r="V24" s="16">
        <f t="shared" si="2"/>
        <v>2375</v>
      </c>
      <c r="W24" s="7">
        <v>5</v>
      </c>
      <c r="X24" s="54" t="s">
        <v>46</v>
      </c>
      <c r="Y24" s="54" t="s">
        <v>50</v>
      </c>
      <c r="Z24" s="54" t="s">
        <v>84</v>
      </c>
      <c r="AA24" s="54" t="s">
        <v>78</v>
      </c>
      <c r="AB24" s="39" t="s">
        <v>158</v>
      </c>
      <c r="AE24" s="22"/>
      <c r="AP24" s="43" t="s">
        <v>138</v>
      </c>
      <c r="AR24" s="41" t="s">
        <v>91</v>
      </c>
      <c r="AV24" s="27"/>
    </row>
    <row r="25" spans="1:48" x14ac:dyDescent="0.15">
      <c r="A25" s="15" t="s">
        <v>156</v>
      </c>
      <c r="B25" s="15" t="s">
        <v>157</v>
      </c>
      <c r="C25" s="15">
        <v>2019</v>
      </c>
      <c r="D25" s="37" t="s">
        <v>166</v>
      </c>
      <c r="E25" s="7" t="s">
        <v>131</v>
      </c>
      <c r="F25" s="7" t="s">
        <v>144</v>
      </c>
      <c r="G25" s="7" t="s">
        <v>36</v>
      </c>
      <c r="H25" s="15" t="s">
        <v>164</v>
      </c>
      <c r="I25" s="7" t="s">
        <v>159</v>
      </c>
      <c r="J25" s="15" t="s">
        <v>38</v>
      </c>
      <c r="K25" s="7" t="s">
        <v>161</v>
      </c>
      <c r="L25" s="7">
        <v>3</v>
      </c>
      <c r="N25" s="7">
        <v>1</v>
      </c>
      <c r="O25" s="7">
        <v>0.5</v>
      </c>
      <c r="P25" s="7">
        <v>0.5</v>
      </c>
      <c r="Q25" s="52">
        <f t="shared" si="0"/>
        <v>0.5</v>
      </c>
      <c r="R25" s="7">
        <v>13.2</v>
      </c>
      <c r="S25" s="7">
        <v>123</v>
      </c>
      <c r="T25" s="16">
        <f t="shared" si="1"/>
        <v>27</v>
      </c>
      <c r="U25" s="7">
        <v>95</v>
      </c>
      <c r="V25" s="16">
        <f t="shared" si="2"/>
        <v>2565</v>
      </c>
      <c r="W25" s="7">
        <v>5</v>
      </c>
      <c r="X25" s="54" t="s">
        <v>46</v>
      </c>
      <c r="Y25" s="54" t="s">
        <v>50</v>
      </c>
      <c r="Z25" s="54" t="s">
        <v>84</v>
      </c>
      <c r="AA25" s="54" t="s">
        <v>78</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165</v>
      </c>
      <c r="J26" s="15" t="s">
        <v>38</v>
      </c>
      <c r="K26" s="7" t="s">
        <v>161</v>
      </c>
      <c r="L26" s="7">
        <v>1</v>
      </c>
      <c r="N26" s="53">
        <v>4</v>
      </c>
      <c r="O26" s="7">
        <v>0.55000000000000004</v>
      </c>
      <c r="P26" s="7">
        <v>0.5</v>
      </c>
      <c r="Q26" s="52">
        <f t="shared" si="0"/>
        <v>0.52500000000000002</v>
      </c>
      <c r="R26" s="7">
        <v>13.3</v>
      </c>
      <c r="S26" s="7">
        <v>105</v>
      </c>
      <c r="T26" s="16">
        <f t="shared" si="1"/>
        <v>33</v>
      </c>
      <c r="U26" s="7">
        <v>430</v>
      </c>
      <c r="V26" s="16">
        <f t="shared" si="2"/>
        <v>3547.5</v>
      </c>
      <c r="W26" s="7">
        <v>2</v>
      </c>
      <c r="X26" s="54" t="s">
        <v>46</v>
      </c>
      <c r="Y26" s="54" t="s">
        <v>50</v>
      </c>
      <c r="Z26" s="54" t="s">
        <v>84</v>
      </c>
      <c r="AA26" s="54" t="s">
        <v>78</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165</v>
      </c>
      <c r="J27" s="15" t="s">
        <v>38</v>
      </c>
      <c r="K27" s="7" t="s">
        <v>161</v>
      </c>
      <c r="L27" s="7">
        <v>2</v>
      </c>
      <c r="N27" s="53">
        <v>4</v>
      </c>
      <c r="O27" s="7">
        <v>0.55000000000000004</v>
      </c>
      <c r="P27" s="7">
        <v>0.55000000000000004</v>
      </c>
      <c r="Q27" s="52">
        <f t="shared" si="0"/>
        <v>0.55000000000000004</v>
      </c>
      <c r="R27" s="7">
        <v>14.8</v>
      </c>
      <c r="S27" s="7">
        <v>95</v>
      </c>
      <c r="T27" s="16">
        <f t="shared" si="1"/>
        <v>36</v>
      </c>
      <c r="U27" s="7">
        <v>430</v>
      </c>
      <c r="V27" s="16">
        <f t="shared" si="2"/>
        <v>3870</v>
      </c>
      <c r="W27" s="7">
        <v>2</v>
      </c>
      <c r="X27" s="54" t="s">
        <v>46</v>
      </c>
      <c r="Y27" s="54" t="s">
        <v>50</v>
      </c>
      <c r="Z27" s="54" t="s">
        <v>84</v>
      </c>
      <c r="AA27" s="54" t="s">
        <v>78</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165</v>
      </c>
      <c r="J28" s="15" t="s">
        <v>38</v>
      </c>
      <c r="K28" s="7" t="s">
        <v>161</v>
      </c>
      <c r="L28" s="7">
        <v>3</v>
      </c>
      <c r="N28" s="53">
        <v>4</v>
      </c>
      <c r="O28" s="7">
        <v>0.5</v>
      </c>
      <c r="P28" s="7">
        <v>0.5</v>
      </c>
      <c r="Q28" s="52">
        <f t="shared" si="0"/>
        <v>0.5</v>
      </c>
      <c r="R28" s="7">
        <v>13.5</v>
      </c>
      <c r="S28" s="7">
        <v>104</v>
      </c>
      <c r="T28" s="16">
        <f t="shared" si="1"/>
        <v>33</v>
      </c>
      <c r="U28" s="7">
        <v>430</v>
      </c>
      <c r="V28" s="16">
        <f t="shared" si="2"/>
        <v>3547.5</v>
      </c>
      <c r="W28" s="7">
        <v>2</v>
      </c>
      <c r="X28" s="54" t="s">
        <v>46</v>
      </c>
      <c r="Y28" s="54" t="s">
        <v>50</v>
      </c>
      <c r="Z28" s="54" t="s">
        <v>84</v>
      </c>
      <c r="AA28" s="54" t="s">
        <v>78</v>
      </c>
      <c r="AB28" s="39" t="s">
        <v>158</v>
      </c>
      <c r="AP28" s="27"/>
      <c r="AR28" s="23"/>
    </row>
    <row r="29" spans="1:48" x14ac:dyDescent="0.15">
      <c r="A29" s="15" t="s">
        <v>156</v>
      </c>
      <c r="B29" s="15" t="s">
        <v>157</v>
      </c>
      <c r="C29" s="15">
        <v>2019</v>
      </c>
      <c r="D29" s="37" t="s">
        <v>166</v>
      </c>
      <c r="E29" s="7" t="s">
        <v>131</v>
      </c>
      <c r="F29" s="7" t="s">
        <v>144</v>
      </c>
      <c r="G29" s="7" t="s">
        <v>36</v>
      </c>
      <c r="H29" s="54" t="s">
        <v>160</v>
      </c>
      <c r="I29" s="7" t="s">
        <v>159</v>
      </c>
      <c r="J29" s="15" t="s">
        <v>38</v>
      </c>
      <c r="K29" s="7" t="s">
        <v>161</v>
      </c>
      <c r="L29" s="7">
        <v>1</v>
      </c>
      <c r="N29" s="53">
        <v>1</v>
      </c>
      <c r="O29" s="7">
        <v>0.5</v>
      </c>
      <c r="P29" s="7">
        <v>0.55000000000000004</v>
      </c>
      <c r="Q29" s="52">
        <f t="shared" si="0"/>
        <v>0.52500000000000002</v>
      </c>
      <c r="R29" s="7">
        <v>12.6</v>
      </c>
      <c r="S29" s="7">
        <v>118</v>
      </c>
      <c r="T29" s="16">
        <f t="shared" si="1"/>
        <v>30</v>
      </c>
      <c r="U29" s="7">
        <v>149</v>
      </c>
      <c r="V29" s="16">
        <f t="shared" si="2"/>
        <v>4470</v>
      </c>
      <c r="W29" s="7">
        <v>1</v>
      </c>
      <c r="X29" s="54" t="s">
        <v>46</v>
      </c>
      <c r="Y29" s="54" t="s">
        <v>50</v>
      </c>
      <c r="Z29" s="54" t="s">
        <v>84</v>
      </c>
      <c r="AA29" s="54" t="s">
        <v>78</v>
      </c>
      <c r="AB29" s="39" t="s">
        <v>158</v>
      </c>
      <c r="AP29" s="27"/>
      <c r="AR29" s="27"/>
      <c r="AV29" s="28"/>
    </row>
    <row r="30" spans="1:48" x14ac:dyDescent="0.15">
      <c r="A30" s="15" t="s">
        <v>156</v>
      </c>
      <c r="B30" s="15" t="s">
        <v>157</v>
      </c>
      <c r="C30" s="15">
        <v>2019</v>
      </c>
      <c r="D30" s="37" t="s">
        <v>166</v>
      </c>
      <c r="E30" s="7" t="s">
        <v>131</v>
      </c>
      <c r="F30" s="7" t="s">
        <v>144</v>
      </c>
      <c r="G30" s="7" t="s">
        <v>36</v>
      </c>
      <c r="H30" s="54" t="s">
        <v>160</v>
      </c>
      <c r="I30" s="53" t="s">
        <v>159</v>
      </c>
      <c r="J30" s="15" t="s">
        <v>38</v>
      </c>
      <c r="K30" s="7" t="s">
        <v>161</v>
      </c>
      <c r="L30" s="7">
        <v>2</v>
      </c>
      <c r="N30" s="7">
        <v>1</v>
      </c>
      <c r="O30" s="7">
        <v>0.55000000000000004</v>
      </c>
      <c r="P30" s="7">
        <v>0.5</v>
      </c>
      <c r="Q30" s="52">
        <f t="shared" si="0"/>
        <v>0.52500000000000002</v>
      </c>
      <c r="R30" s="7">
        <v>15.8</v>
      </c>
      <c r="S30" s="7">
        <v>118</v>
      </c>
      <c r="T30" s="16">
        <f t="shared" si="1"/>
        <v>30</v>
      </c>
      <c r="U30" s="7">
        <v>149</v>
      </c>
      <c r="V30" s="16">
        <f t="shared" si="2"/>
        <v>4470</v>
      </c>
      <c r="W30" s="7">
        <v>1</v>
      </c>
      <c r="X30" s="54" t="s">
        <v>46</v>
      </c>
      <c r="Y30" s="54" t="s">
        <v>50</v>
      </c>
      <c r="Z30" s="54" t="s">
        <v>84</v>
      </c>
      <c r="AA30" s="54" t="s">
        <v>78</v>
      </c>
      <c r="AB30" s="39" t="s">
        <v>158</v>
      </c>
      <c r="AP30" s="27"/>
      <c r="AR30" s="27"/>
    </row>
    <row r="31" spans="1:48" x14ac:dyDescent="0.15">
      <c r="A31" s="15" t="s">
        <v>156</v>
      </c>
      <c r="B31" s="15" t="s">
        <v>157</v>
      </c>
      <c r="C31" s="15">
        <v>2019</v>
      </c>
      <c r="D31" s="37" t="s">
        <v>166</v>
      </c>
      <c r="E31" s="7" t="s">
        <v>131</v>
      </c>
      <c r="F31" s="7" t="s">
        <v>144</v>
      </c>
      <c r="G31" s="7" t="s">
        <v>36</v>
      </c>
      <c r="H31" s="54" t="s">
        <v>160</v>
      </c>
      <c r="I31" s="53" t="s">
        <v>159</v>
      </c>
      <c r="J31" s="15" t="s">
        <v>38</v>
      </c>
      <c r="K31" s="7" t="s">
        <v>161</v>
      </c>
      <c r="L31" s="7">
        <v>3</v>
      </c>
      <c r="N31" s="7">
        <v>1</v>
      </c>
      <c r="O31" s="7">
        <v>0.5</v>
      </c>
      <c r="P31" s="7">
        <v>0.5</v>
      </c>
      <c r="Q31" s="52">
        <f t="shared" si="0"/>
        <v>0.5</v>
      </c>
      <c r="R31" s="7">
        <v>13.3</v>
      </c>
      <c r="S31" s="7">
        <v>119</v>
      </c>
      <c r="T31" s="16">
        <f t="shared" si="1"/>
        <v>30</v>
      </c>
      <c r="U31" s="7">
        <v>149</v>
      </c>
      <c r="V31" s="16">
        <f t="shared" si="2"/>
        <v>4470</v>
      </c>
      <c r="W31" s="7">
        <v>1</v>
      </c>
      <c r="X31" s="54" t="s">
        <v>46</v>
      </c>
      <c r="Y31" s="54" t="s">
        <v>50</v>
      </c>
      <c r="Z31" s="54" t="s">
        <v>84</v>
      </c>
      <c r="AA31" s="54" t="s">
        <v>78</v>
      </c>
      <c r="AB31" s="39" t="s">
        <v>158</v>
      </c>
      <c r="AP31" s="27"/>
      <c r="AR31" s="27"/>
    </row>
    <row r="32" spans="1:48" x14ac:dyDescent="0.15">
      <c r="A32" s="15" t="s">
        <v>156</v>
      </c>
      <c r="B32" s="15" t="s">
        <v>157</v>
      </c>
      <c r="C32" s="15">
        <v>2019</v>
      </c>
      <c r="D32" s="37" t="s">
        <v>166</v>
      </c>
      <c r="E32" s="7" t="s">
        <v>139</v>
      </c>
      <c r="F32" s="7" t="s">
        <v>145</v>
      </c>
      <c r="G32" s="7" t="s">
        <v>36</v>
      </c>
      <c r="H32" s="15" t="s">
        <v>164</v>
      </c>
      <c r="I32" s="7" t="s">
        <v>159</v>
      </c>
      <c r="J32" s="15" t="s">
        <v>38</v>
      </c>
      <c r="K32" s="7" t="s">
        <v>161</v>
      </c>
      <c r="L32" s="7">
        <v>1</v>
      </c>
      <c r="N32" s="7">
        <v>1</v>
      </c>
      <c r="O32" s="7">
        <v>0.75</v>
      </c>
      <c r="P32" s="7">
        <v>0.75</v>
      </c>
      <c r="Q32" s="52">
        <f t="shared" si="0"/>
        <v>0.75</v>
      </c>
      <c r="R32" s="7">
        <v>12.8</v>
      </c>
      <c r="S32" s="7">
        <v>113</v>
      </c>
      <c r="T32" s="16">
        <f t="shared" si="1"/>
        <v>30</v>
      </c>
      <c r="U32" s="7">
        <v>100</v>
      </c>
      <c r="V32" s="16">
        <f t="shared" si="2"/>
        <v>3000</v>
      </c>
      <c r="W32" s="7">
        <v>8</v>
      </c>
      <c r="X32" s="54" t="s">
        <v>46</v>
      </c>
      <c r="Y32" s="54" t="s">
        <v>50</v>
      </c>
      <c r="Z32" s="54" t="s">
        <v>84</v>
      </c>
      <c r="AA32" s="54" t="s">
        <v>78</v>
      </c>
      <c r="AB32" s="39" t="s">
        <v>158</v>
      </c>
      <c r="AP32" s="28"/>
      <c r="AR32" s="28"/>
    </row>
    <row r="33" spans="1:44" x14ac:dyDescent="0.15">
      <c r="A33" s="15" t="s">
        <v>156</v>
      </c>
      <c r="B33" s="15" t="s">
        <v>157</v>
      </c>
      <c r="C33" s="15">
        <v>2019</v>
      </c>
      <c r="D33" s="37" t="s">
        <v>166</v>
      </c>
      <c r="E33" s="7" t="s">
        <v>139</v>
      </c>
      <c r="F33" s="7" t="s">
        <v>145</v>
      </c>
      <c r="G33" s="7" t="s">
        <v>36</v>
      </c>
      <c r="H33" s="15" t="s">
        <v>164</v>
      </c>
      <c r="I33" s="53" t="s">
        <v>159</v>
      </c>
      <c r="J33" s="15" t="s">
        <v>38</v>
      </c>
      <c r="K33" s="7" t="s">
        <v>161</v>
      </c>
      <c r="L33" s="7">
        <v>2</v>
      </c>
      <c r="N33" s="7">
        <v>1</v>
      </c>
      <c r="O33" s="7">
        <v>0.5</v>
      </c>
      <c r="P33" s="7">
        <v>0.5</v>
      </c>
      <c r="Q33" s="52">
        <f t="shared" si="0"/>
        <v>0.5</v>
      </c>
      <c r="R33" s="7">
        <v>12.6</v>
      </c>
      <c r="S33" s="7">
        <v>116</v>
      </c>
      <c r="T33" s="16">
        <f t="shared" si="1"/>
        <v>30</v>
      </c>
      <c r="U33" s="7">
        <v>100</v>
      </c>
      <c r="V33" s="16">
        <f t="shared" si="2"/>
        <v>3000</v>
      </c>
      <c r="W33" s="7">
        <v>8</v>
      </c>
      <c r="X33" s="15" t="s">
        <v>46</v>
      </c>
      <c r="Y33" s="54" t="s">
        <v>50</v>
      </c>
      <c r="Z33" s="54" t="s">
        <v>84</v>
      </c>
      <c r="AA33" s="54" t="s">
        <v>78</v>
      </c>
      <c r="AB33" s="39" t="s">
        <v>158</v>
      </c>
    </row>
    <row r="34" spans="1:44" x14ac:dyDescent="0.15">
      <c r="A34" s="15" t="s">
        <v>156</v>
      </c>
      <c r="B34" s="15" t="s">
        <v>157</v>
      </c>
      <c r="C34" s="15">
        <v>2019</v>
      </c>
      <c r="D34" s="37" t="s">
        <v>166</v>
      </c>
      <c r="E34" s="7" t="s">
        <v>139</v>
      </c>
      <c r="F34" s="7" t="s">
        <v>145</v>
      </c>
      <c r="G34" s="7" t="s">
        <v>36</v>
      </c>
      <c r="H34" s="15" t="s">
        <v>164</v>
      </c>
      <c r="I34" s="53" t="s">
        <v>159</v>
      </c>
      <c r="J34" s="15" t="s">
        <v>38</v>
      </c>
      <c r="K34" s="7" t="s">
        <v>161</v>
      </c>
      <c r="L34" s="7">
        <v>3</v>
      </c>
      <c r="N34" s="7">
        <v>1</v>
      </c>
      <c r="O34" s="7">
        <v>0.65</v>
      </c>
      <c r="P34" s="7">
        <v>0.7</v>
      </c>
      <c r="Q34" s="52">
        <f t="shared" si="0"/>
        <v>0.67500000000000004</v>
      </c>
      <c r="R34" s="7">
        <v>13.7</v>
      </c>
      <c r="S34" s="7">
        <v>116</v>
      </c>
      <c r="T34" s="16">
        <f t="shared" si="1"/>
        <v>30</v>
      </c>
      <c r="U34" s="7">
        <v>100</v>
      </c>
      <c r="V34" s="16">
        <f t="shared" si="2"/>
        <v>3000</v>
      </c>
      <c r="W34" s="7">
        <v>8</v>
      </c>
      <c r="X34" s="15" t="s">
        <v>46</v>
      </c>
      <c r="Y34" s="54" t="s">
        <v>50</v>
      </c>
      <c r="Z34" s="54" t="s">
        <v>84</v>
      </c>
      <c r="AA34" s="54" t="s">
        <v>78</v>
      </c>
      <c r="AB34" s="39" t="s">
        <v>158</v>
      </c>
    </row>
    <row r="35" spans="1:44" x14ac:dyDescent="0.15">
      <c r="A35" s="15" t="s">
        <v>156</v>
      </c>
      <c r="B35" s="15" t="s">
        <v>157</v>
      </c>
      <c r="C35" s="15">
        <v>2019</v>
      </c>
      <c r="D35" s="37" t="s">
        <v>166</v>
      </c>
      <c r="E35" s="7" t="s">
        <v>162</v>
      </c>
      <c r="F35" s="7" t="s">
        <v>163</v>
      </c>
      <c r="G35" s="7" t="s">
        <v>36</v>
      </c>
      <c r="H35" s="15" t="s">
        <v>164</v>
      </c>
      <c r="I35" s="7" t="s">
        <v>159</v>
      </c>
      <c r="J35" s="15" t="s">
        <v>38</v>
      </c>
      <c r="K35" s="7" t="s">
        <v>161</v>
      </c>
      <c r="L35" s="7">
        <v>1</v>
      </c>
      <c r="N35" s="7">
        <v>1</v>
      </c>
      <c r="O35" s="7">
        <v>0.5</v>
      </c>
      <c r="P35" s="7">
        <v>0.5</v>
      </c>
      <c r="Q35" s="52">
        <f t="shared" si="0"/>
        <v>0.5</v>
      </c>
      <c r="R35" s="7">
        <v>13.3</v>
      </c>
      <c r="S35" s="7">
        <v>121</v>
      </c>
      <c r="T35" s="16">
        <f t="shared" si="1"/>
        <v>27</v>
      </c>
      <c r="U35" s="7">
        <v>85</v>
      </c>
      <c r="V35" s="16">
        <f t="shared" si="2"/>
        <v>2295</v>
      </c>
      <c r="W35" s="7">
        <v>3</v>
      </c>
      <c r="X35" s="15" t="s">
        <v>39</v>
      </c>
      <c r="Y35" s="54" t="s">
        <v>84</v>
      </c>
      <c r="Z35" s="54" t="s">
        <v>50</v>
      </c>
      <c r="AA35" s="54" t="s">
        <v>90</v>
      </c>
      <c r="AB35" s="39" t="s">
        <v>158</v>
      </c>
      <c r="AP35" s="28"/>
      <c r="AR35" s="28"/>
    </row>
    <row r="36" spans="1:44" x14ac:dyDescent="0.15">
      <c r="A36" s="15" t="s">
        <v>156</v>
      </c>
      <c r="B36" s="15" t="s">
        <v>157</v>
      </c>
      <c r="C36" s="15">
        <v>2019</v>
      </c>
      <c r="D36" s="37" t="s">
        <v>166</v>
      </c>
      <c r="E36" s="7" t="s">
        <v>162</v>
      </c>
      <c r="F36" s="7" t="s">
        <v>163</v>
      </c>
      <c r="G36" s="7" t="s">
        <v>36</v>
      </c>
      <c r="H36" s="54" t="s">
        <v>164</v>
      </c>
      <c r="I36" s="7" t="s">
        <v>159</v>
      </c>
      <c r="J36" s="15" t="s">
        <v>38</v>
      </c>
      <c r="K36" s="7" t="s">
        <v>161</v>
      </c>
      <c r="L36" s="7">
        <v>2</v>
      </c>
      <c r="N36" s="7">
        <v>1</v>
      </c>
      <c r="O36" s="7">
        <v>0.6</v>
      </c>
      <c r="P36" s="7">
        <v>0.5</v>
      </c>
      <c r="Q36" s="52">
        <f t="shared" si="0"/>
        <v>0.55000000000000004</v>
      </c>
      <c r="R36" s="7">
        <v>12.7</v>
      </c>
      <c r="S36" s="7">
        <v>120</v>
      </c>
      <c r="T36" s="16">
        <f t="shared" si="1"/>
        <v>30</v>
      </c>
      <c r="U36" s="7">
        <v>85</v>
      </c>
      <c r="V36" s="16">
        <f t="shared" si="2"/>
        <v>2550</v>
      </c>
      <c r="W36" s="7">
        <v>3</v>
      </c>
      <c r="X36" s="54" t="s">
        <v>39</v>
      </c>
      <c r="Y36" s="54" t="s">
        <v>84</v>
      </c>
      <c r="Z36" s="54" t="s">
        <v>50</v>
      </c>
      <c r="AA36" s="54" t="s">
        <v>90</v>
      </c>
      <c r="AB36" s="39" t="s">
        <v>158</v>
      </c>
    </row>
    <row r="37" spans="1:44" x14ac:dyDescent="0.15">
      <c r="A37" s="15" t="s">
        <v>156</v>
      </c>
      <c r="B37" s="15" t="s">
        <v>157</v>
      </c>
      <c r="C37" s="15">
        <v>2019</v>
      </c>
      <c r="D37" s="37" t="s">
        <v>166</v>
      </c>
      <c r="E37" s="7" t="s">
        <v>162</v>
      </c>
      <c r="F37" s="7" t="s">
        <v>163</v>
      </c>
      <c r="G37" s="7" t="s">
        <v>36</v>
      </c>
      <c r="H37" s="54" t="s">
        <v>164</v>
      </c>
      <c r="I37" s="7" t="s">
        <v>159</v>
      </c>
      <c r="J37" s="15" t="s">
        <v>38</v>
      </c>
      <c r="K37" s="7" t="s">
        <v>161</v>
      </c>
      <c r="L37" s="7">
        <v>3</v>
      </c>
      <c r="N37" s="7">
        <v>1</v>
      </c>
      <c r="O37" s="34">
        <v>0.5</v>
      </c>
      <c r="P37" s="34">
        <v>0.5</v>
      </c>
      <c r="Q37" s="52">
        <f t="shared" si="0"/>
        <v>0.5</v>
      </c>
      <c r="R37" s="7">
        <v>14.8</v>
      </c>
      <c r="S37" s="7">
        <v>119</v>
      </c>
      <c r="T37" s="16">
        <f t="shared" si="1"/>
        <v>30</v>
      </c>
      <c r="U37" s="7">
        <v>85</v>
      </c>
      <c r="V37" s="16">
        <f t="shared" si="2"/>
        <v>2550</v>
      </c>
      <c r="W37" s="7">
        <v>3</v>
      </c>
      <c r="X37" s="54" t="s">
        <v>39</v>
      </c>
      <c r="Y37" s="54" t="s">
        <v>84</v>
      </c>
      <c r="Z37" s="54" t="s">
        <v>50</v>
      </c>
      <c r="AA37" s="54" t="s">
        <v>90</v>
      </c>
      <c r="AB37" s="39" t="s">
        <v>158</v>
      </c>
    </row>
    <row r="38" spans="1:44" x14ac:dyDescent="0.15">
      <c r="A38" s="15" t="s">
        <v>156</v>
      </c>
      <c r="B38" s="15" t="s">
        <v>157</v>
      </c>
      <c r="C38" s="15">
        <v>2019</v>
      </c>
      <c r="D38" s="37" t="s">
        <v>166</v>
      </c>
      <c r="E38" s="7" t="s">
        <v>162</v>
      </c>
      <c r="F38" s="7" t="s">
        <v>163</v>
      </c>
      <c r="G38" s="7" t="s">
        <v>36</v>
      </c>
      <c r="H38" s="15" t="s">
        <v>160</v>
      </c>
      <c r="I38" s="7" t="s">
        <v>159</v>
      </c>
      <c r="J38" s="15" t="s">
        <v>38</v>
      </c>
      <c r="K38" s="7" t="s">
        <v>161</v>
      </c>
      <c r="L38" s="7">
        <v>1</v>
      </c>
      <c r="N38" s="53">
        <v>1</v>
      </c>
      <c r="O38" s="34">
        <v>0.5</v>
      </c>
      <c r="P38" s="34">
        <v>0.5</v>
      </c>
      <c r="Q38" s="52">
        <f t="shared" si="0"/>
        <v>0.5</v>
      </c>
      <c r="R38" s="7">
        <v>18.7</v>
      </c>
      <c r="S38" s="7">
        <v>135</v>
      </c>
      <c r="T38" s="16">
        <f t="shared" si="1"/>
        <v>25</v>
      </c>
      <c r="U38" s="7">
        <v>128</v>
      </c>
      <c r="V38" s="16">
        <f t="shared" si="2"/>
        <v>3200</v>
      </c>
      <c r="W38" s="7">
        <v>1</v>
      </c>
      <c r="X38" s="54" t="s">
        <v>39</v>
      </c>
      <c r="Y38" s="54" t="s">
        <v>84</v>
      </c>
      <c r="Z38" s="54" t="s">
        <v>50</v>
      </c>
      <c r="AA38" s="54" t="s">
        <v>90</v>
      </c>
      <c r="AB38" s="39" t="s">
        <v>158</v>
      </c>
    </row>
    <row r="39" spans="1:44" x14ac:dyDescent="0.15">
      <c r="A39" s="15" t="s">
        <v>156</v>
      </c>
      <c r="B39" s="15" t="s">
        <v>157</v>
      </c>
      <c r="C39" s="15">
        <v>2019</v>
      </c>
      <c r="D39" s="37" t="s">
        <v>166</v>
      </c>
      <c r="E39" s="7" t="s">
        <v>162</v>
      </c>
      <c r="F39" s="7" t="s">
        <v>163</v>
      </c>
      <c r="G39" s="7" t="s">
        <v>36</v>
      </c>
      <c r="H39" s="54" t="s">
        <v>160</v>
      </c>
      <c r="I39" s="7" t="s">
        <v>159</v>
      </c>
      <c r="J39" s="15" t="s">
        <v>38</v>
      </c>
      <c r="K39" s="7" t="s">
        <v>161</v>
      </c>
      <c r="L39" s="7">
        <v>2</v>
      </c>
      <c r="N39" s="53">
        <v>1</v>
      </c>
      <c r="O39" s="7">
        <v>0.5</v>
      </c>
      <c r="P39" s="7">
        <v>0.5</v>
      </c>
      <c r="Q39" s="52">
        <f t="shared" si="0"/>
        <v>0.5</v>
      </c>
      <c r="R39" s="34">
        <v>15.2</v>
      </c>
      <c r="S39" s="7">
        <v>129</v>
      </c>
      <c r="T39" s="16">
        <f t="shared" si="1"/>
        <v>25</v>
      </c>
      <c r="U39" s="7">
        <v>128</v>
      </c>
      <c r="V39" s="16">
        <f t="shared" si="2"/>
        <v>3200</v>
      </c>
      <c r="W39" s="7">
        <v>1</v>
      </c>
      <c r="X39" s="54" t="s">
        <v>39</v>
      </c>
      <c r="Y39" s="54" t="s">
        <v>84</v>
      </c>
      <c r="Z39" s="54" t="s">
        <v>50</v>
      </c>
      <c r="AA39" s="54" t="s">
        <v>90</v>
      </c>
      <c r="AB39" s="39" t="s">
        <v>158</v>
      </c>
    </row>
    <row r="40" spans="1:44" x14ac:dyDescent="0.15">
      <c r="A40" s="15" t="s">
        <v>156</v>
      </c>
      <c r="B40" s="15" t="s">
        <v>157</v>
      </c>
      <c r="C40" s="15">
        <v>2019</v>
      </c>
      <c r="D40" s="37" t="s">
        <v>166</v>
      </c>
      <c r="E40" s="7" t="s">
        <v>162</v>
      </c>
      <c r="F40" s="7" t="s">
        <v>163</v>
      </c>
      <c r="G40" s="7" t="s">
        <v>36</v>
      </c>
      <c r="H40" s="54" t="s">
        <v>160</v>
      </c>
      <c r="I40" s="7" t="s">
        <v>159</v>
      </c>
      <c r="J40" s="15" t="s">
        <v>38</v>
      </c>
      <c r="K40" s="7" t="s">
        <v>161</v>
      </c>
      <c r="L40" s="7">
        <v>3</v>
      </c>
      <c r="N40" s="53">
        <v>1</v>
      </c>
      <c r="O40" s="7">
        <v>0.5</v>
      </c>
      <c r="P40" s="7">
        <v>0.5</v>
      </c>
      <c r="Q40" s="52">
        <f t="shared" si="0"/>
        <v>0.5</v>
      </c>
      <c r="R40" s="7">
        <v>13.6</v>
      </c>
      <c r="S40" s="7">
        <v>131</v>
      </c>
      <c r="T40" s="16">
        <f t="shared" si="1"/>
        <v>25</v>
      </c>
      <c r="U40" s="7">
        <v>128</v>
      </c>
      <c r="V40" s="16">
        <f t="shared" si="2"/>
        <v>3200</v>
      </c>
      <c r="W40" s="7">
        <v>1</v>
      </c>
      <c r="X40" s="54" t="s">
        <v>39</v>
      </c>
      <c r="Y40" s="54" t="s">
        <v>84</v>
      </c>
      <c r="Z40" s="54" t="s">
        <v>50</v>
      </c>
      <c r="AA40" s="54" t="s">
        <v>90</v>
      </c>
      <c r="AB40" s="39" t="s">
        <v>158</v>
      </c>
    </row>
    <row r="41" spans="1:44" ht="12.75" customHeight="1" x14ac:dyDescent="0.15">
      <c r="A41" s="15" t="s">
        <v>156</v>
      </c>
      <c r="B41" s="15" t="s">
        <v>157</v>
      </c>
      <c r="C41" s="15">
        <v>2019</v>
      </c>
      <c r="D41" s="37" t="s">
        <v>166</v>
      </c>
      <c r="E41" s="7" t="s">
        <v>130</v>
      </c>
      <c r="F41" s="7" t="s">
        <v>146</v>
      </c>
      <c r="G41" s="7" t="s">
        <v>36</v>
      </c>
      <c r="H41" s="15" t="s">
        <v>164</v>
      </c>
      <c r="I41" s="7" t="s">
        <v>159</v>
      </c>
      <c r="J41" s="15" t="s">
        <v>38</v>
      </c>
      <c r="K41" s="7" t="s">
        <v>161</v>
      </c>
      <c r="L41" s="7">
        <v>1</v>
      </c>
      <c r="N41" s="7">
        <v>1</v>
      </c>
      <c r="O41" s="7">
        <v>0.5</v>
      </c>
      <c r="P41" s="7">
        <v>0.5</v>
      </c>
      <c r="Q41" s="52">
        <f t="shared" si="0"/>
        <v>0.5</v>
      </c>
      <c r="R41" s="7">
        <v>10.6</v>
      </c>
      <c r="S41" s="7">
        <v>121</v>
      </c>
      <c r="T41" s="16">
        <f t="shared" si="1"/>
        <v>27</v>
      </c>
      <c r="U41" s="7">
        <v>98</v>
      </c>
      <c r="V41" s="16">
        <f t="shared" si="2"/>
        <v>2646</v>
      </c>
      <c r="W41" s="7">
        <v>8</v>
      </c>
      <c r="X41" s="54" t="s">
        <v>46</v>
      </c>
      <c r="Y41" s="54" t="s">
        <v>50</v>
      </c>
      <c r="Z41" s="54" t="s">
        <v>84</v>
      </c>
      <c r="AA41" s="54" t="s">
        <v>90</v>
      </c>
      <c r="AB41" s="39" t="s">
        <v>158</v>
      </c>
    </row>
    <row r="42" spans="1:44" x14ac:dyDescent="0.15">
      <c r="A42" s="15" t="s">
        <v>156</v>
      </c>
      <c r="B42" s="15" t="s">
        <v>157</v>
      </c>
      <c r="C42" s="15">
        <v>2019</v>
      </c>
      <c r="D42" s="37" t="s">
        <v>166</v>
      </c>
      <c r="E42" s="7" t="s">
        <v>130</v>
      </c>
      <c r="F42" s="7" t="s">
        <v>146</v>
      </c>
      <c r="G42" s="7" t="s">
        <v>36</v>
      </c>
      <c r="H42" s="54" t="s">
        <v>164</v>
      </c>
      <c r="I42" s="7" t="s">
        <v>159</v>
      </c>
      <c r="J42" s="15" t="s">
        <v>38</v>
      </c>
      <c r="K42" s="7" t="s">
        <v>161</v>
      </c>
      <c r="L42" s="7">
        <v>2</v>
      </c>
      <c r="N42" s="7">
        <v>1</v>
      </c>
      <c r="O42" s="7">
        <v>0.5</v>
      </c>
      <c r="P42" s="7">
        <v>0.5</v>
      </c>
      <c r="Q42" s="52">
        <f t="shared" si="0"/>
        <v>0.5</v>
      </c>
      <c r="R42" s="7">
        <v>11.8</v>
      </c>
      <c r="S42" s="7">
        <v>117</v>
      </c>
      <c r="T42" s="16">
        <f t="shared" si="1"/>
        <v>30</v>
      </c>
      <c r="U42" s="7">
        <v>98</v>
      </c>
      <c r="V42" s="16">
        <f t="shared" si="2"/>
        <v>2940</v>
      </c>
      <c r="W42" s="7">
        <v>8</v>
      </c>
      <c r="X42" s="54" t="s">
        <v>46</v>
      </c>
      <c r="Y42" s="54" t="s">
        <v>50</v>
      </c>
      <c r="Z42" s="54" t="s">
        <v>84</v>
      </c>
      <c r="AA42" s="54" t="s">
        <v>90</v>
      </c>
      <c r="AB42" s="39" t="s">
        <v>158</v>
      </c>
    </row>
    <row r="43" spans="1:44" x14ac:dyDescent="0.15">
      <c r="A43" s="15" t="s">
        <v>156</v>
      </c>
      <c r="B43" s="15" t="s">
        <v>157</v>
      </c>
      <c r="C43" s="15">
        <v>2019</v>
      </c>
      <c r="D43" s="37" t="s">
        <v>166</v>
      </c>
      <c r="E43" s="7" t="s">
        <v>130</v>
      </c>
      <c r="F43" s="7" t="s">
        <v>146</v>
      </c>
      <c r="G43" s="7" t="s">
        <v>36</v>
      </c>
      <c r="H43" s="54" t="s">
        <v>164</v>
      </c>
      <c r="I43" s="7" t="s">
        <v>159</v>
      </c>
      <c r="J43" s="15" t="s">
        <v>38</v>
      </c>
      <c r="K43" s="7" t="s">
        <v>161</v>
      </c>
      <c r="L43" s="7">
        <v>3</v>
      </c>
      <c r="N43" s="7">
        <v>1</v>
      </c>
      <c r="O43" s="7">
        <v>0.5</v>
      </c>
      <c r="P43" s="7">
        <v>0.5</v>
      </c>
      <c r="Q43" s="52">
        <f t="shared" si="0"/>
        <v>0.5</v>
      </c>
      <c r="R43" s="7">
        <v>12.3</v>
      </c>
      <c r="S43" s="7">
        <v>115</v>
      </c>
      <c r="T43" s="16">
        <f t="shared" si="1"/>
        <v>30</v>
      </c>
      <c r="U43" s="7">
        <v>98</v>
      </c>
      <c r="V43" s="16">
        <f t="shared" si="2"/>
        <v>2940</v>
      </c>
      <c r="W43" s="7">
        <v>8</v>
      </c>
      <c r="X43" s="54" t="s">
        <v>46</v>
      </c>
      <c r="Y43" s="54" t="s">
        <v>50</v>
      </c>
      <c r="Z43" s="54" t="s">
        <v>84</v>
      </c>
      <c r="AA43" s="54" t="s">
        <v>90</v>
      </c>
      <c r="AB43" s="39" t="s">
        <v>158</v>
      </c>
    </row>
    <row r="44" spans="1:44" x14ac:dyDescent="0.15">
      <c r="A44" s="15" t="s">
        <v>156</v>
      </c>
      <c r="B44" s="15" t="s">
        <v>157</v>
      </c>
      <c r="C44" s="15">
        <v>2019</v>
      </c>
      <c r="D44" s="37" t="s">
        <v>166</v>
      </c>
      <c r="E44" s="7" t="s">
        <v>132</v>
      </c>
      <c r="F44" s="7" t="s">
        <v>147</v>
      </c>
      <c r="G44" s="7" t="s">
        <v>36</v>
      </c>
      <c r="H44" s="15" t="s">
        <v>164</v>
      </c>
      <c r="I44" s="7" t="s">
        <v>159</v>
      </c>
      <c r="J44" s="15" t="s">
        <v>38</v>
      </c>
      <c r="K44" s="7" t="s">
        <v>161</v>
      </c>
      <c r="L44" s="7">
        <v>1</v>
      </c>
      <c r="N44" s="7">
        <v>1</v>
      </c>
      <c r="O44" s="7">
        <v>0.55000000000000004</v>
      </c>
      <c r="P44" s="7">
        <v>0.5</v>
      </c>
      <c r="Q44" s="52">
        <f t="shared" si="0"/>
        <v>0.52500000000000002</v>
      </c>
      <c r="R44" s="7">
        <v>13.3</v>
      </c>
      <c r="S44" s="7">
        <v>113</v>
      </c>
      <c r="T44" s="16">
        <f t="shared" si="1"/>
        <v>30</v>
      </c>
      <c r="U44" s="7">
        <v>138</v>
      </c>
      <c r="V44" s="16">
        <f t="shared" si="2"/>
        <v>4140</v>
      </c>
      <c r="W44" s="7">
        <v>3</v>
      </c>
      <c r="X44" s="54" t="s">
        <v>46</v>
      </c>
      <c r="Y44" s="54" t="s">
        <v>84</v>
      </c>
      <c r="Z44" s="54" t="s">
        <v>50</v>
      </c>
      <c r="AA44" s="54" t="s">
        <v>90</v>
      </c>
      <c r="AB44" s="39" t="s">
        <v>158</v>
      </c>
    </row>
    <row r="45" spans="1:44" x14ac:dyDescent="0.15">
      <c r="A45" s="15" t="s">
        <v>156</v>
      </c>
      <c r="B45" s="15" t="s">
        <v>157</v>
      </c>
      <c r="C45" s="15">
        <v>2019</v>
      </c>
      <c r="D45" s="37" t="s">
        <v>166</v>
      </c>
      <c r="E45" s="7" t="s">
        <v>132</v>
      </c>
      <c r="F45" s="7" t="s">
        <v>147</v>
      </c>
      <c r="G45" s="7" t="s">
        <v>36</v>
      </c>
      <c r="H45" s="15" t="s">
        <v>164</v>
      </c>
      <c r="I45" s="7" t="s">
        <v>159</v>
      </c>
      <c r="J45" s="15" t="s">
        <v>38</v>
      </c>
      <c r="K45" s="7" t="s">
        <v>161</v>
      </c>
      <c r="L45" s="7">
        <v>2</v>
      </c>
      <c r="N45" s="7">
        <v>1</v>
      </c>
      <c r="O45" s="7">
        <v>0.55000000000000004</v>
      </c>
      <c r="P45" s="7">
        <v>0.55000000000000004</v>
      </c>
      <c r="Q45" s="52">
        <f t="shared" si="0"/>
        <v>0.55000000000000004</v>
      </c>
      <c r="R45" s="7">
        <v>12.6</v>
      </c>
      <c r="S45" s="7">
        <v>122</v>
      </c>
      <c r="T45" s="16">
        <f t="shared" si="1"/>
        <v>27</v>
      </c>
      <c r="U45" s="7">
        <v>138</v>
      </c>
      <c r="V45" s="16">
        <f t="shared" si="2"/>
        <v>3726</v>
      </c>
      <c r="W45" s="7">
        <v>3</v>
      </c>
      <c r="X45" s="54" t="s">
        <v>46</v>
      </c>
      <c r="Y45" s="54" t="s">
        <v>84</v>
      </c>
      <c r="Z45" s="54" t="s">
        <v>50</v>
      </c>
      <c r="AA45" s="54" t="s">
        <v>90</v>
      </c>
      <c r="AB45" s="39" t="s">
        <v>158</v>
      </c>
    </row>
    <row r="46" spans="1:44" x14ac:dyDescent="0.15">
      <c r="A46" s="15" t="s">
        <v>156</v>
      </c>
      <c r="B46" s="15" t="s">
        <v>157</v>
      </c>
      <c r="C46" s="15">
        <v>2019</v>
      </c>
      <c r="D46" s="37" t="s">
        <v>166</v>
      </c>
      <c r="E46" s="7" t="s">
        <v>132</v>
      </c>
      <c r="F46" s="7" t="s">
        <v>147</v>
      </c>
      <c r="G46" s="7" t="s">
        <v>36</v>
      </c>
      <c r="H46" s="15" t="s">
        <v>164</v>
      </c>
      <c r="I46" s="7" t="s">
        <v>159</v>
      </c>
      <c r="J46" s="15" t="s">
        <v>38</v>
      </c>
      <c r="K46" s="7" t="s">
        <v>161</v>
      </c>
      <c r="L46" s="7">
        <v>3</v>
      </c>
      <c r="N46" s="7">
        <v>1</v>
      </c>
      <c r="O46" s="7">
        <v>0.6</v>
      </c>
      <c r="P46" s="34">
        <v>0.55000000000000004</v>
      </c>
      <c r="Q46" s="52">
        <f t="shared" si="0"/>
        <v>0.57499999999999996</v>
      </c>
      <c r="R46" s="7">
        <v>15</v>
      </c>
      <c r="S46" s="7">
        <v>122</v>
      </c>
      <c r="T46" s="16">
        <f t="shared" si="1"/>
        <v>27</v>
      </c>
      <c r="U46" s="7">
        <v>138</v>
      </c>
      <c r="V46" s="16">
        <f t="shared" si="2"/>
        <v>3726</v>
      </c>
      <c r="W46" s="7">
        <v>3</v>
      </c>
      <c r="X46" s="54" t="s">
        <v>46</v>
      </c>
      <c r="Y46" s="54" t="s">
        <v>84</v>
      </c>
      <c r="Z46" s="54" t="s">
        <v>50</v>
      </c>
      <c r="AA46" s="54" t="s">
        <v>90</v>
      </c>
      <c r="AB46" s="39" t="s">
        <v>158</v>
      </c>
    </row>
    <row r="47" spans="1:44" x14ac:dyDescent="0.15">
      <c r="A47" s="15" t="s">
        <v>156</v>
      </c>
      <c r="B47" s="15" t="s">
        <v>157</v>
      </c>
      <c r="C47" s="15">
        <v>2019</v>
      </c>
      <c r="D47" s="37" t="s">
        <v>166</v>
      </c>
      <c r="E47" s="7" t="s">
        <v>140</v>
      </c>
      <c r="F47" s="7" t="s">
        <v>148</v>
      </c>
      <c r="G47" s="7" t="s">
        <v>36</v>
      </c>
      <c r="H47" s="15" t="s">
        <v>164</v>
      </c>
      <c r="I47" s="7" t="s">
        <v>159</v>
      </c>
      <c r="J47" s="15" t="s">
        <v>38</v>
      </c>
      <c r="K47" s="7" t="s">
        <v>161</v>
      </c>
      <c r="L47" s="7">
        <v>1</v>
      </c>
      <c r="N47" s="7">
        <v>1</v>
      </c>
      <c r="O47" s="7">
        <v>0.5</v>
      </c>
      <c r="P47" s="7">
        <v>0.55000000000000004</v>
      </c>
      <c r="Q47" s="52">
        <f t="shared" si="0"/>
        <v>0.52500000000000002</v>
      </c>
      <c r="R47" s="7">
        <v>13.4</v>
      </c>
      <c r="S47" s="7">
        <v>115</v>
      </c>
      <c r="T47" s="16">
        <f t="shared" si="1"/>
        <v>30</v>
      </c>
      <c r="U47" s="7">
        <v>105</v>
      </c>
      <c r="V47" s="16">
        <f t="shared" si="2"/>
        <v>3150</v>
      </c>
      <c r="W47" s="7">
        <v>7</v>
      </c>
      <c r="X47" s="15" t="s">
        <v>46</v>
      </c>
      <c r="Y47" s="54" t="s">
        <v>84</v>
      </c>
      <c r="Z47" s="54" t="s">
        <v>90</v>
      </c>
      <c r="AA47" s="54" t="s">
        <v>69</v>
      </c>
      <c r="AB47" s="39" t="s">
        <v>158</v>
      </c>
    </row>
    <row r="48" spans="1:44" x14ac:dyDescent="0.15">
      <c r="A48" s="15" t="s">
        <v>156</v>
      </c>
      <c r="B48" s="15" t="s">
        <v>157</v>
      </c>
      <c r="C48" s="15">
        <v>2019</v>
      </c>
      <c r="D48" s="37" t="s">
        <v>166</v>
      </c>
      <c r="E48" s="7" t="s">
        <v>140</v>
      </c>
      <c r="F48" s="7" t="s">
        <v>148</v>
      </c>
      <c r="G48" s="7" t="s">
        <v>36</v>
      </c>
      <c r="H48" s="15" t="s">
        <v>164</v>
      </c>
      <c r="I48" s="7" t="s">
        <v>159</v>
      </c>
      <c r="J48" s="15" t="s">
        <v>38</v>
      </c>
      <c r="K48" s="7" t="s">
        <v>161</v>
      </c>
      <c r="L48" s="7">
        <v>2</v>
      </c>
      <c r="N48" s="7">
        <v>1</v>
      </c>
      <c r="O48" s="7">
        <v>0.5</v>
      </c>
      <c r="P48" s="7">
        <v>0.5</v>
      </c>
      <c r="Q48" s="52">
        <f t="shared" si="0"/>
        <v>0.5</v>
      </c>
      <c r="R48" s="7">
        <v>12</v>
      </c>
      <c r="S48" s="7">
        <v>121</v>
      </c>
      <c r="T48" s="16">
        <f t="shared" si="1"/>
        <v>27</v>
      </c>
      <c r="U48" s="7">
        <v>105</v>
      </c>
      <c r="V48" s="16">
        <f t="shared" si="2"/>
        <v>2835</v>
      </c>
      <c r="W48" s="7">
        <v>7</v>
      </c>
      <c r="X48" s="15" t="s">
        <v>46</v>
      </c>
      <c r="Y48" s="54" t="s">
        <v>84</v>
      </c>
      <c r="Z48" s="54" t="s">
        <v>90</v>
      </c>
      <c r="AA48" s="54" t="s">
        <v>69</v>
      </c>
      <c r="AB48" s="39" t="s">
        <v>158</v>
      </c>
    </row>
    <row r="49" spans="1:29" x14ac:dyDescent="0.15">
      <c r="A49" s="15" t="s">
        <v>156</v>
      </c>
      <c r="B49" s="15" t="s">
        <v>157</v>
      </c>
      <c r="C49" s="15">
        <v>2019</v>
      </c>
      <c r="D49" s="37" t="s">
        <v>166</v>
      </c>
      <c r="E49" s="7" t="s">
        <v>140</v>
      </c>
      <c r="F49" s="7" t="s">
        <v>148</v>
      </c>
      <c r="G49" s="7" t="s">
        <v>36</v>
      </c>
      <c r="H49" s="15" t="s">
        <v>164</v>
      </c>
      <c r="I49" s="7" t="s">
        <v>159</v>
      </c>
      <c r="J49" s="15" t="s">
        <v>38</v>
      </c>
      <c r="K49" s="7" t="s">
        <v>161</v>
      </c>
      <c r="L49" s="7">
        <v>3</v>
      </c>
      <c r="N49" s="7">
        <v>1</v>
      </c>
      <c r="O49" s="7">
        <v>0.55000000000000004</v>
      </c>
      <c r="P49" s="34">
        <v>0.5</v>
      </c>
      <c r="Q49" s="52">
        <f t="shared" si="0"/>
        <v>0.52500000000000002</v>
      </c>
      <c r="R49" s="7">
        <v>13.3</v>
      </c>
      <c r="S49" s="7">
        <v>119</v>
      </c>
      <c r="T49" s="16">
        <f t="shared" si="1"/>
        <v>30</v>
      </c>
      <c r="U49" s="7">
        <v>105</v>
      </c>
      <c r="V49" s="16">
        <f t="shared" si="2"/>
        <v>3150</v>
      </c>
      <c r="W49" s="7">
        <v>7</v>
      </c>
      <c r="X49" s="15" t="s">
        <v>46</v>
      </c>
      <c r="Y49" s="54" t="s">
        <v>84</v>
      </c>
      <c r="Z49" s="54" t="s">
        <v>90</v>
      </c>
      <c r="AA49" s="54" t="s">
        <v>69</v>
      </c>
      <c r="AB49" s="39" t="s">
        <v>158</v>
      </c>
    </row>
    <row r="50" spans="1:29" x14ac:dyDescent="0.15">
      <c r="A50" s="15" t="s">
        <v>156</v>
      </c>
      <c r="B50" s="15" t="s">
        <v>157</v>
      </c>
      <c r="C50" s="15">
        <v>2019</v>
      </c>
      <c r="D50" s="37" t="s">
        <v>166</v>
      </c>
      <c r="E50" s="7" t="s">
        <v>140</v>
      </c>
      <c r="F50" s="7" t="s">
        <v>148</v>
      </c>
      <c r="G50" s="7" t="s">
        <v>36</v>
      </c>
      <c r="H50" s="15" t="s">
        <v>160</v>
      </c>
      <c r="I50" s="7" t="s">
        <v>159</v>
      </c>
      <c r="J50" s="15" t="s">
        <v>38</v>
      </c>
      <c r="K50" s="7" t="s">
        <v>161</v>
      </c>
      <c r="L50" s="7">
        <v>1</v>
      </c>
      <c r="N50" s="7">
        <v>1</v>
      </c>
      <c r="O50" s="7">
        <v>0.5</v>
      </c>
      <c r="P50" s="7">
        <v>0.5</v>
      </c>
      <c r="Q50" s="52">
        <f t="shared" si="0"/>
        <v>0.5</v>
      </c>
      <c r="R50" s="7">
        <v>13.4</v>
      </c>
      <c r="S50" s="7">
        <v>103</v>
      </c>
      <c r="T50" s="16">
        <f t="shared" si="1"/>
        <v>33</v>
      </c>
      <c r="U50" s="7">
        <v>138</v>
      </c>
      <c r="V50" s="16">
        <f t="shared" si="2"/>
        <v>4554</v>
      </c>
      <c r="W50" s="7">
        <v>3</v>
      </c>
      <c r="X50" s="15" t="s">
        <v>46</v>
      </c>
      <c r="Y50" s="54" t="s">
        <v>84</v>
      </c>
      <c r="Z50" s="54" t="s">
        <v>90</v>
      </c>
      <c r="AA50" s="54" t="s">
        <v>69</v>
      </c>
      <c r="AB50" s="39" t="s">
        <v>158</v>
      </c>
    </row>
    <row r="51" spans="1:29" x14ac:dyDescent="0.15">
      <c r="A51" s="15" t="s">
        <v>156</v>
      </c>
      <c r="B51" s="15" t="s">
        <v>157</v>
      </c>
      <c r="C51" s="15">
        <v>2019</v>
      </c>
      <c r="D51" s="37" t="s">
        <v>166</v>
      </c>
      <c r="E51" s="7" t="s">
        <v>140</v>
      </c>
      <c r="F51" s="7" t="s">
        <v>148</v>
      </c>
      <c r="G51" s="7" t="s">
        <v>36</v>
      </c>
      <c r="H51" s="15" t="s">
        <v>160</v>
      </c>
      <c r="I51" s="7" t="s">
        <v>159</v>
      </c>
      <c r="J51" s="15" t="s">
        <v>38</v>
      </c>
      <c r="K51" s="7" t="s">
        <v>161</v>
      </c>
      <c r="L51" s="7">
        <v>2</v>
      </c>
      <c r="N51" s="7">
        <v>1</v>
      </c>
      <c r="O51" s="7">
        <v>0.5</v>
      </c>
      <c r="P51" s="7">
        <v>0.5</v>
      </c>
      <c r="Q51" s="52">
        <f t="shared" si="0"/>
        <v>0.5</v>
      </c>
      <c r="R51" s="7">
        <v>18.5</v>
      </c>
      <c r="S51" s="7">
        <v>106</v>
      </c>
      <c r="T51" s="16">
        <f t="shared" si="1"/>
        <v>33</v>
      </c>
      <c r="U51" s="7">
        <v>138</v>
      </c>
      <c r="V51" s="16">
        <f t="shared" si="2"/>
        <v>4554</v>
      </c>
      <c r="W51" s="7">
        <v>3</v>
      </c>
      <c r="X51" s="15" t="s">
        <v>46</v>
      </c>
      <c r="Y51" s="54" t="s">
        <v>84</v>
      </c>
      <c r="Z51" s="54" t="s">
        <v>90</v>
      </c>
      <c r="AA51" s="54" t="s">
        <v>69</v>
      </c>
      <c r="AB51" s="39" t="s">
        <v>158</v>
      </c>
    </row>
    <row r="52" spans="1:29" x14ac:dyDescent="0.15">
      <c r="A52" s="15" t="s">
        <v>156</v>
      </c>
      <c r="B52" s="15" t="s">
        <v>157</v>
      </c>
      <c r="C52" s="15">
        <v>2019</v>
      </c>
      <c r="D52" s="37" t="s">
        <v>166</v>
      </c>
      <c r="E52" s="7" t="s">
        <v>140</v>
      </c>
      <c r="F52" s="7" t="s">
        <v>148</v>
      </c>
      <c r="G52" s="7" t="s">
        <v>36</v>
      </c>
      <c r="H52" s="15" t="s">
        <v>160</v>
      </c>
      <c r="I52" s="7" t="s">
        <v>159</v>
      </c>
      <c r="J52" s="15" t="s">
        <v>38</v>
      </c>
      <c r="K52" s="7" t="s">
        <v>161</v>
      </c>
      <c r="L52" s="7">
        <v>3</v>
      </c>
      <c r="N52" s="7">
        <v>1</v>
      </c>
      <c r="O52" s="7">
        <v>0.5</v>
      </c>
      <c r="P52" s="7">
        <v>0.5</v>
      </c>
      <c r="Q52" s="52">
        <f t="shared" si="0"/>
        <v>0.5</v>
      </c>
      <c r="R52" s="7">
        <v>15.1</v>
      </c>
      <c r="S52" s="7">
        <v>104</v>
      </c>
      <c r="T52" s="16">
        <f t="shared" si="1"/>
        <v>33</v>
      </c>
      <c r="U52" s="7">
        <v>138</v>
      </c>
      <c r="V52" s="16">
        <f t="shared" si="2"/>
        <v>4554</v>
      </c>
      <c r="W52" s="7">
        <v>3</v>
      </c>
      <c r="X52" s="15" t="s">
        <v>46</v>
      </c>
      <c r="Y52" s="54" t="s">
        <v>84</v>
      </c>
      <c r="Z52" s="54" t="s">
        <v>90</v>
      </c>
      <c r="AA52" s="54" t="s">
        <v>69</v>
      </c>
      <c r="AB52" s="39" t="s">
        <v>158</v>
      </c>
    </row>
    <row r="53" spans="1:29" x14ac:dyDescent="0.15">
      <c r="A53" s="15"/>
      <c r="B53" s="15"/>
      <c r="C53" s="15"/>
      <c r="D53" s="37"/>
      <c r="H53" s="15"/>
      <c r="J53" s="15"/>
      <c r="Q53" s="52" t="str">
        <f t="shared" si="0"/>
        <v/>
      </c>
      <c r="T53" s="16" t="str">
        <f t="shared" si="1"/>
        <v/>
      </c>
      <c r="V53" s="16" t="str">
        <f t="shared" si="2"/>
        <v/>
      </c>
      <c r="X53" s="15"/>
      <c r="Y53" s="54"/>
      <c r="Z53" s="54"/>
      <c r="AA53" s="54"/>
      <c r="AB53" s="39"/>
      <c r="AC53" s="36"/>
    </row>
    <row r="54" spans="1:29" x14ac:dyDescent="0.15">
      <c r="A54" s="15"/>
      <c r="B54" s="15"/>
      <c r="C54" s="15"/>
      <c r="D54" s="37"/>
      <c r="H54" s="15"/>
      <c r="J54" s="15"/>
      <c r="Q54" s="52" t="str">
        <f t="shared" si="0"/>
        <v/>
      </c>
      <c r="T54" s="16" t="str">
        <f t="shared" si="1"/>
        <v/>
      </c>
      <c r="V54" s="16" t="str">
        <f t="shared" si="2"/>
        <v/>
      </c>
      <c r="X54" s="15"/>
      <c r="Y54" s="54"/>
      <c r="Z54" s="54"/>
      <c r="AA54" s="54"/>
      <c r="AB54" s="39"/>
      <c r="AC54" s="36"/>
    </row>
    <row r="55" spans="1:29" x14ac:dyDescent="0.15">
      <c r="A55" s="15"/>
      <c r="B55" s="15"/>
      <c r="C55" s="15"/>
      <c r="D55" s="37"/>
      <c r="H55" s="15"/>
      <c r="J55" s="15"/>
      <c r="Q55" s="52" t="str">
        <f t="shared" si="0"/>
        <v/>
      </c>
      <c r="T55" s="16" t="str">
        <f t="shared" si="1"/>
        <v/>
      </c>
      <c r="V55" s="16" t="str">
        <f t="shared" si="2"/>
        <v/>
      </c>
      <c r="X55" s="15"/>
      <c r="Y55" s="54"/>
      <c r="Z55" s="54"/>
      <c r="AA55" s="54"/>
      <c r="AB55" s="39"/>
      <c r="AC55" s="36"/>
    </row>
    <row r="56" spans="1:29" x14ac:dyDescent="0.15">
      <c r="A56" s="15"/>
      <c r="B56" s="15"/>
      <c r="C56" s="15"/>
      <c r="D56" s="37"/>
      <c r="H56" s="15"/>
      <c r="J56" s="15"/>
      <c r="Q56" s="52" t="str">
        <f t="shared" si="0"/>
        <v/>
      </c>
      <c r="T56" s="16" t="str">
        <f t="shared" si="1"/>
        <v/>
      </c>
      <c r="V56" s="16" t="str">
        <f t="shared" si="2"/>
        <v/>
      </c>
      <c r="X56" s="15"/>
      <c r="Y56" s="54"/>
      <c r="Z56" s="54"/>
      <c r="AA56" s="54"/>
      <c r="AB56" s="39"/>
    </row>
    <row r="57" spans="1:29" x14ac:dyDescent="0.15">
      <c r="A57" s="15"/>
      <c r="B57" s="15"/>
      <c r="C57" s="15"/>
      <c r="D57" s="37"/>
      <c r="H57" s="54"/>
      <c r="J57" s="15"/>
      <c r="Q57" s="52" t="str">
        <f t="shared" si="0"/>
        <v/>
      </c>
      <c r="T57" s="16" t="str">
        <f t="shared" si="1"/>
        <v/>
      </c>
      <c r="V57" s="16" t="str">
        <f t="shared" si="2"/>
        <v/>
      </c>
      <c r="X57" s="15"/>
      <c r="Y57" s="54"/>
      <c r="Z57" s="54"/>
      <c r="AA57" s="54"/>
      <c r="AB57" s="39"/>
    </row>
    <row r="58" spans="1:29" x14ac:dyDescent="0.15">
      <c r="A58" s="15"/>
      <c r="B58" s="15"/>
      <c r="C58" s="15"/>
      <c r="D58" s="37"/>
      <c r="H58" s="54"/>
      <c r="J58" s="15"/>
      <c r="Q58" s="52" t="str">
        <f t="shared" si="0"/>
        <v/>
      </c>
      <c r="T58" s="16" t="str">
        <f t="shared" si="1"/>
        <v/>
      </c>
      <c r="V58" s="16" t="str">
        <f t="shared" si="2"/>
        <v/>
      </c>
      <c r="X58" s="15"/>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7066-0F02-481F-9B6A-AE2B38AE6E78}">
  <dimension ref="A1:BA311"/>
  <sheetViews>
    <sheetView topLeftCell="A37" zoomScale="70" zoomScaleNormal="70" workbookViewId="0">
      <selection activeCell="AD32" sqref="AD32"/>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0.45</v>
      </c>
      <c r="P2" s="53">
        <v>0.4</v>
      </c>
      <c r="Q2" s="16">
        <f t="shared" ref="Q2:Q16" si="0">IF(OR(O2="",P2=""),"",AVERAGE(O2,P2))</f>
        <v>0.42500000000000004</v>
      </c>
      <c r="R2" s="53">
        <v>11.2</v>
      </c>
      <c r="S2" s="53">
        <v>128</v>
      </c>
      <c r="T2" s="16">
        <f t="shared" ref="T2:T65" si="1">IF(H2="","",IF(OR(H2="GREEN",H2="GK"),IF(S2&gt;=$AX$2,VLOOKUP(S2,$AX$2:$AY$10,2,1),""),IF(S2&gt;=$AZ$2,VLOOKUP(S2,$AZ$2:$BA$10,2,1),"")))</f>
        <v>27</v>
      </c>
      <c r="U2" s="53">
        <v>105</v>
      </c>
      <c r="V2" s="16">
        <f t="shared" ref="V2:V55" si="2">IF(OR(N2="",U2="",T2=""),"",U2/N2*T2)</f>
        <v>2835</v>
      </c>
      <c r="W2" s="53">
        <v>2</v>
      </c>
      <c r="X2" s="53" t="s">
        <v>46</v>
      </c>
      <c r="Y2" s="53" t="s">
        <v>84</v>
      </c>
      <c r="Z2" s="53" t="s">
        <v>90</v>
      </c>
      <c r="AA2" s="53" t="s">
        <v>69</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0.4</v>
      </c>
      <c r="P3" s="53">
        <v>0.35</v>
      </c>
      <c r="Q3" s="16">
        <f t="shared" si="0"/>
        <v>0.375</v>
      </c>
      <c r="R3" s="53">
        <v>12.7</v>
      </c>
      <c r="S3" s="53">
        <v>124</v>
      </c>
      <c r="T3" s="16">
        <f t="shared" si="1"/>
        <v>27</v>
      </c>
      <c r="U3" s="53">
        <v>105</v>
      </c>
      <c r="V3" s="16">
        <f t="shared" si="2"/>
        <v>2835</v>
      </c>
      <c r="W3" s="53">
        <v>2</v>
      </c>
      <c r="X3" s="53" t="s">
        <v>46</v>
      </c>
      <c r="Y3" s="53" t="s">
        <v>84</v>
      </c>
      <c r="Z3" s="53" t="s">
        <v>90</v>
      </c>
      <c r="AA3" s="53" t="s">
        <v>69</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189</v>
      </c>
      <c r="E4" s="53" t="s">
        <v>133</v>
      </c>
      <c r="F4" s="53" t="s">
        <v>185</v>
      </c>
      <c r="G4" s="53" t="s">
        <v>42</v>
      </c>
      <c r="H4" s="53" t="s">
        <v>164</v>
      </c>
      <c r="I4" s="53" t="s">
        <v>159</v>
      </c>
      <c r="J4" s="53" t="s">
        <v>38</v>
      </c>
      <c r="K4" s="53" t="s">
        <v>161</v>
      </c>
      <c r="L4" s="53">
        <v>3</v>
      </c>
      <c r="N4" s="53">
        <v>1</v>
      </c>
      <c r="O4" s="53">
        <v>0.3</v>
      </c>
      <c r="P4" s="53">
        <v>0.45</v>
      </c>
      <c r="Q4" s="16">
        <f t="shared" si="0"/>
        <v>0.375</v>
      </c>
      <c r="R4" s="53">
        <v>13.8</v>
      </c>
      <c r="S4" s="53">
        <v>126</v>
      </c>
      <c r="T4" s="16">
        <f t="shared" si="1"/>
        <v>27</v>
      </c>
      <c r="U4" s="53">
        <v>105</v>
      </c>
      <c r="V4" s="16">
        <f t="shared" si="2"/>
        <v>2835</v>
      </c>
      <c r="W4" s="53">
        <v>2</v>
      </c>
      <c r="X4" s="53" t="s">
        <v>46</v>
      </c>
      <c r="Y4" s="53" t="s">
        <v>84</v>
      </c>
      <c r="Z4" s="53" t="s">
        <v>90</v>
      </c>
      <c r="AA4" s="53" t="s">
        <v>69</v>
      </c>
      <c r="AB4" s="53" t="s">
        <v>158</v>
      </c>
      <c r="AE4" s="22" t="s">
        <v>34</v>
      </c>
      <c r="AG4" s="71" t="s">
        <v>187</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189</v>
      </c>
      <c r="E5" s="53" t="s">
        <v>133</v>
      </c>
      <c r="F5" s="53" t="s">
        <v>185</v>
      </c>
      <c r="G5" s="53" t="s">
        <v>42</v>
      </c>
      <c r="H5" s="53" t="s">
        <v>164</v>
      </c>
      <c r="I5" s="53" t="s">
        <v>159</v>
      </c>
      <c r="J5" s="53" t="s">
        <v>38</v>
      </c>
      <c r="K5" s="53" t="s">
        <v>161</v>
      </c>
      <c r="L5" s="53">
        <v>1</v>
      </c>
      <c r="N5" s="53">
        <v>6</v>
      </c>
      <c r="O5" s="53">
        <v>0.85</v>
      </c>
      <c r="P5" s="53">
        <v>0.7</v>
      </c>
      <c r="Q5" s="72">
        <f t="shared" si="0"/>
        <v>0.77499999999999991</v>
      </c>
      <c r="R5" s="53">
        <v>12.4</v>
      </c>
      <c r="S5" s="53">
        <v>114</v>
      </c>
      <c r="T5" s="16">
        <f t="shared" si="1"/>
        <v>30</v>
      </c>
      <c r="U5" s="53">
        <v>646</v>
      </c>
      <c r="V5" s="16">
        <f t="shared" si="2"/>
        <v>3230</v>
      </c>
      <c r="W5" s="53">
        <v>1</v>
      </c>
      <c r="X5" s="53" t="s">
        <v>46</v>
      </c>
      <c r="Y5" s="53" t="s">
        <v>84</v>
      </c>
      <c r="Z5" s="53" t="s">
        <v>90</v>
      </c>
      <c r="AA5" s="53" t="s">
        <v>69</v>
      </c>
      <c r="AB5" s="53" t="s">
        <v>158</v>
      </c>
      <c r="AE5" s="22" t="s">
        <v>51</v>
      </c>
      <c r="AG5" s="71" t="s">
        <v>195</v>
      </c>
      <c r="AH5" s="71"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189</v>
      </c>
      <c r="E6" s="53" t="s">
        <v>133</v>
      </c>
      <c r="F6" s="53" t="s">
        <v>185</v>
      </c>
      <c r="G6" s="53" t="s">
        <v>42</v>
      </c>
      <c r="H6" s="53" t="s">
        <v>164</v>
      </c>
      <c r="I6" s="53" t="s">
        <v>159</v>
      </c>
      <c r="J6" s="53" t="s">
        <v>38</v>
      </c>
      <c r="K6" s="53" t="s">
        <v>161</v>
      </c>
      <c r="L6" s="53">
        <v>2</v>
      </c>
      <c r="N6" s="53">
        <v>6</v>
      </c>
      <c r="O6" s="53">
        <v>0.65</v>
      </c>
      <c r="P6" s="53">
        <v>0.65</v>
      </c>
      <c r="Q6" s="72">
        <f t="shared" si="0"/>
        <v>0.65</v>
      </c>
      <c r="R6" s="53">
        <v>13.2</v>
      </c>
      <c r="S6" s="53">
        <v>115</v>
      </c>
      <c r="T6" s="16">
        <f t="shared" si="1"/>
        <v>30</v>
      </c>
      <c r="U6" s="53">
        <v>646</v>
      </c>
      <c r="V6" s="16">
        <f t="shared" si="2"/>
        <v>3230</v>
      </c>
      <c r="W6" s="53">
        <v>1</v>
      </c>
      <c r="X6" s="53" t="s">
        <v>46</v>
      </c>
      <c r="Y6" s="53" t="s">
        <v>84</v>
      </c>
      <c r="Z6" s="53" t="s">
        <v>90</v>
      </c>
      <c r="AA6" s="53" t="s">
        <v>69</v>
      </c>
      <c r="AB6" s="53" t="s">
        <v>158</v>
      </c>
      <c r="AE6" s="22" t="s">
        <v>56</v>
      </c>
      <c r="AG6" s="71" t="s">
        <v>195</v>
      </c>
      <c r="AH6" s="71" t="s">
        <v>197</v>
      </c>
      <c r="AL6" s="73" t="s">
        <v>198</v>
      </c>
      <c r="AN6" s="73" t="s">
        <v>165</v>
      </c>
      <c r="AP6" s="23" t="s">
        <v>53</v>
      </c>
      <c r="AR6" s="23" t="s">
        <v>59</v>
      </c>
      <c r="AV6" s="23" t="s">
        <v>60</v>
      </c>
      <c r="AX6" s="24">
        <v>97</v>
      </c>
      <c r="AY6" s="25">
        <v>36</v>
      </c>
      <c r="AZ6" s="25">
        <v>99</v>
      </c>
      <c r="BA6" s="26">
        <v>33</v>
      </c>
    </row>
    <row r="7" spans="1:53" x14ac:dyDescent="0.15">
      <c r="A7" s="53" t="s">
        <v>41</v>
      </c>
      <c r="B7" s="53" t="s">
        <v>157</v>
      </c>
      <c r="C7" s="62">
        <v>2019</v>
      </c>
      <c r="D7" s="63" t="s">
        <v>189</v>
      </c>
      <c r="E7" s="53" t="s">
        <v>133</v>
      </c>
      <c r="F7" s="53" t="s">
        <v>185</v>
      </c>
      <c r="G7" s="53" t="s">
        <v>42</v>
      </c>
      <c r="H7" s="53" t="s">
        <v>164</v>
      </c>
      <c r="I7" s="53" t="s">
        <v>159</v>
      </c>
      <c r="J7" s="53" t="s">
        <v>38</v>
      </c>
      <c r="K7" s="53" t="s">
        <v>161</v>
      </c>
      <c r="L7" s="53">
        <v>3</v>
      </c>
      <c r="N7" s="53">
        <v>6</v>
      </c>
      <c r="O7" s="53">
        <v>0.75</v>
      </c>
      <c r="P7" s="53">
        <v>0.85</v>
      </c>
      <c r="Q7" s="72">
        <f t="shared" si="0"/>
        <v>0.8</v>
      </c>
      <c r="R7" s="53">
        <v>10.3</v>
      </c>
      <c r="S7" s="53">
        <v>115</v>
      </c>
      <c r="T7" s="16">
        <f t="shared" si="1"/>
        <v>30</v>
      </c>
      <c r="U7" s="53">
        <v>646</v>
      </c>
      <c r="V7" s="16">
        <f t="shared" si="2"/>
        <v>3230</v>
      </c>
      <c r="W7" s="53">
        <v>1</v>
      </c>
      <c r="X7" s="53" t="s">
        <v>46</v>
      </c>
      <c r="Y7" s="53" t="s">
        <v>84</v>
      </c>
      <c r="Z7" s="53" t="s">
        <v>90</v>
      </c>
      <c r="AA7" s="53" t="s">
        <v>69</v>
      </c>
      <c r="AB7" s="53" t="s">
        <v>158</v>
      </c>
      <c r="AE7" s="22" t="s">
        <v>61</v>
      </c>
      <c r="AG7" s="71" t="s">
        <v>199</v>
      </c>
      <c r="AH7" s="71" t="s">
        <v>197</v>
      </c>
      <c r="AL7" s="74" t="s">
        <v>200</v>
      </c>
      <c r="AP7" s="23" t="s">
        <v>58</v>
      </c>
      <c r="AR7" s="23" t="s">
        <v>201</v>
      </c>
      <c r="AV7" s="23" t="s">
        <v>64</v>
      </c>
      <c r="AX7" s="24">
        <v>109</v>
      </c>
      <c r="AY7" s="25">
        <v>33</v>
      </c>
      <c r="AZ7" s="25">
        <v>113</v>
      </c>
      <c r="BA7" s="26">
        <v>30</v>
      </c>
    </row>
    <row r="8" spans="1:53" x14ac:dyDescent="0.15">
      <c r="A8" s="53" t="s">
        <v>41</v>
      </c>
      <c r="B8" s="53" t="s">
        <v>157</v>
      </c>
      <c r="C8" s="62">
        <v>2019</v>
      </c>
      <c r="D8" s="63" t="s">
        <v>189</v>
      </c>
      <c r="E8" s="53" t="s">
        <v>133</v>
      </c>
      <c r="F8" s="53" t="s">
        <v>185</v>
      </c>
      <c r="G8" s="53" t="s">
        <v>42</v>
      </c>
      <c r="H8" s="53" t="s">
        <v>188</v>
      </c>
      <c r="I8" s="53" t="s">
        <v>159</v>
      </c>
      <c r="J8" s="53" t="s">
        <v>80</v>
      </c>
      <c r="K8" s="53" t="s">
        <v>45</v>
      </c>
      <c r="L8" s="53">
        <v>1</v>
      </c>
      <c r="N8" s="53">
        <v>6</v>
      </c>
      <c r="O8" s="53">
        <v>0.65</v>
      </c>
      <c r="P8" s="53">
        <v>0.5</v>
      </c>
      <c r="Q8" s="75">
        <f t="shared" si="0"/>
        <v>0.57499999999999996</v>
      </c>
      <c r="R8" s="53">
        <v>11.9</v>
      </c>
      <c r="S8" s="53">
        <v>122</v>
      </c>
      <c r="T8" s="16">
        <f t="shared" si="1"/>
        <v>27</v>
      </c>
      <c r="U8" s="53">
        <v>754</v>
      </c>
      <c r="V8" s="16">
        <f t="shared" si="2"/>
        <v>3393</v>
      </c>
      <c r="W8" s="53">
        <v>1</v>
      </c>
      <c r="X8" s="53" t="s">
        <v>46</v>
      </c>
      <c r="Y8" s="53" t="s">
        <v>84</v>
      </c>
      <c r="Z8" s="53" t="s">
        <v>90</v>
      </c>
      <c r="AA8" s="53" t="s">
        <v>69</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189</v>
      </c>
      <c r="E9" s="53" t="s">
        <v>133</v>
      </c>
      <c r="F9" s="53" t="s">
        <v>185</v>
      </c>
      <c r="G9" s="53" t="s">
        <v>42</v>
      </c>
      <c r="H9" s="53" t="s">
        <v>188</v>
      </c>
      <c r="I9" s="53" t="s">
        <v>159</v>
      </c>
      <c r="J9" s="53" t="s">
        <v>80</v>
      </c>
      <c r="K9" s="53" t="s">
        <v>45</v>
      </c>
      <c r="L9" s="53">
        <v>2</v>
      </c>
      <c r="M9" s="76"/>
      <c r="N9" s="53">
        <v>6</v>
      </c>
      <c r="O9" s="53">
        <v>0.65</v>
      </c>
      <c r="P9" s="53">
        <v>0.5</v>
      </c>
      <c r="Q9" s="75">
        <f t="shared" si="0"/>
        <v>0.57499999999999996</v>
      </c>
      <c r="R9" s="53">
        <v>14.1</v>
      </c>
      <c r="S9" s="53">
        <v>122</v>
      </c>
      <c r="T9" s="16">
        <f t="shared" si="1"/>
        <v>27</v>
      </c>
      <c r="U9" s="53">
        <v>754</v>
      </c>
      <c r="V9" s="16">
        <f t="shared" si="2"/>
        <v>3393</v>
      </c>
      <c r="W9" s="53">
        <v>1</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189</v>
      </c>
      <c r="E10" s="53" t="s">
        <v>133</v>
      </c>
      <c r="F10" s="53" t="s">
        <v>185</v>
      </c>
      <c r="G10" s="53" t="s">
        <v>42</v>
      </c>
      <c r="H10" s="53" t="s">
        <v>188</v>
      </c>
      <c r="I10" s="53" t="s">
        <v>159</v>
      </c>
      <c r="J10" s="53" t="s">
        <v>80</v>
      </c>
      <c r="K10" s="53" t="s">
        <v>45</v>
      </c>
      <c r="L10" s="53">
        <v>3</v>
      </c>
      <c r="M10" s="76"/>
      <c r="N10" s="53">
        <v>6</v>
      </c>
      <c r="O10" s="53">
        <v>0.7</v>
      </c>
      <c r="P10" s="53">
        <v>0.65</v>
      </c>
      <c r="Q10" s="75">
        <f t="shared" si="0"/>
        <v>0.67500000000000004</v>
      </c>
      <c r="R10" s="53">
        <v>12.8</v>
      </c>
      <c r="S10" s="53">
        <v>124</v>
      </c>
      <c r="T10" s="16">
        <f t="shared" si="1"/>
        <v>27</v>
      </c>
      <c r="U10" s="53">
        <v>754</v>
      </c>
      <c r="V10" s="16">
        <f t="shared" si="2"/>
        <v>3393</v>
      </c>
      <c r="W10" s="53">
        <v>1</v>
      </c>
      <c r="X10" s="53" t="s">
        <v>46</v>
      </c>
      <c r="Y10" s="53" t="s">
        <v>84</v>
      </c>
      <c r="Z10" s="53" t="s">
        <v>90</v>
      </c>
      <c r="AA10" s="53" t="s">
        <v>69</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189</v>
      </c>
      <c r="E11" s="53" t="s">
        <v>133</v>
      </c>
      <c r="F11" s="53" t="s">
        <v>185</v>
      </c>
      <c r="G11" s="53" t="s">
        <v>42</v>
      </c>
      <c r="H11" s="53" t="s">
        <v>160</v>
      </c>
      <c r="I11" s="53" t="s">
        <v>159</v>
      </c>
      <c r="J11" s="53" t="s">
        <v>38</v>
      </c>
      <c r="K11" s="53" t="s">
        <v>161</v>
      </c>
      <c r="L11" s="53">
        <v>1</v>
      </c>
      <c r="M11" s="76"/>
      <c r="N11" s="53">
        <v>1</v>
      </c>
      <c r="O11" s="53">
        <v>0.8</v>
      </c>
      <c r="P11" s="53">
        <v>0.75</v>
      </c>
      <c r="Q11" s="72">
        <f t="shared" si="0"/>
        <v>0.77500000000000002</v>
      </c>
      <c r="R11" s="53">
        <v>11.9</v>
      </c>
      <c r="S11" s="53">
        <v>130</v>
      </c>
      <c r="T11" s="16">
        <f t="shared" si="1"/>
        <v>25</v>
      </c>
      <c r="U11" s="53">
        <v>149</v>
      </c>
      <c r="V11" s="16">
        <f t="shared" si="2"/>
        <v>3725</v>
      </c>
      <c r="W11" s="53">
        <v>1</v>
      </c>
      <c r="X11" s="53" t="s">
        <v>46</v>
      </c>
      <c r="Y11" s="53" t="s">
        <v>84</v>
      </c>
      <c r="Z11" s="53" t="s">
        <v>90</v>
      </c>
      <c r="AA11" s="53" t="s">
        <v>69</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189</v>
      </c>
      <c r="E12" s="53" t="s">
        <v>133</v>
      </c>
      <c r="F12" s="53" t="s">
        <v>185</v>
      </c>
      <c r="G12" s="53" t="s">
        <v>42</v>
      </c>
      <c r="H12" s="53" t="s">
        <v>160</v>
      </c>
      <c r="I12" s="53" t="s">
        <v>159</v>
      </c>
      <c r="J12" s="53" t="s">
        <v>38</v>
      </c>
      <c r="K12" s="53" t="s">
        <v>161</v>
      </c>
      <c r="L12" s="53">
        <v>2</v>
      </c>
      <c r="M12" s="76"/>
      <c r="N12" s="53">
        <v>1</v>
      </c>
      <c r="O12" s="53">
        <v>0.65</v>
      </c>
      <c r="P12" s="53">
        <v>0.7</v>
      </c>
      <c r="Q12" s="72">
        <f t="shared" si="0"/>
        <v>0.67500000000000004</v>
      </c>
      <c r="R12" s="53">
        <v>12.9</v>
      </c>
      <c r="S12" s="53">
        <v>132</v>
      </c>
      <c r="T12" s="16">
        <f t="shared" si="1"/>
        <v>25</v>
      </c>
      <c r="U12" s="53">
        <v>149</v>
      </c>
      <c r="V12" s="16">
        <f t="shared" si="2"/>
        <v>3725</v>
      </c>
      <c r="W12" s="53">
        <v>1</v>
      </c>
      <c r="X12" s="53" t="s">
        <v>46</v>
      </c>
      <c r="Y12" s="53" t="s">
        <v>84</v>
      </c>
      <c r="Z12" s="53" t="s">
        <v>90</v>
      </c>
      <c r="AA12" s="53" t="s">
        <v>69</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189</v>
      </c>
      <c r="E13" s="53" t="s">
        <v>133</v>
      </c>
      <c r="F13" s="53" t="s">
        <v>185</v>
      </c>
      <c r="G13" s="53" t="s">
        <v>42</v>
      </c>
      <c r="H13" s="53" t="s">
        <v>160</v>
      </c>
      <c r="I13" s="53" t="s">
        <v>159</v>
      </c>
      <c r="J13" s="53" t="s">
        <v>38</v>
      </c>
      <c r="K13" s="53" t="s">
        <v>161</v>
      </c>
      <c r="L13" s="53">
        <v>3</v>
      </c>
      <c r="M13" s="76"/>
      <c r="N13" s="53">
        <v>1</v>
      </c>
      <c r="O13" s="53">
        <v>0.5</v>
      </c>
      <c r="P13" s="53">
        <v>0.65</v>
      </c>
      <c r="Q13" s="72">
        <f t="shared" si="0"/>
        <v>0.57499999999999996</v>
      </c>
      <c r="R13" s="53">
        <v>11.3</v>
      </c>
      <c r="S13" s="53">
        <v>132</v>
      </c>
      <c r="T13" s="16">
        <f t="shared" si="1"/>
        <v>25</v>
      </c>
      <c r="U13" s="53">
        <v>149</v>
      </c>
      <c r="V13" s="16">
        <f t="shared" si="2"/>
        <v>3725</v>
      </c>
      <c r="W13" s="53">
        <v>1</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189</v>
      </c>
      <c r="E14" s="53" t="s">
        <v>133</v>
      </c>
      <c r="F14" s="53" t="s">
        <v>185</v>
      </c>
      <c r="G14" s="53" t="s">
        <v>42</v>
      </c>
      <c r="H14" s="53" t="s">
        <v>160</v>
      </c>
      <c r="I14" s="53" t="s">
        <v>159</v>
      </c>
      <c r="J14" s="53" t="s">
        <v>38</v>
      </c>
      <c r="K14" s="53" t="s">
        <v>161</v>
      </c>
      <c r="L14" s="53">
        <v>1</v>
      </c>
      <c r="M14" s="76"/>
      <c r="N14" s="53">
        <v>6</v>
      </c>
      <c r="O14" s="53">
        <v>0.65</v>
      </c>
      <c r="P14" s="53">
        <v>0.75</v>
      </c>
      <c r="Q14" s="72">
        <f t="shared" si="0"/>
        <v>0.7</v>
      </c>
      <c r="R14" s="53">
        <v>15.2</v>
      </c>
      <c r="S14" s="53">
        <v>112</v>
      </c>
      <c r="T14" s="16">
        <f t="shared" si="1"/>
        <v>33</v>
      </c>
      <c r="U14" s="53">
        <v>862</v>
      </c>
      <c r="V14" s="16">
        <f t="shared" si="2"/>
        <v>4741</v>
      </c>
      <c r="W14" s="53">
        <v>1</v>
      </c>
      <c r="X14" s="53" t="s">
        <v>46</v>
      </c>
      <c r="Y14" s="53" t="s">
        <v>84</v>
      </c>
      <c r="Z14" s="53" t="s">
        <v>90</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189</v>
      </c>
      <c r="E15" s="53" t="s">
        <v>133</v>
      </c>
      <c r="F15" s="53" t="s">
        <v>185</v>
      </c>
      <c r="G15" s="53" t="s">
        <v>42</v>
      </c>
      <c r="H15" s="53" t="s">
        <v>160</v>
      </c>
      <c r="I15" s="53" t="s">
        <v>159</v>
      </c>
      <c r="J15" s="53" t="s">
        <v>38</v>
      </c>
      <c r="K15" s="53" t="s">
        <v>161</v>
      </c>
      <c r="L15" s="53">
        <v>2</v>
      </c>
      <c r="M15" s="76"/>
      <c r="N15" s="53">
        <v>6</v>
      </c>
      <c r="O15" s="53">
        <v>0.5</v>
      </c>
      <c r="P15" s="53">
        <v>0.8</v>
      </c>
      <c r="Q15" s="72">
        <f t="shared" si="0"/>
        <v>0.65</v>
      </c>
      <c r="R15" s="53">
        <v>12.8</v>
      </c>
      <c r="S15" s="53">
        <v>111</v>
      </c>
      <c r="T15" s="16">
        <f t="shared" si="1"/>
        <v>33</v>
      </c>
      <c r="U15" s="53">
        <v>862</v>
      </c>
      <c r="V15" s="16">
        <f t="shared" si="2"/>
        <v>4741</v>
      </c>
      <c r="W15" s="53">
        <v>1</v>
      </c>
      <c r="X15" s="53" t="s">
        <v>46</v>
      </c>
      <c r="Y15" s="53" t="s">
        <v>84</v>
      </c>
      <c r="Z15" s="53" t="s">
        <v>90</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189</v>
      </c>
      <c r="E16" s="53" t="s">
        <v>133</v>
      </c>
      <c r="F16" s="53" t="s">
        <v>185</v>
      </c>
      <c r="G16" s="53" t="s">
        <v>42</v>
      </c>
      <c r="H16" s="53" t="s">
        <v>160</v>
      </c>
      <c r="I16" s="53" t="s">
        <v>159</v>
      </c>
      <c r="J16" s="53" t="s">
        <v>38</v>
      </c>
      <c r="K16" s="53" t="s">
        <v>161</v>
      </c>
      <c r="L16" s="53">
        <v>3</v>
      </c>
      <c r="M16" s="76"/>
      <c r="N16" s="53">
        <v>6</v>
      </c>
      <c r="O16" s="53">
        <v>0.8</v>
      </c>
      <c r="P16" s="53">
        <v>0.7</v>
      </c>
      <c r="Q16" s="72">
        <f t="shared" si="0"/>
        <v>0.75</v>
      </c>
      <c r="R16" s="53">
        <v>12.8</v>
      </c>
      <c r="S16" s="53">
        <v>110</v>
      </c>
      <c r="T16" s="16">
        <f t="shared" si="1"/>
        <v>33</v>
      </c>
      <c r="U16" s="53">
        <v>862</v>
      </c>
      <c r="V16" s="16">
        <f t="shared" si="2"/>
        <v>4741</v>
      </c>
      <c r="W16" s="53">
        <v>1</v>
      </c>
      <c r="X16" s="53" t="s">
        <v>46</v>
      </c>
      <c r="Y16" s="53" t="s">
        <v>84</v>
      </c>
      <c r="Z16" s="53" t="s">
        <v>90</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189</v>
      </c>
      <c r="E17" s="53" t="s">
        <v>133</v>
      </c>
      <c r="F17" s="53" t="s">
        <v>185</v>
      </c>
      <c r="G17" s="53" t="s">
        <v>42</v>
      </c>
      <c r="H17" s="53" t="s">
        <v>164</v>
      </c>
      <c r="I17" s="53" t="s">
        <v>159</v>
      </c>
      <c r="J17" s="53" t="s">
        <v>38</v>
      </c>
      <c r="K17" s="53" t="s">
        <v>161</v>
      </c>
      <c r="L17" s="53">
        <v>1</v>
      </c>
      <c r="M17" s="76"/>
      <c r="N17" s="53">
        <v>10</v>
      </c>
      <c r="O17" s="53">
        <v>0.45</v>
      </c>
      <c r="P17" s="53">
        <v>0.35</v>
      </c>
      <c r="Q17" s="75">
        <v>0.6</v>
      </c>
      <c r="R17" s="53">
        <v>12.4</v>
      </c>
      <c r="S17" s="53">
        <v>100</v>
      </c>
      <c r="T17" s="16">
        <f t="shared" si="1"/>
        <v>33</v>
      </c>
      <c r="U17" s="53">
        <v>950</v>
      </c>
      <c r="V17" s="16">
        <f t="shared" si="2"/>
        <v>3135</v>
      </c>
      <c r="W17" s="53">
        <v>3</v>
      </c>
      <c r="X17" s="53" t="s">
        <v>46</v>
      </c>
      <c r="Y17" s="53" t="s">
        <v>84</v>
      </c>
      <c r="Z17" s="53" t="s">
        <v>90</v>
      </c>
      <c r="AA17" s="53" t="s">
        <v>69</v>
      </c>
      <c r="AB17" s="53" t="s">
        <v>158</v>
      </c>
      <c r="AE17" s="22" t="s">
        <v>220</v>
      </c>
      <c r="AP17" s="27" t="s">
        <v>221</v>
      </c>
      <c r="AR17" s="23" t="s">
        <v>96</v>
      </c>
      <c r="AV17" s="23" t="s">
        <v>86</v>
      </c>
    </row>
    <row r="18" spans="1:48" x14ac:dyDescent="0.15">
      <c r="A18" s="53" t="s">
        <v>41</v>
      </c>
      <c r="B18" s="53" t="s">
        <v>157</v>
      </c>
      <c r="C18" s="62">
        <v>2019</v>
      </c>
      <c r="D18" s="63" t="s">
        <v>189</v>
      </c>
      <c r="E18" s="53" t="s">
        <v>133</v>
      </c>
      <c r="F18" s="53" t="s">
        <v>185</v>
      </c>
      <c r="G18" s="53" t="s">
        <v>42</v>
      </c>
      <c r="H18" s="53" t="s">
        <v>164</v>
      </c>
      <c r="I18" s="53" t="s">
        <v>159</v>
      </c>
      <c r="J18" s="53" t="s">
        <v>38</v>
      </c>
      <c r="K18" s="53" t="s">
        <v>161</v>
      </c>
      <c r="L18" s="53">
        <v>2</v>
      </c>
      <c r="M18" s="76"/>
      <c r="N18" s="53">
        <v>10</v>
      </c>
      <c r="O18" s="53">
        <v>0.35</v>
      </c>
      <c r="P18" s="53">
        <v>0.45</v>
      </c>
      <c r="Q18" s="75">
        <v>0.7</v>
      </c>
      <c r="R18" s="53">
        <v>11.2</v>
      </c>
      <c r="S18" s="53">
        <v>107</v>
      </c>
      <c r="T18" s="16">
        <f t="shared" si="1"/>
        <v>33</v>
      </c>
      <c r="U18" s="53">
        <v>950</v>
      </c>
      <c r="V18" s="16">
        <f t="shared" si="2"/>
        <v>3135</v>
      </c>
      <c r="W18" s="53">
        <v>3</v>
      </c>
      <c r="X18" s="53" t="s">
        <v>46</v>
      </c>
      <c r="Y18" s="53" t="s">
        <v>84</v>
      </c>
      <c r="Z18" s="53" t="s">
        <v>90</v>
      </c>
      <c r="AA18" s="53" t="s">
        <v>69</v>
      </c>
      <c r="AB18" s="53" t="s">
        <v>158</v>
      </c>
      <c r="AE18" s="22" t="s">
        <v>213</v>
      </c>
      <c r="AP18" s="27" t="s">
        <v>222</v>
      </c>
      <c r="AR18" s="23" t="s">
        <v>101</v>
      </c>
      <c r="AV18" s="23" t="s">
        <v>88</v>
      </c>
    </row>
    <row r="19" spans="1:48" x14ac:dyDescent="0.15">
      <c r="A19" s="53" t="s">
        <v>41</v>
      </c>
      <c r="B19" s="53" t="s">
        <v>157</v>
      </c>
      <c r="C19" s="62">
        <v>2019</v>
      </c>
      <c r="D19" s="63" t="s">
        <v>189</v>
      </c>
      <c r="E19" s="53" t="s">
        <v>133</v>
      </c>
      <c r="F19" s="53" t="s">
        <v>185</v>
      </c>
      <c r="G19" s="53" t="s">
        <v>42</v>
      </c>
      <c r="H19" s="53" t="s">
        <v>164</v>
      </c>
      <c r="I19" s="53" t="s">
        <v>159</v>
      </c>
      <c r="J19" s="53" t="s">
        <v>38</v>
      </c>
      <c r="K19" s="53" t="s">
        <v>161</v>
      </c>
      <c r="L19" s="53">
        <v>3</v>
      </c>
      <c r="M19" s="76"/>
      <c r="N19" s="53">
        <v>10</v>
      </c>
      <c r="O19" s="53">
        <v>0.3</v>
      </c>
      <c r="P19" s="53">
        <v>0.3</v>
      </c>
      <c r="Q19" s="75">
        <v>0.48</v>
      </c>
      <c r="R19" s="53">
        <v>10.7</v>
      </c>
      <c r="S19" s="53">
        <v>100</v>
      </c>
      <c r="T19" s="16">
        <f t="shared" si="1"/>
        <v>33</v>
      </c>
      <c r="U19" s="53">
        <v>950</v>
      </c>
      <c r="V19" s="16">
        <f t="shared" si="2"/>
        <v>3135</v>
      </c>
      <c r="W19" s="53">
        <v>3</v>
      </c>
      <c r="X19" s="53" t="s">
        <v>46</v>
      </c>
      <c r="Y19" s="53" t="s">
        <v>84</v>
      </c>
      <c r="Z19" s="53" t="s">
        <v>90</v>
      </c>
      <c r="AA19" s="53" t="s">
        <v>69</v>
      </c>
      <c r="AB19" s="53" t="s">
        <v>158</v>
      </c>
      <c r="AE19" s="35" t="s">
        <v>207</v>
      </c>
      <c r="AP19" s="27" t="s">
        <v>223</v>
      </c>
      <c r="AR19" s="23" t="s">
        <v>224</v>
      </c>
      <c r="AV19" s="23" t="s">
        <v>90</v>
      </c>
    </row>
    <row r="20" spans="1:48" x14ac:dyDescent="0.15">
      <c r="A20" s="53" t="s">
        <v>41</v>
      </c>
      <c r="B20" s="53" t="s">
        <v>157</v>
      </c>
      <c r="C20" s="62">
        <v>2019</v>
      </c>
      <c r="D20" s="63" t="s">
        <v>189</v>
      </c>
      <c r="E20" s="53" t="s">
        <v>187</v>
      </c>
      <c r="F20" s="53" t="s">
        <v>185</v>
      </c>
      <c r="G20" s="53" t="s">
        <v>42</v>
      </c>
      <c r="H20" s="53" t="s">
        <v>188</v>
      </c>
      <c r="I20" s="53" t="s">
        <v>159</v>
      </c>
      <c r="J20" s="53" t="s">
        <v>80</v>
      </c>
      <c r="K20" s="53" t="s">
        <v>45</v>
      </c>
      <c r="L20" s="53">
        <v>1</v>
      </c>
      <c r="M20" s="76"/>
      <c r="N20" s="53">
        <v>6</v>
      </c>
      <c r="O20" s="53">
        <v>0.8</v>
      </c>
      <c r="P20" s="53">
        <v>0.75</v>
      </c>
      <c r="Q20" s="75">
        <v>0.55000000000000004</v>
      </c>
      <c r="R20" s="53">
        <v>12.1</v>
      </c>
      <c r="S20" s="53">
        <v>120</v>
      </c>
      <c r="T20" s="16">
        <f t="shared" si="1"/>
        <v>30</v>
      </c>
      <c r="U20" s="53">
        <v>429</v>
      </c>
      <c r="V20" s="16">
        <f t="shared" si="2"/>
        <v>2145</v>
      </c>
      <c r="W20" s="53">
        <v>1</v>
      </c>
      <c r="X20" s="53" t="s">
        <v>46</v>
      </c>
      <c r="Y20" s="53" t="s">
        <v>90</v>
      </c>
      <c r="Z20" s="53" t="s">
        <v>84</v>
      </c>
      <c r="AA20" s="53" t="s">
        <v>50</v>
      </c>
      <c r="AB20" s="53" t="s">
        <v>158</v>
      </c>
      <c r="AE20" s="35"/>
      <c r="AP20" s="27" t="s">
        <v>225</v>
      </c>
      <c r="AR20" s="23" t="s">
        <v>105</v>
      </c>
      <c r="AV20" s="27" t="s">
        <v>226</v>
      </c>
    </row>
    <row r="21" spans="1:48" x14ac:dyDescent="0.15">
      <c r="A21" s="53" t="s">
        <v>41</v>
      </c>
      <c r="B21" s="53" t="s">
        <v>157</v>
      </c>
      <c r="C21" s="62">
        <v>2019</v>
      </c>
      <c r="D21" s="63" t="s">
        <v>189</v>
      </c>
      <c r="E21" s="53" t="s">
        <v>187</v>
      </c>
      <c r="F21" s="53" t="s">
        <v>185</v>
      </c>
      <c r="G21" s="53" t="s">
        <v>42</v>
      </c>
      <c r="H21" s="53" t="s">
        <v>188</v>
      </c>
      <c r="I21" s="53" t="s">
        <v>159</v>
      </c>
      <c r="J21" s="53" t="s">
        <v>80</v>
      </c>
      <c r="K21" s="53" t="s">
        <v>45</v>
      </c>
      <c r="L21" s="53">
        <v>2</v>
      </c>
      <c r="M21" s="76"/>
      <c r="N21" s="53">
        <v>6</v>
      </c>
      <c r="O21" s="53">
        <v>0.65</v>
      </c>
      <c r="P21" s="53">
        <v>0.5</v>
      </c>
      <c r="Q21" s="75">
        <v>0.65</v>
      </c>
      <c r="R21" s="53">
        <v>14.2</v>
      </c>
      <c r="S21" s="53">
        <v>118</v>
      </c>
      <c r="T21" s="16">
        <f t="shared" si="1"/>
        <v>30</v>
      </c>
      <c r="U21" s="53">
        <v>429</v>
      </c>
      <c r="V21" s="16">
        <f t="shared" si="2"/>
        <v>2145</v>
      </c>
      <c r="W21" s="53">
        <v>1</v>
      </c>
      <c r="X21" s="53" t="s">
        <v>46</v>
      </c>
      <c r="Y21" s="53" t="s">
        <v>90</v>
      </c>
      <c r="Z21" s="53" t="s">
        <v>84</v>
      </c>
      <c r="AA21" s="53" t="s">
        <v>50</v>
      </c>
      <c r="AB21" s="53" t="s">
        <v>158</v>
      </c>
      <c r="AE21" s="28"/>
      <c r="AP21" s="27" t="s">
        <v>227</v>
      </c>
      <c r="AR21" s="23" t="s">
        <v>68</v>
      </c>
      <c r="AV21" s="27" t="s">
        <v>228</v>
      </c>
    </row>
    <row r="22" spans="1:48" x14ac:dyDescent="0.15">
      <c r="A22" s="53" t="s">
        <v>41</v>
      </c>
      <c r="B22" s="53" t="s">
        <v>157</v>
      </c>
      <c r="C22" s="62">
        <v>2019</v>
      </c>
      <c r="D22" s="63" t="s">
        <v>189</v>
      </c>
      <c r="E22" s="53" t="s">
        <v>187</v>
      </c>
      <c r="F22" s="53" t="s">
        <v>185</v>
      </c>
      <c r="G22" s="53" t="s">
        <v>42</v>
      </c>
      <c r="H22" s="53" t="s">
        <v>188</v>
      </c>
      <c r="I22" s="53" t="s">
        <v>159</v>
      </c>
      <c r="J22" s="53" t="s">
        <v>80</v>
      </c>
      <c r="K22" s="53" t="s">
        <v>45</v>
      </c>
      <c r="L22" s="53">
        <v>3</v>
      </c>
      <c r="M22" s="76"/>
      <c r="N22" s="53">
        <v>6</v>
      </c>
      <c r="O22" s="53">
        <v>0.7</v>
      </c>
      <c r="P22" s="53">
        <v>0.6</v>
      </c>
      <c r="Q22" s="75">
        <v>0.57999999999999996</v>
      </c>
      <c r="R22" s="53">
        <v>14.6</v>
      </c>
      <c r="S22" s="53">
        <v>116</v>
      </c>
      <c r="T22" s="16">
        <f t="shared" si="1"/>
        <v>30</v>
      </c>
      <c r="U22" s="53">
        <v>429</v>
      </c>
      <c r="V22" s="16">
        <f t="shared" si="2"/>
        <v>2145</v>
      </c>
      <c r="W22" s="53">
        <v>1</v>
      </c>
      <c r="X22" s="53" t="s">
        <v>46</v>
      </c>
      <c r="Y22" s="53" t="s">
        <v>90</v>
      </c>
      <c r="Z22" s="53" t="s">
        <v>84</v>
      </c>
      <c r="AA22" s="53" t="s">
        <v>50</v>
      </c>
      <c r="AB22" s="53" t="s">
        <v>158</v>
      </c>
      <c r="AP22" s="27" t="s">
        <v>229</v>
      </c>
      <c r="AR22" s="23" t="s">
        <v>83</v>
      </c>
      <c r="AV22" s="27"/>
    </row>
    <row r="23" spans="1:48" x14ac:dyDescent="0.15">
      <c r="A23" s="53" t="s">
        <v>41</v>
      </c>
      <c r="B23" s="53" t="s">
        <v>157</v>
      </c>
      <c r="C23" s="62">
        <v>2019</v>
      </c>
      <c r="D23" s="63" t="s">
        <v>189</v>
      </c>
      <c r="E23" s="53" t="s">
        <v>187</v>
      </c>
      <c r="F23" s="53" t="s">
        <v>185</v>
      </c>
      <c r="G23" s="53" t="s">
        <v>42</v>
      </c>
      <c r="H23" s="53" t="s">
        <v>188</v>
      </c>
      <c r="I23" s="53" t="s">
        <v>159</v>
      </c>
      <c r="J23" s="53" t="s">
        <v>58</v>
      </c>
      <c r="K23" s="53" t="s">
        <v>59</v>
      </c>
      <c r="L23" s="53">
        <v>1</v>
      </c>
      <c r="M23" s="76"/>
      <c r="N23" s="53">
        <v>6</v>
      </c>
      <c r="O23" s="53">
        <v>0.55000000000000004</v>
      </c>
      <c r="P23" s="53">
        <v>0.45</v>
      </c>
      <c r="Q23" s="75">
        <v>0.63</v>
      </c>
      <c r="R23" s="53">
        <v>13.2</v>
      </c>
      <c r="S23" s="53">
        <v>122</v>
      </c>
      <c r="T23" s="16">
        <f t="shared" si="1"/>
        <v>27</v>
      </c>
      <c r="U23" s="53">
        <v>429</v>
      </c>
      <c r="V23" s="16">
        <f t="shared" si="2"/>
        <v>1930.5</v>
      </c>
      <c r="W23" s="53">
        <v>1</v>
      </c>
      <c r="X23" s="53" t="s">
        <v>46</v>
      </c>
      <c r="Y23" s="53" t="s">
        <v>90</v>
      </c>
      <c r="Z23" s="53" t="s">
        <v>84</v>
      </c>
      <c r="AA23" s="53" t="s">
        <v>50</v>
      </c>
      <c r="AB23" s="53" t="s">
        <v>158</v>
      </c>
      <c r="AP23" s="27" t="s">
        <v>230</v>
      </c>
      <c r="AR23" s="28" t="s">
        <v>231</v>
      </c>
      <c r="AV23" s="28"/>
    </row>
    <row r="24" spans="1:48" x14ac:dyDescent="0.15">
      <c r="A24" s="53" t="s">
        <v>41</v>
      </c>
      <c r="B24" s="53" t="s">
        <v>157</v>
      </c>
      <c r="C24" s="62">
        <v>2019</v>
      </c>
      <c r="D24" s="63" t="s">
        <v>189</v>
      </c>
      <c r="E24" s="53" t="s">
        <v>187</v>
      </c>
      <c r="F24" s="53" t="s">
        <v>185</v>
      </c>
      <c r="G24" s="53" t="s">
        <v>42</v>
      </c>
      <c r="H24" s="53" t="s">
        <v>188</v>
      </c>
      <c r="I24" s="53" t="s">
        <v>159</v>
      </c>
      <c r="J24" s="53" t="s">
        <v>58</v>
      </c>
      <c r="K24" s="53" t="s">
        <v>59</v>
      </c>
      <c r="L24" s="53">
        <v>2</v>
      </c>
      <c r="M24" s="76"/>
      <c r="N24" s="53">
        <v>6</v>
      </c>
      <c r="O24" s="53">
        <v>0.45</v>
      </c>
      <c r="P24" s="53">
        <v>0.5</v>
      </c>
      <c r="Q24" s="75">
        <v>0.78</v>
      </c>
      <c r="R24" s="53">
        <v>13</v>
      </c>
      <c r="S24" s="53">
        <v>121</v>
      </c>
      <c r="T24" s="16">
        <f t="shared" si="1"/>
        <v>27</v>
      </c>
      <c r="U24" s="53">
        <v>429</v>
      </c>
      <c r="V24" s="16">
        <f t="shared" si="2"/>
        <v>1930.5</v>
      </c>
      <c r="W24" s="53">
        <v>1</v>
      </c>
      <c r="X24" s="53" t="s">
        <v>46</v>
      </c>
      <c r="Y24" s="53" t="s">
        <v>90</v>
      </c>
      <c r="Z24" s="53" t="s">
        <v>84</v>
      </c>
      <c r="AA24" s="53" t="s">
        <v>50</v>
      </c>
      <c r="AB24" s="53" t="s">
        <v>158</v>
      </c>
      <c r="AP24" s="27" t="s">
        <v>232</v>
      </c>
    </row>
    <row r="25" spans="1:48" x14ac:dyDescent="0.15">
      <c r="A25" s="53" t="s">
        <v>41</v>
      </c>
      <c r="B25" s="53" t="s">
        <v>157</v>
      </c>
      <c r="C25" s="62">
        <v>2019</v>
      </c>
      <c r="D25" s="63" t="s">
        <v>189</v>
      </c>
      <c r="E25" s="53" t="s">
        <v>187</v>
      </c>
      <c r="F25" s="53" t="s">
        <v>185</v>
      </c>
      <c r="G25" s="53" t="s">
        <v>42</v>
      </c>
      <c r="H25" s="53" t="s">
        <v>188</v>
      </c>
      <c r="I25" s="53" t="s">
        <v>159</v>
      </c>
      <c r="J25" s="53" t="s">
        <v>58</v>
      </c>
      <c r="K25" s="53" t="s">
        <v>59</v>
      </c>
      <c r="L25" s="53">
        <v>3</v>
      </c>
      <c r="M25" s="76"/>
      <c r="N25" s="53">
        <v>6</v>
      </c>
      <c r="O25" s="53">
        <v>0.5</v>
      </c>
      <c r="P25" s="53">
        <v>0.65</v>
      </c>
      <c r="Q25" s="75">
        <v>0.65</v>
      </c>
      <c r="R25" s="53">
        <v>12.8</v>
      </c>
      <c r="S25" s="53">
        <v>120</v>
      </c>
      <c r="T25" s="16">
        <f t="shared" si="1"/>
        <v>30</v>
      </c>
      <c r="U25" s="53">
        <v>429</v>
      </c>
      <c r="V25" s="16">
        <f t="shared" si="2"/>
        <v>2145</v>
      </c>
      <c r="W25" s="53">
        <v>1</v>
      </c>
      <c r="X25" s="53" t="s">
        <v>46</v>
      </c>
      <c r="Y25" s="53" t="s">
        <v>90</v>
      </c>
      <c r="Z25" s="53" t="s">
        <v>84</v>
      </c>
      <c r="AA25" s="53" t="s">
        <v>50</v>
      </c>
      <c r="AB25" s="53" t="s">
        <v>158</v>
      </c>
    </row>
    <row r="26" spans="1:48" x14ac:dyDescent="0.15">
      <c r="A26" s="53" t="s">
        <v>41</v>
      </c>
      <c r="B26" s="53" t="s">
        <v>157</v>
      </c>
      <c r="C26" s="62">
        <v>2019</v>
      </c>
      <c r="D26" s="63" t="s">
        <v>189</v>
      </c>
      <c r="E26" s="53" t="s">
        <v>187</v>
      </c>
      <c r="F26" s="53" t="s">
        <v>185</v>
      </c>
      <c r="G26" s="53" t="s">
        <v>42</v>
      </c>
      <c r="H26" s="53" t="s">
        <v>164</v>
      </c>
      <c r="I26" s="53" t="s">
        <v>159</v>
      </c>
      <c r="J26" s="53" t="s">
        <v>38</v>
      </c>
      <c r="K26" s="53" t="s">
        <v>161</v>
      </c>
      <c r="L26" s="53">
        <v>1</v>
      </c>
      <c r="M26" s="76"/>
      <c r="N26" s="53">
        <v>1</v>
      </c>
      <c r="O26" s="53">
        <v>0.9</v>
      </c>
      <c r="P26" s="53">
        <v>0.8</v>
      </c>
      <c r="Q26" s="16">
        <v>0.38</v>
      </c>
      <c r="R26" s="53">
        <v>11.7</v>
      </c>
      <c r="S26" s="53">
        <v>127</v>
      </c>
      <c r="T26" s="16">
        <f t="shared" si="1"/>
        <v>27</v>
      </c>
      <c r="U26" s="53">
        <v>84</v>
      </c>
      <c r="V26" s="16">
        <f t="shared" si="2"/>
        <v>2268</v>
      </c>
      <c r="W26" s="53">
        <v>1</v>
      </c>
      <c r="X26" s="53" t="s">
        <v>39</v>
      </c>
      <c r="Y26" s="53" t="s">
        <v>90</v>
      </c>
      <c r="Z26" s="53" t="s">
        <v>84</v>
      </c>
      <c r="AA26" s="53" t="s">
        <v>50</v>
      </c>
      <c r="AB26" s="53" t="s">
        <v>158</v>
      </c>
    </row>
    <row r="27" spans="1:48" x14ac:dyDescent="0.15">
      <c r="A27" s="53" t="s">
        <v>41</v>
      </c>
      <c r="B27" s="53" t="s">
        <v>157</v>
      </c>
      <c r="C27" s="62">
        <v>2019</v>
      </c>
      <c r="D27" s="63" t="s">
        <v>189</v>
      </c>
      <c r="E27" s="53" t="s">
        <v>187</v>
      </c>
      <c r="F27" s="53" t="s">
        <v>185</v>
      </c>
      <c r="G27" s="53" t="s">
        <v>42</v>
      </c>
      <c r="H27" s="53" t="s">
        <v>164</v>
      </c>
      <c r="I27" s="53" t="s">
        <v>159</v>
      </c>
      <c r="J27" s="53" t="s">
        <v>38</v>
      </c>
      <c r="K27" s="53" t="s">
        <v>161</v>
      </c>
      <c r="L27" s="53">
        <v>2</v>
      </c>
      <c r="M27" s="76"/>
      <c r="N27" s="53">
        <v>1</v>
      </c>
      <c r="O27" s="53">
        <v>0.8</v>
      </c>
      <c r="P27" s="53">
        <v>0.95</v>
      </c>
      <c r="Q27" s="16">
        <v>0.83</v>
      </c>
      <c r="R27" s="53">
        <v>13</v>
      </c>
      <c r="S27" s="53">
        <v>125</v>
      </c>
      <c r="T27" s="16">
        <f t="shared" si="1"/>
        <v>27</v>
      </c>
      <c r="U27" s="53">
        <v>84</v>
      </c>
      <c r="V27" s="16">
        <f t="shared" si="2"/>
        <v>2268</v>
      </c>
      <c r="W27" s="53">
        <v>1</v>
      </c>
      <c r="X27" s="53" t="s">
        <v>39</v>
      </c>
      <c r="Y27" s="53" t="s">
        <v>90</v>
      </c>
      <c r="Z27" s="53" t="s">
        <v>84</v>
      </c>
      <c r="AA27" s="53" t="s">
        <v>50</v>
      </c>
      <c r="AB27" s="53" t="s">
        <v>158</v>
      </c>
    </row>
    <row r="28" spans="1:48" x14ac:dyDescent="0.15">
      <c r="A28" s="53" t="s">
        <v>41</v>
      </c>
      <c r="B28" s="53" t="s">
        <v>157</v>
      </c>
      <c r="C28" s="62">
        <v>2019</v>
      </c>
      <c r="D28" s="63" t="s">
        <v>189</v>
      </c>
      <c r="E28" s="53" t="s">
        <v>187</v>
      </c>
      <c r="F28" s="53" t="s">
        <v>185</v>
      </c>
      <c r="G28" s="53" t="s">
        <v>42</v>
      </c>
      <c r="H28" s="53" t="s">
        <v>164</v>
      </c>
      <c r="I28" s="53" t="s">
        <v>159</v>
      </c>
      <c r="J28" s="53" t="s">
        <v>38</v>
      </c>
      <c r="K28" s="53" t="s">
        <v>161</v>
      </c>
      <c r="L28" s="53">
        <v>3</v>
      </c>
      <c r="M28" s="76"/>
      <c r="N28" s="53">
        <v>1</v>
      </c>
      <c r="O28" s="53">
        <v>0.65</v>
      </c>
      <c r="P28" s="53">
        <v>0.6</v>
      </c>
      <c r="Q28" s="16">
        <v>0.5</v>
      </c>
      <c r="R28" s="53">
        <v>12</v>
      </c>
      <c r="S28" s="53">
        <v>124</v>
      </c>
      <c r="T28" s="16">
        <f t="shared" si="1"/>
        <v>27</v>
      </c>
      <c r="U28" s="53">
        <v>84</v>
      </c>
      <c r="V28" s="16">
        <f t="shared" si="2"/>
        <v>2268</v>
      </c>
      <c r="W28" s="53">
        <v>1</v>
      </c>
      <c r="X28" s="53" t="s">
        <v>39</v>
      </c>
      <c r="Y28" s="53" t="s">
        <v>90</v>
      </c>
      <c r="Z28" s="53" t="s">
        <v>84</v>
      </c>
      <c r="AA28" s="53" t="s">
        <v>50</v>
      </c>
      <c r="AB28" s="53" t="s">
        <v>158</v>
      </c>
    </row>
    <row r="29" spans="1:48" x14ac:dyDescent="0.15">
      <c r="A29" s="53" t="s">
        <v>41</v>
      </c>
      <c r="B29" s="53" t="s">
        <v>157</v>
      </c>
      <c r="C29" s="62">
        <v>2019</v>
      </c>
      <c r="D29" s="63" t="s">
        <v>189</v>
      </c>
      <c r="E29" s="53" t="s">
        <v>187</v>
      </c>
      <c r="F29" s="53" t="s">
        <v>185</v>
      </c>
      <c r="G29" s="53" t="s">
        <v>42</v>
      </c>
      <c r="H29" s="53" t="s">
        <v>164</v>
      </c>
      <c r="I29" s="53" t="s">
        <v>159</v>
      </c>
      <c r="J29" s="53" t="s">
        <v>38</v>
      </c>
      <c r="K29" s="53" t="s">
        <v>161</v>
      </c>
      <c r="L29" s="53">
        <v>1</v>
      </c>
      <c r="M29" s="76"/>
      <c r="N29" s="53">
        <v>6</v>
      </c>
      <c r="O29" s="53">
        <v>0.8</v>
      </c>
      <c r="P29" s="53">
        <v>0.7</v>
      </c>
      <c r="Q29" s="16">
        <v>0.8</v>
      </c>
      <c r="R29" s="53">
        <v>12.7</v>
      </c>
      <c r="S29" s="53">
        <v>102</v>
      </c>
      <c r="T29" s="16">
        <f t="shared" si="1"/>
        <v>33</v>
      </c>
      <c r="U29" s="53">
        <v>429</v>
      </c>
      <c r="V29" s="16">
        <f t="shared" si="2"/>
        <v>2359.5</v>
      </c>
      <c r="W29" s="53">
        <v>1</v>
      </c>
      <c r="X29" s="53" t="s">
        <v>39</v>
      </c>
      <c r="Y29" s="53" t="s">
        <v>90</v>
      </c>
      <c r="Z29" s="53" t="s">
        <v>84</v>
      </c>
      <c r="AA29" s="53" t="s">
        <v>50</v>
      </c>
      <c r="AB29" s="53" t="s">
        <v>158</v>
      </c>
    </row>
    <row r="30" spans="1:48" x14ac:dyDescent="0.15">
      <c r="A30" s="53" t="s">
        <v>41</v>
      </c>
      <c r="B30" s="53" t="s">
        <v>157</v>
      </c>
      <c r="C30" s="62">
        <v>2019</v>
      </c>
      <c r="D30" s="63" t="s">
        <v>189</v>
      </c>
      <c r="E30" s="53" t="s">
        <v>187</v>
      </c>
      <c r="F30" s="53" t="s">
        <v>185</v>
      </c>
      <c r="G30" s="53" t="s">
        <v>42</v>
      </c>
      <c r="H30" s="53" t="s">
        <v>164</v>
      </c>
      <c r="I30" s="53" t="s">
        <v>159</v>
      </c>
      <c r="J30" s="53" t="s">
        <v>38</v>
      </c>
      <c r="K30" s="53" t="s">
        <v>161</v>
      </c>
      <c r="L30" s="53">
        <v>2</v>
      </c>
      <c r="M30" s="76"/>
      <c r="N30" s="53">
        <v>6</v>
      </c>
      <c r="O30" s="53">
        <v>0.6</v>
      </c>
      <c r="P30" s="53">
        <v>0.65</v>
      </c>
      <c r="Q30" s="16">
        <v>0.2</v>
      </c>
      <c r="R30" s="53">
        <v>12.4</v>
      </c>
      <c r="S30" s="53">
        <v>107</v>
      </c>
      <c r="T30" s="16">
        <f t="shared" si="1"/>
        <v>33</v>
      </c>
      <c r="U30" s="53">
        <v>429</v>
      </c>
      <c r="V30" s="16">
        <f t="shared" si="2"/>
        <v>2359.5</v>
      </c>
      <c r="W30" s="53">
        <v>1</v>
      </c>
      <c r="X30" s="53" t="s">
        <v>39</v>
      </c>
      <c r="Y30" s="53" t="s">
        <v>90</v>
      </c>
      <c r="Z30" s="53" t="s">
        <v>84</v>
      </c>
      <c r="AA30" s="53" t="s">
        <v>50</v>
      </c>
      <c r="AB30" s="53" t="s">
        <v>158</v>
      </c>
    </row>
    <row r="31" spans="1:48" x14ac:dyDescent="0.15">
      <c r="A31" s="53" t="s">
        <v>41</v>
      </c>
      <c r="B31" s="53" t="s">
        <v>157</v>
      </c>
      <c r="C31" s="62">
        <v>2019</v>
      </c>
      <c r="D31" s="63" t="s">
        <v>189</v>
      </c>
      <c r="E31" s="53" t="s">
        <v>187</v>
      </c>
      <c r="F31" s="53" t="s">
        <v>185</v>
      </c>
      <c r="G31" s="53" t="s">
        <v>42</v>
      </c>
      <c r="H31" s="53" t="s">
        <v>164</v>
      </c>
      <c r="I31" s="53" t="s">
        <v>159</v>
      </c>
      <c r="J31" s="53" t="s">
        <v>38</v>
      </c>
      <c r="K31" s="53" t="s">
        <v>161</v>
      </c>
      <c r="L31" s="53">
        <v>3</v>
      </c>
      <c r="M31" s="76"/>
      <c r="N31" s="53">
        <v>6</v>
      </c>
      <c r="O31" s="53">
        <v>0.85</v>
      </c>
      <c r="P31" s="53">
        <v>0.8</v>
      </c>
      <c r="Q31" s="16">
        <v>0.6</v>
      </c>
      <c r="R31" s="53">
        <v>11.1</v>
      </c>
      <c r="S31" s="53">
        <v>110</v>
      </c>
      <c r="T31" s="16">
        <f t="shared" si="1"/>
        <v>33</v>
      </c>
      <c r="U31" s="53">
        <v>429</v>
      </c>
      <c r="V31" s="16">
        <f t="shared" si="2"/>
        <v>2359.5</v>
      </c>
      <c r="W31" s="53">
        <v>1</v>
      </c>
      <c r="X31" s="53" t="s">
        <v>39</v>
      </c>
      <c r="Y31" s="53" t="s">
        <v>90</v>
      </c>
      <c r="Z31" s="53" t="s">
        <v>84</v>
      </c>
      <c r="AA31" s="53" t="s">
        <v>50</v>
      </c>
      <c r="AB31" s="53" t="s">
        <v>158</v>
      </c>
    </row>
    <row r="32" spans="1:48" x14ac:dyDescent="0.15">
      <c r="A32" s="53" t="s">
        <v>41</v>
      </c>
      <c r="B32" s="53" t="s">
        <v>157</v>
      </c>
      <c r="C32" s="62">
        <v>2019</v>
      </c>
      <c r="D32" s="63" t="s">
        <v>189</v>
      </c>
      <c r="E32" s="53" t="s">
        <v>187</v>
      </c>
      <c r="F32" s="53" t="s">
        <v>190</v>
      </c>
      <c r="G32" s="53" t="s">
        <v>42</v>
      </c>
      <c r="H32" s="53" t="s">
        <v>188</v>
      </c>
      <c r="I32" s="53" t="s">
        <v>159</v>
      </c>
      <c r="J32" s="53" t="s">
        <v>58</v>
      </c>
      <c r="K32" s="53" t="s">
        <v>59</v>
      </c>
      <c r="L32" s="53">
        <v>1</v>
      </c>
      <c r="M32" s="76"/>
      <c r="N32" s="53">
        <v>6</v>
      </c>
      <c r="O32" s="53">
        <v>0.65</v>
      </c>
      <c r="P32" s="53">
        <v>0.75</v>
      </c>
      <c r="Q32" s="16">
        <v>0.38</v>
      </c>
      <c r="R32" s="53">
        <v>12</v>
      </c>
      <c r="S32" s="53">
        <v>120</v>
      </c>
      <c r="T32" s="16">
        <f t="shared" si="1"/>
        <v>30</v>
      </c>
      <c r="U32" s="53">
        <v>429</v>
      </c>
      <c r="V32" s="16">
        <f t="shared" si="2"/>
        <v>2145</v>
      </c>
      <c r="W32" s="53">
        <v>1</v>
      </c>
      <c r="X32" s="53" t="s">
        <v>39</v>
      </c>
      <c r="Y32" s="53" t="s">
        <v>84</v>
      </c>
      <c r="Z32" s="53" t="s">
        <v>90</v>
      </c>
      <c r="AA32" s="53" t="s">
        <v>50</v>
      </c>
      <c r="AB32" s="53" t="s">
        <v>158</v>
      </c>
    </row>
    <row r="33" spans="1:28" x14ac:dyDescent="0.15">
      <c r="A33" s="53" t="s">
        <v>41</v>
      </c>
      <c r="B33" s="53" t="s">
        <v>157</v>
      </c>
      <c r="C33" s="62">
        <v>2019</v>
      </c>
      <c r="D33" s="63" t="s">
        <v>189</v>
      </c>
      <c r="E33" s="53" t="s">
        <v>187</v>
      </c>
      <c r="F33" s="53" t="s">
        <v>190</v>
      </c>
      <c r="G33" s="53" t="s">
        <v>42</v>
      </c>
      <c r="H33" s="53" t="s">
        <v>188</v>
      </c>
      <c r="I33" s="53" t="s">
        <v>159</v>
      </c>
      <c r="J33" s="53" t="s">
        <v>58</v>
      </c>
      <c r="K33" s="53" t="s">
        <v>59</v>
      </c>
      <c r="L33" s="53">
        <v>2</v>
      </c>
      <c r="M33" s="76"/>
      <c r="N33" s="53">
        <v>6</v>
      </c>
      <c r="O33" s="53">
        <v>0.7</v>
      </c>
      <c r="P33" s="53">
        <v>0.6</v>
      </c>
      <c r="Q33" s="16">
        <v>0.83</v>
      </c>
      <c r="R33" s="53">
        <v>13.4</v>
      </c>
      <c r="S33" s="53">
        <v>117</v>
      </c>
      <c r="T33" s="16">
        <f t="shared" si="1"/>
        <v>30</v>
      </c>
      <c r="U33" s="53">
        <v>429</v>
      </c>
      <c r="V33" s="16">
        <f t="shared" si="2"/>
        <v>2145</v>
      </c>
      <c r="W33" s="53">
        <v>1</v>
      </c>
      <c r="X33" s="53" t="s">
        <v>39</v>
      </c>
      <c r="Y33" s="53" t="s">
        <v>84</v>
      </c>
      <c r="Z33" s="53" t="s">
        <v>90</v>
      </c>
      <c r="AA33" s="53" t="s">
        <v>50</v>
      </c>
      <c r="AB33" s="53" t="s">
        <v>158</v>
      </c>
    </row>
    <row r="34" spans="1:28" x14ac:dyDescent="0.15">
      <c r="A34" s="53" t="s">
        <v>41</v>
      </c>
      <c r="B34" s="53" t="s">
        <v>157</v>
      </c>
      <c r="C34" s="62">
        <v>2019</v>
      </c>
      <c r="D34" s="63" t="s">
        <v>189</v>
      </c>
      <c r="E34" s="53" t="s">
        <v>187</v>
      </c>
      <c r="F34" s="53" t="s">
        <v>190</v>
      </c>
      <c r="G34" s="53" t="s">
        <v>42</v>
      </c>
      <c r="H34" s="53" t="s">
        <v>188</v>
      </c>
      <c r="I34" s="53" t="s">
        <v>159</v>
      </c>
      <c r="J34" s="53" t="s">
        <v>58</v>
      </c>
      <c r="K34" s="53" t="s">
        <v>59</v>
      </c>
      <c r="L34" s="53">
        <v>3</v>
      </c>
      <c r="M34" s="76"/>
      <c r="N34" s="53">
        <v>6</v>
      </c>
      <c r="O34" s="53">
        <v>0.6</v>
      </c>
      <c r="P34" s="53">
        <v>0.7</v>
      </c>
      <c r="Q34" s="16">
        <v>0.5</v>
      </c>
      <c r="R34" s="53">
        <v>11.5</v>
      </c>
      <c r="S34" s="53">
        <v>118</v>
      </c>
      <c r="T34" s="16">
        <f t="shared" si="1"/>
        <v>30</v>
      </c>
      <c r="U34" s="53">
        <v>429</v>
      </c>
      <c r="V34" s="16">
        <f t="shared" si="2"/>
        <v>2145</v>
      </c>
      <c r="W34" s="53">
        <v>1</v>
      </c>
      <c r="X34" s="53" t="s">
        <v>39</v>
      </c>
      <c r="Y34" s="53" t="s">
        <v>84</v>
      </c>
      <c r="Z34" s="53" t="s">
        <v>90</v>
      </c>
      <c r="AA34" s="53" t="s">
        <v>50</v>
      </c>
      <c r="AB34" s="53" t="s">
        <v>158</v>
      </c>
    </row>
    <row r="35" spans="1:28" x14ac:dyDescent="0.15">
      <c r="A35" s="53" t="s">
        <v>41</v>
      </c>
      <c r="B35" s="53" t="s">
        <v>157</v>
      </c>
      <c r="C35" s="62">
        <v>2019</v>
      </c>
      <c r="D35" s="63" t="s">
        <v>189</v>
      </c>
      <c r="E35" s="53" t="s">
        <v>187</v>
      </c>
      <c r="F35" s="53" t="s">
        <v>190</v>
      </c>
      <c r="G35" s="53" t="s">
        <v>42</v>
      </c>
      <c r="H35" s="53" t="s">
        <v>164</v>
      </c>
      <c r="I35" s="53" t="s">
        <v>159</v>
      </c>
      <c r="J35" s="53" t="s">
        <v>38</v>
      </c>
      <c r="K35" s="53" t="s">
        <v>161</v>
      </c>
      <c r="L35" s="53">
        <v>1</v>
      </c>
      <c r="M35" s="76"/>
      <c r="N35" s="53">
        <v>1</v>
      </c>
      <c r="O35" s="53">
        <v>0.7</v>
      </c>
      <c r="P35" s="53">
        <v>0.75</v>
      </c>
      <c r="Q35" s="16">
        <v>2.4</v>
      </c>
      <c r="R35" s="53">
        <v>12.6</v>
      </c>
      <c r="S35" s="53">
        <v>127</v>
      </c>
      <c r="T35" s="16">
        <f t="shared" si="1"/>
        <v>27</v>
      </c>
      <c r="U35" s="53">
        <v>105</v>
      </c>
      <c r="V35" s="16">
        <f t="shared" si="2"/>
        <v>2835</v>
      </c>
      <c r="W35" s="53">
        <v>1</v>
      </c>
      <c r="X35" s="53" t="s">
        <v>39</v>
      </c>
      <c r="Y35" s="53" t="s">
        <v>84</v>
      </c>
      <c r="Z35" s="53" t="s">
        <v>90</v>
      </c>
      <c r="AA35" s="53" t="s">
        <v>50</v>
      </c>
      <c r="AB35" s="53" t="s">
        <v>158</v>
      </c>
    </row>
    <row r="36" spans="1:28" x14ac:dyDescent="0.15">
      <c r="A36" s="53" t="s">
        <v>41</v>
      </c>
      <c r="B36" s="53" t="s">
        <v>157</v>
      </c>
      <c r="C36" s="62">
        <v>2019</v>
      </c>
      <c r="D36" s="63" t="s">
        <v>189</v>
      </c>
      <c r="E36" s="53" t="s">
        <v>187</v>
      </c>
      <c r="F36" s="53" t="s">
        <v>190</v>
      </c>
      <c r="G36" s="53" t="s">
        <v>42</v>
      </c>
      <c r="H36" s="53" t="s">
        <v>164</v>
      </c>
      <c r="I36" s="53" t="s">
        <v>159</v>
      </c>
      <c r="J36" s="53" t="s">
        <v>38</v>
      </c>
      <c r="K36" s="53" t="s">
        <v>161</v>
      </c>
      <c r="L36" s="53">
        <v>2</v>
      </c>
      <c r="M36" s="76"/>
      <c r="N36" s="53">
        <v>1</v>
      </c>
      <c r="O36" s="53">
        <v>0.65</v>
      </c>
      <c r="P36" s="53">
        <v>0.55000000000000004</v>
      </c>
      <c r="Q36" s="16">
        <v>1.73</v>
      </c>
      <c r="R36" s="53">
        <v>13</v>
      </c>
      <c r="S36" s="53">
        <v>128</v>
      </c>
      <c r="T36" s="16">
        <f t="shared" si="1"/>
        <v>27</v>
      </c>
      <c r="U36" s="53">
        <v>105</v>
      </c>
      <c r="V36" s="16">
        <f t="shared" si="2"/>
        <v>2835</v>
      </c>
      <c r="W36" s="53">
        <v>1</v>
      </c>
      <c r="X36" s="53" t="s">
        <v>39</v>
      </c>
      <c r="Y36" s="53" t="s">
        <v>84</v>
      </c>
      <c r="Z36" s="53" t="s">
        <v>90</v>
      </c>
      <c r="AA36" s="53" t="s">
        <v>50</v>
      </c>
      <c r="AB36" s="53" t="s">
        <v>158</v>
      </c>
    </row>
    <row r="37" spans="1:28" x14ac:dyDescent="0.15">
      <c r="A37" s="53" t="s">
        <v>41</v>
      </c>
      <c r="B37" s="53" t="s">
        <v>157</v>
      </c>
      <c r="C37" s="62">
        <v>2019</v>
      </c>
      <c r="D37" s="63" t="s">
        <v>189</v>
      </c>
      <c r="E37" s="53" t="s">
        <v>187</v>
      </c>
      <c r="F37" s="53" t="s">
        <v>190</v>
      </c>
      <c r="G37" s="53" t="s">
        <v>42</v>
      </c>
      <c r="H37" s="53" t="s">
        <v>164</v>
      </c>
      <c r="I37" s="53" t="s">
        <v>159</v>
      </c>
      <c r="J37" s="53" t="s">
        <v>38</v>
      </c>
      <c r="K37" s="53" t="s">
        <v>161</v>
      </c>
      <c r="L37" s="53">
        <v>3</v>
      </c>
      <c r="M37" s="76"/>
      <c r="N37" s="53">
        <v>1</v>
      </c>
      <c r="O37" s="53">
        <v>0.5</v>
      </c>
      <c r="P37" s="53">
        <v>0.45</v>
      </c>
      <c r="Q37" s="16">
        <v>1.88</v>
      </c>
      <c r="R37" s="53">
        <v>10.199999999999999</v>
      </c>
      <c r="S37" s="53">
        <v>130</v>
      </c>
      <c r="T37" s="16">
        <f t="shared" si="1"/>
        <v>25</v>
      </c>
      <c r="U37" s="53">
        <v>105</v>
      </c>
      <c r="V37" s="16">
        <f t="shared" si="2"/>
        <v>2625</v>
      </c>
      <c r="W37" s="53">
        <v>1</v>
      </c>
      <c r="X37" s="53" t="s">
        <v>39</v>
      </c>
      <c r="Y37" s="53" t="s">
        <v>84</v>
      </c>
      <c r="Z37" s="53" t="s">
        <v>90</v>
      </c>
      <c r="AA37" s="53" t="s">
        <v>50</v>
      </c>
      <c r="AB37" s="53" t="s">
        <v>158</v>
      </c>
    </row>
    <row r="38" spans="1:28" x14ac:dyDescent="0.15">
      <c r="A38" s="53" t="s">
        <v>41</v>
      </c>
      <c r="B38" s="53" t="s">
        <v>157</v>
      </c>
      <c r="C38" s="62">
        <v>2019</v>
      </c>
      <c r="D38" s="63" t="s">
        <v>189</v>
      </c>
      <c r="E38" s="53" t="s">
        <v>187</v>
      </c>
      <c r="F38" s="53" t="s">
        <v>190</v>
      </c>
      <c r="G38" s="53" t="s">
        <v>42</v>
      </c>
      <c r="H38" s="53" t="s">
        <v>164</v>
      </c>
      <c r="I38" s="53" t="s">
        <v>159</v>
      </c>
      <c r="J38" s="53" t="s">
        <v>38</v>
      </c>
      <c r="K38" s="53" t="s">
        <v>161</v>
      </c>
      <c r="L38" s="53">
        <v>1</v>
      </c>
      <c r="M38" s="76"/>
      <c r="N38" s="53">
        <v>5</v>
      </c>
      <c r="O38" s="53">
        <v>1</v>
      </c>
      <c r="P38" s="53">
        <v>1.1000000000000001</v>
      </c>
      <c r="Q38" s="16">
        <v>1.1299999999999999</v>
      </c>
      <c r="R38" s="53">
        <v>11.4</v>
      </c>
      <c r="S38" s="53">
        <v>100</v>
      </c>
      <c r="T38" s="16">
        <f t="shared" si="1"/>
        <v>33</v>
      </c>
      <c r="U38" s="53">
        <v>429</v>
      </c>
      <c r="V38" s="16">
        <f t="shared" si="2"/>
        <v>2831.4</v>
      </c>
      <c r="W38" s="53">
        <v>1</v>
      </c>
      <c r="X38" s="53" t="s">
        <v>39</v>
      </c>
      <c r="Y38" s="53" t="s">
        <v>84</v>
      </c>
      <c r="Z38" s="53" t="s">
        <v>90</v>
      </c>
      <c r="AA38" s="53" t="s">
        <v>50</v>
      </c>
      <c r="AB38" s="53" t="s">
        <v>158</v>
      </c>
    </row>
    <row r="39" spans="1:28" x14ac:dyDescent="0.15">
      <c r="A39" s="53" t="s">
        <v>41</v>
      </c>
      <c r="B39" s="53" t="s">
        <v>157</v>
      </c>
      <c r="C39" s="62">
        <v>2019</v>
      </c>
      <c r="D39" s="63" t="s">
        <v>189</v>
      </c>
      <c r="E39" s="53" t="s">
        <v>187</v>
      </c>
      <c r="F39" s="53" t="s">
        <v>190</v>
      </c>
      <c r="G39" s="53" t="s">
        <v>42</v>
      </c>
      <c r="H39" s="53" t="s">
        <v>164</v>
      </c>
      <c r="I39" s="53" t="s">
        <v>159</v>
      </c>
      <c r="J39" s="53" t="s">
        <v>38</v>
      </c>
      <c r="K39" s="53" t="s">
        <v>161</v>
      </c>
      <c r="L39" s="53">
        <v>2</v>
      </c>
      <c r="M39" s="76"/>
      <c r="N39" s="53">
        <v>5</v>
      </c>
      <c r="O39" s="53">
        <v>1.3</v>
      </c>
      <c r="P39" s="53">
        <v>1.2</v>
      </c>
      <c r="Q39" s="16">
        <v>1.2</v>
      </c>
      <c r="R39" s="53">
        <v>12.4</v>
      </c>
      <c r="S39" s="53">
        <v>105</v>
      </c>
      <c r="T39" s="16">
        <f t="shared" si="1"/>
        <v>33</v>
      </c>
      <c r="U39" s="53">
        <v>429</v>
      </c>
      <c r="V39" s="16">
        <f t="shared" si="2"/>
        <v>2831.4</v>
      </c>
      <c r="W39" s="53">
        <v>1</v>
      </c>
      <c r="X39" s="53" t="s">
        <v>39</v>
      </c>
      <c r="Y39" s="53" t="s">
        <v>84</v>
      </c>
      <c r="Z39" s="53" t="s">
        <v>90</v>
      </c>
      <c r="AA39" s="53" t="s">
        <v>50</v>
      </c>
      <c r="AB39" s="53" t="s">
        <v>158</v>
      </c>
    </row>
    <row r="40" spans="1:28" x14ac:dyDescent="0.15">
      <c r="A40" s="53" t="s">
        <v>41</v>
      </c>
      <c r="B40" s="53" t="s">
        <v>157</v>
      </c>
      <c r="C40" s="62">
        <v>2019</v>
      </c>
      <c r="D40" s="63" t="s">
        <v>189</v>
      </c>
      <c r="E40" s="53" t="s">
        <v>187</v>
      </c>
      <c r="F40" s="53" t="s">
        <v>190</v>
      </c>
      <c r="G40" s="53" t="s">
        <v>42</v>
      </c>
      <c r="H40" s="53" t="s">
        <v>164</v>
      </c>
      <c r="I40" s="53" t="s">
        <v>159</v>
      </c>
      <c r="J40" s="53" t="s">
        <v>38</v>
      </c>
      <c r="K40" s="53" t="s">
        <v>161</v>
      </c>
      <c r="L40" s="53">
        <v>3</v>
      </c>
      <c r="M40" s="76"/>
      <c r="N40" s="53">
        <v>5</v>
      </c>
      <c r="O40" s="53">
        <v>1.1000000000000001</v>
      </c>
      <c r="P40" s="53">
        <v>1</v>
      </c>
      <c r="Q40" s="16">
        <v>1.1299999999999999</v>
      </c>
      <c r="R40" s="53">
        <v>12.5</v>
      </c>
      <c r="S40" s="53">
        <v>107</v>
      </c>
      <c r="T40" s="16">
        <f t="shared" si="1"/>
        <v>33</v>
      </c>
      <c r="U40" s="53">
        <v>429</v>
      </c>
      <c r="V40" s="16">
        <f t="shared" si="2"/>
        <v>2831.4</v>
      </c>
      <c r="W40" s="53">
        <v>1</v>
      </c>
      <c r="X40" s="53" t="s">
        <v>39</v>
      </c>
      <c r="Y40" s="53" t="s">
        <v>84</v>
      </c>
      <c r="Z40" s="53" t="s">
        <v>90</v>
      </c>
      <c r="AA40" s="53" t="s">
        <v>50</v>
      </c>
      <c r="AB40" s="53" t="s">
        <v>158</v>
      </c>
    </row>
    <row r="41" spans="1:28" x14ac:dyDescent="0.15">
      <c r="A41" s="53" t="s">
        <v>41</v>
      </c>
      <c r="B41" s="53" t="s">
        <v>157</v>
      </c>
      <c r="C41" s="62">
        <v>2019</v>
      </c>
      <c r="D41" s="63" t="s">
        <v>189</v>
      </c>
      <c r="E41" s="53" t="s">
        <v>195</v>
      </c>
      <c r="F41" s="53" t="s">
        <v>185</v>
      </c>
      <c r="G41" s="53" t="s">
        <v>42</v>
      </c>
      <c r="H41" s="53" t="s">
        <v>164</v>
      </c>
      <c r="I41" s="53" t="s">
        <v>159</v>
      </c>
      <c r="J41" s="53" t="s">
        <v>38</v>
      </c>
      <c r="K41" s="53" t="s">
        <v>161</v>
      </c>
      <c r="L41" s="53">
        <v>1</v>
      </c>
      <c r="N41" s="53">
        <v>1</v>
      </c>
      <c r="O41" s="53">
        <v>1.2</v>
      </c>
      <c r="P41" s="53">
        <v>1.3</v>
      </c>
      <c r="Q41" s="75">
        <f t="shared" ref="Q41:Q82" si="3">IF(OR(O41="",P41=""),"",AVERAGE(O41,P41))</f>
        <v>1.25</v>
      </c>
      <c r="R41" s="53">
        <v>9.8000000000000007</v>
      </c>
      <c r="S41" s="53">
        <v>123</v>
      </c>
      <c r="T41" s="16">
        <f t="shared" si="1"/>
        <v>27</v>
      </c>
      <c r="U41" s="53">
        <v>108</v>
      </c>
      <c r="V41" s="16">
        <f t="shared" si="2"/>
        <v>2916</v>
      </c>
      <c r="W41" s="53">
        <v>2</v>
      </c>
      <c r="X41" s="53" t="s">
        <v>46</v>
      </c>
      <c r="Y41" s="53" t="s">
        <v>84</v>
      </c>
      <c r="Z41" s="53" t="s">
        <v>90</v>
      </c>
      <c r="AA41" s="53" t="s">
        <v>102</v>
      </c>
      <c r="AB41" s="53" t="s">
        <v>158</v>
      </c>
    </row>
    <row r="42" spans="1:28" x14ac:dyDescent="0.15">
      <c r="A42" s="53" t="s">
        <v>41</v>
      </c>
      <c r="B42" s="53" t="s">
        <v>157</v>
      </c>
      <c r="C42" s="62">
        <v>2019</v>
      </c>
      <c r="D42" s="63" t="s">
        <v>189</v>
      </c>
      <c r="E42" s="53" t="s">
        <v>195</v>
      </c>
      <c r="F42" s="53" t="s">
        <v>185</v>
      </c>
      <c r="G42" s="53" t="s">
        <v>42</v>
      </c>
      <c r="H42" s="53" t="s">
        <v>164</v>
      </c>
      <c r="I42" s="53" t="s">
        <v>159</v>
      </c>
      <c r="J42" s="53" t="s">
        <v>38</v>
      </c>
      <c r="K42" s="53" t="s">
        <v>161</v>
      </c>
      <c r="L42" s="53">
        <v>2</v>
      </c>
      <c r="M42" s="76"/>
      <c r="N42" s="53">
        <v>1</v>
      </c>
      <c r="O42" s="53">
        <v>1.05</v>
      </c>
      <c r="P42" s="53">
        <v>1.2</v>
      </c>
      <c r="Q42" s="75">
        <f t="shared" si="3"/>
        <v>1.125</v>
      </c>
      <c r="R42" s="53">
        <v>10.3</v>
      </c>
      <c r="S42" s="53">
        <v>125</v>
      </c>
      <c r="T42" s="16">
        <f t="shared" si="1"/>
        <v>27</v>
      </c>
      <c r="U42" s="53">
        <v>108</v>
      </c>
      <c r="V42" s="16">
        <f t="shared" si="2"/>
        <v>2916</v>
      </c>
      <c r="W42" s="53">
        <v>2</v>
      </c>
      <c r="X42" s="53" t="s">
        <v>46</v>
      </c>
      <c r="Y42" s="53" t="s">
        <v>84</v>
      </c>
      <c r="Z42" s="53" t="s">
        <v>90</v>
      </c>
      <c r="AA42" s="53" t="s">
        <v>102</v>
      </c>
      <c r="AB42" s="53" t="s">
        <v>158</v>
      </c>
    </row>
    <row r="43" spans="1:28" x14ac:dyDescent="0.15">
      <c r="A43" s="53" t="s">
        <v>41</v>
      </c>
      <c r="B43" s="53" t="s">
        <v>157</v>
      </c>
      <c r="C43" s="62">
        <v>2019</v>
      </c>
      <c r="D43" s="63" t="s">
        <v>189</v>
      </c>
      <c r="E43" s="53" t="s">
        <v>195</v>
      </c>
      <c r="F43" s="53" t="s">
        <v>185</v>
      </c>
      <c r="G43" s="53" t="s">
        <v>42</v>
      </c>
      <c r="H43" s="53" t="s">
        <v>164</v>
      </c>
      <c r="I43" s="53" t="s">
        <v>159</v>
      </c>
      <c r="J43" s="53" t="s">
        <v>38</v>
      </c>
      <c r="K43" s="53" t="s">
        <v>161</v>
      </c>
      <c r="L43" s="53">
        <v>3</v>
      </c>
      <c r="M43" s="76"/>
      <c r="N43" s="53">
        <v>1</v>
      </c>
      <c r="O43" s="53">
        <v>1</v>
      </c>
      <c r="P43" s="53">
        <v>0.85</v>
      </c>
      <c r="Q43" s="75">
        <f t="shared" si="3"/>
        <v>0.92500000000000004</v>
      </c>
      <c r="R43" s="53">
        <v>11.4</v>
      </c>
      <c r="S43" s="53">
        <v>127</v>
      </c>
      <c r="T43" s="16">
        <f t="shared" si="1"/>
        <v>27</v>
      </c>
      <c r="U43" s="53">
        <v>108</v>
      </c>
      <c r="V43" s="16">
        <f t="shared" si="2"/>
        <v>2916</v>
      </c>
      <c r="W43" s="53">
        <v>2</v>
      </c>
      <c r="X43" s="53" t="s">
        <v>46</v>
      </c>
      <c r="Y43" s="53" t="s">
        <v>84</v>
      </c>
      <c r="Z43" s="53" t="s">
        <v>90</v>
      </c>
      <c r="AA43" s="53" t="s">
        <v>102</v>
      </c>
      <c r="AB43" s="53" t="s">
        <v>158</v>
      </c>
    </row>
    <row r="44" spans="1:28" x14ac:dyDescent="0.15">
      <c r="A44" s="53" t="s">
        <v>41</v>
      </c>
      <c r="B44" s="53" t="s">
        <v>157</v>
      </c>
      <c r="C44" s="62">
        <v>2019</v>
      </c>
      <c r="D44" s="63" t="s">
        <v>189</v>
      </c>
      <c r="E44" s="53" t="s">
        <v>195</v>
      </c>
      <c r="F44" s="53" t="s">
        <v>185</v>
      </c>
      <c r="G44" s="53" t="s">
        <v>42</v>
      </c>
      <c r="H44" s="53" t="s">
        <v>164</v>
      </c>
      <c r="I44" s="53" t="s">
        <v>159</v>
      </c>
      <c r="J44" s="53" t="s">
        <v>38</v>
      </c>
      <c r="K44" s="53" t="s">
        <v>161</v>
      </c>
      <c r="L44" s="53">
        <v>1</v>
      </c>
      <c r="N44" s="53">
        <v>8</v>
      </c>
      <c r="O44" s="53">
        <v>0.7</v>
      </c>
      <c r="P44" s="53">
        <v>0.9</v>
      </c>
      <c r="Q44" s="75">
        <f t="shared" si="3"/>
        <v>0.8</v>
      </c>
      <c r="R44" s="53">
        <v>12.3</v>
      </c>
      <c r="S44" s="53">
        <v>114</v>
      </c>
      <c r="T44" s="16">
        <f t="shared" si="1"/>
        <v>30</v>
      </c>
      <c r="U44" s="53">
        <v>646</v>
      </c>
      <c r="V44" s="16">
        <f t="shared" si="2"/>
        <v>2422.5</v>
      </c>
      <c r="W44" s="53">
        <v>1</v>
      </c>
      <c r="X44" s="53" t="s">
        <v>46</v>
      </c>
      <c r="Y44" s="53" t="s">
        <v>84</v>
      </c>
      <c r="Z44" s="53" t="s">
        <v>90</v>
      </c>
      <c r="AA44" s="53" t="s">
        <v>102</v>
      </c>
      <c r="AB44" s="53" t="s">
        <v>158</v>
      </c>
    </row>
    <row r="45" spans="1:28" x14ac:dyDescent="0.15">
      <c r="A45" s="53" t="s">
        <v>41</v>
      </c>
      <c r="B45" s="53" t="s">
        <v>157</v>
      </c>
      <c r="C45" s="62">
        <v>2019</v>
      </c>
      <c r="D45" s="63" t="s">
        <v>189</v>
      </c>
      <c r="E45" s="53" t="s">
        <v>195</v>
      </c>
      <c r="F45" s="53" t="s">
        <v>185</v>
      </c>
      <c r="G45" s="53" t="s">
        <v>42</v>
      </c>
      <c r="H45" s="53" t="s">
        <v>164</v>
      </c>
      <c r="I45" s="53" t="s">
        <v>159</v>
      </c>
      <c r="J45" s="53" t="s">
        <v>38</v>
      </c>
      <c r="K45" s="53" t="s">
        <v>161</v>
      </c>
      <c r="L45" s="53">
        <v>2</v>
      </c>
      <c r="M45" s="76"/>
      <c r="N45" s="53">
        <v>8</v>
      </c>
      <c r="O45" s="53">
        <v>0.8</v>
      </c>
      <c r="P45" s="53">
        <v>0.85</v>
      </c>
      <c r="Q45" s="75">
        <f t="shared" si="3"/>
        <v>0.82499999999999996</v>
      </c>
      <c r="R45" s="53">
        <v>10.5</v>
      </c>
      <c r="S45" s="53">
        <v>115</v>
      </c>
      <c r="T45" s="16">
        <f t="shared" si="1"/>
        <v>30</v>
      </c>
      <c r="U45" s="53">
        <v>646</v>
      </c>
      <c r="V45" s="16">
        <f t="shared" si="2"/>
        <v>2422.5</v>
      </c>
      <c r="W45" s="53">
        <v>1</v>
      </c>
      <c r="X45" s="53" t="s">
        <v>46</v>
      </c>
      <c r="Y45" s="53" t="s">
        <v>84</v>
      </c>
      <c r="Z45" s="53" t="s">
        <v>90</v>
      </c>
      <c r="AA45" s="53" t="s">
        <v>102</v>
      </c>
      <c r="AB45" s="53" t="s">
        <v>158</v>
      </c>
    </row>
    <row r="46" spans="1:28" x14ac:dyDescent="0.15">
      <c r="A46" s="53" t="s">
        <v>41</v>
      </c>
      <c r="B46" s="53" t="s">
        <v>157</v>
      </c>
      <c r="C46" s="62">
        <v>2019</v>
      </c>
      <c r="D46" s="63" t="s">
        <v>189</v>
      </c>
      <c r="E46" s="53" t="s">
        <v>195</v>
      </c>
      <c r="F46" s="53" t="s">
        <v>185</v>
      </c>
      <c r="G46" s="53" t="s">
        <v>42</v>
      </c>
      <c r="H46" s="53" t="s">
        <v>164</v>
      </c>
      <c r="I46" s="53" t="s">
        <v>159</v>
      </c>
      <c r="J46" s="53" t="s">
        <v>38</v>
      </c>
      <c r="K46" s="53" t="s">
        <v>161</v>
      </c>
      <c r="L46" s="53">
        <v>3</v>
      </c>
      <c r="M46" s="76"/>
      <c r="N46" s="53">
        <v>8</v>
      </c>
      <c r="O46" s="53">
        <v>0.65</v>
      </c>
      <c r="P46" s="53">
        <v>0.6</v>
      </c>
      <c r="Q46" s="75">
        <f t="shared" si="3"/>
        <v>0.625</v>
      </c>
      <c r="R46" s="53">
        <v>10.3</v>
      </c>
      <c r="S46" s="53">
        <v>116</v>
      </c>
      <c r="T46" s="16">
        <f t="shared" si="1"/>
        <v>30</v>
      </c>
      <c r="U46" s="53">
        <v>646</v>
      </c>
      <c r="V46" s="16">
        <f t="shared" si="2"/>
        <v>2422.5</v>
      </c>
      <c r="W46" s="53">
        <v>1</v>
      </c>
      <c r="X46" s="53" t="s">
        <v>46</v>
      </c>
      <c r="Y46" s="53" t="s">
        <v>84</v>
      </c>
      <c r="Z46" s="53" t="s">
        <v>90</v>
      </c>
      <c r="AA46" s="53" t="s">
        <v>102</v>
      </c>
      <c r="AB46" s="53" t="s">
        <v>158</v>
      </c>
    </row>
    <row r="47" spans="1:28" x14ac:dyDescent="0.15">
      <c r="A47" s="53" t="s">
        <v>41</v>
      </c>
      <c r="B47" s="53" t="s">
        <v>157</v>
      </c>
      <c r="C47" s="62">
        <v>2019</v>
      </c>
      <c r="D47" s="63" t="s">
        <v>189</v>
      </c>
      <c r="E47" s="53" t="s">
        <v>195</v>
      </c>
      <c r="F47" s="53" t="s">
        <v>197</v>
      </c>
      <c r="G47" s="53" t="s">
        <v>42</v>
      </c>
      <c r="H47" s="53" t="s">
        <v>164</v>
      </c>
      <c r="I47" s="53" t="s">
        <v>159</v>
      </c>
      <c r="J47" s="53" t="s">
        <v>38</v>
      </c>
      <c r="K47" s="53" t="s">
        <v>161</v>
      </c>
      <c r="L47" s="53">
        <v>1</v>
      </c>
      <c r="N47" s="53">
        <v>1</v>
      </c>
      <c r="O47" s="53">
        <v>1.2</v>
      </c>
      <c r="P47" s="53">
        <v>1.1000000000000001</v>
      </c>
      <c r="Q47" s="75">
        <f t="shared" si="3"/>
        <v>1.1499999999999999</v>
      </c>
      <c r="R47" s="53">
        <v>12.8</v>
      </c>
      <c r="S47" s="53">
        <v>128</v>
      </c>
      <c r="T47" s="16">
        <f t="shared" si="1"/>
        <v>27</v>
      </c>
      <c r="U47" s="53">
        <v>73</v>
      </c>
      <c r="V47" s="16">
        <f t="shared" si="2"/>
        <v>1971</v>
      </c>
      <c r="W47" s="53">
        <v>1</v>
      </c>
      <c r="X47" s="53" t="s">
        <v>46</v>
      </c>
      <c r="Y47" s="53" t="s">
        <v>90</v>
      </c>
      <c r="Z47" s="53" t="s">
        <v>84</v>
      </c>
      <c r="AA47" s="53" t="s">
        <v>69</v>
      </c>
      <c r="AB47" s="53" t="s">
        <v>158</v>
      </c>
    </row>
    <row r="48" spans="1:28" x14ac:dyDescent="0.15">
      <c r="A48" s="53" t="s">
        <v>41</v>
      </c>
      <c r="B48" s="53" t="s">
        <v>157</v>
      </c>
      <c r="C48" s="62">
        <v>2019</v>
      </c>
      <c r="D48" s="63" t="s">
        <v>189</v>
      </c>
      <c r="E48" s="53" t="s">
        <v>195</v>
      </c>
      <c r="F48" s="53" t="s">
        <v>197</v>
      </c>
      <c r="G48" s="53" t="s">
        <v>42</v>
      </c>
      <c r="H48" s="53" t="s">
        <v>164</v>
      </c>
      <c r="I48" s="53" t="s">
        <v>159</v>
      </c>
      <c r="J48" s="53" t="s">
        <v>38</v>
      </c>
      <c r="K48" s="53" t="s">
        <v>161</v>
      </c>
      <c r="L48" s="53">
        <v>2</v>
      </c>
      <c r="M48" s="76"/>
      <c r="N48" s="53">
        <v>1</v>
      </c>
      <c r="O48" s="53">
        <v>1.25</v>
      </c>
      <c r="P48" s="53">
        <v>1.2</v>
      </c>
      <c r="Q48" s="75">
        <f t="shared" si="3"/>
        <v>1.2250000000000001</v>
      </c>
      <c r="R48" s="53">
        <v>10.4</v>
      </c>
      <c r="S48" s="53">
        <v>127</v>
      </c>
      <c r="T48" s="16">
        <f t="shared" si="1"/>
        <v>27</v>
      </c>
      <c r="U48" s="53">
        <v>73</v>
      </c>
      <c r="V48" s="16">
        <f t="shared" si="2"/>
        <v>1971</v>
      </c>
      <c r="W48" s="53">
        <v>1</v>
      </c>
      <c r="X48" s="53" t="s">
        <v>46</v>
      </c>
      <c r="Y48" s="53" t="s">
        <v>90</v>
      </c>
      <c r="Z48" s="53" t="s">
        <v>84</v>
      </c>
      <c r="AA48" s="53" t="s">
        <v>69</v>
      </c>
      <c r="AB48" s="53" t="s">
        <v>158</v>
      </c>
    </row>
    <row r="49" spans="1:34" x14ac:dyDescent="0.15">
      <c r="A49" s="53" t="s">
        <v>41</v>
      </c>
      <c r="B49" s="53" t="s">
        <v>157</v>
      </c>
      <c r="C49" s="62">
        <v>2019</v>
      </c>
      <c r="D49" s="63" t="s">
        <v>189</v>
      </c>
      <c r="E49" s="53" t="s">
        <v>195</v>
      </c>
      <c r="F49" s="53" t="s">
        <v>197</v>
      </c>
      <c r="G49" s="53" t="s">
        <v>42</v>
      </c>
      <c r="H49" s="53" t="s">
        <v>164</v>
      </c>
      <c r="I49" s="53" t="s">
        <v>159</v>
      </c>
      <c r="J49" s="53" t="s">
        <v>38</v>
      </c>
      <c r="K49" s="53" t="s">
        <v>161</v>
      </c>
      <c r="L49" s="53">
        <v>3</v>
      </c>
      <c r="M49" s="76"/>
      <c r="N49" s="53">
        <v>1</v>
      </c>
      <c r="O49" s="53">
        <v>1</v>
      </c>
      <c r="P49" s="53">
        <v>1</v>
      </c>
      <c r="Q49" s="75">
        <f t="shared" si="3"/>
        <v>1</v>
      </c>
      <c r="R49" s="53">
        <v>11.9</v>
      </c>
      <c r="S49" s="53">
        <v>125</v>
      </c>
      <c r="T49" s="16">
        <f t="shared" si="1"/>
        <v>27</v>
      </c>
      <c r="U49" s="53">
        <v>73</v>
      </c>
      <c r="V49" s="16">
        <f t="shared" si="2"/>
        <v>1971</v>
      </c>
      <c r="W49" s="53">
        <v>1</v>
      </c>
      <c r="X49" s="53" t="s">
        <v>46</v>
      </c>
      <c r="Y49" s="53" t="s">
        <v>90</v>
      </c>
      <c r="Z49" s="53" t="s">
        <v>84</v>
      </c>
      <c r="AA49" s="53" t="s">
        <v>69</v>
      </c>
      <c r="AB49" s="53" t="s">
        <v>158</v>
      </c>
    </row>
    <row r="50" spans="1:34" x14ac:dyDescent="0.15">
      <c r="A50" s="53" t="s">
        <v>41</v>
      </c>
      <c r="B50" s="53" t="s">
        <v>157</v>
      </c>
      <c r="C50" s="62">
        <v>2019</v>
      </c>
      <c r="D50" s="63" t="s">
        <v>189</v>
      </c>
      <c r="E50" s="53" t="s">
        <v>195</v>
      </c>
      <c r="F50" s="53" t="s">
        <v>197</v>
      </c>
      <c r="G50" s="53" t="s">
        <v>42</v>
      </c>
      <c r="H50" s="53" t="s">
        <v>164</v>
      </c>
      <c r="I50" s="53" t="s">
        <v>159</v>
      </c>
      <c r="J50" s="53" t="s">
        <v>38</v>
      </c>
      <c r="K50" s="53" t="s">
        <v>161</v>
      </c>
      <c r="L50" s="53">
        <v>1</v>
      </c>
      <c r="N50" s="53">
        <v>8</v>
      </c>
      <c r="O50" s="53">
        <v>0.9</v>
      </c>
      <c r="P50" s="53">
        <v>0.85</v>
      </c>
      <c r="Q50" s="75">
        <f t="shared" si="3"/>
        <v>0.875</v>
      </c>
      <c r="R50" s="53">
        <v>12.3</v>
      </c>
      <c r="S50" s="53">
        <v>114</v>
      </c>
      <c r="T50" s="16">
        <f t="shared" si="1"/>
        <v>30</v>
      </c>
      <c r="U50" s="53">
        <v>734</v>
      </c>
      <c r="V50" s="16">
        <f t="shared" si="2"/>
        <v>2752.5</v>
      </c>
      <c r="W50" s="53">
        <v>2</v>
      </c>
      <c r="X50" s="53" t="s">
        <v>46</v>
      </c>
      <c r="Y50" s="53" t="s">
        <v>90</v>
      </c>
      <c r="Z50" s="53" t="s">
        <v>84</v>
      </c>
      <c r="AA50" s="53" t="s">
        <v>69</v>
      </c>
      <c r="AB50" s="53" t="s">
        <v>158</v>
      </c>
    </row>
    <row r="51" spans="1:34" x14ac:dyDescent="0.15">
      <c r="A51" s="53" t="s">
        <v>41</v>
      </c>
      <c r="B51" s="53" t="s">
        <v>157</v>
      </c>
      <c r="C51" s="62">
        <v>2019</v>
      </c>
      <c r="D51" s="63" t="s">
        <v>189</v>
      </c>
      <c r="E51" s="53" t="s">
        <v>195</v>
      </c>
      <c r="F51" s="53" t="s">
        <v>197</v>
      </c>
      <c r="G51" s="53" t="s">
        <v>42</v>
      </c>
      <c r="H51" s="53" t="s">
        <v>164</v>
      </c>
      <c r="I51" s="53" t="s">
        <v>159</v>
      </c>
      <c r="J51" s="53" t="s">
        <v>38</v>
      </c>
      <c r="K51" s="53" t="s">
        <v>161</v>
      </c>
      <c r="L51" s="53">
        <v>2</v>
      </c>
      <c r="M51" s="76"/>
      <c r="N51" s="53">
        <v>8</v>
      </c>
      <c r="O51" s="53">
        <v>0.8</v>
      </c>
      <c r="P51" s="53">
        <v>0.9</v>
      </c>
      <c r="Q51" s="75">
        <f t="shared" si="3"/>
        <v>0.85000000000000009</v>
      </c>
      <c r="R51" s="53">
        <v>10.199999999999999</v>
      </c>
      <c r="S51" s="53">
        <v>116</v>
      </c>
      <c r="T51" s="16">
        <f t="shared" si="1"/>
        <v>30</v>
      </c>
      <c r="U51" s="53">
        <v>734</v>
      </c>
      <c r="V51" s="16">
        <f t="shared" si="2"/>
        <v>2752.5</v>
      </c>
      <c r="W51" s="53">
        <v>2</v>
      </c>
      <c r="X51" s="53" t="s">
        <v>46</v>
      </c>
      <c r="Y51" s="53" t="s">
        <v>90</v>
      </c>
      <c r="Z51" s="53" t="s">
        <v>84</v>
      </c>
      <c r="AA51" s="53" t="s">
        <v>69</v>
      </c>
      <c r="AB51" s="53" t="s">
        <v>158</v>
      </c>
    </row>
    <row r="52" spans="1:34" x14ac:dyDescent="0.15">
      <c r="A52" s="53" t="s">
        <v>41</v>
      </c>
      <c r="B52" s="53" t="s">
        <v>157</v>
      </c>
      <c r="C52" s="62">
        <v>2019</v>
      </c>
      <c r="D52" s="63" t="s">
        <v>189</v>
      </c>
      <c r="E52" s="53" t="s">
        <v>195</v>
      </c>
      <c r="F52" s="53" t="s">
        <v>197</v>
      </c>
      <c r="G52" s="53" t="s">
        <v>42</v>
      </c>
      <c r="H52" s="53" t="s">
        <v>164</v>
      </c>
      <c r="I52" s="53" t="s">
        <v>159</v>
      </c>
      <c r="J52" s="53" t="s">
        <v>38</v>
      </c>
      <c r="K52" s="53" t="s">
        <v>161</v>
      </c>
      <c r="L52" s="53">
        <v>3</v>
      </c>
      <c r="M52" s="76"/>
      <c r="N52" s="53">
        <v>8</v>
      </c>
      <c r="O52" s="53">
        <v>0.95</v>
      </c>
      <c r="P52" s="53">
        <v>1</v>
      </c>
      <c r="Q52" s="75">
        <f t="shared" si="3"/>
        <v>0.97499999999999998</v>
      </c>
      <c r="R52" s="53">
        <v>12.4</v>
      </c>
      <c r="S52" s="53">
        <v>118</v>
      </c>
      <c r="T52" s="16">
        <f t="shared" si="1"/>
        <v>30</v>
      </c>
      <c r="U52" s="53">
        <v>734</v>
      </c>
      <c r="V52" s="16">
        <f t="shared" si="2"/>
        <v>2752.5</v>
      </c>
      <c r="W52" s="53">
        <v>2</v>
      </c>
      <c r="X52" s="53" t="s">
        <v>46</v>
      </c>
      <c r="Y52" s="53" t="s">
        <v>90</v>
      </c>
      <c r="Z52" s="53" t="s">
        <v>84</v>
      </c>
      <c r="AA52" s="53" t="s">
        <v>69</v>
      </c>
      <c r="AB52" s="53" t="s">
        <v>158</v>
      </c>
    </row>
    <row r="53" spans="1:34" x14ac:dyDescent="0.15">
      <c r="A53" s="53" t="s">
        <v>41</v>
      </c>
      <c r="B53" s="53" t="s">
        <v>157</v>
      </c>
      <c r="C53" s="62">
        <v>2019</v>
      </c>
      <c r="D53" s="63" t="s">
        <v>189</v>
      </c>
      <c r="E53" s="53" t="s">
        <v>199</v>
      </c>
      <c r="F53" s="53" t="s">
        <v>197</v>
      </c>
      <c r="G53" s="53" t="s">
        <v>42</v>
      </c>
      <c r="H53" s="53" t="s">
        <v>164</v>
      </c>
      <c r="I53" s="53" t="s">
        <v>159</v>
      </c>
      <c r="J53" s="53" t="s">
        <v>38</v>
      </c>
      <c r="K53" s="53" t="s">
        <v>161</v>
      </c>
      <c r="L53" s="53">
        <v>1</v>
      </c>
      <c r="N53" s="53">
        <v>1</v>
      </c>
      <c r="O53" s="53">
        <v>1.2</v>
      </c>
      <c r="P53" s="53">
        <v>1.1000000000000001</v>
      </c>
      <c r="Q53" s="72">
        <f t="shared" si="3"/>
        <v>1.1499999999999999</v>
      </c>
      <c r="R53" s="53">
        <v>10.4</v>
      </c>
      <c r="S53" s="53">
        <v>121</v>
      </c>
      <c r="T53" s="16">
        <f t="shared" si="1"/>
        <v>27</v>
      </c>
      <c r="U53" s="53">
        <v>105</v>
      </c>
      <c r="V53" s="16">
        <f t="shared" si="2"/>
        <v>2835</v>
      </c>
      <c r="W53" s="53">
        <v>2</v>
      </c>
      <c r="X53" s="53" t="s">
        <v>46</v>
      </c>
      <c r="Y53" s="53" t="s">
        <v>84</v>
      </c>
      <c r="Z53" s="53" t="s">
        <v>90</v>
      </c>
      <c r="AA53" s="53" t="s">
        <v>78</v>
      </c>
      <c r="AB53" s="53" t="s">
        <v>158</v>
      </c>
    </row>
    <row r="54" spans="1:34" x14ac:dyDescent="0.15">
      <c r="A54" s="53" t="s">
        <v>41</v>
      </c>
      <c r="B54" s="53" t="s">
        <v>157</v>
      </c>
      <c r="C54" s="62">
        <v>2019</v>
      </c>
      <c r="D54" s="63" t="s">
        <v>189</v>
      </c>
      <c r="E54" s="53" t="s">
        <v>199</v>
      </c>
      <c r="F54" s="53" t="s">
        <v>197</v>
      </c>
      <c r="G54" s="53" t="s">
        <v>42</v>
      </c>
      <c r="H54" s="53" t="s">
        <v>164</v>
      </c>
      <c r="I54" s="53" t="s">
        <v>159</v>
      </c>
      <c r="J54" s="53" t="s">
        <v>38</v>
      </c>
      <c r="K54" s="53" t="s">
        <v>161</v>
      </c>
      <c r="L54" s="53">
        <v>2</v>
      </c>
      <c r="M54" s="76"/>
      <c r="N54" s="53">
        <v>1</v>
      </c>
      <c r="O54" s="53">
        <v>1</v>
      </c>
      <c r="P54" s="53">
        <v>1.2</v>
      </c>
      <c r="Q54" s="72">
        <f t="shared" si="3"/>
        <v>1.1000000000000001</v>
      </c>
      <c r="R54" s="53">
        <v>12.5</v>
      </c>
      <c r="S54" s="53">
        <v>118</v>
      </c>
      <c r="T54" s="16">
        <f t="shared" si="1"/>
        <v>30</v>
      </c>
      <c r="U54" s="53">
        <v>105</v>
      </c>
      <c r="V54" s="16">
        <f t="shared" si="2"/>
        <v>3150</v>
      </c>
      <c r="W54" s="53">
        <v>2</v>
      </c>
      <c r="X54" s="53" t="s">
        <v>46</v>
      </c>
      <c r="Y54" s="53" t="s">
        <v>84</v>
      </c>
      <c r="Z54" s="53" t="s">
        <v>90</v>
      </c>
      <c r="AA54" s="53" t="s">
        <v>78</v>
      </c>
      <c r="AB54" s="53" t="s">
        <v>158</v>
      </c>
    </row>
    <row r="55" spans="1:34" x14ac:dyDescent="0.15">
      <c r="A55" s="53" t="s">
        <v>41</v>
      </c>
      <c r="B55" s="53" t="s">
        <v>157</v>
      </c>
      <c r="C55" s="62">
        <v>2019</v>
      </c>
      <c r="D55" s="63" t="s">
        <v>189</v>
      </c>
      <c r="E55" s="53" t="s">
        <v>199</v>
      </c>
      <c r="F55" s="53" t="s">
        <v>197</v>
      </c>
      <c r="G55" s="53" t="s">
        <v>42</v>
      </c>
      <c r="H55" s="53" t="s">
        <v>164</v>
      </c>
      <c r="I55" s="53" t="s">
        <v>159</v>
      </c>
      <c r="J55" s="53" t="s">
        <v>38</v>
      </c>
      <c r="K55" s="53" t="s">
        <v>161</v>
      </c>
      <c r="L55" s="53">
        <v>3</v>
      </c>
      <c r="M55" s="76"/>
      <c r="N55" s="53">
        <v>1</v>
      </c>
      <c r="O55" s="53">
        <v>0.95</v>
      </c>
      <c r="P55" s="53">
        <v>1</v>
      </c>
      <c r="Q55" s="72">
        <f t="shared" si="3"/>
        <v>0.97499999999999998</v>
      </c>
      <c r="R55" s="53">
        <v>11.7</v>
      </c>
      <c r="S55" s="53">
        <v>120</v>
      </c>
      <c r="T55" s="16">
        <f t="shared" si="1"/>
        <v>30</v>
      </c>
      <c r="U55" s="53">
        <v>105</v>
      </c>
      <c r="V55" s="16">
        <f t="shared" si="2"/>
        <v>3150</v>
      </c>
      <c r="W55" s="53">
        <v>2</v>
      </c>
      <c r="X55" s="53" t="s">
        <v>46</v>
      </c>
      <c r="Y55" s="53" t="s">
        <v>84</v>
      </c>
      <c r="Z55" s="53" t="s">
        <v>90</v>
      </c>
      <c r="AA55" s="53" t="s">
        <v>78</v>
      </c>
      <c r="AB55" s="53" t="s">
        <v>158</v>
      </c>
    </row>
    <row r="56" spans="1:34" x14ac:dyDescent="0.15">
      <c r="A56" s="53" t="s">
        <v>41</v>
      </c>
      <c r="B56" s="53" t="s">
        <v>157</v>
      </c>
      <c r="C56" s="62">
        <v>2019</v>
      </c>
      <c r="D56" s="63" t="s">
        <v>189</v>
      </c>
      <c r="E56" s="53" t="s">
        <v>202</v>
      </c>
      <c r="F56" s="53" t="s">
        <v>203</v>
      </c>
      <c r="G56" s="53" t="s">
        <v>42</v>
      </c>
      <c r="H56" s="53" t="s">
        <v>186</v>
      </c>
      <c r="I56" s="53" t="s">
        <v>159</v>
      </c>
      <c r="J56" s="53" t="s">
        <v>80</v>
      </c>
      <c r="K56" s="53" t="s">
        <v>45</v>
      </c>
      <c r="L56" s="53">
        <v>1</v>
      </c>
      <c r="N56" s="53">
        <v>5</v>
      </c>
      <c r="O56" s="53">
        <v>0.6</v>
      </c>
      <c r="P56" s="53">
        <v>0.75</v>
      </c>
      <c r="Q56" s="75">
        <f t="shared" si="3"/>
        <v>0.67500000000000004</v>
      </c>
      <c r="R56" s="53">
        <v>13.4</v>
      </c>
      <c r="S56" s="53">
        <v>120</v>
      </c>
      <c r="T56" s="16">
        <f t="shared" si="1"/>
        <v>30</v>
      </c>
      <c r="U56" s="53">
        <v>322</v>
      </c>
      <c r="V56" s="16">
        <v>3726</v>
      </c>
      <c r="W56" s="53">
        <v>2</v>
      </c>
      <c r="X56" s="53" t="s">
        <v>46</v>
      </c>
      <c r="Y56" s="53" t="s">
        <v>84</v>
      </c>
      <c r="Z56" s="53" t="s">
        <v>90</v>
      </c>
      <c r="AA56" s="53" t="s">
        <v>50</v>
      </c>
      <c r="AB56" s="53" t="s">
        <v>158</v>
      </c>
      <c r="AC56" s="76"/>
      <c r="AD56" s="76"/>
      <c r="AE56" s="76"/>
      <c r="AF56" s="76"/>
      <c r="AG56" s="76"/>
      <c r="AH56" s="76"/>
    </row>
    <row r="57" spans="1:34" x14ac:dyDescent="0.15">
      <c r="A57" s="53" t="s">
        <v>41</v>
      </c>
      <c r="B57" s="53" t="s">
        <v>157</v>
      </c>
      <c r="C57" s="62">
        <v>2019</v>
      </c>
      <c r="D57" s="63" t="s">
        <v>189</v>
      </c>
      <c r="E57" s="53" t="s">
        <v>202</v>
      </c>
      <c r="F57" s="53" t="s">
        <v>203</v>
      </c>
      <c r="G57" s="53" t="s">
        <v>42</v>
      </c>
      <c r="H57" s="53" t="s">
        <v>186</v>
      </c>
      <c r="I57" s="53" t="s">
        <v>159</v>
      </c>
      <c r="J57" s="53" t="s">
        <v>80</v>
      </c>
      <c r="K57" s="53" t="s">
        <v>45</v>
      </c>
      <c r="L57" s="53">
        <v>2</v>
      </c>
      <c r="M57" s="76"/>
      <c r="N57" s="53">
        <v>5</v>
      </c>
      <c r="O57" s="53">
        <v>0.85</v>
      </c>
      <c r="P57" s="53">
        <v>0.8</v>
      </c>
      <c r="Q57" s="75">
        <f t="shared" si="3"/>
        <v>0.82499999999999996</v>
      </c>
      <c r="R57" s="53">
        <v>12.6</v>
      </c>
      <c r="S57" s="53">
        <v>117</v>
      </c>
      <c r="T57" s="16">
        <f t="shared" si="1"/>
        <v>30</v>
      </c>
      <c r="U57" s="53">
        <v>322</v>
      </c>
      <c r="V57" s="16">
        <v>3726</v>
      </c>
      <c r="W57" s="53">
        <v>2</v>
      </c>
      <c r="X57" s="53" t="s">
        <v>46</v>
      </c>
      <c r="Y57" s="53" t="s">
        <v>84</v>
      </c>
      <c r="Z57" s="53" t="s">
        <v>90</v>
      </c>
      <c r="AA57" s="53" t="s">
        <v>50</v>
      </c>
      <c r="AB57" s="53" t="s">
        <v>158</v>
      </c>
      <c r="AC57" s="76"/>
      <c r="AD57" s="76"/>
      <c r="AE57" s="76"/>
      <c r="AF57" s="76"/>
      <c r="AG57" s="76"/>
      <c r="AH57" s="76"/>
    </row>
    <row r="58" spans="1:34" x14ac:dyDescent="0.15">
      <c r="A58" s="53" t="s">
        <v>41</v>
      </c>
      <c r="B58" s="53" t="s">
        <v>157</v>
      </c>
      <c r="C58" s="62">
        <v>2019</v>
      </c>
      <c r="D58" s="63" t="s">
        <v>189</v>
      </c>
      <c r="E58" s="53" t="s">
        <v>202</v>
      </c>
      <c r="F58" s="53" t="s">
        <v>203</v>
      </c>
      <c r="G58" s="53" t="s">
        <v>42</v>
      </c>
      <c r="H58" s="53" t="s">
        <v>186</v>
      </c>
      <c r="I58" s="53" t="s">
        <v>159</v>
      </c>
      <c r="J58" s="53" t="s">
        <v>80</v>
      </c>
      <c r="K58" s="53" t="s">
        <v>45</v>
      </c>
      <c r="L58" s="53">
        <v>3</v>
      </c>
      <c r="M58" s="76"/>
      <c r="N58" s="53">
        <v>5</v>
      </c>
      <c r="O58" s="53">
        <v>0.9</v>
      </c>
      <c r="P58" s="53">
        <v>0.85</v>
      </c>
      <c r="Q58" s="75">
        <f t="shared" si="3"/>
        <v>0.875</v>
      </c>
      <c r="R58" s="53">
        <v>13.7</v>
      </c>
      <c r="S58" s="53">
        <v>119</v>
      </c>
      <c r="T58" s="16">
        <f t="shared" si="1"/>
        <v>30</v>
      </c>
      <c r="U58" s="53">
        <v>322</v>
      </c>
      <c r="V58" s="16">
        <v>3726</v>
      </c>
      <c r="W58" s="53">
        <v>2</v>
      </c>
      <c r="X58" s="53" t="s">
        <v>46</v>
      </c>
      <c r="Y58" s="53" t="s">
        <v>84</v>
      </c>
      <c r="Z58" s="53" t="s">
        <v>90</v>
      </c>
      <c r="AA58" s="53" t="s">
        <v>50</v>
      </c>
      <c r="AB58" s="53" t="s">
        <v>158</v>
      </c>
      <c r="AC58" s="76"/>
      <c r="AD58" s="76"/>
      <c r="AE58" s="76"/>
      <c r="AF58" s="76"/>
      <c r="AG58" s="76"/>
      <c r="AH58" s="76"/>
    </row>
    <row r="59" spans="1:34" x14ac:dyDescent="0.15">
      <c r="A59" s="53" t="s">
        <v>41</v>
      </c>
      <c r="B59" s="53" t="s">
        <v>157</v>
      </c>
      <c r="C59" s="62">
        <v>2019</v>
      </c>
      <c r="D59" s="63" t="s">
        <v>189</v>
      </c>
      <c r="E59" s="53" t="s">
        <v>202</v>
      </c>
      <c r="F59" s="53" t="s">
        <v>203</v>
      </c>
      <c r="G59" s="53" t="s">
        <v>42</v>
      </c>
      <c r="H59" s="53" t="s">
        <v>164</v>
      </c>
      <c r="I59" s="53" t="s">
        <v>159</v>
      </c>
      <c r="J59" s="53" t="s">
        <v>38</v>
      </c>
      <c r="K59" s="53" t="s">
        <v>161</v>
      </c>
      <c r="L59" s="53">
        <v>1</v>
      </c>
      <c r="N59" s="53">
        <v>1</v>
      </c>
      <c r="O59" s="53">
        <v>0.75</v>
      </c>
      <c r="P59" s="53">
        <v>0.9</v>
      </c>
      <c r="Q59" s="75">
        <f t="shared" si="3"/>
        <v>0.82499999999999996</v>
      </c>
      <c r="R59" s="53">
        <v>14.7</v>
      </c>
      <c r="S59" s="53">
        <v>128</v>
      </c>
      <c r="T59" s="16">
        <f t="shared" si="1"/>
        <v>27</v>
      </c>
      <c r="U59" s="53">
        <v>138</v>
      </c>
      <c r="V59" s="38">
        <v>3146</v>
      </c>
      <c r="W59" s="53">
        <v>3</v>
      </c>
      <c r="X59" s="53" t="s">
        <v>46</v>
      </c>
      <c r="Y59" s="53" t="s">
        <v>84</v>
      </c>
      <c r="Z59" s="53" t="s">
        <v>90</v>
      </c>
      <c r="AA59" s="53" t="s">
        <v>50</v>
      </c>
      <c r="AB59" s="53" t="s">
        <v>158</v>
      </c>
      <c r="AC59" s="76"/>
      <c r="AD59" s="76"/>
      <c r="AE59" s="76"/>
      <c r="AF59" s="76"/>
      <c r="AG59" s="76"/>
      <c r="AH59" s="76"/>
    </row>
    <row r="60" spans="1:34" x14ac:dyDescent="0.15">
      <c r="A60" s="53" t="s">
        <v>41</v>
      </c>
      <c r="B60" s="53" t="s">
        <v>157</v>
      </c>
      <c r="C60" s="62">
        <v>2019</v>
      </c>
      <c r="D60" s="63" t="s">
        <v>189</v>
      </c>
      <c r="E60" s="53" t="s">
        <v>202</v>
      </c>
      <c r="F60" s="53" t="s">
        <v>203</v>
      </c>
      <c r="G60" s="53" t="s">
        <v>42</v>
      </c>
      <c r="H60" s="53" t="s">
        <v>164</v>
      </c>
      <c r="I60" s="53" t="s">
        <v>159</v>
      </c>
      <c r="J60" s="53" t="s">
        <v>38</v>
      </c>
      <c r="K60" s="53" t="s">
        <v>161</v>
      </c>
      <c r="L60" s="53">
        <v>2</v>
      </c>
      <c r="N60" s="53">
        <v>1</v>
      </c>
      <c r="O60" s="53">
        <v>0.65</v>
      </c>
      <c r="P60" s="53">
        <v>0.7</v>
      </c>
      <c r="Q60" s="75">
        <f t="shared" si="3"/>
        <v>0.67500000000000004</v>
      </c>
      <c r="R60" s="53">
        <v>12.9</v>
      </c>
      <c r="S60" s="53">
        <v>127</v>
      </c>
      <c r="T60" s="16">
        <f t="shared" si="1"/>
        <v>27</v>
      </c>
      <c r="U60" s="53">
        <v>138</v>
      </c>
      <c r="V60" s="38">
        <v>3146</v>
      </c>
      <c r="W60" s="53">
        <v>3</v>
      </c>
      <c r="X60" s="53" t="s">
        <v>46</v>
      </c>
      <c r="Y60" s="53" t="s">
        <v>84</v>
      </c>
      <c r="Z60" s="53" t="s">
        <v>90</v>
      </c>
      <c r="AA60" s="53" t="s">
        <v>50</v>
      </c>
      <c r="AB60" s="53" t="s">
        <v>158</v>
      </c>
      <c r="AC60" s="76"/>
      <c r="AD60" s="76"/>
      <c r="AE60" s="76"/>
      <c r="AF60" s="76"/>
      <c r="AG60" s="76"/>
      <c r="AH60" s="76"/>
    </row>
    <row r="61" spans="1:34" x14ac:dyDescent="0.15">
      <c r="A61" s="53" t="s">
        <v>41</v>
      </c>
      <c r="B61" s="53" t="s">
        <v>157</v>
      </c>
      <c r="C61" s="62">
        <v>2019</v>
      </c>
      <c r="D61" s="63" t="s">
        <v>189</v>
      </c>
      <c r="E61" s="53" t="s">
        <v>202</v>
      </c>
      <c r="F61" s="53" t="s">
        <v>203</v>
      </c>
      <c r="G61" s="53" t="s">
        <v>42</v>
      </c>
      <c r="H61" s="53" t="s">
        <v>164</v>
      </c>
      <c r="I61" s="53" t="s">
        <v>159</v>
      </c>
      <c r="J61" s="53" t="s">
        <v>38</v>
      </c>
      <c r="K61" s="53" t="s">
        <v>161</v>
      </c>
      <c r="L61" s="53">
        <v>3</v>
      </c>
      <c r="N61" s="53">
        <v>1</v>
      </c>
      <c r="O61" s="53">
        <v>0.5</v>
      </c>
      <c r="P61" s="53">
        <v>0.65</v>
      </c>
      <c r="Q61" s="75">
        <f t="shared" si="3"/>
        <v>0.57499999999999996</v>
      </c>
      <c r="R61" s="53">
        <v>11.2</v>
      </c>
      <c r="S61" s="53">
        <v>125</v>
      </c>
      <c r="T61" s="16">
        <f t="shared" si="1"/>
        <v>27</v>
      </c>
      <c r="U61" s="53">
        <v>138</v>
      </c>
      <c r="V61" s="38">
        <v>3146</v>
      </c>
      <c r="W61" s="53">
        <v>3</v>
      </c>
      <c r="X61" s="53" t="s">
        <v>46</v>
      </c>
      <c r="Y61" s="53" t="s">
        <v>84</v>
      </c>
      <c r="Z61" s="53" t="s">
        <v>90</v>
      </c>
      <c r="AA61" s="53" t="s">
        <v>50</v>
      </c>
      <c r="AB61" s="53" t="s">
        <v>158</v>
      </c>
      <c r="AC61" s="76"/>
      <c r="AD61" s="76"/>
      <c r="AE61" s="76"/>
      <c r="AF61" s="76"/>
      <c r="AG61" s="76"/>
      <c r="AH61" s="76"/>
    </row>
    <row r="62" spans="1:34" x14ac:dyDescent="0.15">
      <c r="A62" s="53" t="s">
        <v>41</v>
      </c>
      <c r="B62" s="53" t="s">
        <v>157</v>
      </c>
      <c r="C62" s="62">
        <v>2019</v>
      </c>
      <c r="D62" s="63" t="s">
        <v>189</v>
      </c>
      <c r="E62" s="53" t="s">
        <v>202</v>
      </c>
      <c r="F62" s="53" t="s">
        <v>203</v>
      </c>
      <c r="G62" s="53" t="s">
        <v>42</v>
      </c>
      <c r="H62" s="53" t="s">
        <v>164</v>
      </c>
      <c r="I62" s="53" t="s">
        <v>159</v>
      </c>
      <c r="J62" s="53" t="s">
        <v>38</v>
      </c>
      <c r="K62" s="53" t="s">
        <v>161</v>
      </c>
      <c r="L62" s="53">
        <v>1</v>
      </c>
      <c r="N62" s="53">
        <v>6</v>
      </c>
      <c r="O62" s="53">
        <v>0.8</v>
      </c>
      <c r="P62" s="53">
        <v>0.95</v>
      </c>
      <c r="Q62" s="75">
        <f t="shared" si="3"/>
        <v>0.875</v>
      </c>
      <c r="R62" s="53">
        <v>10.7</v>
      </c>
      <c r="S62" s="53">
        <v>114</v>
      </c>
      <c r="T62" s="16">
        <f t="shared" si="1"/>
        <v>30</v>
      </c>
      <c r="U62" s="53">
        <v>538</v>
      </c>
      <c r="V62" s="38">
        <v>3670</v>
      </c>
      <c r="W62" s="53">
        <v>1</v>
      </c>
      <c r="X62" s="53" t="s">
        <v>46</v>
      </c>
      <c r="Y62" s="53" t="s">
        <v>84</v>
      </c>
      <c r="Z62" s="53" t="s">
        <v>90</v>
      </c>
      <c r="AA62" s="53" t="s">
        <v>50</v>
      </c>
      <c r="AB62" s="53" t="s">
        <v>158</v>
      </c>
      <c r="AC62" s="76"/>
      <c r="AD62" s="76"/>
      <c r="AE62" s="76"/>
      <c r="AF62" s="76"/>
      <c r="AG62" s="76"/>
      <c r="AH62" s="76"/>
    </row>
    <row r="63" spans="1:34" x14ac:dyDescent="0.15">
      <c r="A63" s="53" t="s">
        <v>41</v>
      </c>
      <c r="B63" s="53" t="s">
        <v>157</v>
      </c>
      <c r="C63" s="62">
        <v>2019</v>
      </c>
      <c r="D63" s="63" t="s">
        <v>189</v>
      </c>
      <c r="E63" s="53" t="s">
        <v>202</v>
      </c>
      <c r="F63" s="53" t="s">
        <v>203</v>
      </c>
      <c r="G63" s="53" t="s">
        <v>42</v>
      </c>
      <c r="H63" s="53" t="s">
        <v>164</v>
      </c>
      <c r="I63" s="53" t="s">
        <v>159</v>
      </c>
      <c r="J63" s="53" t="s">
        <v>38</v>
      </c>
      <c r="K63" s="53" t="s">
        <v>161</v>
      </c>
      <c r="L63" s="53">
        <v>2</v>
      </c>
      <c r="N63" s="53">
        <v>6</v>
      </c>
      <c r="O63" s="53">
        <v>0.4</v>
      </c>
      <c r="P63" s="53">
        <v>0.45</v>
      </c>
      <c r="Q63" s="75">
        <f t="shared" si="3"/>
        <v>0.42500000000000004</v>
      </c>
      <c r="R63" s="53">
        <v>10.199999999999999</v>
      </c>
      <c r="S63" s="53">
        <v>116</v>
      </c>
      <c r="T63" s="16">
        <f t="shared" si="1"/>
        <v>30</v>
      </c>
      <c r="U63" s="53">
        <v>538</v>
      </c>
      <c r="V63" s="38">
        <v>3303</v>
      </c>
      <c r="W63" s="53">
        <v>1</v>
      </c>
      <c r="X63" s="53" t="s">
        <v>46</v>
      </c>
      <c r="Y63" s="53" t="s">
        <v>84</v>
      </c>
      <c r="Z63" s="53" t="s">
        <v>90</v>
      </c>
      <c r="AA63" s="53" t="s">
        <v>50</v>
      </c>
      <c r="AB63" s="53" t="s">
        <v>158</v>
      </c>
      <c r="AC63" s="76"/>
      <c r="AD63" s="76"/>
      <c r="AE63" s="76"/>
      <c r="AF63" s="76"/>
      <c r="AG63" s="76"/>
      <c r="AH63" s="76"/>
    </row>
    <row r="64" spans="1:34" x14ac:dyDescent="0.15">
      <c r="A64" s="53" t="s">
        <v>41</v>
      </c>
      <c r="B64" s="53" t="s">
        <v>157</v>
      </c>
      <c r="C64" s="62">
        <v>2019</v>
      </c>
      <c r="D64" s="63" t="s">
        <v>189</v>
      </c>
      <c r="E64" s="53" t="s">
        <v>202</v>
      </c>
      <c r="F64" s="53" t="s">
        <v>203</v>
      </c>
      <c r="G64" s="53" t="s">
        <v>42</v>
      </c>
      <c r="H64" s="53" t="s">
        <v>164</v>
      </c>
      <c r="I64" s="53" t="s">
        <v>159</v>
      </c>
      <c r="J64" s="53" t="s">
        <v>38</v>
      </c>
      <c r="K64" s="53" t="s">
        <v>161</v>
      </c>
      <c r="L64" s="53">
        <v>3</v>
      </c>
      <c r="N64" s="53">
        <v>6</v>
      </c>
      <c r="O64" s="53">
        <v>0.65</v>
      </c>
      <c r="P64" s="53">
        <v>0.5</v>
      </c>
      <c r="Q64" s="75">
        <f t="shared" si="3"/>
        <v>0.57499999999999996</v>
      </c>
      <c r="R64" s="53">
        <v>12.1</v>
      </c>
      <c r="S64" s="53">
        <v>111</v>
      </c>
      <c r="T64" s="16">
        <f t="shared" si="1"/>
        <v>33</v>
      </c>
      <c r="U64" s="53">
        <v>538</v>
      </c>
      <c r="V64" s="38">
        <v>3670</v>
      </c>
      <c r="W64" s="53">
        <v>1</v>
      </c>
      <c r="X64" s="53" t="s">
        <v>46</v>
      </c>
      <c r="Y64" s="53" t="s">
        <v>84</v>
      </c>
      <c r="Z64" s="53" t="s">
        <v>90</v>
      </c>
      <c r="AA64" s="53" t="s">
        <v>50</v>
      </c>
      <c r="AB64" s="53" t="s">
        <v>158</v>
      </c>
      <c r="AC64" s="76"/>
      <c r="AD64" s="76"/>
      <c r="AE64" s="76"/>
      <c r="AF64" s="76"/>
      <c r="AG64" s="76"/>
      <c r="AH64" s="76"/>
    </row>
    <row r="65" spans="1:34" x14ac:dyDescent="0.15">
      <c r="A65" s="53" t="s">
        <v>41</v>
      </c>
      <c r="B65" s="53" t="s">
        <v>157</v>
      </c>
      <c r="C65" s="62">
        <v>2019</v>
      </c>
      <c r="D65" s="63" t="s">
        <v>189</v>
      </c>
      <c r="E65" s="53" t="s">
        <v>202</v>
      </c>
      <c r="F65" s="53" t="s">
        <v>209</v>
      </c>
      <c r="G65" s="53" t="s">
        <v>42</v>
      </c>
      <c r="H65" s="53" t="s">
        <v>164</v>
      </c>
      <c r="I65" s="53" t="s">
        <v>159</v>
      </c>
      <c r="J65" s="53" t="s">
        <v>38</v>
      </c>
      <c r="K65" s="53" t="s">
        <v>161</v>
      </c>
      <c r="L65" s="53">
        <v>1</v>
      </c>
      <c r="N65" s="53">
        <v>1</v>
      </c>
      <c r="O65" s="53">
        <v>1.2</v>
      </c>
      <c r="P65" s="53">
        <v>1.3</v>
      </c>
      <c r="Q65" s="16">
        <f t="shared" si="3"/>
        <v>1.25</v>
      </c>
      <c r="R65" s="53">
        <v>10.199999999999999</v>
      </c>
      <c r="S65" s="53">
        <v>130</v>
      </c>
      <c r="T65" s="16">
        <f t="shared" si="1"/>
        <v>25</v>
      </c>
      <c r="U65" s="53">
        <v>138</v>
      </c>
      <c r="V65" s="38">
        <f t="shared" ref="V65:V82" si="4">IF(OR(N65="",U65="",T65=""),"",U65/N65*T65)</f>
        <v>3450</v>
      </c>
      <c r="W65" s="53">
        <v>2</v>
      </c>
      <c r="X65" s="53" t="s">
        <v>46</v>
      </c>
      <c r="Y65" s="53" t="s">
        <v>69</v>
      </c>
      <c r="Z65" s="53" t="s">
        <v>90</v>
      </c>
      <c r="AA65" s="53" t="s">
        <v>84</v>
      </c>
      <c r="AB65" s="53" t="s">
        <v>158</v>
      </c>
      <c r="AC65" s="76"/>
      <c r="AD65" s="76"/>
      <c r="AE65" s="76"/>
      <c r="AF65" s="76"/>
      <c r="AG65" s="76"/>
      <c r="AH65" s="76"/>
    </row>
    <row r="66" spans="1:34" x14ac:dyDescent="0.15">
      <c r="A66" s="53" t="s">
        <v>41</v>
      </c>
      <c r="B66" s="53" t="s">
        <v>157</v>
      </c>
      <c r="C66" s="62">
        <v>2019</v>
      </c>
      <c r="D66" s="63" t="s">
        <v>189</v>
      </c>
      <c r="E66" s="53" t="s">
        <v>202</v>
      </c>
      <c r="F66" s="53" t="s">
        <v>209</v>
      </c>
      <c r="G66" s="53" t="s">
        <v>42</v>
      </c>
      <c r="H66" s="53" t="s">
        <v>164</v>
      </c>
      <c r="I66" s="53" t="s">
        <v>159</v>
      </c>
      <c r="J66" s="53" t="s">
        <v>38</v>
      </c>
      <c r="K66" s="53" t="s">
        <v>161</v>
      </c>
      <c r="L66" s="53">
        <v>2</v>
      </c>
      <c r="N66" s="53">
        <v>1</v>
      </c>
      <c r="O66" s="53">
        <v>0.9</v>
      </c>
      <c r="P66" s="53">
        <v>1.1000000000000001</v>
      </c>
      <c r="Q66" s="16">
        <f t="shared" si="3"/>
        <v>1</v>
      </c>
      <c r="R66" s="53">
        <v>9.5</v>
      </c>
      <c r="S66" s="53">
        <v>128</v>
      </c>
      <c r="T66" s="16">
        <f t="shared" ref="T66:T95" si="5">IF(H66="","",IF(OR(H66="GREEN",H66="GK"),IF(S66&gt;=$AX$2,VLOOKUP(S66,$AX$2:$AY$10,2,1),""),IF(S66&gt;=$AZ$2,VLOOKUP(S66,$AZ$2:$BA$10,2,1),"")))</f>
        <v>27</v>
      </c>
      <c r="U66" s="53">
        <v>138</v>
      </c>
      <c r="V66" s="38">
        <f t="shared" si="4"/>
        <v>3726</v>
      </c>
      <c r="W66" s="53">
        <v>2</v>
      </c>
      <c r="X66" s="53" t="s">
        <v>46</v>
      </c>
      <c r="Y66" s="53" t="s">
        <v>69</v>
      </c>
      <c r="Z66" s="53" t="s">
        <v>90</v>
      </c>
      <c r="AA66" s="53" t="s">
        <v>84</v>
      </c>
      <c r="AB66" s="53" t="s">
        <v>158</v>
      </c>
      <c r="AC66" s="76"/>
      <c r="AD66" s="76"/>
      <c r="AE66" s="76"/>
      <c r="AF66" s="76"/>
      <c r="AG66" s="76"/>
      <c r="AH66" s="76"/>
    </row>
    <row r="67" spans="1:34" x14ac:dyDescent="0.15">
      <c r="A67" s="53" t="s">
        <v>41</v>
      </c>
      <c r="B67" s="53" t="s">
        <v>157</v>
      </c>
      <c r="C67" s="62">
        <v>2019</v>
      </c>
      <c r="D67" s="63" t="s">
        <v>189</v>
      </c>
      <c r="E67" s="53" t="s">
        <v>202</v>
      </c>
      <c r="F67" s="53" t="s">
        <v>209</v>
      </c>
      <c r="G67" s="53" t="s">
        <v>42</v>
      </c>
      <c r="H67" s="53" t="s">
        <v>164</v>
      </c>
      <c r="I67" s="53" t="s">
        <v>159</v>
      </c>
      <c r="J67" s="53" t="s">
        <v>38</v>
      </c>
      <c r="K67" s="53" t="s">
        <v>161</v>
      </c>
      <c r="L67" s="53">
        <v>3</v>
      </c>
      <c r="N67" s="53">
        <v>1</v>
      </c>
      <c r="O67" s="53">
        <v>1</v>
      </c>
      <c r="P67" s="53">
        <v>1.25</v>
      </c>
      <c r="Q67" s="16">
        <f t="shared" si="3"/>
        <v>1.125</v>
      </c>
      <c r="R67" s="53">
        <v>12.7</v>
      </c>
      <c r="S67" s="53">
        <v>126</v>
      </c>
      <c r="T67" s="16">
        <f t="shared" si="5"/>
        <v>27</v>
      </c>
      <c r="U67" s="53">
        <v>138</v>
      </c>
      <c r="V67" s="38">
        <f t="shared" si="4"/>
        <v>3726</v>
      </c>
      <c r="W67" s="53">
        <v>2</v>
      </c>
      <c r="X67" s="53" t="s">
        <v>46</v>
      </c>
      <c r="Y67" s="53" t="s">
        <v>69</v>
      </c>
      <c r="Z67" s="53" t="s">
        <v>90</v>
      </c>
      <c r="AA67" s="53" t="s">
        <v>84</v>
      </c>
      <c r="AB67" s="53" t="s">
        <v>158</v>
      </c>
      <c r="AC67" s="76"/>
      <c r="AD67" s="76"/>
      <c r="AE67" s="76"/>
      <c r="AF67" s="76"/>
      <c r="AG67" s="76"/>
      <c r="AH67" s="76"/>
    </row>
    <row r="68" spans="1:34" x14ac:dyDescent="0.15">
      <c r="A68" s="53" t="s">
        <v>41</v>
      </c>
      <c r="B68" s="53" t="s">
        <v>157</v>
      </c>
      <c r="C68" s="62">
        <v>2019</v>
      </c>
      <c r="D68" s="63" t="s">
        <v>189</v>
      </c>
      <c r="E68" s="53" t="s">
        <v>202</v>
      </c>
      <c r="F68" s="53" t="s">
        <v>209</v>
      </c>
      <c r="G68" s="53" t="s">
        <v>42</v>
      </c>
      <c r="H68" s="53" t="s">
        <v>164</v>
      </c>
      <c r="I68" s="53" t="s">
        <v>159</v>
      </c>
      <c r="J68" s="53" t="s">
        <v>38</v>
      </c>
      <c r="K68" s="53" t="s">
        <v>161</v>
      </c>
      <c r="L68" s="53">
        <v>1</v>
      </c>
      <c r="N68" s="53">
        <v>6</v>
      </c>
      <c r="O68" s="53">
        <v>0.8</v>
      </c>
      <c r="P68" s="53">
        <v>0.9</v>
      </c>
      <c r="Q68" s="16">
        <f t="shared" si="3"/>
        <v>0.85000000000000009</v>
      </c>
      <c r="R68" s="53">
        <v>13.4</v>
      </c>
      <c r="S68" s="53">
        <v>117</v>
      </c>
      <c r="T68" s="16">
        <f t="shared" si="5"/>
        <v>30</v>
      </c>
      <c r="U68" s="53">
        <v>538</v>
      </c>
      <c r="V68" s="16">
        <f t="shared" si="4"/>
        <v>2690</v>
      </c>
      <c r="W68" s="53">
        <v>1</v>
      </c>
      <c r="X68" s="53" t="s">
        <v>46</v>
      </c>
      <c r="Y68" s="53" t="s">
        <v>69</v>
      </c>
      <c r="Z68" s="53" t="s">
        <v>90</v>
      </c>
      <c r="AA68" s="53" t="s">
        <v>84</v>
      </c>
      <c r="AB68" s="53" t="s">
        <v>158</v>
      </c>
      <c r="AC68" s="76"/>
      <c r="AD68" s="76"/>
      <c r="AE68" s="76"/>
      <c r="AF68" s="76"/>
      <c r="AG68" s="76"/>
      <c r="AH68" s="76"/>
    </row>
    <row r="69" spans="1:34" x14ac:dyDescent="0.15">
      <c r="A69" s="53" t="s">
        <v>41</v>
      </c>
      <c r="B69" s="53" t="s">
        <v>157</v>
      </c>
      <c r="C69" s="62">
        <v>2019</v>
      </c>
      <c r="D69" s="63" t="s">
        <v>189</v>
      </c>
      <c r="E69" s="53" t="s">
        <v>202</v>
      </c>
      <c r="F69" s="53" t="s">
        <v>209</v>
      </c>
      <c r="G69" s="53" t="s">
        <v>42</v>
      </c>
      <c r="H69" s="53" t="s">
        <v>164</v>
      </c>
      <c r="I69" s="53" t="s">
        <v>159</v>
      </c>
      <c r="J69" s="53" t="s">
        <v>38</v>
      </c>
      <c r="K69" s="53" t="s">
        <v>161</v>
      </c>
      <c r="L69" s="53">
        <v>2</v>
      </c>
      <c r="N69" s="53">
        <v>6</v>
      </c>
      <c r="O69" s="53">
        <v>0.95</v>
      </c>
      <c r="P69" s="53">
        <v>0.85</v>
      </c>
      <c r="Q69" s="16">
        <f t="shared" si="3"/>
        <v>0.89999999999999991</v>
      </c>
      <c r="R69" s="53">
        <v>12.8</v>
      </c>
      <c r="S69" s="53">
        <v>115</v>
      </c>
      <c r="T69" s="16">
        <f t="shared" si="5"/>
        <v>30</v>
      </c>
      <c r="U69" s="53">
        <v>538</v>
      </c>
      <c r="V69" s="16">
        <f t="shared" si="4"/>
        <v>2690</v>
      </c>
      <c r="W69" s="53">
        <v>1</v>
      </c>
      <c r="X69" s="53" t="s">
        <v>46</v>
      </c>
      <c r="Y69" s="53" t="s">
        <v>69</v>
      </c>
      <c r="Z69" s="53" t="s">
        <v>90</v>
      </c>
      <c r="AA69" s="53" t="s">
        <v>84</v>
      </c>
      <c r="AB69" s="53" t="s">
        <v>158</v>
      </c>
      <c r="AC69" s="76"/>
      <c r="AD69" s="76"/>
      <c r="AE69" s="76"/>
      <c r="AF69" s="76"/>
      <c r="AG69" s="76"/>
      <c r="AH69" s="76"/>
    </row>
    <row r="70" spans="1:34" x14ac:dyDescent="0.15">
      <c r="A70" s="53" t="s">
        <v>41</v>
      </c>
      <c r="B70" s="53" t="s">
        <v>157</v>
      </c>
      <c r="C70" s="62">
        <v>2019</v>
      </c>
      <c r="D70" s="63" t="s">
        <v>189</v>
      </c>
      <c r="E70" s="53" t="s">
        <v>202</v>
      </c>
      <c r="F70" s="53" t="s">
        <v>209</v>
      </c>
      <c r="G70" s="53" t="s">
        <v>42</v>
      </c>
      <c r="H70" s="53" t="s">
        <v>164</v>
      </c>
      <c r="I70" s="53" t="s">
        <v>159</v>
      </c>
      <c r="J70" s="53" t="s">
        <v>38</v>
      </c>
      <c r="K70" s="53" t="s">
        <v>161</v>
      </c>
      <c r="L70" s="53">
        <v>3</v>
      </c>
      <c r="N70" s="53">
        <v>6</v>
      </c>
      <c r="O70" s="53">
        <v>1</v>
      </c>
      <c r="P70" s="53">
        <v>0.9</v>
      </c>
      <c r="Q70" s="16">
        <f t="shared" si="3"/>
        <v>0.95</v>
      </c>
      <c r="R70" s="53">
        <v>11.8</v>
      </c>
      <c r="S70" s="53">
        <v>118</v>
      </c>
      <c r="T70" s="16">
        <f t="shared" si="5"/>
        <v>30</v>
      </c>
      <c r="U70" s="53">
        <v>538</v>
      </c>
      <c r="V70" s="16">
        <f t="shared" si="4"/>
        <v>2690</v>
      </c>
      <c r="W70" s="53">
        <v>1</v>
      </c>
      <c r="X70" s="53" t="s">
        <v>46</v>
      </c>
      <c r="Y70" s="53" t="s">
        <v>69</v>
      </c>
      <c r="Z70" s="53" t="s">
        <v>90</v>
      </c>
      <c r="AA70" s="53" t="s">
        <v>84</v>
      </c>
      <c r="AB70" s="53" t="s">
        <v>158</v>
      </c>
      <c r="AC70" s="76"/>
      <c r="AD70" s="76"/>
      <c r="AE70" s="76"/>
      <c r="AF70" s="76"/>
      <c r="AG70" s="76"/>
      <c r="AH70" s="76"/>
    </row>
    <row r="71" spans="1:34" x14ac:dyDescent="0.15">
      <c r="A71" s="53" t="s">
        <v>41</v>
      </c>
      <c r="B71" s="53" t="s">
        <v>157</v>
      </c>
      <c r="C71" s="62">
        <v>2019</v>
      </c>
      <c r="D71" s="63" t="s">
        <v>189</v>
      </c>
      <c r="E71" s="53" t="s">
        <v>205</v>
      </c>
      <c r="F71" s="53" t="s">
        <v>206</v>
      </c>
      <c r="G71" s="53" t="s">
        <v>42</v>
      </c>
      <c r="H71" s="53" t="s">
        <v>164</v>
      </c>
      <c r="I71" s="53" t="s">
        <v>159</v>
      </c>
      <c r="J71" s="53" t="s">
        <v>38</v>
      </c>
      <c r="K71" s="53" t="s">
        <v>161</v>
      </c>
      <c r="L71" s="53">
        <v>1</v>
      </c>
      <c r="N71" s="53">
        <v>1</v>
      </c>
      <c r="O71" s="53">
        <v>0.65</v>
      </c>
      <c r="P71" s="53">
        <v>0.7</v>
      </c>
      <c r="Q71" s="75">
        <f t="shared" si="3"/>
        <v>0.67500000000000004</v>
      </c>
      <c r="R71" s="53">
        <v>10.8</v>
      </c>
      <c r="S71" s="53">
        <v>123</v>
      </c>
      <c r="T71" s="16">
        <f t="shared" si="5"/>
        <v>27</v>
      </c>
      <c r="U71" s="53">
        <v>105</v>
      </c>
      <c r="V71" s="16">
        <f t="shared" si="4"/>
        <v>2835</v>
      </c>
      <c r="W71" s="53">
        <v>2</v>
      </c>
      <c r="X71" s="53" t="s">
        <v>46</v>
      </c>
      <c r="Y71" s="53" t="s">
        <v>84</v>
      </c>
      <c r="Z71" s="53" t="s">
        <v>90</v>
      </c>
      <c r="AA71" s="53" t="s">
        <v>69</v>
      </c>
      <c r="AB71" s="53" t="s">
        <v>158</v>
      </c>
      <c r="AC71" s="76"/>
      <c r="AD71" s="76"/>
      <c r="AE71" s="76"/>
      <c r="AF71" s="76"/>
      <c r="AG71" s="76"/>
      <c r="AH71" s="76"/>
    </row>
    <row r="72" spans="1:34" x14ac:dyDescent="0.15">
      <c r="A72" s="53" t="s">
        <v>41</v>
      </c>
      <c r="B72" s="53" t="s">
        <v>157</v>
      </c>
      <c r="C72" s="62">
        <v>2019</v>
      </c>
      <c r="D72" s="63" t="s">
        <v>189</v>
      </c>
      <c r="E72" s="53" t="s">
        <v>205</v>
      </c>
      <c r="F72" s="53" t="s">
        <v>206</v>
      </c>
      <c r="G72" s="53" t="s">
        <v>42</v>
      </c>
      <c r="H72" s="53" t="s">
        <v>164</v>
      </c>
      <c r="I72" s="53" t="s">
        <v>159</v>
      </c>
      <c r="J72" s="53" t="s">
        <v>38</v>
      </c>
      <c r="K72" s="53" t="s">
        <v>161</v>
      </c>
      <c r="L72" s="53">
        <v>2</v>
      </c>
      <c r="N72" s="53">
        <v>1</v>
      </c>
      <c r="O72" s="53">
        <v>0.7</v>
      </c>
      <c r="P72" s="53">
        <v>0.75</v>
      </c>
      <c r="Q72" s="75">
        <f t="shared" si="3"/>
        <v>0.72499999999999998</v>
      </c>
      <c r="R72" s="53">
        <v>12.3</v>
      </c>
      <c r="S72" s="53">
        <v>125</v>
      </c>
      <c r="T72" s="16">
        <f t="shared" si="5"/>
        <v>27</v>
      </c>
      <c r="U72" s="53">
        <v>105</v>
      </c>
      <c r="V72" s="16">
        <f t="shared" si="4"/>
        <v>2835</v>
      </c>
      <c r="W72" s="53">
        <v>2</v>
      </c>
      <c r="X72" s="53" t="s">
        <v>46</v>
      </c>
      <c r="Y72" s="53" t="s">
        <v>84</v>
      </c>
      <c r="Z72" s="53" t="s">
        <v>90</v>
      </c>
      <c r="AA72" s="53" t="s">
        <v>69</v>
      </c>
      <c r="AB72" s="53" t="s">
        <v>158</v>
      </c>
      <c r="AC72" s="76"/>
      <c r="AD72" s="76"/>
      <c r="AE72" s="76"/>
      <c r="AF72" s="76"/>
      <c r="AG72" s="76"/>
      <c r="AH72" s="76"/>
    </row>
    <row r="73" spans="1:34" x14ac:dyDescent="0.15">
      <c r="A73" s="53" t="s">
        <v>41</v>
      </c>
      <c r="B73" s="53" t="s">
        <v>157</v>
      </c>
      <c r="C73" s="62">
        <v>2019</v>
      </c>
      <c r="D73" s="63" t="s">
        <v>189</v>
      </c>
      <c r="E73" s="53" t="s">
        <v>205</v>
      </c>
      <c r="F73" s="53" t="s">
        <v>206</v>
      </c>
      <c r="G73" s="53" t="s">
        <v>42</v>
      </c>
      <c r="H73" s="53" t="s">
        <v>164</v>
      </c>
      <c r="I73" s="53" t="s">
        <v>159</v>
      </c>
      <c r="J73" s="53" t="s">
        <v>38</v>
      </c>
      <c r="K73" s="53" t="s">
        <v>161</v>
      </c>
      <c r="L73" s="53">
        <v>3</v>
      </c>
      <c r="N73" s="53">
        <v>1</v>
      </c>
      <c r="O73" s="53">
        <v>0.5</v>
      </c>
      <c r="P73" s="53">
        <v>0.65</v>
      </c>
      <c r="Q73" s="75">
        <f t="shared" si="3"/>
        <v>0.57499999999999996</v>
      </c>
      <c r="R73" s="53">
        <v>13.2</v>
      </c>
      <c r="S73" s="53">
        <v>127</v>
      </c>
      <c r="T73" s="16">
        <f t="shared" si="5"/>
        <v>27</v>
      </c>
      <c r="U73" s="53">
        <v>105</v>
      </c>
      <c r="V73" s="38">
        <f t="shared" si="4"/>
        <v>2835</v>
      </c>
      <c r="W73" s="53">
        <v>2</v>
      </c>
      <c r="X73" s="53" t="s">
        <v>46</v>
      </c>
      <c r="Y73" s="53" t="s">
        <v>84</v>
      </c>
      <c r="Z73" s="53" t="s">
        <v>90</v>
      </c>
      <c r="AA73" s="53" t="s">
        <v>69</v>
      </c>
      <c r="AB73" s="53" t="s">
        <v>158</v>
      </c>
      <c r="AC73" s="76"/>
      <c r="AD73" s="76"/>
      <c r="AE73" s="76"/>
      <c r="AF73" s="76"/>
      <c r="AG73" s="76"/>
      <c r="AH73" s="76"/>
    </row>
    <row r="74" spans="1:34" x14ac:dyDescent="0.15">
      <c r="A74" s="53" t="s">
        <v>41</v>
      </c>
      <c r="B74" s="53" t="s">
        <v>157</v>
      </c>
      <c r="C74" s="62">
        <v>2018</v>
      </c>
      <c r="D74" s="63" t="s">
        <v>189</v>
      </c>
      <c r="E74" s="53" t="s">
        <v>205</v>
      </c>
      <c r="F74" s="53" t="s">
        <v>206</v>
      </c>
      <c r="G74" s="53" t="s">
        <v>42</v>
      </c>
      <c r="H74" s="53" t="s">
        <v>164</v>
      </c>
      <c r="I74" s="53" t="s">
        <v>159</v>
      </c>
      <c r="J74" s="53" t="s">
        <v>38</v>
      </c>
      <c r="K74" s="53" t="s">
        <v>161</v>
      </c>
      <c r="L74" s="53">
        <v>1</v>
      </c>
      <c r="N74" s="53">
        <v>8</v>
      </c>
      <c r="O74" s="53">
        <v>0.8</v>
      </c>
      <c r="P74" s="53">
        <v>0.85</v>
      </c>
      <c r="Q74" s="75">
        <f t="shared" si="3"/>
        <v>0.82499999999999996</v>
      </c>
      <c r="R74" s="53">
        <v>12</v>
      </c>
      <c r="S74" s="53">
        <v>113</v>
      </c>
      <c r="T74" s="16">
        <f t="shared" si="5"/>
        <v>30</v>
      </c>
      <c r="U74" s="53">
        <v>602</v>
      </c>
      <c r="V74" s="16">
        <f t="shared" si="4"/>
        <v>2257.5</v>
      </c>
      <c r="W74" s="53">
        <v>2</v>
      </c>
      <c r="X74" s="53" t="s">
        <v>46</v>
      </c>
      <c r="Y74" s="53" t="s">
        <v>84</v>
      </c>
      <c r="Z74" s="53" t="s">
        <v>90</v>
      </c>
      <c r="AA74" s="53" t="s">
        <v>69</v>
      </c>
      <c r="AB74" s="53" t="s">
        <v>158</v>
      </c>
      <c r="AC74" s="76"/>
      <c r="AD74" s="76"/>
      <c r="AE74" s="76"/>
      <c r="AF74" s="76"/>
      <c r="AG74" s="76"/>
      <c r="AH74" s="76"/>
    </row>
    <row r="75" spans="1:34" x14ac:dyDescent="0.15">
      <c r="A75" s="53" t="s">
        <v>41</v>
      </c>
      <c r="B75" s="53" t="s">
        <v>157</v>
      </c>
      <c r="C75" s="62">
        <v>2018</v>
      </c>
      <c r="D75" s="63" t="s">
        <v>189</v>
      </c>
      <c r="E75" s="53" t="s">
        <v>205</v>
      </c>
      <c r="F75" s="53" t="s">
        <v>206</v>
      </c>
      <c r="G75" s="53" t="s">
        <v>42</v>
      </c>
      <c r="H75" s="53" t="s">
        <v>164</v>
      </c>
      <c r="I75" s="53" t="s">
        <v>159</v>
      </c>
      <c r="J75" s="53" t="s">
        <v>38</v>
      </c>
      <c r="K75" s="53" t="s">
        <v>161</v>
      </c>
      <c r="L75" s="53">
        <v>2</v>
      </c>
      <c r="N75" s="53">
        <v>8</v>
      </c>
      <c r="O75" s="53">
        <v>0.95</v>
      </c>
      <c r="P75" s="53">
        <v>1</v>
      </c>
      <c r="Q75" s="75">
        <f t="shared" si="3"/>
        <v>0.97499999999999998</v>
      </c>
      <c r="R75" s="53">
        <v>14.1</v>
      </c>
      <c r="S75" s="53">
        <v>115</v>
      </c>
      <c r="T75" s="16">
        <f t="shared" si="5"/>
        <v>30</v>
      </c>
      <c r="U75" s="53">
        <v>602</v>
      </c>
      <c r="V75" s="16">
        <f t="shared" si="4"/>
        <v>2257.5</v>
      </c>
      <c r="W75" s="53">
        <v>2</v>
      </c>
      <c r="X75" s="53" t="s">
        <v>46</v>
      </c>
      <c r="Y75" s="53" t="s">
        <v>84</v>
      </c>
      <c r="Z75" s="53" t="s">
        <v>90</v>
      </c>
      <c r="AA75" s="53" t="s">
        <v>69</v>
      </c>
      <c r="AB75" s="53" t="s">
        <v>158</v>
      </c>
      <c r="AC75" s="76"/>
      <c r="AD75" s="76"/>
      <c r="AE75" s="76"/>
      <c r="AF75" s="76"/>
      <c r="AG75" s="76"/>
      <c r="AH75" s="76"/>
    </row>
    <row r="76" spans="1:34" x14ac:dyDescent="0.15">
      <c r="A76" s="53" t="s">
        <v>41</v>
      </c>
      <c r="B76" s="53" t="s">
        <v>157</v>
      </c>
      <c r="C76" s="62">
        <v>2018</v>
      </c>
      <c r="D76" s="63" t="s">
        <v>189</v>
      </c>
      <c r="E76" s="53" t="s">
        <v>205</v>
      </c>
      <c r="F76" s="53" t="s">
        <v>206</v>
      </c>
      <c r="G76" s="53" t="s">
        <v>42</v>
      </c>
      <c r="H76" s="53" t="s">
        <v>164</v>
      </c>
      <c r="I76" s="53" t="s">
        <v>159</v>
      </c>
      <c r="J76" s="53" t="s">
        <v>38</v>
      </c>
      <c r="K76" s="53" t="s">
        <v>161</v>
      </c>
      <c r="L76" s="53">
        <v>3</v>
      </c>
      <c r="N76" s="53">
        <v>8</v>
      </c>
      <c r="O76" s="53">
        <v>1</v>
      </c>
      <c r="P76" s="53">
        <v>1.1000000000000001</v>
      </c>
      <c r="Q76" s="75">
        <f t="shared" si="3"/>
        <v>1.05</v>
      </c>
      <c r="R76" s="53">
        <v>13.5</v>
      </c>
      <c r="S76" s="53">
        <v>112</v>
      </c>
      <c r="T76" s="16">
        <f t="shared" si="5"/>
        <v>33</v>
      </c>
      <c r="U76" s="53">
        <v>602</v>
      </c>
      <c r="V76" s="16">
        <f t="shared" si="4"/>
        <v>2483.25</v>
      </c>
      <c r="W76" s="53">
        <v>2</v>
      </c>
      <c r="X76" s="53" t="s">
        <v>46</v>
      </c>
      <c r="Y76" s="53" t="s">
        <v>84</v>
      </c>
      <c r="Z76" s="53" t="s">
        <v>90</v>
      </c>
      <c r="AA76" s="53" t="s">
        <v>69</v>
      </c>
      <c r="AB76" s="53" t="s">
        <v>158</v>
      </c>
      <c r="AC76" s="76"/>
      <c r="AD76" s="76"/>
      <c r="AE76" s="76"/>
      <c r="AF76" s="76"/>
      <c r="AG76" s="76"/>
      <c r="AH76" s="76"/>
    </row>
    <row r="77" spans="1:34" x14ac:dyDescent="0.15">
      <c r="A77" s="53" t="s">
        <v>41</v>
      </c>
      <c r="B77" s="53" t="s">
        <v>157</v>
      </c>
      <c r="C77" s="62">
        <v>2019</v>
      </c>
      <c r="D77" s="63" t="s">
        <v>189</v>
      </c>
      <c r="E77" s="53" t="s">
        <v>211</v>
      </c>
      <c r="F77" s="53" t="s">
        <v>212</v>
      </c>
      <c r="G77" s="53" t="s">
        <v>42</v>
      </c>
      <c r="H77" s="53" t="s">
        <v>164</v>
      </c>
      <c r="I77" s="53" t="s">
        <v>159</v>
      </c>
      <c r="J77" s="53" t="s">
        <v>38</v>
      </c>
      <c r="K77" s="53" t="s">
        <v>161</v>
      </c>
      <c r="L77" s="53">
        <v>1</v>
      </c>
      <c r="N77" s="53">
        <v>1</v>
      </c>
      <c r="O77" s="53">
        <v>0.65</v>
      </c>
      <c r="P77" s="74">
        <v>0.7</v>
      </c>
      <c r="Q77" s="16">
        <f t="shared" si="3"/>
        <v>0.67500000000000004</v>
      </c>
      <c r="R77" s="53">
        <v>12.1</v>
      </c>
      <c r="S77" s="53">
        <v>128</v>
      </c>
      <c r="T77" s="16">
        <f t="shared" si="5"/>
        <v>27</v>
      </c>
      <c r="U77" s="53">
        <v>105</v>
      </c>
      <c r="V77" s="38">
        <f t="shared" si="4"/>
        <v>2835</v>
      </c>
      <c r="W77" s="53">
        <v>3</v>
      </c>
      <c r="X77" s="53" t="s">
        <v>46</v>
      </c>
      <c r="Y77" s="53" t="s">
        <v>84</v>
      </c>
      <c r="Z77" s="53" t="s">
        <v>69</v>
      </c>
      <c r="AA77" s="53" t="s">
        <v>90</v>
      </c>
      <c r="AB77" s="53" t="s">
        <v>158</v>
      </c>
      <c r="AC77" s="76"/>
      <c r="AD77" s="76"/>
      <c r="AE77" s="76"/>
      <c r="AF77" s="76"/>
      <c r="AG77" s="76"/>
      <c r="AH77" s="76"/>
    </row>
    <row r="78" spans="1:34" x14ac:dyDescent="0.15">
      <c r="A78" s="53" t="s">
        <v>41</v>
      </c>
      <c r="B78" s="53" t="s">
        <v>157</v>
      </c>
      <c r="C78" s="62">
        <v>2019</v>
      </c>
      <c r="D78" s="63" t="s">
        <v>189</v>
      </c>
      <c r="E78" s="53" t="s">
        <v>211</v>
      </c>
      <c r="F78" s="53" t="s">
        <v>212</v>
      </c>
      <c r="G78" s="53" t="s">
        <v>42</v>
      </c>
      <c r="H78" s="53" t="s">
        <v>164</v>
      </c>
      <c r="I78" s="53" t="s">
        <v>159</v>
      </c>
      <c r="J78" s="53" t="s">
        <v>38</v>
      </c>
      <c r="K78" s="53" t="s">
        <v>161</v>
      </c>
      <c r="L78" s="53">
        <v>2</v>
      </c>
      <c r="N78" s="53">
        <v>1</v>
      </c>
      <c r="O78" s="53">
        <v>0.5</v>
      </c>
      <c r="P78" s="53">
        <v>0.65</v>
      </c>
      <c r="Q78" s="16">
        <f t="shared" si="3"/>
        <v>0.57499999999999996</v>
      </c>
      <c r="R78" s="53">
        <v>11.4</v>
      </c>
      <c r="S78" s="53">
        <v>129</v>
      </c>
      <c r="T78" s="16">
        <f t="shared" si="5"/>
        <v>25</v>
      </c>
      <c r="U78" s="53">
        <v>105</v>
      </c>
      <c r="V78" s="38">
        <f t="shared" si="4"/>
        <v>2625</v>
      </c>
      <c r="W78" s="53">
        <v>3</v>
      </c>
      <c r="X78" s="53" t="s">
        <v>46</v>
      </c>
      <c r="Y78" s="53" t="s">
        <v>84</v>
      </c>
      <c r="Z78" s="53" t="s">
        <v>69</v>
      </c>
      <c r="AA78" s="53" t="s">
        <v>90</v>
      </c>
      <c r="AB78" s="53" t="s">
        <v>158</v>
      </c>
      <c r="AC78" s="76"/>
      <c r="AD78" s="76"/>
      <c r="AE78" s="76"/>
      <c r="AF78" s="76"/>
      <c r="AG78" s="76"/>
      <c r="AH78" s="76"/>
    </row>
    <row r="79" spans="1:34" x14ac:dyDescent="0.15">
      <c r="A79" s="53" t="s">
        <v>41</v>
      </c>
      <c r="B79" s="53" t="s">
        <v>157</v>
      </c>
      <c r="C79" s="62">
        <v>2019</v>
      </c>
      <c r="D79" s="63" t="s">
        <v>189</v>
      </c>
      <c r="E79" s="53" t="s">
        <v>211</v>
      </c>
      <c r="F79" s="53" t="s">
        <v>212</v>
      </c>
      <c r="G79" s="53" t="s">
        <v>42</v>
      </c>
      <c r="H79" s="53" t="s">
        <v>164</v>
      </c>
      <c r="I79" s="53" t="s">
        <v>159</v>
      </c>
      <c r="J79" s="53" t="s">
        <v>38</v>
      </c>
      <c r="K79" s="53" t="s">
        <v>161</v>
      </c>
      <c r="L79" s="53">
        <v>3</v>
      </c>
      <c r="N79" s="53">
        <v>1</v>
      </c>
      <c r="O79" s="53">
        <v>0.7</v>
      </c>
      <c r="P79" s="53">
        <v>0.55000000000000004</v>
      </c>
      <c r="Q79" s="16">
        <f t="shared" si="3"/>
        <v>0.625</v>
      </c>
      <c r="R79" s="53">
        <v>12</v>
      </c>
      <c r="S79" s="53">
        <v>128</v>
      </c>
      <c r="T79" s="38">
        <f t="shared" si="5"/>
        <v>27</v>
      </c>
      <c r="U79" s="53">
        <v>105</v>
      </c>
      <c r="V79" s="38">
        <f t="shared" si="4"/>
        <v>2835</v>
      </c>
      <c r="W79" s="53">
        <v>3</v>
      </c>
      <c r="X79" s="53" t="s">
        <v>46</v>
      </c>
      <c r="Y79" s="53" t="s">
        <v>84</v>
      </c>
      <c r="Z79" s="53" t="s">
        <v>69</v>
      </c>
      <c r="AA79" s="53" t="s">
        <v>90</v>
      </c>
      <c r="AB79" s="53" t="s">
        <v>158</v>
      </c>
      <c r="AC79" s="76"/>
      <c r="AD79" s="76"/>
      <c r="AE79" s="76"/>
      <c r="AF79" s="76"/>
      <c r="AG79" s="76"/>
      <c r="AH79" s="76"/>
    </row>
    <row r="80" spans="1:34" x14ac:dyDescent="0.15">
      <c r="A80" s="53" t="s">
        <v>41</v>
      </c>
      <c r="B80" s="53" t="s">
        <v>157</v>
      </c>
      <c r="C80" s="62">
        <v>2019</v>
      </c>
      <c r="D80" s="63" t="s">
        <v>189</v>
      </c>
      <c r="E80" s="53" t="s">
        <v>211</v>
      </c>
      <c r="F80" s="53" t="s">
        <v>212</v>
      </c>
      <c r="G80" s="53" t="s">
        <v>42</v>
      </c>
      <c r="H80" s="53" t="s">
        <v>164</v>
      </c>
      <c r="I80" s="53" t="s">
        <v>159</v>
      </c>
      <c r="J80" s="53" t="s">
        <v>38</v>
      </c>
      <c r="K80" s="53" t="s">
        <v>161</v>
      </c>
      <c r="L80" s="53">
        <v>1</v>
      </c>
      <c r="N80" s="53">
        <v>4</v>
      </c>
      <c r="O80" s="53">
        <v>0.8</v>
      </c>
      <c r="P80" s="74">
        <v>0.7</v>
      </c>
      <c r="Q80" s="16">
        <f t="shared" si="3"/>
        <v>0.75</v>
      </c>
      <c r="R80" s="53">
        <v>10.3</v>
      </c>
      <c r="S80" s="53">
        <v>120</v>
      </c>
      <c r="T80" s="16">
        <f t="shared" si="5"/>
        <v>30</v>
      </c>
      <c r="U80" s="53">
        <v>407</v>
      </c>
      <c r="V80" s="38">
        <f t="shared" si="4"/>
        <v>3052.5</v>
      </c>
      <c r="W80" s="53">
        <v>3</v>
      </c>
      <c r="X80" s="53" t="s">
        <v>46</v>
      </c>
      <c r="Y80" s="53" t="s">
        <v>84</v>
      </c>
      <c r="Z80" s="53" t="s">
        <v>69</v>
      </c>
      <c r="AA80" s="53" t="s">
        <v>90</v>
      </c>
      <c r="AB80" s="53" t="s">
        <v>158</v>
      </c>
    </row>
    <row r="81" spans="1:34" x14ac:dyDescent="0.15">
      <c r="A81" s="53" t="s">
        <v>41</v>
      </c>
      <c r="B81" s="53" t="s">
        <v>157</v>
      </c>
      <c r="C81" s="62">
        <v>2019</v>
      </c>
      <c r="D81" s="63" t="s">
        <v>189</v>
      </c>
      <c r="E81" s="53" t="s">
        <v>211</v>
      </c>
      <c r="F81" s="53" t="s">
        <v>212</v>
      </c>
      <c r="G81" s="53" t="s">
        <v>42</v>
      </c>
      <c r="H81" s="53" t="s">
        <v>164</v>
      </c>
      <c r="I81" s="53" t="s">
        <v>159</v>
      </c>
      <c r="J81" s="53" t="s">
        <v>38</v>
      </c>
      <c r="K81" s="53" t="s">
        <v>161</v>
      </c>
      <c r="L81" s="53">
        <v>2</v>
      </c>
      <c r="N81" s="53">
        <v>4</v>
      </c>
      <c r="O81" s="53">
        <v>0.95</v>
      </c>
      <c r="P81" s="53">
        <v>1</v>
      </c>
      <c r="Q81" s="16">
        <f t="shared" si="3"/>
        <v>0.97499999999999998</v>
      </c>
      <c r="R81" s="53">
        <v>13.8</v>
      </c>
      <c r="S81" s="53">
        <v>118</v>
      </c>
      <c r="T81" s="16">
        <f t="shared" si="5"/>
        <v>30</v>
      </c>
      <c r="U81" s="53">
        <v>407</v>
      </c>
      <c r="V81" s="38">
        <f t="shared" si="4"/>
        <v>3052.5</v>
      </c>
      <c r="W81" s="53">
        <v>3</v>
      </c>
      <c r="X81" s="53" t="s">
        <v>46</v>
      </c>
      <c r="Y81" s="53" t="s">
        <v>84</v>
      </c>
      <c r="Z81" s="53" t="s">
        <v>69</v>
      </c>
      <c r="AA81" s="53" t="s">
        <v>90</v>
      </c>
      <c r="AB81" s="53" t="s">
        <v>158</v>
      </c>
    </row>
    <row r="82" spans="1:34" x14ac:dyDescent="0.15">
      <c r="A82" s="53" t="s">
        <v>41</v>
      </c>
      <c r="B82" s="53" t="s">
        <v>157</v>
      </c>
      <c r="C82" s="62">
        <v>2019</v>
      </c>
      <c r="D82" s="63" t="s">
        <v>189</v>
      </c>
      <c r="E82" s="53" t="s">
        <v>211</v>
      </c>
      <c r="F82" s="53" t="s">
        <v>212</v>
      </c>
      <c r="G82" s="53" t="s">
        <v>42</v>
      </c>
      <c r="H82" s="53" t="s">
        <v>164</v>
      </c>
      <c r="I82" s="53" t="s">
        <v>159</v>
      </c>
      <c r="J82" s="53" t="s">
        <v>38</v>
      </c>
      <c r="K82" s="53" t="s">
        <v>161</v>
      </c>
      <c r="L82" s="53">
        <v>3</v>
      </c>
      <c r="N82" s="53">
        <v>4</v>
      </c>
      <c r="O82" s="53">
        <v>1.1000000000000001</v>
      </c>
      <c r="P82" s="53">
        <v>0.85</v>
      </c>
      <c r="Q82" s="16">
        <f t="shared" si="3"/>
        <v>0.97500000000000009</v>
      </c>
      <c r="R82" s="53">
        <v>12.4</v>
      </c>
      <c r="S82" s="53">
        <v>121</v>
      </c>
      <c r="T82" s="38">
        <f t="shared" si="5"/>
        <v>27</v>
      </c>
      <c r="U82" s="53">
        <v>407</v>
      </c>
      <c r="V82" s="38">
        <f t="shared" si="4"/>
        <v>2747.25</v>
      </c>
      <c r="W82" s="53">
        <v>3</v>
      </c>
      <c r="X82" s="53" t="s">
        <v>46</v>
      </c>
      <c r="Y82" s="53" t="s">
        <v>84</v>
      </c>
      <c r="Z82" s="53" t="s">
        <v>69</v>
      </c>
      <c r="AA82" s="53" t="s">
        <v>90</v>
      </c>
      <c r="AB82" s="53" t="s">
        <v>158</v>
      </c>
    </row>
    <row r="83" spans="1:34" x14ac:dyDescent="0.15">
      <c r="C83" s="62"/>
      <c r="D83" s="63"/>
      <c r="P83" s="74"/>
      <c r="V83" s="38"/>
      <c r="AC83" s="76"/>
      <c r="AD83" s="76"/>
      <c r="AE83" s="76"/>
      <c r="AF83" s="76"/>
      <c r="AG83" s="76"/>
      <c r="AH83" s="76"/>
    </row>
    <row r="84" spans="1:34" x14ac:dyDescent="0.15">
      <c r="C84" s="62"/>
      <c r="D84" s="63"/>
      <c r="V84" s="38"/>
      <c r="AC84" s="76"/>
      <c r="AD84" s="76"/>
      <c r="AE84" s="76"/>
      <c r="AF84" s="76"/>
      <c r="AG84" s="76"/>
      <c r="AH84" s="76"/>
    </row>
    <row r="85" spans="1:34" x14ac:dyDescent="0.15">
      <c r="C85" s="62"/>
      <c r="D85" s="63"/>
      <c r="T85" s="38"/>
      <c r="V85" s="38"/>
      <c r="AC85" s="76"/>
      <c r="AD85" s="76"/>
      <c r="AE85" s="76"/>
      <c r="AF85" s="76"/>
      <c r="AG85" s="76"/>
      <c r="AH85" s="76"/>
    </row>
    <row r="86" spans="1:34" x14ac:dyDescent="0.15">
      <c r="C86" s="62"/>
      <c r="D86" s="63"/>
      <c r="P86" s="74"/>
      <c r="V86" s="38"/>
      <c r="AC86" s="76"/>
      <c r="AD86" s="76"/>
      <c r="AE86" s="76"/>
      <c r="AF86" s="76"/>
      <c r="AG86" s="76"/>
      <c r="AH86" s="76"/>
    </row>
    <row r="87" spans="1:34" x14ac:dyDescent="0.15">
      <c r="C87" s="62"/>
      <c r="D87" s="63"/>
      <c r="V87" s="38"/>
      <c r="AC87" s="76"/>
      <c r="AD87" s="76"/>
      <c r="AE87" s="76"/>
      <c r="AF87" s="76"/>
      <c r="AG87" s="76"/>
      <c r="AH87" s="76"/>
    </row>
    <row r="88" spans="1:34" x14ac:dyDescent="0.15">
      <c r="C88" s="62"/>
      <c r="D88" s="63"/>
      <c r="T88" s="38"/>
      <c r="V88" s="38"/>
      <c r="AC88" s="76"/>
      <c r="AD88" s="76"/>
      <c r="AE88" s="76"/>
      <c r="AF88" s="76"/>
      <c r="AG88" s="76"/>
      <c r="AH88" s="76"/>
    </row>
    <row r="89" spans="1:34" x14ac:dyDescent="0.15">
      <c r="C89" s="62"/>
      <c r="D89" s="63"/>
      <c r="P89" s="74"/>
      <c r="V89" s="38"/>
      <c r="AC89" s="76"/>
      <c r="AD89" s="76"/>
      <c r="AE89" s="76"/>
      <c r="AF89" s="76"/>
      <c r="AG89" s="76"/>
      <c r="AH89" s="76"/>
    </row>
    <row r="90" spans="1:34" x14ac:dyDescent="0.15">
      <c r="C90" s="62"/>
      <c r="D90" s="63"/>
      <c r="V90" s="38"/>
      <c r="AC90" s="76"/>
      <c r="AD90" s="76"/>
      <c r="AE90" s="76"/>
      <c r="AF90" s="76"/>
      <c r="AG90" s="76"/>
      <c r="AH90" s="76"/>
    </row>
    <row r="91" spans="1:34" x14ac:dyDescent="0.15">
      <c r="C91" s="62"/>
      <c r="D91" s="63"/>
      <c r="T91" s="38"/>
      <c r="V91" s="38"/>
      <c r="AC91" s="76"/>
      <c r="AD91" s="76"/>
      <c r="AE91" s="76"/>
      <c r="AF91" s="76"/>
      <c r="AG91" s="76"/>
      <c r="AH91" s="76"/>
    </row>
    <row r="92" spans="1:34" x14ac:dyDescent="0.15">
      <c r="Q92" s="75"/>
    </row>
    <row r="93" spans="1:34" x14ac:dyDescent="0.15">
      <c r="Q93" s="75"/>
    </row>
    <row r="94" spans="1:34" x14ac:dyDescent="0.15">
      <c r="Q94" s="75"/>
    </row>
    <row r="95" spans="1:34" x14ac:dyDescent="0.15">
      <c r="Q95" s="75" t="str">
        <f t="shared" ref="Q95:Q158" si="6">IF(OR(O95="",P95=""),"",AVERAGE(O95,P95))</f>
        <v/>
      </c>
      <c r="T95" s="16" t="str">
        <f t="shared" ref="T95:T158" si="7">IF(H95="","",IF(OR(H95="GREEN",H95="GK"),IF(S95&gt;=$AX$2,VLOOKUP(S95,$AX$2:$AY$10,2,1),""),IF(S95&gt;=$AZ$2,VLOOKUP(S95,$AZ$2:$BA$10,2,1),"")))</f>
        <v/>
      </c>
      <c r="V95" s="16" t="str">
        <f t="shared" ref="V95:V158" si="8">IF(OR(N95="",U95="",T95=""),"",U95/N95*T95)</f>
        <v/>
      </c>
    </row>
    <row r="96" spans="1:34" x14ac:dyDescent="0.15">
      <c r="Q96" s="75" t="str">
        <f t="shared" si="6"/>
        <v/>
      </c>
      <c r="T96" s="16" t="str">
        <f t="shared" si="7"/>
        <v/>
      </c>
      <c r="V96" s="16" t="str">
        <f t="shared" si="8"/>
        <v/>
      </c>
    </row>
    <row r="97" spans="17:22" x14ac:dyDescent="0.15">
      <c r="Q97" s="75" t="str">
        <f t="shared" si="6"/>
        <v/>
      </c>
      <c r="T97" s="16" t="str">
        <f t="shared" si="7"/>
        <v/>
      </c>
      <c r="V97" s="16" t="str">
        <f t="shared" si="8"/>
        <v/>
      </c>
    </row>
    <row r="98" spans="17:22" x14ac:dyDescent="0.15">
      <c r="Q98" s="75" t="str">
        <f t="shared" si="6"/>
        <v/>
      </c>
      <c r="T98" s="16" t="str">
        <f t="shared" si="7"/>
        <v/>
      </c>
      <c r="V98" s="16" t="str">
        <f t="shared" si="8"/>
        <v/>
      </c>
    </row>
    <row r="99" spans="17:22" x14ac:dyDescent="0.15">
      <c r="Q99" s="75" t="str">
        <f t="shared" si="6"/>
        <v/>
      </c>
      <c r="T99" s="16" t="str">
        <f t="shared" si="7"/>
        <v/>
      </c>
      <c r="V99" s="16" t="str">
        <f t="shared" si="8"/>
        <v/>
      </c>
    </row>
    <row r="100" spans="17:22" x14ac:dyDescent="0.15">
      <c r="Q100" s="75" t="str">
        <f t="shared" si="6"/>
        <v/>
      </c>
      <c r="T100" s="16" t="str">
        <f t="shared" si="7"/>
        <v/>
      </c>
      <c r="V100" s="16" t="str">
        <f t="shared" si="8"/>
        <v/>
      </c>
    </row>
    <row r="101" spans="17:22" x14ac:dyDescent="0.15">
      <c r="Q101" s="75" t="str">
        <f t="shared" si="6"/>
        <v/>
      </c>
      <c r="T101" s="16" t="str">
        <f t="shared" si="7"/>
        <v/>
      </c>
      <c r="V101" s="16" t="str">
        <f t="shared" si="8"/>
        <v/>
      </c>
    </row>
    <row r="102" spans="17:22" x14ac:dyDescent="0.15">
      <c r="Q102" s="75" t="str">
        <f t="shared" si="6"/>
        <v/>
      </c>
      <c r="T102" s="16" t="str">
        <f t="shared" si="7"/>
        <v/>
      </c>
      <c r="V102" s="16" t="str">
        <f t="shared" si="8"/>
        <v/>
      </c>
    </row>
    <row r="103" spans="17:22" x14ac:dyDescent="0.15">
      <c r="Q103" s="75" t="str">
        <f t="shared" si="6"/>
        <v/>
      </c>
      <c r="T103" s="16" t="str">
        <f t="shared" si="7"/>
        <v/>
      </c>
      <c r="V103" s="16" t="str">
        <f t="shared" si="8"/>
        <v/>
      </c>
    </row>
    <row r="104" spans="17:22" x14ac:dyDescent="0.15">
      <c r="Q104" s="75" t="str">
        <f t="shared" si="6"/>
        <v/>
      </c>
      <c r="T104" s="16" t="str">
        <f t="shared" si="7"/>
        <v/>
      </c>
      <c r="V104" s="16" t="str">
        <f t="shared" si="8"/>
        <v/>
      </c>
    </row>
    <row r="105" spans="17:22" x14ac:dyDescent="0.15">
      <c r="Q105" s="75" t="str">
        <f t="shared" si="6"/>
        <v/>
      </c>
      <c r="T105" s="16" t="str">
        <f t="shared" si="7"/>
        <v/>
      </c>
      <c r="V105" s="16" t="str">
        <f t="shared" si="8"/>
        <v/>
      </c>
    </row>
    <row r="106" spans="17:22" x14ac:dyDescent="0.15">
      <c r="Q106" s="75" t="str">
        <f t="shared" si="6"/>
        <v/>
      </c>
      <c r="T106" s="16" t="str">
        <f t="shared" si="7"/>
        <v/>
      </c>
      <c r="V106" s="16" t="str">
        <f t="shared" si="8"/>
        <v/>
      </c>
    </row>
    <row r="107" spans="17:22" x14ac:dyDescent="0.15">
      <c r="Q107" s="75" t="str">
        <f t="shared" si="6"/>
        <v/>
      </c>
      <c r="T107" s="16" t="str">
        <f t="shared" si="7"/>
        <v/>
      </c>
      <c r="V107" s="16" t="str">
        <f t="shared" si="8"/>
        <v/>
      </c>
    </row>
    <row r="108" spans="17:22" x14ac:dyDescent="0.15">
      <c r="Q108" s="75" t="str">
        <f t="shared" si="6"/>
        <v/>
      </c>
      <c r="T108" s="16" t="str">
        <f t="shared" si="7"/>
        <v/>
      </c>
      <c r="V108" s="16" t="str">
        <f t="shared" si="8"/>
        <v/>
      </c>
    </row>
    <row r="109" spans="17:22" x14ac:dyDescent="0.15">
      <c r="Q109" s="75" t="str">
        <f t="shared" si="6"/>
        <v/>
      </c>
      <c r="T109" s="16" t="str">
        <f t="shared" si="7"/>
        <v/>
      </c>
      <c r="V109" s="16" t="str">
        <f t="shared" si="8"/>
        <v/>
      </c>
    </row>
    <row r="110" spans="17:22" x14ac:dyDescent="0.15">
      <c r="Q110" s="75" t="str">
        <f t="shared" si="6"/>
        <v/>
      </c>
      <c r="T110" s="16" t="str">
        <f t="shared" si="7"/>
        <v/>
      </c>
      <c r="V110" s="16" t="str">
        <f t="shared" si="8"/>
        <v/>
      </c>
    </row>
    <row r="111" spans="17:22" x14ac:dyDescent="0.15">
      <c r="Q111" s="75" t="str">
        <f t="shared" si="6"/>
        <v/>
      </c>
      <c r="T111" s="16" t="str">
        <f t="shared" si="7"/>
        <v/>
      </c>
      <c r="V111" s="16" t="str">
        <f t="shared" si="8"/>
        <v/>
      </c>
    </row>
    <row r="112" spans="17:22" x14ac:dyDescent="0.15">
      <c r="Q112" s="75" t="str">
        <f t="shared" si="6"/>
        <v/>
      </c>
      <c r="T112" s="16" t="str">
        <f t="shared" si="7"/>
        <v/>
      </c>
      <c r="V112" s="16" t="str">
        <f t="shared" si="8"/>
        <v/>
      </c>
    </row>
    <row r="113" spans="17:22" x14ac:dyDescent="0.15">
      <c r="Q113" s="75" t="str">
        <f t="shared" si="6"/>
        <v/>
      </c>
      <c r="T113" s="16" t="str">
        <f t="shared" si="7"/>
        <v/>
      </c>
      <c r="V113" s="16" t="str">
        <f t="shared" si="8"/>
        <v/>
      </c>
    </row>
    <row r="114" spans="17:22" x14ac:dyDescent="0.15">
      <c r="Q114" s="75" t="str">
        <f t="shared" si="6"/>
        <v/>
      </c>
      <c r="T114" s="16" t="str">
        <f t="shared" si="7"/>
        <v/>
      </c>
      <c r="V114" s="16" t="str">
        <f t="shared" si="8"/>
        <v/>
      </c>
    </row>
    <row r="115" spans="17:22" x14ac:dyDescent="0.15">
      <c r="Q115" s="75" t="str">
        <f t="shared" si="6"/>
        <v/>
      </c>
      <c r="T115" s="16" t="str">
        <f t="shared" si="7"/>
        <v/>
      </c>
      <c r="V115" s="16" t="str">
        <f t="shared" si="8"/>
        <v/>
      </c>
    </row>
    <row r="116" spans="17:22" x14ac:dyDescent="0.15">
      <c r="Q116" s="75" t="str">
        <f t="shared" si="6"/>
        <v/>
      </c>
      <c r="T116" s="16" t="str">
        <f t="shared" si="7"/>
        <v/>
      </c>
      <c r="V116" s="16" t="str">
        <f t="shared" si="8"/>
        <v/>
      </c>
    </row>
    <row r="117" spans="17:22" x14ac:dyDescent="0.15">
      <c r="Q117" s="75" t="str">
        <f t="shared" si="6"/>
        <v/>
      </c>
      <c r="T117" s="16" t="str">
        <f t="shared" si="7"/>
        <v/>
      </c>
      <c r="V117" s="16" t="str">
        <f t="shared" si="8"/>
        <v/>
      </c>
    </row>
    <row r="118" spans="17:22" x14ac:dyDescent="0.15">
      <c r="Q118" s="75" t="str">
        <f t="shared" si="6"/>
        <v/>
      </c>
      <c r="T118" s="16" t="str">
        <f t="shared" si="7"/>
        <v/>
      </c>
      <c r="V118" s="16" t="str">
        <f t="shared" si="8"/>
        <v/>
      </c>
    </row>
    <row r="119" spans="17:22" x14ac:dyDescent="0.15">
      <c r="Q119" s="75" t="str">
        <f t="shared" si="6"/>
        <v/>
      </c>
      <c r="T119" s="16" t="str">
        <f t="shared" si="7"/>
        <v/>
      </c>
      <c r="V119" s="16" t="str">
        <f t="shared" si="8"/>
        <v/>
      </c>
    </row>
    <row r="120" spans="17:22" x14ac:dyDescent="0.15">
      <c r="Q120" s="75" t="str">
        <f t="shared" si="6"/>
        <v/>
      </c>
      <c r="T120" s="16" t="str">
        <f t="shared" si="7"/>
        <v/>
      </c>
      <c r="V120" s="16" t="str">
        <f t="shared" si="8"/>
        <v/>
      </c>
    </row>
    <row r="121" spans="17:22" x14ac:dyDescent="0.15">
      <c r="Q121" s="75" t="str">
        <f t="shared" si="6"/>
        <v/>
      </c>
      <c r="T121" s="16" t="str">
        <f t="shared" si="7"/>
        <v/>
      </c>
      <c r="V121" s="16" t="str">
        <f t="shared" si="8"/>
        <v/>
      </c>
    </row>
    <row r="122" spans="17:22" x14ac:dyDescent="0.15">
      <c r="Q122" s="75" t="str">
        <f t="shared" si="6"/>
        <v/>
      </c>
      <c r="T122" s="16" t="str">
        <f t="shared" si="7"/>
        <v/>
      </c>
      <c r="V122" s="16" t="str">
        <f t="shared" si="8"/>
        <v/>
      </c>
    </row>
    <row r="123" spans="17:22" x14ac:dyDescent="0.15">
      <c r="Q123" s="75" t="str">
        <f t="shared" si="6"/>
        <v/>
      </c>
      <c r="T123" s="16" t="str">
        <f t="shared" si="7"/>
        <v/>
      </c>
      <c r="V123" s="16" t="str">
        <f t="shared" si="8"/>
        <v/>
      </c>
    </row>
    <row r="124" spans="17:22" x14ac:dyDescent="0.15">
      <c r="Q124" s="75" t="str">
        <f t="shared" si="6"/>
        <v/>
      </c>
      <c r="T124" s="16" t="str">
        <f t="shared" si="7"/>
        <v/>
      </c>
      <c r="V124" s="16" t="str">
        <f t="shared" si="8"/>
        <v/>
      </c>
    </row>
    <row r="125" spans="17:22" x14ac:dyDescent="0.15">
      <c r="Q125" s="75" t="str">
        <f t="shared" si="6"/>
        <v/>
      </c>
      <c r="T125" s="16" t="str">
        <f t="shared" si="7"/>
        <v/>
      </c>
      <c r="V125" s="16" t="str">
        <f t="shared" si="8"/>
        <v/>
      </c>
    </row>
    <row r="126" spans="17:22" x14ac:dyDescent="0.15">
      <c r="Q126" s="75" t="str">
        <f t="shared" si="6"/>
        <v/>
      </c>
      <c r="T126" s="16" t="str">
        <f t="shared" si="7"/>
        <v/>
      </c>
      <c r="V126" s="16" t="str">
        <f t="shared" si="8"/>
        <v/>
      </c>
    </row>
    <row r="127" spans="17:22" x14ac:dyDescent="0.15">
      <c r="Q127" s="75" t="str">
        <f t="shared" si="6"/>
        <v/>
      </c>
      <c r="T127" s="16" t="str">
        <f t="shared" si="7"/>
        <v/>
      </c>
      <c r="V127" s="16" t="str">
        <f t="shared" si="8"/>
        <v/>
      </c>
    </row>
    <row r="128" spans="17:22" x14ac:dyDescent="0.15">
      <c r="Q128" s="75" t="str">
        <f t="shared" si="6"/>
        <v/>
      </c>
      <c r="T128" s="16" t="str">
        <f t="shared" si="7"/>
        <v/>
      </c>
      <c r="V128" s="16" t="str">
        <f t="shared" si="8"/>
        <v/>
      </c>
    </row>
    <row r="129" spans="17:22" x14ac:dyDescent="0.15">
      <c r="Q129" s="75" t="str">
        <f t="shared" si="6"/>
        <v/>
      </c>
      <c r="T129" s="16" t="str">
        <f t="shared" si="7"/>
        <v/>
      </c>
      <c r="V129" s="16" t="str">
        <f t="shared" si="8"/>
        <v/>
      </c>
    </row>
    <row r="130" spans="17:22" x14ac:dyDescent="0.15">
      <c r="Q130" s="75" t="str">
        <f t="shared" si="6"/>
        <v/>
      </c>
      <c r="T130" s="16" t="str">
        <f t="shared" si="7"/>
        <v/>
      </c>
      <c r="V130" s="16" t="str">
        <f t="shared" si="8"/>
        <v/>
      </c>
    </row>
    <row r="131" spans="17:22" x14ac:dyDescent="0.15">
      <c r="Q131" s="75" t="str">
        <f t="shared" si="6"/>
        <v/>
      </c>
      <c r="T131" s="16" t="str">
        <f t="shared" si="7"/>
        <v/>
      </c>
      <c r="V131" s="16" t="str">
        <f t="shared" si="8"/>
        <v/>
      </c>
    </row>
    <row r="132" spans="17:22" x14ac:dyDescent="0.15">
      <c r="Q132" s="75" t="str">
        <f t="shared" si="6"/>
        <v/>
      </c>
      <c r="T132" s="16" t="str">
        <f t="shared" si="7"/>
        <v/>
      </c>
      <c r="V132" s="16" t="str">
        <f t="shared" si="8"/>
        <v/>
      </c>
    </row>
    <row r="133" spans="17:22" x14ac:dyDescent="0.15">
      <c r="Q133" s="75" t="str">
        <f t="shared" si="6"/>
        <v/>
      </c>
      <c r="T133" s="16" t="str">
        <f t="shared" si="7"/>
        <v/>
      </c>
      <c r="V133" s="16" t="str">
        <f t="shared" si="8"/>
        <v/>
      </c>
    </row>
    <row r="134" spans="17:22" x14ac:dyDescent="0.15">
      <c r="Q134" s="75" t="str">
        <f t="shared" si="6"/>
        <v/>
      </c>
      <c r="T134" s="16" t="str">
        <f t="shared" si="7"/>
        <v/>
      </c>
      <c r="V134" s="16" t="str">
        <f t="shared" si="8"/>
        <v/>
      </c>
    </row>
    <row r="135" spans="17:22" x14ac:dyDescent="0.15">
      <c r="Q135" s="75" t="str">
        <f t="shared" si="6"/>
        <v/>
      </c>
      <c r="T135" s="16" t="str">
        <f t="shared" si="7"/>
        <v/>
      </c>
      <c r="V135" s="16" t="str">
        <f t="shared" si="8"/>
        <v/>
      </c>
    </row>
    <row r="136" spans="17:22" x14ac:dyDescent="0.15">
      <c r="Q136" s="75" t="str">
        <f t="shared" si="6"/>
        <v/>
      </c>
      <c r="T136" s="16" t="str">
        <f t="shared" si="7"/>
        <v/>
      </c>
      <c r="V136" s="16" t="str">
        <f t="shared" si="8"/>
        <v/>
      </c>
    </row>
    <row r="137" spans="17:22" x14ac:dyDescent="0.15">
      <c r="Q137" s="75" t="str">
        <f t="shared" si="6"/>
        <v/>
      </c>
      <c r="T137" s="16" t="str">
        <f t="shared" si="7"/>
        <v/>
      </c>
      <c r="V137" s="16" t="str">
        <f t="shared" si="8"/>
        <v/>
      </c>
    </row>
    <row r="138" spans="17:22" x14ac:dyDescent="0.15">
      <c r="Q138" s="75" t="str">
        <f t="shared" si="6"/>
        <v/>
      </c>
      <c r="T138" s="16" t="str">
        <f t="shared" si="7"/>
        <v/>
      </c>
      <c r="V138" s="16" t="str">
        <f t="shared" si="8"/>
        <v/>
      </c>
    </row>
    <row r="139" spans="17:22" x14ac:dyDescent="0.15">
      <c r="Q139" s="75" t="str">
        <f t="shared" si="6"/>
        <v/>
      </c>
      <c r="T139" s="16" t="str">
        <f t="shared" si="7"/>
        <v/>
      </c>
      <c r="V139" s="16" t="str">
        <f t="shared" si="8"/>
        <v/>
      </c>
    </row>
    <row r="140" spans="17:22" x14ac:dyDescent="0.15">
      <c r="Q140" s="75" t="str">
        <f t="shared" si="6"/>
        <v/>
      </c>
      <c r="T140" s="16" t="str">
        <f t="shared" si="7"/>
        <v/>
      </c>
      <c r="V140" s="16" t="str">
        <f t="shared" si="8"/>
        <v/>
      </c>
    </row>
    <row r="141" spans="17:22" x14ac:dyDescent="0.15">
      <c r="Q141" s="75" t="str">
        <f t="shared" si="6"/>
        <v/>
      </c>
      <c r="T141" s="16" t="str">
        <f t="shared" si="7"/>
        <v/>
      </c>
      <c r="V141" s="16" t="str">
        <f t="shared" si="8"/>
        <v/>
      </c>
    </row>
    <row r="142" spans="17:22" x14ac:dyDescent="0.15">
      <c r="Q142" s="75" t="str">
        <f t="shared" si="6"/>
        <v/>
      </c>
      <c r="T142" s="16" t="str">
        <f t="shared" si="7"/>
        <v/>
      </c>
      <c r="V142" s="16" t="str">
        <f t="shared" si="8"/>
        <v/>
      </c>
    </row>
    <row r="143" spans="17:22" x14ac:dyDescent="0.15">
      <c r="Q143" s="75" t="str">
        <f t="shared" si="6"/>
        <v/>
      </c>
      <c r="T143" s="16" t="str">
        <f t="shared" si="7"/>
        <v/>
      </c>
      <c r="V143" s="16" t="str">
        <f t="shared" si="8"/>
        <v/>
      </c>
    </row>
    <row r="144" spans="17:22" x14ac:dyDescent="0.15">
      <c r="Q144" s="75" t="str">
        <f t="shared" si="6"/>
        <v/>
      </c>
      <c r="T144" s="16" t="str">
        <f t="shared" si="7"/>
        <v/>
      </c>
      <c r="V144" s="16" t="str">
        <f t="shared" si="8"/>
        <v/>
      </c>
    </row>
    <row r="145" spans="17:22" x14ac:dyDescent="0.15">
      <c r="Q145" s="75" t="str">
        <f t="shared" si="6"/>
        <v/>
      </c>
      <c r="T145" s="16" t="str">
        <f t="shared" si="7"/>
        <v/>
      </c>
      <c r="V145" s="16" t="str">
        <f t="shared" si="8"/>
        <v/>
      </c>
    </row>
    <row r="146" spans="17:22" x14ac:dyDescent="0.15">
      <c r="Q146" s="75" t="str">
        <f t="shared" si="6"/>
        <v/>
      </c>
      <c r="T146" s="16" t="str">
        <f t="shared" si="7"/>
        <v/>
      </c>
      <c r="V146" s="16" t="str">
        <f t="shared" si="8"/>
        <v/>
      </c>
    </row>
    <row r="147" spans="17:22" x14ac:dyDescent="0.15">
      <c r="Q147" s="75" t="str">
        <f t="shared" si="6"/>
        <v/>
      </c>
      <c r="T147" s="16" t="str">
        <f t="shared" si="7"/>
        <v/>
      </c>
      <c r="V147" s="16" t="str">
        <f t="shared" si="8"/>
        <v/>
      </c>
    </row>
    <row r="148" spans="17:22" x14ac:dyDescent="0.15">
      <c r="Q148" s="75" t="str">
        <f t="shared" si="6"/>
        <v/>
      </c>
      <c r="T148" s="16" t="str">
        <f t="shared" si="7"/>
        <v/>
      </c>
      <c r="V148" s="16" t="str">
        <f t="shared" si="8"/>
        <v/>
      </c>
    </row>
    <row r="149" spans="17:22" x14ac:dyDescent="0.15">
      <c r="Q149" s="75" t="str">
        <f t="shared" si="6"/>
        <v/>
      </c>
      <c r="T149" s="16" t="str">
        <f t="shared" si="7"/>
        <v/>
      </c>
      <c r="V149" s="16" t="str">
        <f t="shared" si="8"/>
        <v/>
      </c>
    </row>
    <row r="150" spans="17:22" x14ac:dyDescent="0.15">
      <c r="Q150" s="75" t="str">
        <f t="shared" si="6"/>
        <v/>
      </c>
      <c r="T150" s="16" t="str">
        <f t="shared" si="7"/>
        <v/>
      </c>
      <c r="V150" s="16" t="str">
        <f t="shared" si="8"/>
        <v/>
      </c>
    </row>
    <row r="151" spans="17:22" x14ac:dyDescent="0.15">
      <c r="Q151" s="75" t="str">
        <f t="shared" si="6"/>
        <v/>
      </c>
      <c r="T151" s="16" t="str">
        <f t="shared" si="7"/>
        <v/>
      </c>
      <c r="V151" s="16" t="str">
        <f t="shared" si="8"/>
        <v/>
      </c>
    </row>
    <row r="152" spans="17:22" x14ac:dyDescent="0.15">
      <c r="Q152" s="75" t="str">
        <f t="shared" si="6"/>
        <v/>
      </c>
      <c r="T152" s="16" t="str">
        <f t="shared" si="7"/>
        <v/>
      </c>
      <c r="V152" s="16" t="str">
        <f t="shared" si="8"/>
        <v/>
      </c>
    </row>
    <row r="153" spans="17:22" x14ac:dyDescent="0.15">
      <c r="Q153" s="75" t="str">
        <f t="shared" si="6"/>
        <v/>
      </c>
      <c r="T153" s="16" t="str">
        <f t="shared" si="7"/>
        <v/>
      </c>
      <c r="V153" s="16" t="str">
        <f t="shared" si="8"/>
        <v/>
      </c>
    </row>
    <row r="154" spans="17:22" x14ac:dyDescent="0.15">
      <c r="Q154" s="75" t="str">
        <f t="shared" si="6"/>
        <v/>
      </c>
      <c r="T154" s="16" t="str">
        <f t="shared" si="7"/>
        <v/>
      </c>
      <c r="V154" s="16" t="str">
        <f t="shared" si="8"/>
        <v/>
      </c>
    </row>
    <row r="155" spans="17:22" x14ac:dyDescent="0.15">
      <c r="Q155" s="75" t="str">
        <f t="shared" si="6"/>
        <v/>
      </c>
      <c r="T155" s="16" t="str">
        <f t="shared" si="7"/>
        <v/>
      </c>
      <c r="V155" s="16" t="str">
        <f t="shared" si="8"/>
        <v/>
      </c>
    </row>
    <row r="156" spans="17:22" x14ac:dyDescent="0.15">
      <c r="Q156" s="75" t="str">
        <f t="shared" si="6"/>
        <v/>
      </c>
      <c r="T156" s="16" t="str">
        <f t="shared" si="7"/>
        <v/>
      </c>
      <c r="V156" s="16" t="str">
        <f t="shared" si="8"/>
        <v/>
      </c>
    </row>
    <row r="157" spans="17:22" x14ac:dyDescent="0.15">
      <c r="Q157" s="75" t="str">
        <f t="shared" si="6"/>
        <v/>
      </c>
      <c r="T157" s="16" t="str">
        <f t="shared" si="7"/>
        <v/>
      </c>
      <c r="V157" s="16" t="str">
        <f t="shared" si="8"/>
        <v/>
      </c>
    </row>
    <row r="158" spans="17:22" x14ac:dyDescent="0.15">
      <c r="Q158" s="75" t="str">
        <f t="shared" si="6"/>
        <v/>
      </c>
      <c r="T158" s="16" t="str">
        <f t="shared" si="7"/>
        <v/>
      </c>
      <c r="V158" s="16" t="str">
        <f t="shared" si="8"/>
        <v/>
      </c>
    </row>
    <row r="159" spans="17:22" x14ac:dyDescent="0.15">
      <c r="Q159" s="75" t="str">
        <f t="shared" ref="Q159:Q222" si="9">IF(OR(O159="",P159=""),"",AVERAGE(O159,P159))</f>
        <v/>
      </c>
      <c r="T159" s="16" t="str">
        <f t="shared" ref="T159:T222" si="10">IF(H159="","",IF(OR(H159="GREEN",H159="GK"),IF(S159&gt;=$AX$2,VLOOKUP(S159,$AX$2:$AY$10,2,1),""),IF(S159&gt;=$AZ$2,VLOOKUP(S159,$AZ$2:$BA$10,2,1),"")))</f>
        <v/>
      </c>
      <c r="V159" s="16" t="str">
        <f t="shared" ref="V159:V222" si="11">IF(OR(N159="",U159="",T159=""),"",U159/N159*T159)</f>
        <v/>
      </c>
    </row>
    <row r="160" spans="17:22"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si="9"/>
        <v/>
      </c>
      <c r="T216" s="16" t="str">
        <f t="shared" si="10"/>
        <v/>
      </c>
      <c r="V216" s="16" t="str">
        <f t="shared" si="11"/>
        <v/>
      </c>
    </row>
    <row r="217" spans="17:22" x14ac:dyDescent="0.15">
      <c r="Q217" s="75" t="str">
        <f t="shared" si="9"/>
        <v/>
      </c>
      <c r="T217" s="16" t="str">
        <f t="shared" si="10"/>
        <v/>
      </c>
      <c r="V217" s="16" t="str">
        <f t="shared" si="11"/>
        <v/>
      </c>
    </row>
    <row r="218" spans="17:22" x14ac:dyDescent="0.15">
      <c r="Q218" s="75" t="str">
        <f t="shared" si="9"/>
        <v/>
      </c>
      <c r="T218" s="16" t="str">
        <f t="shared" si="10"/>
        <v/>
      </c>
      <c r="V218" s="16" t="str">
        <f t="shared" si="11"/>
        <v/>
      </c>
    </row>
    <row r="219" spans="17:22" x14ac:dyDescent="0.15">
      <c r="Q219" s="75" t="str">
        <f t="shared" si="9"/>
        <v/>
      </c>
      <c r="T219" s="16" t="str">
        <f t="shared" si="10"/>
        <v/>
      </c>
      <c r="V219" s="16" t="str">
        <f t="shared" si="11"/>
        <v/>
      </c>
    </row>
    <row r="220" spans="17:22" x14ac:dyDescent="0.15">
      <c r="Q220" s="75" t="str">
        <f t="shared" si="9"/>
        <v/>
      </c>
      <c r="T220" s="16" t="str">
        <f t="shared" si="10"/>
        <v/>
      </c>
      <c r="V220" s="16" t="str">
        <f t="shared" si="11"/>
        <v/>
      </c>
    </row>
    <row r="221" spans="17:22" x14ac:dyDescent="0.15">
      <c r="Q221" s="75" t="str">
        <f t="shared" si="9"/>
        <v/>
      </c>
      <c r="T221" s="16" t="str">
        <f t="shared" si="10"/>
        <v/>
      </c>
      <c r="V221" s="16" t="str">
        <f t="shared" si="11"/>
        <v/>
      </c>
    </row>
    <row r="222" spans="17:22" x14ac:dyDescent="0.15">
      <c r="Q222" s="75" t="str">
        <f t="shared" si="9"/>
        <v/>
      </c>
      <c r="T222" s="16" t="str">
        <f t="shared" si="10"/>
        <v/>
      </c>
      <c r="V222" s="16" t="str">
        <f t="shared" si="11"/>
        <v/>
      </c>
    </row>
    <row r="223" spans="17:22" x14ac:dyDescent="0.15">
      <c r="Q223" s="75" t="str">
        <f t="shared" ref="Q223:Q286" si="12">IF(OR(O223="",P223=""),"",AVERAGE(O223,P223))</f>
        <v/>
      </c>
      <c r="T223" s="16" t="str">
        <f t="shared" ref="T223:T286" si="13">IF(H223="","",IF(OR(H223="GREEN",H223="GK"),IF(S223&gt;=$AX$2,VLOOKUP(S223,$AX$2:$AY$10,2,1),""),IF(S223&gt;=$AZ$2,VLOOKUP(S223,$AZ$2:$BA$10,2,1),"")))</f>
        <v/>
      </c>
      <c r="V223" s="16" t="str">
        <f t="shared" ref="V223:V286" si="14">IF(OR(N223="",U223="",T223=""),"",U223/N223*T223)</f>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si="12"/>
        <v/>
      </c>
      <c r="T280" s="16" t="str">
        <f t="shared" si="13"/>
        <v/>
      </c>
      <c r="V280" s="16" t="str">
        <f t="shared" si="14"/>
        <v/>
      </c>
    </row>
    <row r="281" spans="17:22" x14ac:dyDescent="0.15">
      <c r="Q281" s="75" t="str">
        <f t="shared" si="12"/>
        <v/>
      </c>
      <c r="T281" s="16" t="str">
        <f t="shared" si="13"/>
        <v/>
      </c>
      <c r="V281" s="16" t="str">
        <f t="shared" si="14"/>
        <v/>
      </c>
    </row>
    <row r="282" spans="17:22" x14ac:dyDescent="0.15">
      <c r="Q282" s="75" t="str">
        <f t="shared" si="12"/>
        <v/>
      </c>
      <c r="T282" s="16" t="str">
        <f t="shared" si="13"/>
        <v/>
      </c>
      <c r="V282" s="16" t="str">
        <f t="shared" si="14"/>
        <v/>
      </c>
    </row>
    <row r="283" spans="17:22" x14ac:dyDescent="0.15">
      <c r="Q283" s="75" t="str">
        <f t="shared" si="12"/>
        <v/>
      </c>
      <c r="T283" s="16" t="str">
        <f t="shared" si="13"/>
        <v/>
      </c>
      <c r="V283" s="16" t="str">
        <f t="shared" si="14"/>
        <v/>
      </c>
    </row>
    <row r="284" spans="17:22" x14ac:dyDescent="0.15">
      <c r="T284" s="16" t="str">
        <f t="shared" si="13"/>
        <v/>
      </c>
      <c r="V284" s="16" t="str">
        <f t="shared" si="14"/>
        <v/>
      </c>
    </row>
    <row r="285" spans="17:22" x14ac:dyDescent="0.15">
      <c r="T285" s="16" t="str">
        <f t="shared" si="13"/>
        <v/>
      </c>
      <c r="V285" s="16" t="str">
        <f t="shared" si="14"/>
        <v/>
      </c>
    </row>
    <row r="286" spans="17:22" x14ac:dyDescent="0.15">
      <c r="T286" s="16" t="str">
        <f t="shared" si="13"/>
        <v/>
      </c>
      <c r="V286" s="16" t="str">
        <f t="shared" si="14"/>
        <v/>
      </c>
    </row>
    <row r="287" spans="17:22" x14ac:dyDescent="0.15">
      <c r="T287" s="16" t="str">
        <f t="shared" ref="T287:T345" si="15">IF(H287="","",IF(OR(H287="GREEN",H287="GK"),IF(S287&gt;=$AX$2,VLOOKUP(S287,$AX$2:$AY$10,2,1),""),IF(S287&gt;=$AZ$2,VLOOKUP(S287,$AZ$2:$BA$10,2,1),"")))</f>
        <v/>
      </c>
      <c r="V287" s="16" t="str">
        <f t="shared" ref="V287:V350" si="16">IF(OR(N287="",U287="",T287=""),"",U287/N287*T287)</f>
        <v/>
      </c>
    </row>
    <row r="288" spans="17:22" x14ac:dyDescent="0.15">
      <c r="T288" s="16" t="str">
        <f t="shared" si="15"/>
        <v/>
      </c>
      <c r="V288" s="16" t="str">
        <f t="shared" si="16"/>
        <v/>
      </c>
    </row>
    <row r="289" spans="20:22" x14ac:dyDescent="0.15">
      <c r="T289" s="16" t="str">
        <f t="shared" si="15"/>
        <v/>
      </c>
      <c r="V289" s="16" t="str">
        <f t="shared" si="16"/>
        <v/>
      </c>
    </row>
    <row r="290" spans="20:22" x14ac:dyDescent="0.15">
      <c r="T290" s="16" t="str">
        <f t="shared" si="15"/>
        <v/>
      </c>
      <c r="V290" s="16" t="str">
        <f t="shared" si="16"/>
        <v/>
      </c>
    </row>
    <row r="291" spans="20:22" x14ac:dyDescent="0.15">
      <c r="T291" s="16" t="str">
        <f t="shared" si="15"/>
        <v/>
      </c>
      <c r="V291" s="16" t="str">
        <f t="shared" si="16"/>
        <v/>
      </c>
    </row>
    <row r="292" spans="20:22" x14ac:dyDescent="0.15">
      <c r="T292" s="16" t="str">
        <f t="shared" si="15"/>
        <v/>
      </c>
    </row>
    <row r="293" spans="20:22" x14ac:dyDescent="0.15">
      <c r="T293" s="16" t="str">
        <f t="shared" si="15"/>
        <v/>
      </c>
    </row>
    <row r="294" spans="20:22" x14ac:dyDescent="0.15">
      <c r="T294" s="16" t="str">
        <f t="shared" si="15"/>
        <v/>
      </c>
    </row>
    <row r="295" spans="20:22" x14ac:dyDescent="0.15">
      <c r="T295" s="16" t="str">
        <f t="shared" si="15"/>
        <v/>
      </c>
    </row>
    <row r="296" spans="20:22" x14ac:dyDescent="0.15">
      <c r="T296" s="16" t="str">
        <f t="shared" si="15"/>
        <v/>
      </c>
    </row>
    <row r="297" spans="20:22" x14ac:dyDescent="0.15">
      <c r="T297" s="16" t="str">
        <f t="shared" si="15"/>
        <v/>
      </c>
    </row>
    <row r="298" spans="20:22" x14ac:dyDescent="0.15">
      <c r="T298" s="16" t="str">
        <f t="shared" si="15"/>
        <v/>
      </c>
    </row>
    <row r="299" spans="20:22" x14ac:dyDescent="0.15">
      <c r="T299" s="16" t="str">
        <f t="shared" si="15"/>
        <v/>
      </c>
    </row>
    <row r="300" spans="20:22" x14ac:dyDescent="0.15">
      <c r="T300" s="16" t="str">
        <f t="shared" si="15"/>
        <v/>
      </c>
    </row>
    <row r="301" spans="20:22" x14ac:dyDescent="0.15">
      <c r="T301" s="16" t="str">
        <f t="shared" si="15"/>
        <v/>
      </c>
    </row>
    <row r="302" spans="20:22" x14ac:dyDescent="0.15">
      <c r="T302" s="16" t="str">
        <f t="shared" si="15"/>
        <v/>
      </c>
    </row>
    <row r="303" spans="20:22" x14ac:dyDescent="0.15">
      <c r="T303" s="16" t="str">
        <f t="shared" si="15"/>
        <v/>
      </c>
    </row>
    <row r="304" spans="20:22" x14ac:dyDescent="0.15">
      <c r="T304" s="16" t="str">
        <f t="shared" si="15"/>
        <v/>
      </c>
    </row>
    <row r="305" spans="20:20" x14ac:dyDescent="0.15">
      <c r="T305" s="16" t="str">
        <f t="shared" si="15"/>
        <v/>
      </c>
    </row>
    <row r="306" spans="20:20" x14ac:dyDescent="0.15">
      <c r="T306" s="16" t="str">
        <f t="shared" si="15"/>
        <v/>
      </c>
    </row>
    <row r="307" spans="20:20" x14ac:dyDescent="0.15">
      <c r="T307" s="16" t="str">
        <f t="shared" si="15"/>
        <v/>
      </c>
    </row>
    <row r="308" spans="20:20" x14ac:dyDescent="0.15">
      <c r="T308" s="16" t="str">
        <f t="shared" si="15"/>
        <v/>
      </c>
    </row>
    <row r="309" spans="20:20" x14ac:dyDescent="0.15">
      <c r="T309" s="16" t="str">
        <f t="shared" si="15"/>
        <v/>
      </c>
    </row>
    <row r="310" spans="20:20" x14ac:dyDescent="0.15">
      <c r="T310" s="16" t="str">
        <f t="shared" si="15"/>
        <v/>
      </c>
    </row>
    <row r="311" spans="20:20" x14ac:dyDescent="0.15">
      <c r="T311" s="16" t="str">
        <f t="shared" si="15"/>
        <v/>
      </c>
    </row>
  </sheetData>
  <autoFilter ref="A1:BA311" xr:uid="{00000000-0009-0000-0000-000001000000}"/>
  <phoneticPr fontId="3"/>
  <dataValidations count="14">
    <dataValidation type="list" allowBlank="1" showInputMessage="1" showErrorMessage="1" sqref="X2:X267" xr:uid="{4765FCE7-8640-4327-A076-CD1470F83B73}">
      <formula1>$AT$2:$AT$3</formula1>
    </dataValidation>
    <dataValidation type="decimal" allowBlank="1" showInputMessage="1" showErrorMessage="1" error="硬度を正しく入力して下さい。" sqref="O2:P267" xr:uid="{5461B907-2B30-48AE-BF0F-8398B7994BF2}">
      <formula1>0</formula1>
      <formula2>7</formula2>
    </dataValidation>
    <dataValidation type="list" allowBlank="1" showInputMessage="1" showErrorMessage="1" sqref="H2:H267" xr:uid="{20D2296B-A73F-42A6-B386-1EC1F3412E3B}">
      <formula1>$AL$2:$AL$8</formula1>
    </dataValidation>
    <dataValidation type="list" allowBlank="1" showInputMessage="1" showErrorMessage="1" sqref="G2:G267" xr:uid="{FEFD3547-3DD9-46AE-B0D9-F8F35880D814}">
      <formula1>$AJ$2:$AJ$4</formula1>
    </dataValidation>
    <dataValidation type="list" allowBlank="1" showInputMessage="1" showErrorMessage="1" sqref="I2:I267" xr:uid="{05CE18E6-5BDD-40E2-B615-F2B48252BB23}">
      <formula1>$AN$5:$AN$6</formula1>
    </dataValidation>
    <dataValidation type="list" allowBlank="1" showInputMessage="1" showErrorMessage="1" sqref="E1:E65421" xr:uid="{57B121DA-3F16-49A2-B8FF-9E6AF794C1DF}">
      <formula1>$AG$2:$AG$11</formula1>
    </dataValidation>
    <dataValidation type="list" allowBlank="1" showInputMessage="1" showErrorMessage="1" sqref="J2:J267" xr:uid="{630125F2-3C00-4C07-99EA-653191034638}">
      <formula1>$AP$2:$AP$19</formula1>
    </dataValidation>
    <dataValidation type="list" allowBlank="1" showInputMessage="1" showErrorMessage="1" sqref="F1:F65421" xr:uid="{1C2E4B10-E67F-4A80-89D2-8D6C94510137}">
      <formula1>$AH$2:$AH$11</formula1>
    </dataValidation>
    <dataValidation type="list" allowBlank="1" showInputMessage="1" showErrorMessage="1" sqref="A2:A267" xr:uid="{FBC99849-E4C2-4092-92A7-171D778ACB82}">
      <formula1>$AE$2:$AE$16</formula1>
    </dataValidation>
    <dataValidation type="list" allowBlank="1" showInputMessage="1" showErrorMessage="1" sqref="Y2:AA91" xr:uid="{151459E9-134B-459E-9B92-0DB9830EA9C7}">
      <formula1>$AV$2:$AV$23</formula1>
    </dataValidation>
    <dataValidation type="list" allowBlank="1" showInputMessage="1" showErrorMessage="1" sqref="K2:K91" xr:uid="{2E3D211C-F628-42B7-B796-458FF4FD5B01}">
      <formula1>$AR$2:$AR$23</formula1>
    </dataValidation>
    <dataValidation allowBlank="1" showInputMessage="1" showErrorMessage="1" sqref="B2:B91" xr:uid="{871F1FCC-AAEA-4919-A421-A667B0A3EB65}"/>
    <dataValidation type="list" allowBlank="1" showInputMessage="1" showErrorMessage="1" sqref="Y92:AA267" xr:uid="{87D7B231-226D-4FB5-9455-24F825D0DD92}">
      <formula1>$AV$2:$AV$16</formula1>
    </dataValidation>
    <dataValidation type="list" allowBlank="1" showInputMessage="1" showErrorMessage="1" sqref="K92:K267" xr:uid="{E9B857CE-1DC2-4496-9522-7D4F857531B6}">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7D92-D71C-4BBC-A2C9-201C74CE6EAD}">
  <dimension ref="A1:BA82"/>
  <sheetViews>
    <sheetView zoomScale="85" zoomScaleNormal="85" workbookViewId="0">
      <selection activeCell="AC31" sqref="AC31"/>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165</v>
      </c>
      <c r="J2" s="53" t="s">
        <v>38</v>
      </c>
      <c r="K2" s="53" t="s">
        <v>161</v>
      </c>
      <c r="L2" s="53">
        <v>1</v>
      </c>
      <c r="N2" s="53">
        <v>1</v>
      </c>
      <c r="O2" s="53">
        <v>0.6</v>
      </c>
      <c r="P2" s="53">
        <v>0.55000000000000004</v>
      </c>
      <c r="Q2" s="75">
        <f t="shared" ref="Q2:Q58" si="0">IF(OR(O2="",P2=""),"",AVERAGE(O2,P2))</f>
        <v>0.57499999999999996</v>
      </c>
      <c r="R2" s="53">
        <v>14.2</v>
      </c>
      <c r="S2" s="53">
        <v>124</v>
      </c>
      <c r="T2" s="16">
        <f t="shared" ref="T2:T58" si="1">IF(H2="","",IF(OR(H2="GREEN",H2="GK"),IF(S2&gt;=$AX$2,VLOOKUP(S2,$AX$2:$AY$10,2,1),""),IF(S2&gt;=$AZ$2,VLOOKUP(S2,$AZ$2:$BA$10,2,1),"")))</f>
        <v>27</v>
      </c>
      <c r="U2" s="53">
        <v>161</v>
      </c>
      <c r="V2" s="16">
        <f t="shared" ref="V2:V58" si="2">IF(OR(N2="",U2="",T2=""),"",U2/N2*T2)</f>
        <v>4347</v>
      </c>
      <c r="W2" s="53">
        <v>2</v>
      </c>
      <c r="X2" s="53" t="s">
        <v>39</v>
      </c>
      <c r="Y2" s="53" t="s">
        <v>90</v>
      </c>
      <c r="Z2" s="53" t="s">
        <v>84</v>
      </c>
      <c r="AA2" s="53" t="s">
        <v>50</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165</v>
      </c>
      <c r="J3" s="53" t="s">
        <v>38</v>
      </c>
      <c r="K3" s="53" t="s">
        <v>161</v>
      </c>
      <c r="L3" s="53">
        <v>2</v>
      </c>
      <c r="N3" s="53">
        <v>1</v>
      </c>
      <c r="O3" s="53">
        <v>0.7</v>
      </c>
      <c r="P3" s="53">
        <v>0.8</v>
      </c>
      <c r="Q3" s="75">
        <f t="shared" si="0"/>
        <v>0.75</v>
      </c>
      <c r="R3" s="53">
        <v>15.6</v>
      </c>
      <c r="S3" s="53">
        <v>116</v>
      </c>
      <c r="T3" s="16">
        <f t="shared" si="1"/>
        <v>30</v>
      </c>
      <c r="U3" s="53">
        <v>161</v>
      </c>
      <c r="V3" s="16">
        <f t="shared" si="2"/>
        <v>4830</v>
      </c>
      <c r="W3" s="53">
        <v>2</v>
      </c>
      <c r="X3" s="53" t="s">
        <v>39</v>
      </c>
      <c r="Y3" s="53" t="s">
        <v>90</v>
      </c>
      <c r="Z3" s="53" t="s">
        <v>84</v>
      </c>
      <c r="AA3" s="53" t="s">
        <v>50</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165</v>
      </c>
      <c r="J4" s="53" t="s">
        <v>38</v>
      </c>
      <c r="K4" s="53" t="s">
        <v>161</v>
      </c>
      <c r="L4" s="53">
        <v>3</v>
      </c>
      <c r="N4" s="53">
        <v>1</v>
      </c>
      <c r="O4" s="53">
        <v>0.7</v>
      </c>
      <c r="P4" s="53">
        <v>0.7</v>
      </c>
      <c r="Q4" s="75">
        <f t="shared" si="0"/>
        <v>0.7</v>
      </c>
      <c r="R4" s="53">
        <v>15.4</v>
      </c>
      <c r="S4" s="53">
        <v>116</v>
      </c>
      <c r="T4" s="16">
        <f t="shared" si="1"/>
        <v>30</v>
      </c>
      <c r="U4" s="53">
        <v>161</v>
      </c>
      <c r="V4" s="16">
        <f t="shared" si="2"/>
        <v>4830</v>
      </c>
      <c r="W4" s="53">
        <v>2</v>
      </c>
      <c r="X4" s="53" t="s">
        <v>39</v>
      </c>
      <c r="Y4" s="53" t="s">
        <v>90</v>
      </c>
      <c r="Z4" s="53" t="s">
        <v>84</v>
      </c>
      <c r="AA4" s="53" t="s">
        <v>50</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244</v>
      </c>
      <c r="F5" s="53" t="s">
        <v>236</v>
      </c>
      <c r="G5" s="53" t="s">
        <v>42</v>
      </c>
      <c r="H5" s="53" t="s">
        <v>164</v>
      </c>
      <c r="I5" s="53" t="s">
        <v>159</v>
      </c>
      <c r="J5" s="53" t="s">
        <v>38</v>
      </c>
      <c r="K5" s="53" t="s">
        <v>161</v>
      </c>
      <c r="L5" s="53">
        <v>1</v>
      </c>
      <c r="N5" s="53">
        <v>6</v>
      </c>
      <c r="O5" s="53">
        <v>0.65</v>
      </c>
      <c r="P5" s="53">
        <v>0.7</v>
      </c>
      <c r="Q5" s="75">
        <f t="shared" si="0"/>
        <v>0.67500000000000004</v>
      </c>
      <c r="R5" s="53">
        <v>13.2</v>
      </c>
      <c r="S5" s="53">
        <v>99</v>
      </c>
      <c r="T5" s="16">
        <f t="shared" si="1"/>
        <v>33</v>
      </c>
      <c r="U5" s="53">
        <v>518</v>
      </c>
      <c r="V5" s="16">
        <f t="shared" si="2"/>
        <v>2849</v>
      </c>
      <c r="W5" s="53">
        <v>6</v>
      </c>
      <c r="X5" s="53" t="s">
        <v>46</v>
      </c>
      <c r="Y5" s="53" t="s">
        <v>84</v>
      </c>
      <c r="Z5" s="53" t="s">
        <v>50</v>
      </c>
      <c r="AA5" s="53" t="s">
        <v>90</v>
      </c>
      <c r="AB5" s="53" t="s">
        <v>237</v>
      </c>
      <c r="AE5" s="22" t="s">
        <v>51</v>
      </c>
      <c r="AG5" s="23" t="s">
        <v>245</v>
      </c>
      <c r="AH5" s="82" t="s">
        <v>246</v>
      </c>
      <c r="AJ5" s="28"/>
      <c r="AL5" s="73" t="s">
        <v>66</v>
      </c>
      <c r="AN5" s="73" t="s">
        <v>52</v>
      </c>
      <c r="AP5" s="23" t="s">
        <v>247</v>
      </c>
      <c r="AR5" s="23" t="s">
        <v>54</v>
      </c>
      <c r="AV5" s="23" t="s">
        <v>55</v>
      </c>
      <c r="AX5" s="24">
        <v>84</v>
      </c>
      <c r="AY5" s="25">
        <v>39</v>
      </c>
      <c r="AZ5" s="25">
        <v>84</v>
      </c>
      <c r="BA5" s="26">
        <v>36</v>
      </c>
    </row>
    <row r="6" spans="1:53" x14ac:dyDescent="0.15">
      <c r="A6" s="53" t="s">
        <v>56</v>
      </c>
      <c r="B6" s="53" t="s">
        <v>233</v>
      </c>
      <c r="C6" s="53">
        <v>2019</v>
      </c>
      <c r="D6" s="81" t="s">
        <v>234</v>
      </c>
      <c r="E6" s="53" t="s">
        <v>244</v>
      </c>
      <c r="F6" s="53" t="s">
        <v>236</v>
      </c>
      <c r="G6" s="53" t="s">
        <v>42</v>
      </c>
      <c r="H6" s="53" t="s">
        <v>164</v>
      </c>
      <c r="I6" s="53" t="s">
        <v>159</v>
      </c>
      <c r="J6" s="53" t="s">
        <v>38</v>
      </c>
      <c r="K6" s="53" t="s">
        <v>161</v>
      </c>
      <c r="L6" s="53">
        <v>2</v>
      </c>
      <c r="N6" s="53">
        <v>6</v>
      </c>
      <c r="O6" s="53">
        <v>0.6</v>
      </c>
      <c r="P6" s="53">
        <v>0.6</v>
      </c>
      <c r="Q6" s="75">
        <f t="shared" si="0"/>
        <v>0.6</v>
      </c>
      <c r="R6" s="53">
        <v>13.6</v>
      </c>
      <c r="S6" s="53">
        <v>102</v>
      </c>
      <c r="T6" s="16">
        <f t="shared" si="1"/>
        <v>33</v>
      </c>
      <c r="U6" s="53">
        <v>518</v>
      </c>
      <c r="V6" s="16">
        <f t="shared" si="2"/>
        <v>2849</v>
      </c>
      <c r="W6" s="53">
        <v>6</v>
      </c>
      <c r="X6" s="53" t="s">
        <v>46</v>
      </c>
      <c r="Y6" s="53" t="s">
        <v>84</v>
      </c>
      <c r="Z6" s="53" t="s">
        <v>50</v>
      </c>
      <c r="AA6" s="53" t="s">
        <v>90</v>
      </c>
      <c r="AB6" s="53" t="s">
        <v>237</v>
      </c>
      <c r="AE6" s="22" t="s">
        <v>56</v>
      </c>
      <c r="AG6" s="23" t="s">
        <v>248</v>
      </c>
      <c r="AH6" s="82" t="s">
        <v>246</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244</v>
      </c>
      <c r="F7" s="53" t="s">
        <v>236</v>
      </c>
      <c r="G7" s="53" t="s">
        <v>42</v>
      </c>
      <c r="H7" s="53" t="s">
        <v>164</v>
      </c>
      <c r="I7" s="53" t="s">
        <v>159</v>
      </c>
      <c r="J7" s="53" t="s">
        <v>38</v>
      </c>
      <c r="K7" s="53" t="s">
        <v>161</v>
      </c>
      <c r="L7" s="53">
        <v>3</v>
      </c>
      <c r="N7" s="53">
        <v>6</v>
      </c>
      <c r="O7" s="53">
        <v>0.55000000000000004</v>
      </c>
      <c r="P7" s="53">
        <v>0.55000000000000004</v>
      </c>
      <c r="Q7" s="75">
        <f t="shared" si="0"/>
        <v>0.55000000000000004</v>
      </c>
      <c r="R7" s="53">
        <v>13.9</v>
      </c>
      <c r="S7" s="53">
        <v>92</v>
      </c>
      <c r="T7" s="16">
        <f t="shared" si="1"/>
        <v>36</v>
      </c>
      <c r="U7" s="53">
        <v>518</v>
      </c>
      <c r="V7" s="16">
        <f t="shared" si="2"/>
        <v>3108</v>
      </c>
      <c r="W7" s="53">
        <v>6</v>
      </c>
      <c r="X7" s="53" t="s">
        <v>46</v>
      </c>
      <c r="Y7" s="53" t="s">
        <v>84</v>
      </c>
      <c r="Z7" s="53" t="s">
        <v>50</v>
      </c>
      <c r="AA7" s="53" t="s">
        <v>90</v>
      </c>
      <c r="AB7" s="53" t="s">
        <v>237</v>
      </c>
      <c r="AE7" s="22" t="s">
        <v>61</v>
      </c>
      <c r="AG7" s="23" t="s">
        <v>249</v>
      </c>
      <c r="AH7" s="82" t="s">
        <v>250</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244</v>
      </c>
      <c r="F8" s="53" t="s">
        <v>236</v>
      </c>
      <c r="G8" s="53" t="s">
        <v>42</v>
      </c>
      <c r="H8" s="53" t="s">
        <v>160</v>
      </c>
      <c r="I8" s="53" t="s">
        <v>159</v>
      </c>
      <c r="J8" s="53" t="s">
        <v>38</v>
      </c>
      <c r="K8" s="53" t="s">
        <v>161</v>
      </c>
      <c r="L8" s="53">
        <v>1</v>
      </c>
      <c r="N8" s="53">
        <v>5</v>
      </c>
      <c r="O8" s="53">
        <v>0.5</v>
      </c>
      <c r="P8" s="53">
        <v>0.5</v>
      </c>
      <c r="Q8" s="75">
        <f t="shared" si="0"/>
        <v>0.5</v>
      </c>
      <c r="R8" s="53">
        <v>15.1</v>
      </c>
      <c r="S8" s="53">
        <v>95</v>
      </c>
      <c r="T8" s="16">
        <f t="shared" si="1"/>
        <v>36</v>
      </c>
      <c r="U8" s="53">
        <v>538</v>
      </c>
      <c r="V8" s="16">
        <f t="shared" si="2"/>
        <v>3873.6</v>
      </c>
      <c r="W8" s="53">
        <v>4</v>
      </c>
      <c r="X8" s="53" t="s">
        <v>46</v>
      </c>
      <c r="Y8" s="53" t="s">
        <v>84</v>
      </c>
      <c r="Z8" s="53" t="s">
        <v>50</v>
      </c>
      <c r="AA8" s="53" t="s">
        <v>90</v>
      </c>
      <c r="AB8" s="53" t="s">
        <v>237</v>
      </c>
      <c r="AE8" s="22" t="s">
        <v>59</v>
      </c>
      <c r="AG8" s="23" t="s">
        <v>251</v>
      </c>
      <c r="AH8" s="82" t="s">
        <v>250</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244</v>
      </c>
      <c r="F9" s="53" t="s">
        <v>236</v>
      </c>
      <c r="G9" s="53" t="s">
        <v>42</v>
      </c>
      <c r="H9" s="53" t="s">
        <v>160</v>
      </c>
      <c r="I9" s="53" t="s">
        <v>159</v>
      </c>
      <c r="J9" s="53" t="s">
        <v>38</v>
      </c>
      <c r="K9" s="53" t="s">
        <v>161</v>
      </c>
      <c r="L9" s="53">
        <v>2</v>
      </c>
      <c r="N9" s="53">
        <v>5</v>
      </c>
      <c r="O9" s="53">
        <v>0.5</v>
      </c>
      <c r="P9" s="53">
        <v>0.5</v>
      </c>
      <c r="Q9" s="75">
        <f t="shared" si="0"/>
        <v>0.5</v>
      </c>
      <c r="R9" s="53">
        <v>13.6</v>
      </c>
      <c r="S9" s="53">
        <v>102</v>
      </c>
      <c r="T9" s="16">
        <f t="shared" si="1"/>
        <v>33</v>
      </c>
      <c r="U9" s="53">
        <v>538</v>
      </c>
      <c r="V9" s="16">
        <f t="shared" si="2"/>
        <v>3550.7999999999997</v>
      </c>
      <c r="W9" s="53">
        <v>4</v>
      </c>
      <c r="X9" s="53" t="s">
        <v>46</v>
      </c>
      <c r="Y9" s="53" t="s">
        <v>84</v>
      </c>
      <c r="Z9" s="53" t="s">
        <v>50</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244</v>
      </c>
      <c r="F10" s="53" t="s">
        <v>236</v>
      </c>
      <c r="G10" s="53" t="s">
        <v>42</v>
      </c>
      <c r="H10" s="53" t="s">
        <v>160</v>
      </c>
      <c r="I10" s="53" t="s">
        <v>159</v>
      </c>
      <c r="J10" s="53" t="s">
        <v>38</v>
      </c>
      <c r="K10" s="53" t="s">
        <v>161</v>
      </c>
      <c r="L10" s="53">
        <v>3</v>
      </c>
      <c r="N10" s="53">
        <v>5</v>
      </c>
      <c r="O10" s="53">
        <v>0.6</v>
      </c>
      <c r="P10" s="53">
        <v>0.6</v>
      </c>
      <c r="Q10" s="75">
        <f t="shared" si="0"/>
        <v>0.6</v>
      </c>
      <c r="R10" s="53">
        <v>15.7</v>
      </c>
      <c r="S10" s="53">
        <v>92</v>
      </c>
      <c r="T10" s="16">
        <f t="shared" si="1"/>
        <v>36</v>
      </c>
      <c r="U10" s="53">
        <v>538</v>
      </c>
      <c r="V10" s="16">
        <f t="shared" si="2"/>
        <v>3873.6</v>
      </c>
      <c r="W10" s="53">
        <v>4</v>
      </c>
      <c r="X10" s="53" t="s">
        <v>46</v>
      </c>
      <c r="Y10" s="53" t="s">
        <v>84</v>
      </c>
      <c r="Z10" s="53" t="s">
        <v>50</v>
      </c>
      <c r="AA10" s="53" t="s">
        <v>90</v>
      </c>
      <c r="AB10" s="53" t="s">
        <v>237</v>
      </c>
      <c r="AE10" s="22" t="s">
        <v>103</v>
      </c>
      <c r="AG10" s="23" t="s">
        <v>249</v>
      </c>
      <c r="AH10" s="82" t="s">
        <v>246</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162</v>
      </c>
      <c r="F11" s="53" t="s">
        <v>252</v>
      </c>
      <c r="G11" s="53" t="s">
        <v>42</v>
      </c>
      <c r="H11" s="53" t="s">
        <v>164</v>
      </c>
      <c r="I11" s="53" t="s">
        <v>159</v>
      </c>
      <c r="J11" s="53" t="s">
        <v>38</v>
      </c>
      <c r="K11" s="53" t="s">
        <v>161</v>
      </c>
      <c r="L11" s="53">
        <v>1</v>
      </c>
      <c r="N11" s="53">
        <v>1</v>
      </c>
      <c r="O11" s="53">
        <v>0.95</v>
      </c>
      <c r="P11" s="53">
        <v>0.95</v>
      </c>
      <c r="Q11" s="75">
        <f t="shared" si="0"/>
        <v>0.95</v>
      </c>
      <c r="R11" s="53">
        <v>16.8</v>
      </c>
      <c r="S11" s="53">
        <v>130</v>
      </c>
      <c r="T11" s="16">
        <f t="shared" si="1"/>
        <v>25</v>
      </c>
      <c r="U11" s="53">
        <v>106</v>
      </c>
      <c r="V11" s="16">
        <f t="shared" si="2"/>
        <v>2650</v>
      </c>
      <c r="W11" s="53">
        <v>4</v>
      </c>
      <c r="X11" s="53" t="s">
        <v>46</v>
      </c>
      <c r="Y11" s="53" t="s">
        <v>50</v>
      </c>
      <c r="Z11" s="53" t="s">
        <v>84</v>
      </c>
      <c r="AA11" s="53" t="s">
        <v>90</v>
      </c>
      <c r="AB11" s="53" t="s">
        <v>237</v>
      </c>
      <c r="AE11" s="22" t="s">
        <v>65</v>
      </c>
      <c r="AG11" s="23" t="s">
        <v>248</v>
      </c>
      <c r="AH11" s="82" t="s">
        <v>246</v>
      </c>
      <c r="AJ11" s="83"/>
      <c r="AP11" s="23" t="s">
        <v>104</v>
      </c>
      <c r="AR11" s="23" t="s">
        <v>87</v>
      </c>
      <c r="AV11" s="23" t="s">
        <v>69</v>
      </c>
    </row>
    <row r="12" spans="1:53" x14ac:dyDescent="0.15">
      <c r="A12" s="53" t="s">
        <v>56</v>
      </c>
      <c r="B12" s="53" t="s">
        <v>233</v>
      </c>
      <c r="C12" s="53">
        <v>2019</v>
      </c>
      <c r="D12" s="81" t="s">
        <v>234</v>
      </c>
      <c r="E12" s="53" t="s">
        <v>162</v>
      </c>
      <c r="F12" s="53" t="s">
        <v>252</v>
      </c>
      <c r="G12" s="53" t="s">
        <v>42</v>
      </c>
      <c r="H12" s="53" t="s">
        <v>164</v>
      </c>
      <c r="I12" s="53" t="s">
        <v>159</v>
      </c>
      <c r="J12" s="53" t="s">
        <v>38</v>
      </c>
      <c r="K12" s="53" t="s">
        <v>161</v>
      </c>
      <c r="L12" s="53">
        <v>2</v>
      </c>
      <c r="N12" s="53">
        <v>1</v>
      </c>
      <c r="O12" s="53">
        <v>0.65</v>
      </c>
      <c r="P12" s="53">
        <v>0.5</v>
      </c>
      <c r="Q12" s="75">
        <f t="shared" si="0"/>
        <v>0.57499999999999996</v>
      </c>
      <c r="R12" s="53">
        <v>14.5</v>
      </c>
      <c r="S12" s="53">
        <v>127</v>
      </c>
      <c r="T12" s="16">
        <f t="shared" si="1"/>
        <v>27</v>
      </c>
      <c r="U12" s="53">
        <v>106</v>
      </c>
      <c r="V12" s="16">
        <f t="shared" si="2"/>
        <v>2862</v>
      </c>
      <c r="W12" s="53">
        <v>4</v>
      </c>
      <c r="X12" s="53" t="s">
        <v>46</v>
      </c>
      <c r="Y12" s="53" t="s">
        <v>50</v>
      </c>
      <c r="Z12" s="53" t="s">
        <v>84</v>
      </c>
      <c r="AA12" s="53" t="s">
        <v>90</v>
      </c>
      <c r="AB12" s="53" t="s">
        <v>237</v>
      </c>
      <c r="AE12" s="22" t="s">
        <v>70</v>
      </c>
      <c r="AG12" s="23" t="s">
        <v>240</v>
      </c>
      <c r="AH12" s="82" t="s">
        <v>246</v>
      </c>
      <c r="AJ12" s="83"/>
      <c r="AP12" s="23" t="s">
        <v>67</v>
      </c>
      <c r="AR12" s="23" t="s">
        <v>124</v>
      </c>
      <c r="AV12" s="23" t="s">
        <v>72</v>
      </c>
    </row>
    <row r="13" spans="1:53" x14ac:dyDescent="0.15">
      <c r="A13" s="53" t="s">
        <v>56</v>
      </c>
      <c r="B13" s="53" t="s">
        <v>233</v>
      </c>
      <c r="C13" s="53">
        <v>2019</v>
      </c>
      <c r="D13" s="81" t="s">
        <v>234</v>
      </c>
      <c r="E13" s="53" t="s">
        <v>162</v>
      </c>
      <c r="F13" s="53" t="s">
        <v>252</v>
      </c>
      <c r="G13" s="53" t="s">
        <v>42</v>
      </c>
      <c r="H13" s="53" t="s">
        <v>164</v>
      </c>
      <c r="I13" s="53" t="s">
        <v>159</v>
      </c>
      <c r="J13" s="53" t="s">
        <v>38</v>
      </c>
      <c r="K13" s="53" t="s">
        <v>161</v>
      </c>
      <c r="L13" s="53">
        <v>3</v>
      </c>
      <c r="N13" s="53">
        <v>1</v>
      </c>
      <c r="O13" s="53">
        <v>1</v>
      </c>
      <c r="P13" s="53">
        <v>0.95</v>
      </c>
      <c r="Q13" s="75">
        <f t="shared" si="0"/>
        <v>0.97499999999999998</v>
      </c>
      <c r="R13" s="53">
        <v>14.3</v>
      </c>
      <c r="S13" s="53">
        <v>126</v>
      </c>
      <c r="T13" s="16">
        <f t="shared" si="1"/>
        <v>27</v>
      </c>
      <c r="U13" s="53">
        <v>106</v>
      </c>
      <c r="V13" s="16">
        <f t="shared" si="2"/>
        <v>2862</v>
      </c>
      <c r="W13" s="53">
        <v>4</v>
      </c>
      <c r="X13" s="53" t="s">
        <v>46</v>
      </c>
      <c r="Y13" s="53" t="s">
        <v>50</v>
      </c>
      <c r="Z13" s="53" t="s">
        <v>84</v>
      </c>
      <c r="AA13" s="53" t="s">
        <v>90</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160</v>
      </c>
      <c r="I14" s="53" t="s">
        <v>159</v>
      </c>
      <c r="J14" s="53" t="s">
        <v>38</v>
      </c>
      <c r="K14" s="53" t="s">
        <v>161</v>
      </c>
      <c r="L14" s="53">
        <v>1</v>
      </c>
      <c r="N14" s="53">
        <v>1</v>
      </c>
      <c r="O14" s="53">
        <v>0.75</v>
      </c>
      <c r="P14" s="53">
        <v>0.75</v>
      </c>
      <c r="Q14" s="75">
        <f t="shared" si="0"/>
        <v>0.75</v>
      </c>
      <c r="R14" s="53">
        <v>13.3</v>
      </c>
      <c r="S14" s="53">
        <v>102</v>
      </c>
      <c r="T14" s="16">
        <f t="shared" si="1"/>
        <v>33</v>
      </c>
      <c r="U14" s="53">
        <v>138</v>
      </c>
      <c r="V14" s="16">
        <f t="shared" si="2"/>
        <v>4554</v>
      </c>
      <c r="W14" s="53">
        <v>2</v>
      </c>
      <c r="X14" s="53" t="s">
        <v>46</v>
      </c>
      <c r="Y14" s="53" t="s">
        <v>50</v>
      </c>
      <c r="Z14" s="53" t="s">
        <v>84</v>
      </c>
      <c r="AA14" s="53" t="s">
        <v>90</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160</v>
      </c>
      <c r="I15" s="53" t="s">
        <v>159</v>
      </c>
      <c r="J15" s="53" t="s">
        <v>38</v>
      </c>
      <c r="K15" s="53" t="s">
        <v>161</v>
      </c>
      <c r="L15" s="53">
        <v>2</v>
      </c>
      <c r="N15" s="53">
        <v>1</v>
      </c>
      <c r="O15" s="53">
        <v>0.75</v>
      </c>
      <c r="P15" s="53">
        <v>0.75</v>
      </c>
      <c r="Q15" s="75">
        <f t="shared" si="0"/>
        <v>0.75</v>
      </c>
      <c r="R15" s="53">
        <v>14.6</v>
      </c>
      <c r="S15" s="53">
        <v>102</v>
      </c>
      <c r="T15" s="16">
        <f t="shared" si="1"/>
        <v>33</v>
      </c>
      <c r="U15" s="53">
        <v>138</v>
      </c>
      <c r="V15" s="16">
        <f t="shared" si="2"/>
        <v>4554</v>
      </c>
      <c r="W15" s="53">
        <v>2</v>
      </c>
      <c r="X15" s="53" t="s">
        <v>46</v>
      </c>
      <c r="Y15" s="53" t="s">
        <v>50</v>
      </c>
      <c r="Z15" s="53" t="s">
        <v>84</v>
      </c>
      <c r="AA15" s="53" t="s">
        <v>90</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160</v>
      </c>
      <c r="I16" s="53" t="s">
        <v>159</v>
      </c>
      <c r="J16" s="53" t="s">
        <v>38</v>
      </c>
      <c r="K16" s="53" t="s">
        <v>161</v>
      </c>
      <c r="L16" s="53">
        <v>3</v>
      </c>
      <c r="N16" s="53">
        <v>1</v>
      </c>
      <c r="O16" s="53">
        <v>0.6</v>
      </c>
      <c r="P16" s="53">
        <v>0.55000000000000004</v>
      </c>
      <c r="Q16" s="75">
        <f t="shared" si="0"/>
        <v>0.57499999999999996</v>
      </c>
      <c r="R16" s="53">
        <v>13.7</v>
      </c>
      <c r="S16" s="53">
        <v>92</v>
      </c>
      <c r="T16" s="16">
        <f t="shared" si="1"/>
        <v>36</v>
      </c>
      <c r="U16" s="53">
        <v>138</v>
      </c>
      <c r="V16" s="16">
        <f t="shared" si="2"/>
        <v>4968</v>
      </c>
      <c r="W16" s="53">
        <v>2</v>
      </c>
      <c r="X16" s="53" t="s">
        <v>46</v>
      </c>
      <c r="Y16" s="53" t="s">
        <v>50</v>
      </c>
      <c r="Z16" s="53" t="s">
        <v>84</v>
      </c>
      <c r="AA16" s="53" t="s">
        <v>90</v>
      </c>
      <c r="AB16" s="53" t="s">
        <v>237</v>
      </c>
      <c r="AE16" s="22" t="s">
        <v>82</v>
      </c>
      <c r="AP16" s="23" t="s">
        <v>80</v>
      </c>
      <c r="AR16" s="23" t="s">
        <v>63</v>
      </c>
      <c r="AV16" s="23" t="s">
        <v>84</v>
      </c>
    </row>
    <row r="17" spans="1:48" x14ac:dyDescent="0.15">
      <c r="A17" s="53" t="s">
        <v>56</v>
      </c>
      <c r="B17" s="53" t="s">
        <v>233</v>
      </c>
      <c r="C17" s="53">
        <v>2019</v>
      </c>
      <c r="D17" s="81" t="s">
        <v>234</v>
      </c>
      <c r="E17" s="53" t="s">
        <v>253</v>
      </c>
      <c r="F17" s="53" t="s">
        <v>254</v>
      </c>
      <c r="G17" s="53" t="s">
        <v>42</v>
      </c>
      <c r="H17" s="53" t="s">
        <v>164</v>
      </c>
      <c r="I17" s="53" t="s">
        <v>159</v>
      </c>
      <c r="J17" s="53" t="s">
        <v>38</v>
      </c>
      <c r="K17" s="53" t="s">
        <v>161</v>
      </c>
      <c r="L17" s="53">
        <v>1</v>
      </c>
      <c r="N17" s="53">
        <v>5</v>
      </c>
      <c r="O17" s="53">
        <v>0.55000000000000004</v>
      </c>
      <c r="P17" s="53">
        <v>0.55000000000000004</v>
      </c>
      <c r="Q17" s="75">
        <f t="shared" si="0"/>
        <v>0.55000000000000004</v>
      </c>
      <c r="R17" s="53">
        <v>14.5</v>
      </c>
      <c r="S17" s="53">
        <v>100</v>
      </c>
      <c r="T17" s="16">
        <f t="shared" si="1"/>
        <v>33</v>
      </c>
      <c r="U17" s="53">
        <v>430</v>
      </c>
      <c r="V17" s="16">
        <f t="shared" si="2"/>
        <v>2838</v>
      </c>
      <c r="W17" s="53">
        <v>2</v>
      </c>
      <c r="X17" s="53" t="s">
        <v>46</v>
      </c>
      <c r="Y17" s="53" t="s">
        <v>84</v>
      </c>
      <c r="Z17" s="53" t="s">
        <v>50</v>
      </c>
      <c r="AA17" s="53" t="s">
        <v>90</v>
      </c>
      <c r="AB17" s="53" t="s">
        <v>237</v>
      </c>
      <c r="AE17" s="22" t="s">
        <v>85</v>
      </c>
      <c r="AP17" s="27" t="s">
        <v>110</v>
      </c>
      <c r="AR17" s="23" t="s">
        <v>96</v>
      </c>
      <c r="AV17" s="23" t="s">
        <v>86</v>
      </c>
    </row>
    <row r="18" spans="1:48" x14ac:dyDescent="0.15">
      <c r="A18" s="53" t="s">
        <v>56</v>
      </c>
      <c r="B18" s="53" t="s">
        <v>233</v>
      </c>
      <c r="C18" s="53">
        <v>2019</v>
      </c>
      <c r="D18" s="81" t="s">
        <v>234</v>
      </c>
      <c r="E18" s="53" t="s">
        <v>253</v>
      </c>
      <c r="F18" s="53" t="s">
        <v>254</v>
      </c>
      <c r="G18" s="53" t="s">
        <v>42</v>
      </c>
      <c r="H18" s="53" t="s">
        <v>164</v>
      </c>
      <c r="I18" s="53" t="s">
        <v>159</v>
      </c>
      <c r="J18" s="53" t="s">
        <v>38</v>
      </c>
      <c r="K18" s="53" t="s">
        <v>161</v>
      </c>
      <c r="L18" s="53">
        <v>2</v>
      </c>
      <c r="N18" s="53">
        <v>5</v>
      </c>
      <c r="O18" s="53">
        <v>0.5</v>
      </c>
      <c r="P18" s="53">
        <v>0.5</v>
      </c>
      <c r="Q18" s="75">
        <f t="shared" si="0"/>
        <v>0.5</v>
      </c>
      <c r="R18" s="53">
        <v>14.6</v>
      </c>
      <c r="S18" s="53">
        <v>101</v>
      </c>
      <c r="T18" s="16">
        <f t="shared" si="1"/>
        <v>33</v>
      </c>
      <c r="U18" s="53">
        <v>430</v>
      </c>
      <c r="V18" s="16">
        <f t="shared" si="2"/>
        <v>2838</v>
      </c>
      <c r="W18" s="53">
        <v>2</v>
      </c>
      <c r="X18" s="53" t="s">
        <v>46</v>
      </c>
      <c r="Y18" s="53" t="s">
        <v>84</v>
      </c>
      <c r="Z18" s="53" t="s">
        <v>50</v>
      </c>
      <c r="AA18" s="53" t="s">
        <v>90</v>
      </c>
      <c r="AB18" s="53" t="s">
        <v>237</v>
      </c>
      <c r="AE18" s="22" t="s">
        <v>87</v>
      </c>
      <c r="AP18" s="27" t="s">
        <v>111</v>
      </c>
      <c r="AR18" s="23" t="s">
        <v>101</v>
      </c>
      <c r="AV18" s="23" t="s">
        <v>88</v>
      </c>
    </row>
    <row r="19" spans="1:48" x14ac:dyDescent="0.15">
      <c r="A19" s="53" t="s">
        <v>56</v>
      </c>
      <c r="B19" s="53" t="s">
        <v>233</v>
      </c>
      <c r="C19" s="53">
        <v>2019</v>
      </c>
      <c r="D19" s="81" t="s">
        <v>234</v>
      </c>
      <c r="E19" s="53" t="s">
        <v>253</v>
      </c>
      <c r="F19" s="53" t="s">
        <v>254</v>
      </c>
      <c r="G19" s="53" t="s">
        <v>42</v>
      </c>
      <c r="H19" s="53" t="s">
        <v>164</v>
      </c>
      <c r="I19" s="53" t="s">
        <v>159</v>
      </c>
      <c r="J19" s="53" t="s">
        <v>38</v>
      </c>
      <c r="K19" s="53" t="s">
        <v>161</v>
      </c>
      <c r="L19" s="53">
        <v>3</v>
      </c>
      <c r="N19" s="53">
        <v>5</v>
      </c>
      <c r="O19" s="53">
        <v>0.6</v>
      </c>
      <c r="P19" s="53">
        <v>0.6</v>
      </c>
      <c r="Q19" s="75">
        <f t="shared" si="0"/>
        <v>0.6</v>
      </c>
      <c r="R19" s="53">
        <v>13.5</v>
      </c>
      <c r="S19" s="53">
        <v>91</v>
      </c>
      <c r="T19" s="16">
        <f t="shared" si="1"/>
        <v>36</v>
      </c>
      <c r="U19" s="53">
        <v>430</v>
      </c>
      <c r="V19" s="16">
        <f t="shared" si="2"/>
        <v>3096</v>
      </c>
      <c r="W19" s="53">
        <v>2</v>
      </c>
      <c r="X19" s="53" t="s">
        <v>46</v>
      </c>
      <c r="Y19" s="53" t="s">
        <v>84</v>
      </c>
      <c r="Z19" s="53" t="s">
        <v>50</v>
      </c>
      <c r="AA19" s="53" t="s">
        <v>90</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160</v>
      </c>
      <c r="I20" s="53" t="s">
        <v>159</v>
      </c>
      <c r="J20" s="53" t="s">
        <v>38</v>
      </c>
      <c r="K20" s="53" t="s">
        <v>161</v>
      </c>
      <c r="L20" s="53">
        <v>1</v>
      </c>
      <c r="N20" s="53">
        <v>5</v>
      </c>
      <c r="O20" s="53">
        <v>0.75</v>
      </c>
      <c r="P20" s="53">
        <v>0.65</v>
      </c>
      <c r="Q20" s="75">
        <f t="shared" si="0"/>
        <v>0.7</v>
      </c>
      <c r="R20" s="53">
        <v>14.8</v>
      </c>
      <c r="S20" s="53">
        <v>104</v>
      </c>
      <c r="T20" s="16">
        <f t="shared" si="1"/>
        <v>33</v>
      </c>
      <c r="U20" s="53">
        <v>646</v>
      </c>
      <c r="V20" s="16">
        <f t="shared" si="2"/>
        <v>4263.5999999999995</v>
      </c>
      <c r="W20" s="53">
        <v>2</v>
      </c>
      <c r="X20" s="53" t="s">
        <v>46</v>
      </c>
      <c r="Y20" s="53" t="s">
        <v>84</v>
      </c>
      <c r="Z20" s="53" t="s">
        <v>50</v>
      </c>
      <c r="AA20" s="53" t="s">
        <v>90</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160</v>
      </c>
      <c r="I21" s="53" t="s">
        <v>159</v>
      </c>
      <c r="J21" s="53" t="s">
        <v>38</v>
      </c>
      <c r="K21" s="53" t="s">
        <v>161</v>
      </c>
      <c r="L21" s="53">
        <v>2</v>
      </c>
      <c r="N21" s="53">
        <v>5</v>
      </c>
      <c r="O21" s="53">
        <v>0.5</v>
      </c>
      <c r="P21" s="53">
        <v>0.5</v>
      </c>
      <c r="Q21" s="75">
        <f t="shared" si="0"/>
        <v>0.5</v>
      </c>
      <c r="R21" s="53">
        <v>12.1</v>
      </c>
      <c r="S21" s="53">
        <v>93</v>
      </c>
      <c r="T21" s="16">
        <f t="shared" si="1"/>
        <v>36</v>
      </c>
      <c r="U21" s="53">
        <v>646</v>
      </c>
      <c r="V21" s="16">
        <f t="shared" si="2"/>
        <v>4651.2</v>
      </c>
      <c r="W21" s="53">
        <v>2</v>
      </c>
      <c r="X21" s="53" t="s">
        <v>46</v>
      </c>
      <c r="Y21" s="53" t="s">
        <v>84</v>
      </c>
      <c r="Z21" s="53" t="s">
        <v>50</v>
      </c>
      <c r="AA21" s="53" t="s">
        <v>90</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160</v>
      </c>
      <c r="I22" s="53" t="s">
        <v>159</v>
      </c>
      <c r="J22" s="53" t="s">
        <v>38</v>
      </c>
      <c r="K22" s="53" t="s">
        <v>161</v>
      </c>
      <c r="L22" s="53">
        <v>3</v>
      </c>
      <c r="N22" s="53">
        <v>5</v>
      </c>
      <c r="O22" s="53">
        <v>0.65</v>
      </c>
      <c r="P22" s="53">
        <v>0.7</v>
      </c>
      <c r="Q22" s="75">
        <f t="shared" si="0"/>
        <v>0.67500000000000004</v>
      </c>
      <c r="R22" s="53">
        <v>14</v>
      </c>
      <c r="S22" s="53">
        <v>98</v>
      </c>
      <c r="T22" s="16">
        <f t="shared" si="1"/>
        <v>36</v>
      </c>
      <c r="U22" s="53">
        <v>646</v>
      </c>
      <c r="V22" s="16">
        <f t="shared" si="2"/>
        <v>4651.2</v>
      </c>
      <c r="W22" s="53">
        <v>2</v>
      </c>
      <c r="X22" s="53" t="s">
        <v>46</v>
      </c>
      <c r="Y22" s="53" t="s">
        <v>84</v>
      </c>
      <c r="Z22" s="53" t="s">
        <v>50</v>
      </c>
      <c r="AA22" s="53" t="s">
        <v>90</v>
      </c>
      <c r="AB22" s="53" t="s">
        <v>237</v>
      </c>
      <c r="AP22" s="27" t="s">
        <v>115</v>
      </c>
      <c r="AR22" s="23" t="s">
        <v>83</v>
      </c>
    </row>
    <row r="23" spans="1:48" x14ac:dyDescent="0.15">
      <c r="A23" s="53" t="s">
        <v>56</v>
      </c>
      <c r="B23" s="53" t="s">
        <v>233</v>
      </c>
      <c r="C23" s="53">
        <v>2019</v>
      </c>
      <c r="D23" s="81" t="s">
        <v>234</v>
      </c>
      <c r="E23" s="53" t="s">
        <v>256</v>
      </c>
      <c r="F23" s="53" t="s">
        <v>252</v>
      </c>
      <c r="G23" s="53" t="s">
        <v>42</v>
      </c>
      <c r="H23" s="53" t="s">
        <v>164</v>
      </c>
      <c r="I23" s="53" t="s">
        <v>159</v>
      </c>
      <c r="J23" s="53" t="s">
        <v>38</v>
      </c>
      <c r="K23" s="53" t="s">
        <v>161</v>
      </c>
      <c r="L23" s="53">
        <v>1</v>
      </c>
      <c r="N23" s="53">
        <v>7</v>
      </c>
      <c r="O23" s="53">
        <v>0.65</v>
      </c>
      <c r="P23" s="53">
        <v>0.6</v>
      </c>
      <c r="Q23" s="16">
        <f t="shared" si="0"/>
        <v>0.625</v>
      </c>
      <c r="R23" s="53">
        <v>15.7</v>
      </c>
      <c r="S23" s="53">
        <v>86</v>
      </c>
      <c r="T23" s="16">
        <f t="shared" si="1"/>
        <v>36</v>
      </c>
      <c r="U23" s="53">
        <v>429</v>
      </c>
      <c r="V23" s="16">
        <f t="shared" si="2"/>
        <v>2206.2857142857142</v>
      </c>
      <c r="W23" s="53">
        <v>2</v>
      </c>
      <c r="X23" s="53" t="s">
        <v>39</v>
      </c>
      <c r="Y23" s="53" t="s">
        <v>84</v>
      </c>
      <c r="Z23" s="53" t="s">
        <v>90</v>
      </c>
      <c r="AA23" s="53" t="s">
        <v>78</v>
      </c>
      <c r="AB23" s="53" t="s">
        <v>237</v>
      </c>
      <c r="AP23" s="27" t="s">
        <v>137</v>
      </c>
      <c r="AR23" s="23" t="s">
        <v>61</v>
      </c>
    </row>
    <row r="24" spans="1:48" x14ac:dyDescent="0.15">
      <c r="A24" s="53" t="s">
        <v>56</v>
      </c>
      <c r="B24" s="53" t="s">
        <v>233</v>
      </c>
      <c r="C24" s="53">
        <v>2019</v>
      </c>
      <c r="D24" s="81" t="s">
        <v>234</v>
      </c>
      <c r="E24" s="53" t="s">
        <v>256</v>
      </c>
      <c r="F24" s="53" t="s">
        <v>252</v>
      </c>
      <c r="G24" s="53" t="s">
        <v>42</v>
      </c>
      <c r="H24" s="53" t="s">
        <v>164</v>
      </c>
      <c r="I24" s="53" t="s">
        <v>159</v>
      </c>
      <c r="J24" s="53" t="s">
        <v>38</v>
      </c>
      <c r="K24" s="53" t="s">
        <v>161</v>
      </c>
      <c r="L24" s="53">
        <v>2</v>
      </c>
      <c r="N24" s="53">
        <v>7</v>
      </c>
      <c r="O24" s="53">
        <v>0.6</v>
      </c>
      <c r="P24" s="53">
        <v>0.6</v>
      </c>
      <c r="Q24" s="16">
        <f t="shared" si="0"/>
        <v>0.6</v>
      </c>
      <c r="R24" s="53">
        <v>15</v>
      </c>
      <c r="S24" s="53">
        <v>85</v>
      </c>
      <c r="T24" s="16">
        <f t="shared" si="1"/>
        <v>36</v>
      </c>
      <c r="U24" s="53">
        <v>429</v>
      </c>
      <c r="V24" s="16">
        <f t="shared" si="2"/>
        <v>2206.2857142857142</v>
      </c>
      <c r="W24" s="53">
        <v>2</v>
      </c>
      <c r="X24" s="53" t="s">
        <v>39</v>
      </c>
      <c r="Y24" s="53" t="s">
        <v>84</v>
      </c>
      <c r="Z24" s="53" t="s">
        <v>90</v>
      </c>
      <c r="AA24" s="53" t="s">
        <v>78</v>
      </c>
      <c r="AB24" s="53" t="s">
        <v>237</v>
      </c>
      <c r="AP24" s="27" t="s">
        <v>138</v>
      </c>
      <c r="AR24" s="23" t="s">
        <v>91</v>
      </c>
    </row>
    <row r="25" spans="1:48" x14ac:dyDescent="0.15">
      <c r="A25" s="53" t="s">
        <v>56</v>
      </c>
      <c r="B25" s="53" t="s">
        <v>233</v>
      </c>
      <c r="C25" s="53">
        <v>2019</v>
      </c>
      <c r="D25" s="81" t="s">
        <v>234</v>
      </c>
      <c r="E25" s="53" t="s">
        <v>256</v>
      </c>
      <c r="F25" s="53" t="s">
        <v>252</v>
      </c>
      <c r="G25" s="53" t="s">
        <v>42</v>
      </c>
      <c r="H25" s="53" t="s">
        <v>164</v>
      </c>
      <c r="I25" s="53" t="s">
        <v>159</v>
      </c>
      <c r="J25" s="53" t="s">
        <v>38</v>
      </c>
      <c r="K25" s="53" t="s">
        <v>161</v>
      </c>
      <c r="L25" s="53">
        <v>3</v>
      </c>
      <c r="N25" s="53">
        <v>7</v>
      </c>
      <c r="O25" s="53">
        <v>0.65</v>
      </c>
      <c r="P25" s="53">
        <v>0.65</v>
      </c>
      <c r="Q25" s="16">
        <f t="shared" si="0"/>
        <v>0.65</v>
      </c>
      <c r="R25" s="53">
        <v>14.1</v>
      </c>
      <c r="S25" s="53">
        <v>83</v>
      </c>
      <c r="T25" s="16">
        <f t="shared" si="1"/>
        <v>39</v>
      </c>
      <c r="U25" s="53">
        <v>429</v>
      </c>
      <c r="V25" s="16">
        <f t="shared" si="2"/>
        <v>2390.1428571428569</v>
      </c>
      <c r="W25" s="53">
        <v>2</v>
      </c>
      <c r="X25" s="53" t="s">
        <v>39</v>
      </c>
      <c r="Y25" s="53" t="s">
        <v>84</v>
      </c>
      <c r="Z25" s="53" t="s">
        <v>90</v>
      </c>
      <c r="AA25" s="53" t="s">
        <v>78</v>
      </c>
      <c r="AB25" s="53" t="s">
        <v>237</v>
      </c>
      <c r="AP25" s="27" t="s">
        <v>116</v>
      </c>
      <c r="AR25" s="27" t="s">
        <v>92</v>
      </c>
    </row>
    <row r="26" spans="1:48" x14ac:dyDescent="0.15">
      <c r="A26" s="53" t="s">
        <v>56</v>
      </c>
      <c r="B26" s="53" t="s">
        <v>233</v>
      </c>
      <c r="C26" s="53">
        <v>2019</v>
      </c>
      <c r="D26" s="81" t="s">
        <v>234</v>
      </c>
      <c r="E26" s="53" t="s">
        <v>256</v>
      </c>
      <c r="F26" s="53" t="s">
        <v>252</v>
      </c>
      <c r="G26" s="53" t="s">
        <v>42</v>
      </c>
      <c r="H26" s="53" t="s">
        <v>128</v>
      </c>
      <c r="I26" s="53" t="s">
        <v>159</v>
      </c>
      <c r="J26" s="53" t="s">
        <v>80</v>
      </c>
      <c r="K26" s="53" t="s">
        <v>63</v>
      </c>
      <c r="L26" s="53">
        <v>1</v>
      </c>
      <c r="N26" s="53">
        <v>1</v>
      </c>
      <c r="O26" s="53">
        <v>0.7</v>
      </c>
      <c r="P26" s="53">
        <v>0.6</v>
      </c>
      <c r="Q26" s="16">
        <f t="shared" si="0"/>
        <v>0.64999999999999991</v>
      </c>
      <c r="R26" s="53">
        <v>15.6</v>
      </c>
      <c r="S26" s="53">
        <v>126</v>
      </c>
      <c r="T26" s="16">
        <f t="shared" si="1"/>
        <v>27</v>
      </c>
      <c r="U26" s="53">
        <v>105</v>
      </c>
      <c r="V26" s="16">
        <f t="shared" si="2"/>
        <v>2835</v>
      </c>
      <c r="W26" s="53">
        <v>1</v>
      </c>
      <c r="X26" s="53" t="s">
        <v>39</v>
      </c>
      <c r="Y26" s="53" t="s">
        <v>84</v>
      </c>
      <c r="Z26" s="53" t="s">
        <v>90</v>
      </c>
      <c r="AA26" s="53" t="s">
        <v>78</v>
      </c>
      <c r="AB26" s="53" t="s">
        <v>237</v>
      </c>
      <c r="AP26" s="27" t="s">
        <v>117</v>
      </c>
      <c r="AR26" s="53" t="s">
        <v>153</v>
      </c>
    </row>
    <row r="27" spans="1:48" x14ac:dyDescent="0.15">
      <c r="A27" s="53" t="s">
        <v>56</v>
      </c>
      <c r="B27" s="53" t="s">
        <v>233</v>
      </c>
      <c r="C27" s="53">
        <v>2019</v>
      </c>
      <c r="D27" s="81" t="s">
        <v>234</v>
      </c>
      <c r="E27" s="53" t="s">
        <v>256</v>
      </c>
      <c r="F27" s="53" t="s">
        <v>252</v>
      </c>
      <c r="G27" s="53" t="s">
        <v>42</v>
      </c>
      <c r="H27" s="53" t="s">
        <v>128</v>
      </c>
      <c r="I27" s="53" t="s">
        <v>159</v>
      </c>
      <c r="J27" s="53" t="s">
        <v>80</v>
      </c>
      <c r="K27" s="53" t="s">
        <v>63</v>
      </c>
      <c r="L27" s="53">
        <v>2</v>
      </c>
      <c r="N27" s="53">
        <v>1</v>
      </c>
      <c r="O27" s="53">
        <v>0.6</v>
      </c>
      <c r="P27" s="53">
        <v>0.65</v>
      </c>
      <c r="Q27" s="16">
        <f t="shared" si="0"/>
        <v>0.625</v>
      </c>
      <c r="R27" s="53">
        <v>15.2</v>
      </c>
      <c r="S27" s="53">
        <v>123</v>
      </c>
      <c r="T27" s="16">
        <f t="shared" si="1"/>
        <v>27</v>
      </c>
      <c r="U27" s="53">
        <v>105</v>
      </c>
      <c r="V27" s="16">
        <f t="shared" si="2"/>
        <v>2835</v>
      </c>
      <c r="W27" s="53">
        <v>1</v>
      </c>
      <c r="X27" s="53" t="s">
        <v>39</v>
      </c>
      <c r="Y27" s="53" t="s">
        <v>84</v>
      </c>
      <c r="Z27" s="53" t="s">
        <v>90</v>
      </c>
      <c r="AA27" s="53" t="s">
        <v>78</v>
      </c>
      <c r="AB27" s="53" t="s">
        <v>237</v>
      </c>
      <c r="AP27" s="27" t="s">
        <v>118</v>
      </c>
    </row>
    <row r="28" spans="1:48" x14ac:dyDescent="0.15">
      <c r="A28" s="53" t="s">
        <v>56</v>
      </c>
      <c r="B28" s="53" t="s">
        <v>233</v>
      </c>
      <c r="C28" s="53">
        <v>2019</v>
      </c>
      <c r="D28" s="81" t="s">
        <v>234</v>
      </c>
      <c r="E28" s="53" t="s">
        <v>256</v>
      </c>
      <c r="F28" s="53" t="s">
        <v>252</v>
      </c>
      <c r="G28" s="53" t="s">
        <v>42</v>
      </c>
      <c r="H28" s="53" t="s">
        <v>128</v>
      </c>
      <c r="I28" s="53" t="s">
        <v>159</v>
      </c>
      <c r="J28" s="53" t="s">
        <v>80</v>
      </c>
      <c r="K28" s="53" t="s">
        <v>63</v>
      </c>
      <c r="L28" s="53">
        <v>3</v>
      </c>
      <c r="N28" s="53">
        <v>1</v>
      </c>
      <c r="O28" s="53">
        <v>0.75</v>
      </c>
      <c r="P28" s="53">
        <v>0.65</v>
      </c>
      <c r="Q28" s="16">
        <f t="shared" si="0"/>
        <v>0.7</v>
      </c>
      <c r="R28" s="53">
        <v>15.2</v>
      </c>
      <c r="S28" s="53">
        <v>129</v>
      </c>
      <c r="T28" s="16">
        <f t="shared" si="1"/>
        <v>25</v>
      </c>
      <c r="U28" s="53">
        <v>105</v>
      </c>
      <c r="V28" s="16">
        <f t="shared" si="2"/>
        <v>2625</v>
      </c>
      <c r="W28" s="53">
        <v>1</v>
      </c>
      <c r="X28" s="53" t="s">
        <v>39</v>
      </c>
      <c r="Y28" s="53" t="s">
        <v>84</v>
      </c>
      <c r="Z28" s="53" t="s">
        <v>90</v>
      </c>
      <c r="AA28" s="53" t="s">
        <v>78</v>
      </c>
      <c r="AB28" s="53" t="s">
        <v>237</v>
      </c>
    </row>
    <row r="29" spans="1:48" x14ac:dyDescent="0.15">
      <c r="A29" s="53" t="s">
        <v>56</v>
      </c>
      <c r="B29" s="53" t="s">
        <v>233</v>
      </c>
      <c r="C29" s="53">
        <v>2019</v>
      </c>
      <c r="D29" s="81" t="s">
        <v>234</v>
      </c>
      <c r="E29" s="53" t="s">
        <v>162</v>
      </c>
      <c r="F29" s="53" t="s">
        <v>250</v>
      </c>
      <c r="G29" s="53" t="s">
        <v>42</v>
      </c>
      <c r="H29" s="53" t="s">
        <v>164</v>
      </c>
      <c r="I29" s="53" t="s">
        <v>159</v>
      </c>
      <c r="J29" s="53" t="s">
        <v>38</v>
      </c>
      <c r="K29" s="53" t="s">
        <v>161</v>
      </c>
      <c r="L29" s="53">
        <v>1</v>
      </c>
      <c r="N29" s="53">
        <v>1</v>
      </c>
      <c r="O29" s="53">
        <v>0.55000000000000004</v>
      </c>
      <c r="P29" s="53">
        <v>0.65</v>
      </c>
      <c r="Q29" s="16">
        <f t="shared" si="0"/>
        <v>0.60000000000000009</v>
      </c>
      <c r="R29" s="53">
        <v>14.3</v>
      </c>
      <c r="S29" s="53">
        <v>130</v>
      </c>
      <c r="T29" s="16">
        <f t="shared" si="1"/>
        <v>25</v>
      </c>
      <c r="U29" s="53">
        <v>106</v>
      </c>
      <c r="V29" s="16">
        <f t="shared" si="2"/>
        <v>2650</v>
      </c>
      <c r="W29" s="53">
        <v>2</v>
      </c>
      <c r="X29" s="53" t="s">
        <v>46</v>
      </c>
      <c r="Y29" s="53" t="s">
        <v>84</v>
      </c>
      <c r="Z29" s="53" t="s">
        <v>90</v>
      </c>
      <c r="AA29" s="53" t="s">
        <v>78</v>
      </c>
      <c r="AB29" s="53" t="s">
        <v>237</v>
      </c>
    </row>
    <row r="30" spans="1:48" x14ac:dyDescent="0.15">
      <c r="A30" s="53" t="s">
        <v>56</v>
      </c>
      <c r="B30" s="53" t="s">
        <v>233</v>
      </c>
      <c r="C30" s="53">
        <v>2019</v>
      </c>
      <c r="D30" s="81" t="s">
        <v>234</v>
      </c>
      <c r="E30" s="53" t="s">
        <v>162</v>
      </c>
      <c r="F30" s="53" t="s">
        <v>250</v>
      </c>
      <c r="G30" s="53" t="s">
        <v>42</v>
      </c>
      <c r="H30" s="53" t="s">
        <v>164</v>
      </c>
      <c r="I30" s="53" t="s">
        <v>159</v>
      </c>
      <c r="J30" s="53" t="s">
        <v>38</v>
      </c>
      <c r="K30" s="53" t="s">
        <v>161</v>
      </c>
      <c r="L30" s="53">
        <v>2</v>
      </c>
      <c r="N30" s="53">
        <v>1</v>
      </c>
      <c r="O30" s="53">
        <v>0.55000000000000004</v>
      </c>
      <c r="P30" s="53">
        <v>0.55000000000000004</v>
      </c>
      <c r="Q30" s="16">
        <f t="shared" si="0"/>
        <v>0.55000000000000004</v>
      </c>
      <c r="R30" s="53">
        <v>15.5</v>
      </c>
      <c r="S30" s="53">
        <v>129</v>
      </c>
      <c r="T30" s="16">
        <f t="shared" si="1"/>
        <v>25</v>
      </c>
      <c r="U30" s="53">
        <v>106</v>
      </c>
      <c r="V30" s="16">
        <f t="shared" si="2"/>
        <v>2650</v>
      </c>
      <c r="W30" s="53">
        <v>2</v>
      </c>
      <c r="X30" s="53" t="s">
        <v>46</v>
      </c>
      <c r="Y30" s="53" t="s">
        <v>84</v>
      </c>
      <c r="Z30" s="53" t="s">
        <v>90</v>
      </c>
      <c r="AA30" s="53" t="s">
        <v>78</v>
      </c>
      <c r="AB30" s="53" t="s">
        <v>237</v>
      </c>
    </row>
    <row r="31" spans="1:48" x14ac:dyDescent="0.15">
      <c r="A31" s="53" t="s">
        <v>56</v>
      </c>
      <c r="B31" s="53" t="s">
        <v>233</v>
      </c>
      <c r="C31" s="53">
        <v>2019</v>
      </c>
      <c r="D31" s="81" t="s">
        <v>234</v>
      </c>
      <c r="E31" s="53" t="s">
        <v>162</v>
      </c>
      <c r="F31" s="53" t="s">
        <v>250</v>
      </c>
      <c r="G31" s="53" t="s">
        <v>42</v>
      </c>
      <c r="H31" s="53" t="s">
        <v>164</v>
      </c>
      <c r="I31" s="53" t="s">
        <v>159</v>
      </c>
      <c r="J31" s="53" t="s">
        <v>38</v>
      </c>
      <c r="K31" s="53" t="s">
        <v>161</v>
      </c>
      <c r="L31" s="53">
        <v>3</v>
      </c>
      <c r="N31" s="53">
        <v>1</v>
      </c>
      <c r="O31" s="53">
        <v>0.75</v>
      </c>
      <c r="P31" s="53">
        <v>0.7</v>
      </c>
      <c r="Q31" s="16">
        <f t="shared" si="0"/>
        <v>0.72499999999999998</v>
      </c>
      <c r="R31" s="53">
        <v>13.4</v>
      </c>
      <c r="S31" s="53">
        <v>131</v>
      </c>
      <c r="T31" s="16">
        <f t="shared" si="1"/>
        <v>25</v>
      </c>
      <c r="U31" s="53">
        <v>106</v>
      </c>
      <c r="V31" s="16">
        <f t="shared" si="2"/>
        <v>2650</v>
      </c>
      <c r="W31" s="53">
        <v>2</v>
      </c>
      <c r="X31" s="53" t="s">
        <v>46</v>
      </c>
      <c r="Y31" s="53" t="s">
        <v>84</v>
      </c>
      <c r="Z31" s="53" t="s">
        <v>90</v>
      </c>
      <c r="AA31" s="53" t="s">
        <v>78</v>
      </c>
      <c r="AB31" s="53" t="s">
        <v>237</v>
      </c>
    </row>
    <row r="32" spans="1:48" x14ac:dyDescent="0.15">
      <c r="A32" s="53" t="s">
        <v>56</v>
      </c>
      <c r="B32" s="53" t="s">
        <v>233</v>
      </c>
      <c r="C32" s="53">
        <v>2019</v>
      </c>
      <c r="D32" s="81" t="s">
        <v>234</v>
      </c>
      <c r="E32" s="53" t="s">
        <v>162</v>
      </c>
      <c r="F32" s="53" t="s">
        <v>250</v>
      </c>
      <c r="G32" s="53" t="s">
        <v>42</v>
      </c>
      <c r="H32" s="53" t="s">
        <v>160</v>
      </c>
      <c r="I32" s="53" t="s">
        <v>159</v>
      </c>
      <c r="J32" s="53" t="s">
        <v>38</v>
      </c>
      <c r="K32" s="53" t="s">
        <v>161</v>
      </c>
      <c r="L32" s="53">
        <v>1</v>
      </c>
      <c r="N32" s="53">
        <v>1</v>
      </c>
      <c r="O32" s="53">
        <v>0.5</v>
      </c>
      <c r="P32" s="53">
        <v>0.55000000000000004</v>
      </c>
      <c r="Q32" s="16">
        <f t="shared" si="0"/>
        <v>0.52500000000000002</v>
      </c>
      <c r="R32" s="53">
        <v>15</v>
      </c>
      <c r="S32" s="53">
        <v>100</v>
      </c>
      <c r="T32" s="16">
        <f t="shared" si="1"/>
        <v>33</v>
      </c>
      <c r="U32" s="53">
        <v>138</v>
      </c>
      <c r="V32" s="16">
        <f t="shared" si="2"/>
        <v>4554</v>
      </c>
      <c r="W32" s="53">
        <v>2</v>
      </c>
      <c r="X32" s="53" t="s">
        <v>46</v>
      </c>
      <c r="Y32" s="53" t="s">
        <v>84</v>
      </c>
      <c r="Z32" s="53" t="s">
        <v>90</v>
      </c>
      <c r="AA32" s="53" t="s">
        <v>78</v>
      </c>
      <c r="AB32" s="53" t="s">
        <v>237</v>
      </c>
    </row>
    <row r="33" spans="1:28" x14ac:dyDescent="0.15">
      <c r="A33" s="53" t="s">
        <v>56</v>
      </c>
      <c r="B33" s="53" t="s">
        <v>233</v>
      </c>
      <c r="C33" s="53">
        <v>2019</v>
      </c>
      <c r="D33" s="81" t="s">
        <v>234</v>
      </c>
      <c r="E33" s="53" t="s">
        <v>162</v>
      </c>
      <c r="F33" s="53" t="s">
        <v>250</v>
      </c>
      <c r="G33" s="53" t="s">
        <v>42</v>
      </c>
      <c r="H33" s="53" t="s">
        <v>160</v>
      </c>
      <c r="I33" s="53" t="s">
        <v>159</v>
      </c>
      <c r="J33" s="53" t="s">
        <v>38</v>
      </c>
      <c r="K33" s="53" t="s">
        <v>161</v>
      </c>
      <c r="L33" s="53">
        <v>2</v>
      </c>
      <c r="N33" s="53">
        <v>1</v>
      </c>
      <c r="O33" s="53">
        <v>0.55000000000000004</v>
      </c>
      <c r="P33" s="53">
        <v>0.6</v>
      </c>
      <c r="Q33" s="16">
        <f t="shared" si="0"/>
        <v>0.57499999999999996</v>
      </c>
      <c r="R33" s="53">
        <v>14.8</v>
      </c>
      <c r="S33" s="53">
        <v>100</v>
      </c>
      <c r="T33" s="16">
        <f t="shared" si="1"/>
        <v>33</v>
      </c>
      <c r="U33" s="53">
        <v>138</v>
      </c>
      <c r="V33" s="16">
        <f t="shared" si="2"/>
        <v>4554</v>
      </c>
      <c r="W33" s="53">
        <v>2</v>
      </c>
      <c r="X33" s="53" t="s">
        <v>46</v>
      </c>
      <c r="Y33" s="53" t="s">
        <v>84</v>
      </c>
      <c r="Z33" s="53" t="s">
        <v>90</v>
      </c>
      <c r="AA33" s="53" t="s">
        <v>78</v>
      </c>
      <c r="AB33" s="53" t="s">
        <v>237</v>
      </c>
    </row>
    <row r="34" spans="1:28" x14ac:dyDescent="0.15">
      <c r="A34" s="53" t="s">
        <v>56</v>
      </c>
      <c r="B34" s="53" t="s">
        <v>233</v>
      </c>
      <c r="C34" s="53">
        <v>2019</v>
      </c>
      <c r="D34" s="81" t="s">
        <v>234</v>
      </c>
      <c r="E34" s="53" t="s">
        <v>162</v>
      </c>
      <c r="F34" s="53" t="s">
        <v>250</v>
      </c>
      <c r="G34" s="53" t="s">
        <v>42</v>
      </c>
      <c r="H34" s="53" t="s">
        <v>160</v>
      </c>
      <c r="I34" s="53" t="s">
        <v>159</v>
      </c>
      <c r="J34" s="53" t="s">
        <v>38</v>
      </c>
      <c r="K34" s="53" t="s">
        <v>161</v>
      </c>
      <c r="L34" s="53">
        <v>3</v>
      </c>
      <c r="N34" s="53">
        <v>1</v>
      </c>
      <c r="O34" s="53">
        <v>0.5</v>
      </c>
      <c r="P34" s="53">
        <v>0.5</v>
      </c>
      <c r="Q34" s="16">
        <f t="shared" si="0"/>
        <v>0.5</v>
      </c>
      <c r="R34" s="53">
        <v>16.7</v>
      </c>
      <c r="S34" s="53">
        <v>104</v>
      </c>
      <c r="T34" s="16">
        <f t="shared" si="1"/>
        <v>33</v>
      </c>
      <c r="U34" s="53">
        <v>138</v>
      </c>
      <c r="V34" s="16">
        <f t="shared" si="2"/>
        <v>4554</v>
      </c>
      <c r="W34" s="53">
        <v>2</v>
      </c>
      <c r="X34" s="53" t="s">
        <v>46</v>
      </c>
      <c r="Y34" s="53" t="s">
        <v>84</v>
      </c>
      <c r="Z34" s="53" t="s">
        <v>90</v>
      </c>
      <c r="AA34" s="53" t="s">
        <v>78</v>
      </c>
      <c r="AB34" s="53" t="s">
        <v>237</v>
      </c>
    </row>
    <row r="35" spans="1:28" x14ac:dyDescent="0.15">
      <c r="A35" s="53" t="s">
        <v>56</v>
      </c>
      <c r="B35" s="53" t="s">
        <v>233</v>
      </c>
      <c r="C35" s="53">
        <v>2019</v>
      </c>
      <c r="D35" s="81" t="s">
        <v>234</v>
      </c>
      <c r="E35" s="53" t="s">
        <v>257</v>
      </c>
      <c r="F35" s="53" t="s">
        <v>250</v>
      </c>
      <c r="G35" s="53" t="s">
        <v>42</v>
      </c>
      <c r="H35" s="53" t="s">
        <v>164</v>
      </c>
      <c r="I35" s="53" t="s">
        <v>159</v>
      </c>
      <c r="J35" s="53" t="s">
        <v>38</v>
      </c>
      <c r="K35" s="53" t="s">
        <v>161</v>
      </c>
      <c r="L35" s="53">
        <v>1</v>
      </c>
      <c r="N35" s="53">
        <v>1</v>
      </c>
      <c r="O35" s="53">
        <v>0.8</v>
      </c>
      <c r="P35" s="53">
        <v>0.8</v>
      </c>
      <c r="Q35" s="16">
        <f t="shared" si="0"/>
        <v>0.8</v>
      </c>
      <c r="R35" s="53">
        <v>14.1</v>
      </c>
      <c r="S35" s="53">
        <v>124</v>
      </c>
      <c r="T35" s="16">
        <f t="shared" si="1"/>
        <v>27</v>
      </c>
      <c r="U35" s="53">
        <v>138</v>
      </c>
      <c r="V35" s="16">
        <f t="shared" si="2"/>
        <v>3726</v>
      </c>
      <c r="W35" s="53">
        <v>1</v>
      </c>
      <c r="X35" s="53" t="s">
        <v>39</v>
      </c>
      <c r="Y35" s="53" t="s">
        <v>84</v>
      </c>
      <c r="Z35" s="53" t="s">
        <v>90</v>
      </c>
      <c r="AA35" s="53" t="s">
        <v>78</v>
      </c>
      <c r="AB35" s="53" t="s">
        <v>237</v>
      </c>
    </row>
    <row r="36" spans="1:28" x14ac:dyDescent="0.15">
      <c r="A36" s="53" t="s">
        <v>56</v>
      </c>
      <c r="B36" s="53" t="s">
        <v>233</v>
      </c>
      <c r="C36" s="53">
        <v>2019</v>
      </c>
      <c r="D36" s="81" t="s">
        <v>234</v>
      </c>
      <c r="E36" s="53" t="s">
        <v>257</v>
      </c>
      <c r="F36" s="53" t="s">
        <v>250</v>
      </c>
      <c r="G36" s="53" t="s">
        <v>42</v>
      </c>
      <c r="H36" s="53" t="s">
        <v>164</v>
      </c>
      <c r="I36" s="53" t="s">
        <v>159</v>
      </c>
      <c r="J36" s="53" t="s">
        <v>38</v>
      </c>
      <c r="K36" s="53" t="s">
        <v>161</v>
      </c>
      <c r="L36" s="53">
        <v>2</v>
      </c>
      <c r="N36" s="53">
        <v>1</v>
      </c>
      <c r="O36" s="53">
        <v>0.55000000000000004</v>
      </c>
      <c r="P36" s="53">
        <v>0.5</v>
      </c>
      <c r="Q36" s="16">
        <f t="shared" si="0"/>
        <v>0.52500000000000002</v>
      </c>
      <c r="R36" s="53">
        <v>14.9</v>
      </c>
      <c r="S36" s="53">
        <v>125</v>
      </c>
      <c r="T36" s="16">
        <f t="shared" si="1"/>
        <v>27</v>
      </c>
      <c r="U36" s="53">
        <v>138</v>
      </c>
      <c r="V36" s="16">
        <f t="shared" si="2"/>
        <v>3726</v>
      </c>
      <c r="W36" s="53">
        <v>1</v>
      </c>
      <c r="X36" s="53" t="s">
        <v>39</v>
      </c>
      <c r="Y36" s="53" t="s">
        <v>84</v>
      </c>
      <c r="Z36" s="53" t="s">
        <v>90</v>
      </c>
      <c r="AA36" s="53" t="s">
        <v>78</v>
      </c>
      <c r="AB36" s="53" t="s">
        <v>237</v>
      </c>
    </row>
    <row r="37" spans="1:28" x14ac:dyDescent="0.15">
      <c r="A37" s="53" t="s">
        <v>56</v>
      </c>
      <c r="B37" s="53" t="s">
        <v>233</v>
      </c>
      <c r="C37" s="53">
        <v>2019</v>
      </c>
      <c r="D37" s="81" t="s">
        <v>234</v>
      </c>
      <c r="E37" s="53" t="s">
        <v>257</v>
      </c>
      <c r="F37" s="53" t="s">
        <v>250</v>
      </c>
      <c r="G37" s="53" t="s">
        <v>42</v>
      </c>
      <c r="H37" s="53" t="s">
        <v>164</v>
      </c>
      <c r="I37" s="53" t="s">
        <v>159</v>
      </c>
      <c r="J37" s="53" t="s">
        <v>38</v>
      </c>
      <c r="K37" s="53" t="s">
        <v>161</v>
      </c>
      <c r="L37" s="53">
        <v>3</v>
      </c>
      <c r="N37" s="53">
        <v>1</v>
      </c>
      <c r="O37" s="53">
        <v>0.6</v>
      </c>
      <c r="P37" s="53">
        <v>0.7</v>
      </c>
      <c r="Q37" s="16">
        <f t="shared" si="0"/>
        <v>0.64999999999999991</v>
      </c>
      <c r="R37" s="53">
        <v>14.8</v>
      </c>
      <c r="S37" s="53">
        <v>130</v>
      </c>
      <c r="T37" s="16">
        <f t="shared" si="1"/>
        <v>25</v>
      </c>
      <c r="U37" s="53">
        <v>138</v>
      </c>
      <c r="V37" s="16">
        <f t="shared" si="2"/>
        <v>3450</v>
      </c>
      <c r="W37" s="53">
        <v>1</v>
      </c>
      <c r="X37" s="53" t="s">
        <v>39</v>
      </c>
      <c r="Y37" s="53" t="s">
        <v>84</v>
      </c>
      <c r="Z37" s="53" t="s">
        <v>90</v>
      </c>
      <c r="AA37" s="53" t="s">
        <v>78</v>
      </c>
      <c r="AB37" s="53" t="s">
        <v>237</v>
      </c>
    </row>
    <row r="38" spans="1:28" x14ac:dyDescent="0.15">
      <c r="A38" s="53" t="s">
        <v>56</v>
      </c>
      <c r="B38" s="53" t="s">
        <v>233</v>
      </c>
      <c r="C38" s="53">
        <v>2019</v>
      </c>
      <c r="D38" s="81" t="s">
        <v>234</v>
      </c>
      <c r="E38" s="53" t="s">
        <v>257</v>
      </c>
      <c r="F38" s="53" t="s">
        <v>250</v>
      </c>
      <c r="G38" s="53" t="s">
        <v>42</v>
      </c>
      <c r="H38" s="53" t="s">
        <v>160</v>
      </c>
      <c r="I38" s="53" t="s">
        <v>159</v>
      </c>
      <c r="J38" s="53" t="s">
        <v>38</v>
      </c>
      <c r="K38" s="53" t="s">
        <v>161</v>
      </c>
      <c r="L38" s="53">
        <v>1</v>
      </c>
      <c r="N38" s="53">
        <v>1</v>
      </c>
      <c r="O38" s="53">
        <v>0.75</v>
      </c>
      <c r="P38" s="53">
        <v>0.75</v>
      </c>
      <c r="Q38" s="16">
        <f t="shared" si="0"/>
        <v>0.75</v>
      </c>
      <c r="R38" s="53">
        <v>15.7</v>
      </c>
      <c r="S38" s="53">
        <v>104</v>
      </c>
      <c r="T38" s="16">
        <f t="shared" si="1"/>
        <v>33</v>
      </c>
      <c r="U38" s="53">
        <v>198</v>
      </c>
      <c r="V38" s="16">
        <f t="shared" si="2"/>
        <v>6534</v>
      </c>
      <c r="W38" s="53">
        <v>1</v>
      </c>
      <c r="X38" s="53" t="s">
        <v>39</v>
      </c>
      <c r="Y38" s="53" t="s">
        <v>84</v>
      </c>
      <c r="Z38" s="53" t="s">
        <v>90</v>
      </c>
      <c r="AA38" s="53" t="s">
        <v>78</v>
      </c>
      <c r="AB38" s="53" t="s">
        <v>237</v>
      </c>
    </row>
    <row r="39" spans="1:28" x14ac:dyDescent="0.15">
      <c r="A39" s="53" t="s">
        <v>56</v>
      </c>
      <c r="B39" s="53" t="s">
        <v>233</v>
      </c>
      <c r="C39" s="53">
        <v>2019</v>
      </c>
      <c r="D39" s="81" t="s">
        <v>234</v>
      </c>
      <c r="E39" s="53" t="s">
        <v>257</v>
      </c>
      <c r="F39" s="53" t="s">
        <v>250</v>
      </c>
      <c r="G39" s="53" t="s">
        <v>42</v>
      </c>
      <c r="H39" s="53" t="s">
        <v>160</v>
      </c>
      <c r="I39" s="53" t="s">
        <v>159</v>
      </c>
      <c r="J39" s="53" t="s">
        <v>38</v>
      </c>
      <c r="K39" s="53" t="s">
        <v>161</v>
      </c>
      <c r="L39" s="53">
        <v>2</v>
      </c>
      <c r="N39" s="53">
        <v>1</v>
      </c>
      <c r="O39" s="53">
        <v>0.65</v>
      </c>
      <c r="P39" s="53">
        <v>0.7</v>
      </c>
      <c r="Q39" s="16">
        <f t="shared" si="0"/>
        <v>0.67500000000000004</v>
      </c>
      <c r="R39" s="53">
        <v>14.7</v>
      </c>
      <c r="S39" s="53">
        <v>95</v>
      </c>
      <c r="T39" s="16">
        <f t="shared" si="1"/>
        <v>36</v>
      </c>
      <c r="U39" s="53">
        <v>198</v>
      </c>
      <c r="V39" s="16">
        <f t="shared" si="2"/>
        <v>7128</v>
      </c>
      <c r="W39" s="53">
        <v>1</v>
      </c>
      <c r="X39" s="53" t="s">
        <v>39</v>
      </c>
      <c r="Y39" s="53" t="s">
        <v>84</v>
      </c>
      <c r="Z39" s="53" t="s">
        <v>90</v>
      </c>
      <c r="AA39" s="53" t="s">
        <v>78</v>
      </c>
      <c r="AB39" s="53" t="s">
        <v>237</v>
      </c>
    </row>
    <row r="40" spans="1:28" x14ac:dyDescent="0.15">
      <c r="A40" s="53" t="s">
        <v>56</v>
      </c>
      <c r="B40" s="53" t="s">
        <v>233</v>
      </c>
      <c r="C40" s="53">
        <v>2019</v>
      </c>
      <c r="D40" s="81" t="s">
        <v>234</v>
      </c>
      <c r="E40" s="53" t="s">
        <v>257</v>
      </c>
      <c r="F40" s="53" t="s">
        <v>250</v>
      </c>
      <c r="G40" s="53" t="s">
        <v>42</v>
      </c>
      <c r="H40" s="53" t="s">
        <v>160</v>
      </c>
      <c r="I40" s="53" t="s">
        <v>159</v>
      </c>
      <c r="J40" s="53" t="s">
        <v>38</v>
      </c>
      <c r="K40" s="53" t="s">
        <v>161</v>
      </c>
      <c r="L40" s="53">
        <v>3</v>
      </c>
      <c r="N40" s="53">
        <v>1</v>
      </c>
      <c r="O40" s="53">
        <v>0.7</v>
      </c>
      <c r="P40" s="53">
        <v>0.65</v>
      </c>
      <c r="Q40" s="16">
        <f t="shared" si="0"/>
        <v>0.67500000000000004</v>
      </c>
      <c r="R40" s="53">
        <v>14.9</v>
      </c>
      <c r="S40" s="53">
        <v>101</v>
      </c>
      <c r="T40" s="16">
        <f t="shared" si="1"/>
        <v>33</v>
      </c>
      <c r="U40" s="53">
        <v>198</v>
      </c>
      <c r="V40" s="16">
        <f t="shared" si="2"/>
        <v>6534</v>
      </c>
      <c r="W40" s="53">
        <v>1</v>
      </c>
      <c r="X40" s="53" t="s">
        <v>39</v>
      </c>
      <c r="Y40" s="53" t="s">
        <v>84</v>
      </c>
      <c r="Z40" s="53" t="s">
        <v>90</v>
      </c>
      <c r="AA40" s="53" t="s">
        <v>78</v>
      </c>
      <c r="AB40" s="53" t="s">
        <v>237</v>
      </c>
    </row>
    <row r="41" spans="1:28" x14ac:dyDescent="0.15">
      <c r="A41" s="53" t="s">
        <v>56</v>
      </c>
      <c r="B41" s="53" t="s">
        <v>233</v>
      </c>
      <c r="C41" s="53">
        <v>2019</v>
      </c>
      <c r="D41" s="81" t="s">
        <v>234</v>
      </c>
      <c r="E41" s="53" t="s">
        <v>258</v>
      </c>
      <c r="F41" s="53" t="s">
        <v>239</v>
      </c>
      <c r="G41" s="53" t="s">
        <v>42</v>
      </c>
      <c r="H41" s="53" t="s">
        <v>164</v>
      </c>
      <c r="I41" s="53" t="s">
        <v>159</v>
      </c>
      <c r="J41" s="53" t="s">
        <v>38</v>
      </c>
      <c r="K41" s="53" t="s">
        <v>161</v>
      </c>
      <c r="L41" s="53">
        <v>1</v>
      </c>
      <c r="N41" s="53">
        <v>5</v>
      </c>
      <c r="O41" s="53">
        <v>0.6</v>
      </c>
      <c r="P41" s="53">
        <v>0.65</v>
      </c>
      <c r="Q41" s="16">
        <f t="shared" si="0"/>
        <v>0.625</v>
      </c>
      <c r="R41" s="53">
        <v>14.4</v>
      </c>
      <c r="S41" s="53">
        <v>97</v>
      </c>
      <c r="T41" s="16">
        <f t="shared" si="1"/>
        <v>36</v>
      </c>
      <c r="U41" s="53">
        <v>429</v>
      </c>
      <c r="V41" s="16">
        <f t="shared" si="2"/>
        <v>3088.7999999999997</v>
      </c>
      <c r="W41" s="53">
        <v>1</v>
      </c>
      <c r="X41" s="53" t="s">
        <v>39</v>
      </c>
      <c r="Y41" s="53" t="s">
        <v>84</v>
      </c>
      <c r="Z41" s="53" t="s">
        <v>90</v>
      </c>
      <c r="AA41" s="53" t="s">
        <v>78</v>
      </c>
      <c r="AB41" s="53" t="s">
        <v>237</v>
      </c>
    </row>
    <row r="42" spans="1:28" x14ac:dyDescent="0.15">
      <c r="A42" s="53" t="s">
        <v>56</v>
      </c>
      <c r="B42" s="53" t="s">
        <v>233</v>
      </c>
      <c r="C42" s="53">
        <v>2019</v>
      </c>
      <c r="D42" s="81" t="s">
        <v>234</v>
      </c>
      <c r="E42" s="53" t="s">
        <v>258</v>
      </c>
      <c r="F42" s="53" t="s">
        <v>239</v>
      </c>
      <c r="G42" s="53" t="s">
        <v>42</v>
      </c>
      <c r="H42" s="53" t="s">
        <v>164</v>
      </c>
      <c r="I42" s="53" t="s">
        <v>159</v>
      </c>
      <c r="J42" s="53" t="s">
        <v>38</v>
      </c>
      <c r="K42" s="53" t="s">
        <v>161</v>
      </c>
      <c r="L42" s="53">
        <v>2</v>
      </c>
      <c r="N42" s="53">
        <v>5</v>
      </c>
      <c r="O42" s="53">
        <v>0.6</v>
      </c>
      <c r="P42" s="53">
        <v>0.6</v>
      </c>
      <c r="Q42" s="16">
        <f t="shared" si="0"/>
        <v>0.6</v>
      </c>
      <c r="R42" s="53">
        <v>15.1</v>
      </c>
      <c r="S42" s="53">
        <v>97</v>
      </c>
      <c r="T42" s="16">
        <f t="shared" si="1"/>
        <v>36</v>
      </c>
      <c r="U42" s="53">
        <v>429</v>
      </c>
      <c r="V42" s="16">
        <f t="shared" si="2"/>
        <v>3088.7999999999997</v>
      </c>
      <c r="W42" s="53">
        <v>1</v>
      </c>
      <c r="X42" s="53" t="s">
        <v>39</v>
      </c>
      <c r="Y42" s="53" t="s">
        <v>84</v>
      </c>
      <c r="Z42" s="53" t="s">
        <v>90</v>
      </c>
      <c r="AA42" s="53" t="s">
        <v>78</v>
      </c>
      <c r="AB42" s="53" t="s">
        <v>237</v>
      </c>
    </row>
    <row r="43" spans="1:28" x14ac:dyDescent="0.15">
      <c r="A43" s="53" t="s">
        <v>56</v>
      </c>
      <c r="B43" s="53" t="s">
        <v>233</v>
      </c>
      <c r="C43" s="53">
        <v>2019</v>
      </c>
      <c r="D43" s="81" t="s">
        <v>234</v>
      </c>
      <c r="E43" s="53" t="s">
        <v>258</v>
      </c>
      <c r="F43" s="53" t="s">
        <v>239</v>
      </c>
      <c r="G43" s="53" t="s">
        <v>42</v>
      </c>
      <c r="H43" s="53" t="s">
        <v>164</v>
      </c>
      <c r="I43" s="53" t="s">
        <v>159</v>
      </c>
      <c r="J43" s="53" t="s">
        <v>38</v>
      </c>
      <c r="K43" s="53" t="s">
        <v>161</v>
      </c>
      <c r="L43" s="53">
        <v>3</v>
      </c>
      <c r="N43" s="53">
        <v>5</v>
      </c>
      <c r="O43" s="53">
        <v>0.7</v>
      </c>
      <c r="P43" s="53">
        <v>0.65</v>
      </c>
      <c r="Q43" s="16">
        <f t="shared" si="0"/>
        <v>0.67500000000000004</v>
      </c>
      <c r="R43" s="53">
        <v>15.1</v>
      </c>
      <c r="S43" s="53">
        <v>102</v>
      </c>
      <c r="T43" s="16">
        <f t="shared" si="1"/>
        <v>33</v>
      </c>
      <c r="U43" s="53">
        <v>429</v>
      </c>
      <c r="V43" s="16">
        <f t="shared" si="2"/>
        <v>2831.4</v>
      </c>
      <c r="W43" s="53">
        <v>1</v>
      </c>
      <c r="X43" s="53" t="s">
        <v>39</v>
      </c>
      <c r="Y43" s="53" t="s">
        <v>84</v>
      </c>
      <c r="Z43" s="53" t="s">
        <v>90</v>
      </c>
      <c r="AA43" s="53" t="s">
        <v>78</v>
      </c>
      <c r="AB43" s="53" t="s">
        <v>237</v>
      </c>
    </row>
    <row r="44" spans="1:28" x14ac:dyDescent="0.15">
      <c r="A44" s="53" t="s">
        <v>56</v>
      </c>
      <c r="B44" s="53" t="s">
        <v>233</v>
      </c>
      <c r="C44" s="53">
        <v>2019</v>
      </c>
      <c r="D44" s="81" t="s">
        <v>234</v>
      </c>
      <c r="E44" s="53" t="s">
        <v>258</v>
      </c>
      <c r="F44" s="53" t="s">
        <v>239</v>
      </c>
      <c r="G44" s="53" t="s">
        <v>42</v>
      </c>
      <c r="H44" s="53" t="s">
        <v>128</v>
      </c>
      <c r="I44" s="53" t="s">
        <v>159</v>
      </c>
      <c r="J44" s="53" t="s">
        <v>80</v>
      </c>
      <c r="K44" s="53" t="s">
        <v>63</v>
      </c>
      <c r="L44" s="53">
        <v>1</v>
      </c>
      <c r="N44" s="53">
        <v>4</v>
      </c>
      <c r="O44" s="53">
        <v>0.7</v>
      </c>
      <c r="P44" s="53">
        <v>0.65</v>
      </c>
      <c r="Q44" s="16">
        <f t="shared" si="0"/>
        <v>0.67500000000000004</v>
      </c>
      <c r="R44" s="53">
        <v>15.8</v>
      </c>
      <c r="S44" s="53">
        <v>87</v>
      </c>
      <c r="T44" s="16">
        <f t="shared" si="1"/>
        <v>36</v>
      </c>
      <c r="U44" s="53">
        <v>429</v>
      </c>
      <c r="V44" s="16">
        <f t="shared" si="2"/>
        <v>3861</v>
      </c>
      <c r="W44" s="53">
        <v>1</v>
      </c>
      <c r="X44" s="53" t="s">
        <v>39</v>
      </c>
      <c r="Y44" s="53" t="s">
        <v>84</v>
      </c>
      <c r="Z44" s="53" t="s">
        <v>90</v>
      </c>
      <c r="AA44" s="53" t="s">
        <v>78</v>
      </c>
      <c r="AB44" s="53" t="s">
        <v>237</v>
      </c>
    </row>
    <row r="45" spans="1:28" x14ac:dyDescent="0.15">
      <c r="A45" s="53" t="s">
        <v>56</v>
      </c>
      <c r="B45" s="53" t="s">
        <v>233</v>
      </c>
      <c r="C45" s="53">
        <v>2019</v>
      </c>
      <c r="D45" s="81" t="s">
        <v>234</v>
      </c>
      <c r="E45" s="53" t="s">
        <v>258</v>
      </c>
      <c r="F45" s="53" t="s">
        <v>239</v>
      </c>
      <c r="G45" s="53" t="s">
        <v>42</v>
      </c>
      <c r="H45" s="53" t="s">
        <v>128</v>
      </c>
      <c r="I45" s="53" t="s">
        <v>159</v>
      </c>
      <c r="J45" s="53" t="s">
        <v>80</v>
      </c>
      <c r="K45" s="53" t="s">
        <v>63</v>
      </c>
      <c r="L45" s="53">
        <v>2</v>
      </c>
      <c r="N45" s="53">
        <v>4</v>
      </c>
      <c r="O45" s="53">
        <v>0.75</v>
      </c>
      <c r="P45" s="53">
        <v>0.65</v>
      </c>
      <c r="Q45" s="16">
        <f t="shared" si="0"/>
        <v>0.7</v>
      </c>
      <c r="R45" s="53">
        <v>15.2</v>
      </c>
      <c r="S45" s="53">
        <v>86</v>
      </c>
      <c r="T45" s="16">
        <f t="shared" si="1"/>
        <v>36</v>
      </c>
      <c r="U45" s="53">
        <v>429</v>
      </c>
      <c r="V45" s="16">
        <f t="shared" si="2"/>
        <v>3861</v>
      </c>
      <c r="W45" s="53">
        <v>1</v>
      </c>
      <c r="X45" s="53" t="s">
        <v>39</v>
      </c>
      <c r="Y45" s="53" t="s">
        <v>84</v>
      </c>
      <c r="Z45" s="53" t="s">
        <v>90</v>
      </c>
      <c r="AA45" s="53" t="s">
        <v>78</v>
      </c>
      <c r="AB45" s="53" t="s">
        <v>237</v>
      </c>
    </row>
    <row r="46" spans="1:28" x14ac:dyDescent="0.15">
      <c r="A46" s="53" t="s">
        <v>56</v>
      </c>
      <c r="B46" s="53" t="s">
        <v>233</v>
      </c>
      <c r="C46" s="53">
        <v>2019</v>
      </c>
      <c r="D46" s="81" t="s">
        <v>234</v>
      </c>
      <c r="E46" s="53" t="s">
        <v>258</v>
      </c>
      <c r="F46" s="53" t="s">
        <v>239</v>
      </c>
      <c r="G46" s="53" t="s">
        <v>42</v>
      </c>
      <c r="H46" s="53" t="s">
        <v>128</v>
      </c>
      <c r="I46" s="53" t="s">
        <v>159</v>
      </c>
      <c r="J46" s="53" t="s">
        <v>80</v>
      </c>
      <c r="K46" s="53" t="s">
        <v>63</v>
      </c>
      <c r="L46" s="53">
        <v>3</v>
      </c>
      <c r="N46" s="53">
        <v>4</v>
      </c>
      <c r="O46" s="53">
        <v>0.55000000000000004</v>
      </c>
      <c r="P46" s="53">
        <v>0.65</v>
      </c>
      <c r="Q46" s="16">
        <f t="shared" si="0"/>
        <v>0.60000000000000009</v>
      </c>
      <c r="R46" s="53">
        <v>14.7</v>
      </c>
      <c r="S46" s="53">
        <v>85</v>
      </c>
      <c r="T46" s="16">
        <f t="shared" si="1"/>
        <v>36</v>
      </c>
      <c r="U46" s="53">
        <v>429</v>
      </c>
      <c r="V46" s="16">
        <f t="shared" si="2"/>
        <v>3861</v>
      </c>
      <c r="W46" s="53">
        <v>1</v>
      </c>
      <c r="X46" s="53" t="s">
        <v>39</v>
      </c>
      <c r="Y46" s="53" t="s">
        <v>84</v>
      </c>
      <c r="Z46" s="53" t="s">
        <v>90</v>
      </c>
      <c r="AA46" s="53" t="s">
        <v>78</v>
      </c>
      <c r="AB46" s="53" t="s">
        <v>237</v>
      </c>
    </row>
    <row r="47" spans="1:28" x14ac:dyDescent="0.15">
      <c r="A47" s="53" t="s">
        <v>56</v>
      </c>
      <c r="B47" s="53" t="s">
        <v>233</v>
      </c>
      <c r="C47" s="53">
        <v>2019</v>
      </c>
      <c r="D47" s="81" t="s">
        <v>234</v>
      </c>
      <c r="E47" s="53" t="s">
        <v>244</v>
      </c>
      <c r="F47" s="53" t="s">
        <v>252</v>
      </c>
      <c r="G47" s="53" t="s">
        <v>42</v>
      </c>
      <c r="H47" s="53" t="s">
        <v>164</v>
      </c>
      <c r="I47" s="53" t="s">
        <v>159</v>
      </c>
      <c r="J47" s="53" t="s">
        <v>38</v>
      </c>
      <c r="K47" s="53" t="s">
        <v>161</v>
      </c>
      <c r="L47" s="53">
        <v>1</v>
      </c>
      <c r="N47" s="53">
        <v>6</v>
      </c>
      <c r="O47" s="53">
        <v>0.75</v>
      </c>
      <c r="P47" s="53">
        <v>0.7</v>
      </c>
      <c r="Q47" s="16">
        <f t="shared" si="0"/>
        <v>0.72499999999999998</v>
      </c>
      <c r="R47" s="53">
        <v>14.6</v>
      </c>
      <c r="S47" s="53">
        <v>96</v>
      </c>
      <c r="T47" s="16">
        <f t="shared" si="1"/>
        <v>36</v>
      </c>
      <c r="U47" s="53">
        <v>430</v>
      </c>
      <c r="V47" s="16">
        <f t="shared" si="2"/>
        <v>2580</v>
      </c>
      <c r="W47" s="53">
        <v>6</v>
      </c>
      <c r="X47" s="53" t="s">
        <v>46</v>
      </c>
      <c r="Y47" s="53" t="s">
        <v>84</v>
      </c>
      <c r="Z47" s="53" t="s">
        <v>90</v>
      </c>
      <c r="AA47" s="53" t="s">
        <v>50</v>
      </c>
      <c r="AB47" s="53" t="s">
        <v>237</v>
      </c>
    </row>
    <row r="48" spans="1:28" x14ac:dyDescent="0.15">
      <c r="A48" s="53" t="s">
        <v>56</v>
      </c>
      <c r="B48" s="53" t="s">
        <v>233</v>
      </c>
      <c r="C48" s="53">
        <v>2019</v>
      </c>
      <c r="D48" s="81" t="s">
        <v>234</v>
      </c>
      <c r="E48" s="53" t="s">
        <v>244</v>
      </c>
      <c r="F48" s="53" t="s">
        <v>252</v>
      </c>
      <c r="G48" s="53" t="s">
        <v>42</v>
      </c>
      <c r="H48" s="53" t="s">
        <v>164</v>
      </c>
      <c r="I48" s="53" t="s">
        <v>159</v>
      </c>
      <c r="J48" s="53" t="s">
        <v>38</v>
      </c>
      <c r="K48" s="53" t="s">
        <v>161</v>
      </c>
      <c r="L48" s="53">
        <v>2</v>
      </c>
      <c r="N48" s="53">
        <v>6</v>
      </c>
      <c r="O48" s="53">
        <v>0.6</v>
      </c>
      <c r="P48" s="53">
        <v>0.6</v>
      </c>
      <c r="Q48" s="16">
        <f t="shared" si="0"/>
        <v>0.6</v>
      </c>
      <c r="R48" s="53">
        <v>11.9</v>
      </c>
      <c r="S48" s="53">
        <v>93</v>
      </c>
      <c r="T48" s="16">
        <f t="shared" si="1"/>
        <v>36</v>
      </c>
      <c r="U48" s="53">
        <v>430</v>
      </c>
      <c r="V48" s="16">
        <f t="shared" si="2"/>
        <v>2580</v>
      </c>
      <c r="W48" s="53">
        <v>6</v>
      </c>
      <c r="X48" s="53" t="s">
        <v>46</v>
      </c>
      <c r="Y48" s="53" t="s">
        <v>84</v>
      </c>
      <c r="Z48" s="53" t="s">
        <v>90</v>
      </c>
      <c r="AA48" s="53" t="s">
        <v>50</v>
      </c>
      <c r="AB48" s="53" t="s">
        <v>237</v>
      </c>
    </row>
    <row r="49" spans="1:28" x14ac:dyDescent="0.15">
      <c r="A49" s="53" t="s">
        <v>56</v>
      </c>
      <c r="B49" s="53" t="s">
        <v>233</v>
      </c>
      <c r="C49" s="53">
        <v>2019</v>
      </c>
      <c r="D49" s="81" t="s">
        <v>234</v>
      </c>
      <c r="E49" s="53" t="s">
        <v>244</v>
      </c>
      <c r="F49" s="53" t="s">
        <v>252</v>
      </c>
      <c r="G49" s="53" t="s">
        <v>42</v>
      </c>
      <c r="H49" s="53" t="s">
        <v>164</v>
      </c>
      <c r="I49" s="53" t="s">
        <v>159</v>
      </c>
      <c r="J49" s="53" t="s">
        <v>38</v>
      </c>
      <c r="K49" s="53" t="s">
        <v>161</v>
      </c>
      <c r="L49" s="53">
        <v>3</v>
      </c>
      <c r="N49" s="53">
        <v>6</v>
      </c>
      <c r="O49" s="53">
        <v>0.75</v>
      </c>
      <c r="P49" s="53">
        <v>0.7</v>
      </c>
      <c r="Q49" s="16">
        <f t="shared" si="0"/>
        <v>0.72499999999999998</v>
      </c>
      <c r="R49" s="53">
        <v>14.2</v>
      </c>
      <c r="S49" s="53">
        <v>102</v>
      </c>
      <c r="T49" s="16">
        <f t="shared" si="1"/>
        <v>33</v>
      </c>
      <c r="U49" s="53">
        <v>430</v>
      </c>
      <c r="V49" s="16">
        <f t="shared" si="2"/>
        <v>2365</v>
      </c>
      <c r="W49" s="53">
        <v>6</v>
      </c>
      <c r="X49" s="53" t="s">
        <v>46</v>
      </c>
      <c r="Y49" s="53" t="s">
        <v>84</v>
      </c>
      <c r="Z49" s="53" t="s">
        <v>90</v>
      </c>
      <c r="AA49" s="53" t="s">
        <v>50</v>
      </c>
      <c r="AB49" s="53" t="s">
        <v>237</v>
      </c>
    </row>
    <row r="50" spans="1:28" x14ac:dyDescent="0.15">
      <c r="A50" s="53" t="s">
        <v>56</v>
      </c>
      <c r="B50" s="53" t="s">
        <v>233</v>
      </c>
      <c r="C50" s="53">
        <v>2019</v>
      </c>
      <c r="D50" s="81" t="s">
        <v>234</v>
      </c>
      <c r="E50" s="53" t="s">
        <v>244</v>
      </c>
      <c r="F50" s="53" t="s">
        <v>252</v>
      </c>
      <c r="G50" s="53" t="s">
        <v>42</v>
      </c>
      <c r="H50" s="53" t="s">
        <v>160</v>
      </c>
      <c r="I50" s="53" t="s">
        <v>159</v>
      </c>
      <c r="J50" s="53" t="s">
        <v>38</v>
      </c>
      <c r="K50" s="53" t="s">
        <v>161</v>
      </c>
      <c r="L50" s="53">
        <v>1</v>
      </c>
      <c r="N50" s="53">
        <v>5</v>
      </c>
      <c r="O50" s="53">
        <v>0.5</v>
      </c>
      <c r="P50" s="53">
        <v>0.5</v>
      </c>
      <c r="Q50" s="16">
        <f t="shared" si="0"/>
        <v>0.5</v>
      </c>
      <c r="R50" s="53">
        <v>14.1</v>
      </c>
      <c r="S50" s="53">
        <v>102</v>
      </c>
      <c r="T50" s="16">
        <f t="shared" si="1"/>
        <v>33</v>
      </c>
      <c r="U50" s="53">
        <v>486</v>
      </c>
      <c r="V50" s="16">
        <f t="shared" si="2"/>
        <v>3207.6</v>
      </c>
      <c r="W50" s="53">
        <v>9</v>
      </c>
      <c r="X50" s="53" t="s">
        <v>46</v>
      </c>
      <c r="Y50" s="53" t="s">
        <v>84</v>
      </c>
      <c r="Z50" s="53" t="s">
        <v>90</v>
      </c>
      <c r="AA50" s="53" t="s">
        <v>50</v>
      </c>
      <c r="AB50" s="53" t="s">
        <v>237</v>
      </c>
    </row>
    <row r="51" spans="1:28" x14ac:dyDescent="0.15">
      <c r="A51" s="53" t="s">
        <v>56</v>
      </c>
      <c r="B51" s="53" t="s">
        <v>233</v>
      </c>
      <c r="C51" s="53">
        <v>2019</v>
      </c>
      <c r="D51" s="81" t="s">
        <v>234</v>
      </c>
      <c r="E51" s="53" t="s">
        <v>244</v>
      </c>
      <c r="F51" s="53" t="s">
        <v>252</v>
      </c>
      <c r="G51" s="53" t="s">
        <v>42</v>
      </c>
      <c r="H51" s="53" t="s">
        <v>160</v>
      </c>
      <c r="I51" s="53" t="s">
        <v>159</v>
      </c>
      <c r="J51" s="53" t="s">
        <v>38</v>
      </c>
      <c r="K51" s="53" t="s">
        <v>161</v>
      </c>
      <c r="L51" s="53">
        <v>2</v>
      </c>
      <c r="N51" s="53">
        <v>5</v>
      </c>
      <c r="O51" s="53">
        <v>0.55000000000000004</v>
      </c>
      <c r="P51" s="53">
        <v>0.5</v>
      </c>
      <c r="Q51" s="16">
        <f t="shared" si="0"/>
        <v>0.52500000000000002</v>
      </c>
      <c r="R51" s="53">
        <v>14.7</v>
      </c>
      <c r="S51" s="53">
        <v>93</v>
      </c>
      <c r="T51" s="16">
        <f t="shared" si="1"/>
        <v>36</v>
      </c>
      <c r="U51" s="53">
        <v>486</v>
      </c>
      <c r="V51" s="16">
        <f t="shared" si="2"/>
        <v>3499.2000000000003</v>
      </c>
      <c r="W51" s="53">
        <v>9</v>
      </c>
      <c r="X51" s="53" t="s">
        <v>46</v>
      </c>
      <c r="Y51" s="53" t="s">
        <v>84</v>
      </c>
      <c r="Z51" s="53" t="s">
        <v>90</v>
      </c>
      <c r="AA51" s="53" t="s">
        <v>50</v>
      </c>
      <c r="AB51" s="53" t="s">
        <v>237</v>
      </c>
    </row>
    <row r="52" spans="1:28" x14ac:dyDescent="0.15">
      <c r="A52" s="53" t="s">
        <v>56</v>
      </c>
      <c r="B52" s="53" t="s">
        <v>233</v>
      </c>
      <c r="C52" s="53">
        <v>2019</v>
      </c>
      <c r="D52" s="81" t="s">
        <v>234</v>
      </c>
      <c r="E52" s="53" t="s">
        <v>244</v>
      </c>
      <c r="F52" s="53" t="s">
        <v>252</v>
      </c>
      <c r="G52" s="53" t="s">
        <v>42</v>
      </c>
      <c r="H52" s="53" t="s">
        <v>160</v>
      </c>
      <c r="I52" s="53" t="s">
        <v>159</v>
      </c>
      <c r="J52" s="53" t="s">
        <v>38</v>
      </c>
      <c r="K52" s="53" t="s">
        <v>161</v>
      </c>
      <c r="L52" s="53">
        <v>3</v>
      </c>
      <c r="N52" s="53">
        <v>5</v>
      </c>
      <c r="O52" s="53">
        <v>0.5</v>
      </c>
      <c r="P52" s="53">
        <v>0.55000000000000004</v>
      </c>
      <c r="Q52" s="16">
        <f t="shared" si="0"/>
        <v>0.52500000000000002</v>
      </c>
      <c r="R52" s="53">
        <v>15.2</v>
      </c>
      <c r="S52" s="53">
        <v>93</v>
      </c>
      <c r="T52" s="16">
        <f t="shared" si="1"/>
        <v>36</v>
      </c>
      <c r="U52" s="53">
        <v>486</v>
      </c>
      <c r="V52" s="16">
        <f t="shared" si="2"/>
        <v>3499.2000000000003</v>
      </c>
      <c r="W52" s="53">
        <v>9</v>
      </c>
      <c r="X52" s="53" t="s">
        <v>46</v>
      </c>
      <c r="Y52" s="53" t="s">
        <v>84</v>
      </c>
      <c r="Z52" s="53" t="s">
        <v>90</v>
      </c>
      <c r="AA52" s="53" t="s">
        <v>50</v>
      </c>
      <c r="AB52" s="53" t="s">
        <v>237</v>
      </c>
    </row>
    <row r="53" spans="1:28" x14ac:dyDescent="0.15">
      <c r="A53" s="53" t="s">
        <v>56</v>
      </c>
      <c r="B53" s="53" t="s">
        <v>233</v>
      </c>
      <c r="C53" s="53">
        <v>2019</v>
      </c>
      <c r="D53" s="81" t="s">
        <v>234</v>
      </c>
      <c r="E53" s="53" t="s">
        <v>259</v>
      </c>
      <c r="F53" s="53" t="s">
        <v>252</v>
      </c>
      <c r="G53" s="53" t="s">
        <v>42</v>
      </c>
      <c r="H53" s="53" t="s">
        <v>164</v>
      </c>
      <c r="I53" s="53" t="s">
        <v>159</v>
      </c>
      <c r="J53" s="53" t="s">
        <v>38</v>
      </c>
      <c r="K53" s="53" t="s">
        <v>161</v>
      </c>
      <c r="L53" s="53">
        <v>1</v>
      </c>
      <c r="N53" s="53">
        <v>5</v>
      </c>
      <c r="O53" s="53">
        <v>0.65</v>
      </c>
      <c r="P53" s="53">
        <v>0.5</v>
      </c>
      <c r="Q53" s="16">
        <f t="shared" si="0"/>
        <v>0.57499999999999996</v>
      </c>
      <c r="R53" s="53">
        <v>15.4</v>
      </c>
      <c r="S53" s="53">
        <v>104</v>
      </c>
      <c r="T53" s="16">
        <f t="shared" si="1"/>
        <v>33</v>
      </c>
      <c r="U53" s="53">
        <v>430</v>
      </c>
      <c r="V53" s="16">
        <f t="shared" si="2"/>
        <v>2838</v>
      </c>
      <c r="W53" s="53">
        <v>6</v>
      </c>
      <c r="X53" s="53" t="s">
        <v>46</v>
      </c>
      <c r="Y53" s="53" t="s">
        <v>84</v>
      </c>
      <c r="Z53" s="53" t="s">
        <v>50</v>
      </c>
      <c r="AA53" s="53" t="s">
        <v>90</v>
      </c>
      <c r="AB53" s="53" t="s">
        <v>237</v>
      </c>
    </row>
    <row r="54" spans="1:28" x14ac:dyDescent="0.15">
      <c r="A54" s="53" t="s">
        <v>56</v>
      </c>
      <c r="B54" s="53" t="s">
        <v>233</v>
      </c>
      <c r="C54" s="53">
        <v>2019</v>
      </c>
      <c r="D54" s="81" t="s">
        <v>234</v>
      </c>
      <c r="E54" s="53" t="s">
        <v>259</v>
      </c>
      <c r="F54" s="53" t="s">
        <v>252</v>
      </c>
      <c r="G54" s="53" t="s">
        <v>42</v>
      </c>
      <c r="H54" s="53" t="s">
        <v>164</v>
      </c>
      <c r="I54" s="53" t="s">
        <v>159</v>
      </c>
      <c r="J54" s="53" t="s">
        <v>38</v>
      </c>
      <c r="K54" s="53" t="s">
        <v>161</v>
      </c>
      <c r="L54" s="53">
        <v>2</v>
      </c>
      <c r="N54" s="53">
        <v>5</v>
      </c>
      <c r="O54" s="53">
        <v>0.7</v>
      </c>
      <c r="P54" s="53">
        <v>0.65</v>
      </c>
      <c r="Q54" s="16">
        <f t="shared" si="0"/>
        <v>0.67500000000000004</v>
      </c>
      <c r="R54" s="53">
        <v>14.7</v>
      </c>
      <c r="S54" s="53">
        <v>97</v>
      </c>
      <c r="T54" s="16">
        <f t="shared" si="1"/>
        <v>36</v>
      </c>
      <c r="U54" s="53">
        <v>430</v>
      </c>
      <c r="V54" s="16">
        <f t="shared" si="2"/>
        <v>3096</v>
      </c>
      <c r="W54" s="53">
        <v>6</v>
      </c>
      <c r="X54" s="53" t="s">
        <v>46</v>
      </c>
      <c r="Y54" s="53" t="s">
        <v>84</v>
      </c>
      <c r="Z54" s="53" t="s">
        <v>50</v>
      </c>
      <c r="AA54" s="53" t="s">
        <v>90</v>
      </c>
      <c r="AB54" s="53" t="s">
        <v>237</v>
      </c>
    </row>
    <row r="55" spans="1:28" x14ac:dyDescent="0.15">
      <c r="A55" s="53" t="s">
        <v>56</v>
      </c>
      <c r="B55" s="53" t="s">
        <v>233</v>
      </c>
      <c r="C55" s="53">
        <v>2019</v>
      </c>
      <c r="D55" s="81" t="s">
        <v>234</v>
      </c>
      <c r="E55" s="53" t="s">
        <v>259</v>
      </c>
      <c r="F55" s="53" t="s">
        <v>252</v>
      </c>
      <c r="G55" s="53" t="s">
        <v>42</v>
      </c>
      <c r="H55" s="53" t="s">
        <v>164</v>
      </c>
      <c r="I55" s="53" t="s">
        <v>159</v>
      </c>
      <c r="J55" s="53" t="s">
        <v>38</v>
      </c>
      <c r="K55" s="53" t="s">
        <v>161</v>
      </c>
      <c r="L55" s="53">
        <v>3</v>
      </c>
      <c r="N55" s="53">
        <v>5</v>
      </c>
      <c r="O55" s="53">
        <v>0.65</v>
      </c>
      <c r="P55" s="53">
        <v>0.7</v>
      </c>
      <c r="Q55" s="16">
        <f t="shared" si="0"/>
        <v>0.67500000000000004</v>
      </c>
      <c r="R55" s="53">
        <v>12.5</v>
      </c>
      <c r="S55" s="53">
        <v>92</v>
      </c>
      <c r="T55" s="16">
        <f t="shared" si="1"/>
        <v>36</v>
      </c>
      <c r="U55" s="53">
        <v>430</v>
      </c>
      <c r="V55" s="16">
        <f t="shared" si="2"/>
        <v>3096</v>
      </c>
      <c r="W55" s="53">
        <v>6</v>
      </c>
      <c r="X55" s="53" t="s">
        <v>46</v>
      </c>
      <c r="Y55" s="53" t="s">
        <v>84</v>
      </c>
      <c r="Z55" s="53" t="s">
        <v>50</v>
      </c>
      <c r="AA55" s="53" t="s">
        <v>90</v>
      </c>
      <c r="AB55" s="53" t="s">
        <v>237</v>
      </c>
    </row>
    <row r="56" spans="1:28" x14ac:dyDescent="0.15">
      <c r="A56" s="53" t="s">
        <v>56</v>
      </c>
      <c r="B56" s="53" t="s">
        <v>233</v>
      </c>
      <c r="C56" s="53">
        <v>2019</v>
      </c>
      <c r="D56" s="81" t="s">
        <v>234</v>
      </c>
      <c r="E56" s="53" t="s">
        <v>259</v>
      </c>
      <c r="F56" s="53" t="s">
        <v>252</v>
      </c>
      <c r="G56" s="53" t="s">
        <v>42</v>
      </c>
      <c r="H56" s="53" t="s">
        <v>160</v>
      </c>
      <c r="I56" s="53" t="s">
        <v>159</v>
      </c>
      <c r="J56" s="53" t="s">
        <v>38</v>
      </c>
      <c r="K56" s="53" t="s">
        <v>161</v>
      </c>
      <c r="L56" s="53">
        <v>1</v>
      </c>
      <c r="N56" s="53">
        <v>5</v>
      </c>
      <c r="O56" s="53">
        <v>0.6</v>
      </c>
      <c r="P56" s="53">
        <v>0.6</v>
      </c>
      <c r="Q56" s="16">
        <f t="shared" si="0"/>
        <v>0.6</v>
      </c>
      <c r="R56" s="53">
        <v>14.7</v>
      </c>
      <c r="S56" s="53">
        <v>108</v>
      </c>
      <c r="T56" s="16">
        <f t="shared" si="1"/>
        <v>33</v>
      </c>
      <c r="U56" s="53">
        <v>646</v>
      </c>
      <c r="V56" s="16">
        <f t="shared" si="2"/>
        <v>4263.5999999999995</v>
      </c>
      <c r="W56" s="53">
        <v>6</v>
      </c>
      <c r="X56" s="53" t="s">
        <v>46</v>
      </c>
      <c r="Y56" s="53" t="s">
        <v>84</v>
      </c>
      <c r="Z56" s="53" t="s">
        <v>50</v>
      </c>
      <c r="AA56" s="53" t="s">
        <v>90</v>
      </c>
      <c r="AB56" s="53" t="s">
        <v>237</v>
      </c>
    </row>
    <row r="57" spans="1:28" x14ac:dyDescent="0.15">
      <c r="A57" s="53" t="s">
        <v>56</v>
      </c>
      <c r="B57" s="53" t="s">
        <v>233</v>
      </c>
      <c r="C57" s="53">
        <v>2019</v>
      </c>
      <c r="D57" s="81" t="s">
        <v>234</v>
      </c>
      <c r="E57" s="53" t="s">
        <v>259</v>
      </c>
      <c r="F57" s="53" t="s">
        <v>252</v>
      </c>
      <c r="G57" s="53" t="s">
        <v>42</v>
      </c>
      <c r="H57" s="53" t="s">
        <v>160</v>
      </c>
      <c r="I57" s="53" t="s">
        <v>159</v>
      </c>
      <c r="J57" s="53" t="s">
        <v>38</v>
      </c>
      <c r="K57" s="53" t="s">
        <v>161</v>
      </c>
      <c r="L57" s="53">
        <v>2</v>
      </c>
      <c r="N57" s="53">
        <v>5</v>
      </c>
      <c r="O57" s="53">
        <v>0.5</v>
      </c>
      <c r="P57" s="53">
        <v>0.55000000000000004</v>
      </c>
      <c r="Q57" s="16">
        <f t="shared" si="0"/>
        <v>0.52500000000000002</v>
      </c>
      <c r="R57" s="53">
        <v>15.1</v>
      </c>
      <c r="S57" s="53">
        <v>110</v>
      </c>
      <c r="T57" s="16">
        <f t="shared" si="1"/>
        <v>33</v>
      </c>
      <c r="U57" s="53">
        <v>646</v>
      </c>
      <c r="V57" s="16">
        <f t="shared" si="2"/>
        <v>4263.5999999999995</v>
      </c>
      <c r="W57" s="53">
        <v>6</v>
      </c>
      <c r="X57" s="53" t="s">
        <v>46</v>
      </c>
      <c r="Y57" s="53" t="s">
        <v>84</v>
      </c>
      <c r="Z57" s="53" t="s">
        <v>50</v>
      </c>
      <c r="AA57" s="53" t="s">
        <v>90</v>
      </c>
      <c r="AB57" s="53" t="s">
        <v>237</v>
      </c>
    </row>
    <row r="58" spans="1:28" x14ac:dyDescent="0.15">
      <c r="A58" s="53" t="s">
        <v>56</v>
      </c>
      <c r="B58" s="53" t="s">
        <v>233</v>
      </c>
      <c r="C58" s="53">
        <v>2019</v>
      </c>
      <c r="D58" s="81" t="s">
        <v>234</v>
      </c>
      <c r="E58" s="53" t="s">
        <v>259</v>
      </c>
      <c r="F58" s="53" t="s">
        <v>252</v>
      </c>
      <c r="G58" s="53" t="s">
        <v>42</v>
      </c>
      <c r="H58" s="53" t="s">
        <v>160</v>
      </c>
      <c r="I58" s="53" t="s">
        <v>159</v>
      </c>
      <c r="J58" s="53" t="s">
        <v>38</v>
      </c>
      <c r="K58" s="53" t="s">
        <v>161</v>
      </c>
      <c r="L58" s="53">
        <v>3</v>
      </c>
      <c r="N58" s="53">
        <v>5</v>
      </c>
      <c r="O58" s="53">
        <v>0.6</v>
      </c>
      <c r="P58" s="53">
        <v>0.6</v>
      </c>
      <c r="Q58" s="16">
        <f t="shared" si="0"/>
        <v>0.6</v>
      </c>
      <c r="R58" s="53">
        <v>15.1</v>
      </c>
      <c r="S58" s="53">
        <v>104</v>
      </c>
      <c r="T58" s="16">
        <f t="shared" si="1"/>
        <v>33</v>
      </c>
      <c r="U58" s="53">
        <v>646</v>
      </c>
      <c r="V58" s="16">
        <f t="shared" si="2"/>
        <v>4263.5999999999995</v>
      </c>
      <c r="W58" s="53">
        <v>6</v>
      </c>
      <c r="X58" s="53" t="s">
        <v>46</v>
      </c>
      <c r="Y58" s="53" t="s">
        <v>84</v>
      </c>
      <c r="Z58" s="53" t="s">
        <v>50</v>
      </c>
      <c r="AA58" s="53" t="s">
        <v>90</v>
      </c>
      <c r="AB58" s="53" t="s">
        <v>237</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26B3E860-41F1-4789-AB1B-131AE2914A3D}">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9163D52-0564-499B-B04C-D692F4BA3359}">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FEDF26A1-4925-4515-A91A-7A9E13B77228}">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8AFFD582-BADD-4058-8FB7-2BD3F0DFA608}">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39FA170A-2311-4FC9-9B7D-B566856C598F}">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E7E8DDB5-5918-483C-A3A8-A3B66BFC52DA}"/>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D13516CD-68FB-40BF-A267-EB2DE0A3E3B2}">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60DA9931-241A-4532-8156-E042C7976FA7}">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B5F8A18C-9D67-4058-BB7E-6675AD2F7D84}">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877207FD-1DE5-4295-9616-CBFEFA1943C8}">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E4EEC642-AE65-4C7C-BC6A-C4844E687195}">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793B77F2-02A4-42E1-9EDC-118E4A5E85A9}">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622A2E92-4150-4997-A3A4-3412CE5FA20B}">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83A91AB8-AE00-484C-A050-4B8651751C73}">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FF38140B-6068-4694-98D6-7941D5237569}">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9CC18D31-1B2E-4522-9529-55F3BB089A91}">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E9EC23E8-C929-4030-975D-2D0515DE3035}">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2FF9D70B-A0C6-47D7-A35C-3E5B401D14E4}">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ADE5-BAEF-4C09-9A92-3911D5E984AD}">
  <dimension ref="A1:BA91"/>
  <sheetViews>
    <sheetView topLeftCell="A37" workbookViewId="0">
      <selection activeCell="W26" sqref="W26"/>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260</v>
      </c>
      <c r="AY1" s="99" t="s">
        <v>181</v>
      </c>
      <c r="AZ1" s="99" t="s">
        <v>261</v>
      </c>
      <c r="BA1" s="100" t="s">
        <v>183</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0.7</v>
      </c>
      <c r="P2" s="93">
        <v>0.7</v>
      </c>
      <c r="Q2" s="102">
        <f t="shared" ref="Q2:Q65" si="0">IF(OR(O2="",P2=""),"",AVERAGE(O2,P2))</f>
        <v>0.7</v>
      </c>
      <c r="R2" s="93">
        <v>13.8</v>
      </c>
      <c r="S2" s="93">
        <v>118</v>
      </c>
      <c r="T2" s="103">
        <f t="shared" ref="T2:T65" si="1">IF(H2="","",IF(OR(H2="GREEN",H2="GK"),IF(S2&gt;=$AX$2,VLOOKUP(S2,$AX$2:$AY$12,2,1),""),IF(S2&gt;=$AZ$2,VLOOKUP(S2,$AZ$2:$BA$12,2,1),"")))</f>
        <v>30</v>
      </c>
      <c r="U2" s="93">
        <v>98</v>
      </c>
      <c r="V2" s="104">
        <f t="shared" ref="V2:V65" si="2">IF(OR(N2="",U2="",T2=""),"",U2/N2*T2)</f>
        <v>2940</v>
      </c>
      <c r="W2" s="93">
        <v>4</v>
      </c>
      <c r="X2" s="93" t="s">
        <v>39</v>
      </c>
      <c r="Y2" s="93" t="s">
        <v>50</v>
      </c>
      <c r="Z2" s="93" t="s">
        <v>84</v>
      </c>
      <c r="AA2" s="93" t="s">
        <v>69</v>
      </c>
      <c r="AB2" s="93" t="s">
        <v>158</v>
      </c>
      <c r="AE2" s="105" t="s">
        <v>35</v>
      </c>
      <c r="AG2" s="106" t="s">
        <v>211</v>
      </c>
      <c r="AH2" s="106" t="s">
        <v>265</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0.75</v>
      </c>
      <c r="P3" s="93">
        <v>0.7</v>
      </c>
      <c r="Q3" s="102">
        <f t="shared" si="0"/>
        <v>0.72499999999999998</v>
      </c>
      <c r="R3" s="93">
        <v>14.5</v>
      </c>
      <c r="S3" s="93">
        <v>122</v>
      </c>
      <c r="T3" s="103">
        <f t="shared" si="1"/>
        <v>27</v>
      </c>
      <c r="U3" s="93">
        <v>98</v>
      </c>
      <c r="V3" s="104">
        <f t="shared" si="2"/>
        <v>2646</v>
      </c>
      <c r="W3" s="93">
        <v>4</v>
      </c>
      <c r="X3" s="93" t="s">
        <v>39</v>
      </c>
      <c r="Y3" s="93" t="s">
        <v>50</v>
      </c>
      <c r="Z3" s="93" t="s">
        <v>84</v>
      </c>
      <c r="AA3" s="93" t="s">
        <v>69</v>
      </c>
      <c r="AB3" s="93" t="s">
        <v>158</v>
      </c>
      <c r="AE3" s="110" t="s">
        <v>41</v>
      </c>
      <c r="AG3" s="106" t="s">
        <v>266</v>
      </c>
      <c r="AH3" s="106" t="s">
        <v>267</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0.8</v>
      </c>
      <c r="P4" s="93">
        <v>0.65</v>
      </c>
      <c r="Q4" s="102">
        <f t="shared" si="0"/>
        <v>0.72500000000000009</v>
      </c>
      <c r="R4" s="93">
        <v>14.8</v>
      </c>
      <c r="S4" s="93">
        <v>124</v>
      </c>
      <c r="T4" s="103">
        <f t="shared" si="1"/>
        <v>27</v>
      </c>
      <c r="U4" s="93">
        <v>98</v>
      </c>
      <c r="V4" s="104">
        <f t="shared" si="2"/>
        <v>2646</v>
      </c>
      <c r="W4" s="93">
        <v>4</v>
      </c>
      <c r="X4" s="93" t="s">
        <v>39</v>
      </c>
      <c r="Y4" s="93" t="s">
        <v>50</v>
      </c>
      <c r="Z4" s="93" t="s">
        <v>84</v>
      </c>
      <c r="AA4" s="93" t="s">
        <v>69</v>
      </c>
      <c r="AB4" s="93" t="s">
        <v>158</v>
      </c>
      <c r="AE4" s="110" t="s">
        <v>34</v>
      </c>
      <c r="AG4" s="106" t="s">
        <v>268</v>
      </c>
      <c r="AH4" s="106" t="s">
        <v>269</v>
      </c>
      <c r="AJ4" s="115" t="s">
        <v>48</v>
      </c>
      <c r="AL4" s="115" t="s">
        <v>191</v>
      </c>
      <c r="AN4" s="116" t="s">
        <v>192</v>
      </c>
      <c r="AP4" s="111" t="s">
        <v>193</v>
      </c>
      <c r="AR4" s="111" t="s">
        <v>194</v>
      </c>
      <c r="AT4" s="116"/>
      <c r="AV4" s="111" t="s">
        <v>50</v>
      </c>
      <c r="AX4" s="112">
        <v>75</v>
      </c>
      <c r="AY4" s="113">
        <v>42</v>
      </c>
      <c r="AZ4" s="113">
        <v>76</v>
      </c>
      <c r="BA4" s="114">
        <v>39</v>
      </c>
    </row>
    <row r="5" spans="1:53" x14ac:dyDescent="0.15">
      <c r="A5" s="93" t="s">
        <v>51</v>
      </c>
      <c r="B5" s="93" t="s">
        <v>157</v>
      </c>
      <c r="C5" s="93">
        <v>2019</v>
      </c>
      <c r="D5" s="101" t="s">
        <v>262</v>
      </c>
      <c r="E5" s="93" t="s">
        <v>266</v>
      </c>
      <c r="F5" s="93" t="s">
        <v>267</v>
      </c>
      <c r="G5" s="93" t="s">
        <v>36</v>
      </c>
      <c r="H5" s="93" t="s">
        <v>164</v>
      </c>
      <c r="I5" s="93" t="s">
        <v>159</v>
      </c>
      <c r="J5" s="93" t="s">
        <v>38</v>
      </c>
      <c r="K5" s="93" t="s">
        <v>161</v>
      </c>
      <c r="L5" s="93">
        <v>1</v>
      </c>
      <c r="N5" s="93">
        <v>1</v>
      </c>
      <c r="O5" s="93">
        <v>0.7</v>
      </c>
      <c r="P5" s="93">
        <v>0.7</v>
      </c>
      <c r="Q5" s="102">
        <f t="shared" si="0"/>
        <v>0.7</v>
      </c>
      <c r="R5" s="93">
        <v>16.899999999999999</v>
      </c>
      <c r="S5" s="93">
        <v>146</v>
      </c>
      <c r="T5" s="103">
        <f t="shared" si="1"/>
        <v>22</v>
      </c>
      <c r="U5" s="93">
        <v>138</v>
      </c>
      <c r="V5" s="104">
        <f t="shared" si="2"/>
        <v>3036</v>
      </c>
      <c r="W5" s="93">
        <v>4</v>
      </c>
      <c r="X5" s="93" t="s">
        <v>39</v>
      </c>
      <c r="Y5" s="93" t="s">
        <v>84</v>
      </c>
      <c r="Z5" s="93" t="s">
        <v>50</v>
      </c>
      <c r="AA5" s="93" t="s">
        <v>90</v>
      </c>
      <c r="AB5" s="93" t="s">
        <v>158</v>
      </c>
      <c r="AE5" s="110" t="s">
        <v>51</v>
      </c>
      <c r="AG5" s="106" t="s">
        <v>270</v>
      </c>
      <c r="AH5" s="106" t="s">
        <v>264</v>
      </c>
      <c r="AJ5" s="116"/>
      <c r="AL5" s="117" t="s">
        <v>164</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262</v>
      </c>
      <c r="E6" s="93" t="s">
        <v>266</v>
      </c>
      <c r="F6" s="93" t="s">
        <v>267</v>
      </c>
      <c r="G6" s="93" t="s">
        <v>36</v>
      </c>
      <c r="H6" s="93" t="s">
        <v>164</v>
      </c>
      <c r="I6" s="93" t="s">
        <v>159</v>
      </c>
      <c r="J6" s="93" t="s">
        <v>38</v>
      </c>
      <c r="K6" s="93" t="s">
        <v>161</v>
      </c>
      <c r="L6" s="93">
        <v>2</v>
      </c>
      <c r="N6" s="93">
        <v>1</v>
      </c>
      <c r="O6" s="93">
        <v>0.75</v>
      </c>
      <c r="P6" s="93">
        <v>0.7</v>
      </c>
      <c r="Q6" s="102">
        <f t="shared" si="0"/>
        <v>0.72499999999999998</v>
      </c>
      <c r="R6" s="93">
        <v>17.100000000000001</v>
      </c>
      <c r="S6" s="93">
        <v>150</v>
      </c>
      <c r="T6" s="103">
        <f t="shared" si="1"/>
        <v>22</v>
      </c>
      <c r="U6" s="93">
        <v>138</v>
      </c>
      <c r="V6" s="104">
        <f t="shared" si="2"/>
        <v>3036</v>
      </c>
      <c r="W6" s="93">
        <v>4</v>
      </c>
      <c r="X6" s="93" t="s">
        <v>39</v>
      </c>
      <c r="Y6" s="93" t="s">
        <v>84</v>
      </c>
      <c r="Z6" s="93" t="s">
        <v>50</v>
      </c>
      <c r="AA6" s="93" t="s">
        <v>90</v>
      </c>
      <c r="AB6" s="93" t="s">
        <v>158</v>
      </c>
      <c r="AE6" s="110" t="s">
        <v>56</v>
      </c>
      <c r="AG6" s="106" t="s">
        <v>271</v>
      </c>
      <c r="AH6" s="106" t="s">
        <v>272</v>
      </c>
      <c r="AL6" s="117" t="s">
        <v>198</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266</v>
      </c>
      <c r="F7" s="93" t="s">
        <v>267</v>
      </c>
      <c r="G7" s="93" t="s">
        <v>36</v>
      </c>
      <c r="H7" s="93" t="s">
        <v>164</v>
      </c>
      <c r="I7" s="93" t="s">
        <v>159</v>
      </c>
      <c r="J7" s="93" t="s">
        <v>38</v>
      </c>
      <c r="K7" s="93" t="s">
        <v>161</v>
      </c>
      <c r="L7" s="93">
        <v>3</v>
      </c>
      <c r="N7" s="93">
        <v>1</v>
      </c>
      <c r="O7" s="93">
        <v>0.65</v>
      </c>
      <c r="P7" s="93">
        <v>0.6</v>
      </c>
      <c r="Q7" s="102">
        <f t="shared" si="0"/>
        <v>0.625</v>
      </c>
      <c r="R7" s="93">
        <v>16.399999999999999</v>
      </c>
      <c r="S7" s="93">
        <v>138</v>
      </c>
      <c r="T7" s="103">
        <f t="shared" si="1"/>
        <v>22</v>
      </c>
      <c r="U7" s="93">
        <v>138</v>
      </c>
      <c r="V7" s="104">
        <f t="shared" si="2"/>
        <v>3036</v>
      </c>
      <c r="W7" s="93">
        <v>4</v>
      </c>
      <c r="X7" s="93" t="s">
        <v>39</v>
      </c>
      <c r="Y7" s="93" t="s">
        <v>84</v>
      </c>
      <c r="Z7" s="93" t="s">
        <v>50</v>
      </c>
      <c r="AA7" s="93" t="s">
        <v>90</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160</v>
      </c>
      <c r="I8" s="93" t="s">
        <v>159</v>
      </c>
      <c r="J8" s="93" t="s">
        <v>38</v>
      </c>
      <c r="K8" s="93" t="s">
        <v>161</v>
      </c>
      <c r="L8" s="93">
        <v>1</v>
      </c>
      <c r="N8" s="93">
        <v>1</v>
      </c>
      <c r="O8" s="93">
        <v>0.75</v>
      </c>
      <c r="P8" s="93">
        <v>0.8</v>
      </c>
      <c r="Q8" s="102">
        <f t="shared" si="0"/>
        <v>0.77500000000000002</v>
      </c>
      <c r="R8" s="93">
        <v>17.2</v>
      </c>
      <c r="S8" s="93">
        <v>146</v>
      </c>
      <c r="T8" s="103">
        <f t="shared" si="1"/>
        <v>22</v>
      </c>
      <c r="U8" s="93">
        <v>138</v>
      </c>
      <c r="V8" s="104">
        <f t="shared" si="2"/>
        <v>3036</v>
      </c>
      <c r="W8" s="93">
        <v>4</v>
      </c>
      <c r="X8" s="93" t="s">
        <v>39</v>
      </c>
      <c r="Y8" s="93" t="s">
        <v>84</v>
      </c>
      <c r="Z8" s="93" t="s">
        <v>50</v>
      </c>
      <c r="AA8" s="93" t="s">
        <v>90</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160</v>
      </c>
      <c r="I9" s="93" t="s">
        <v>159</v>
      </c>
      <c r="J9" s="93" t="s">
        <v>38</v>
      </c>
      <c r="K9" s="93" t="s">
        <v>161</v>
      </c>
      <c r="L9" s="93">
        <v>2</v>
      </c>
      <c r="N9" s="93">
        <v>1</v>
      </c>
      <c r="O9" s="93">
        <v>0.7</v>
      </c>
      <c r="P9" s="93">
        <v>0.75</v>
      </c>
      <c r="Q9" s="102">
        <f t="shared" si="0"/>
        <v>0.72499999999999998</v>
      </c>
      <c r="R9" s="93">
        <v>17.600000000000001</v>
      </c>
      <c r="S9" s="93">
        <v>148</v>
      </c>
      <c r="T9" s="103">
        <f t="shared" si="1"/>
        <v>22</v>
      </c>
      <c r="U9" s="93">
        <v>138</v>
      </c>
      <c r="V9" s="104">
        <f t="shared" si="2"/>
        <v>3036</v>
      </c>
      <c r="W9" s="93">
        <v>4</v>
      </c>
      <c r="X9" s="93" t="s">
        <v>39</v>
      </c>
      <c r="Y9" s="93" t="s">
        <v>84</v>
      </c>
      <c r="Z9" s="93" t="s">
        <v>50</v>
      </c>
      <c r="AA9" s="93" t="s">
        <v>90</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160</v>
      </c>
      <c r="I10" s="93" t="s">
        <v>159</v>
      </c>
      <c r="J10" s="93" t="s">
        <v>38</v>
      </c>
      <c r="K10" s="93" t="s">
        <v>161</v>
      </c>
      <c r="L10" s="93">
        <v>3</v>
      </c>
      <c r="N10" s="93">
        <v>1</v>
      </c>
      <c r="O10" s="93">
        <v>0.85</v>
      </c>
      <c r="P10" s="93">
        <v>0.6</v>
      </c>
      <c r="Q10" s="102">
        <f t="shared" si="0"/>
        <v>0.72499999999999998</v>
      </c>
      <c r="R10" s="93">
        <v>18.3</v>
      </c>
      <c r="S10" s="93">
        <v>150</v>
      </c>
      <c r="T10" s="103">
        <f t="shared" si="1"/>
        <v>22</v>
      </c>
      <c r="U10" s="93">
        <v>138</v>
      </c>
      <c r="V10" s="104">
        <f t="shared" si="2"/>
        <v>3036</v>
      </c>
      <c r="W10" s="93">
        <v>4</v>
      </c>
      <c r="X10" s="93" t="s">
        <v>39</v>
      </c>
      <c r="Y10" s="93" t="s">
        <v>84</v>
      </c>
      <c r="Z10" s="93" t="s">
        <v>50</v>
      </c>
      <c r="AA10" s="93" t="s">
        <v>90</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139</v>
      </c>
      <c r="F11" s="93" t="s">
        <v>277</v>
      </c>
      <c r="G11" s="93" t="s">
        <v>42</v>
      </c>
      <c r="H11" s="93" t="s">
        <v>164</v>
      </c>
      <c r="I11" s="93" t="s">
        <v>159</v>
      </c>
      <c r="J11" s="93" t="s">
        <v>38</v>
      </c>
      <c r="K11" s="93" t="s">
        <v>161</v>
      </c>
      <c r="L11" s="93">
        <v>1</v>
      </c>
      <c r="N11" s="93">
        <v>1</v>
      </c>
      <c r="O11" s="93">
        <v>1</v>
      </c>
      <c r="P11" s="93">
        <v>1</v>
      </c>
      <c r="Q11" s="102">
        <f t="shared" si="0"/>
        <v>1</v>
      </c>
      <c r="R11" s="93">
        <v>15.9</v>
      </c>
      <c r="S11" s="93">
        <v>114</v>
      </c>
      <c r="T11" s="103">
        <f t="shared" si="1"/>
        <v>30</v>
      </c>
      <c r="U11" s="93">
        <v>98</v>
      </c>
      <c r="V11" s="104">
        <f t="shared" si="2"/>
        <v>2940</v>
      </c>
      <c r="W11" s="93">
        <v>11</v>
      </c>
      <c r="X11" s="93" t="s">
        <v>46</v>
      </c>
      <c r="Y11" s="93" t="s">
        <v>84</v>
      </c>
      <c r="Z11" s="93" t="s">
        <v>50</v>
      </c>
      <c r="AA11" s="93" t="s">
        <v>90</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139</v>
      </c>
      <c r="F12" s="93" t="s">
        <v>277</v>
      </c>
      <c r="G12" s="93" t="s">
        <v>42</v>
      </c>
      <c r="H12" s="93" t="s">
        <v>164</v>
      </c>
      <c r="I12" s="93" t="s">
        <v>159</v>
      </c>
      <c r="J12" s="93" t="s">
        <v>38</v>
      </c>
      <c r="K12" s="93" t="s">
        <v>161</v>
      </c>
      <c r="L12" s="93">
        <v>2</v>
      </c>
      <c r="N12" s="93">
        <v>1</v>
      </c>
      <c r="O12" s="93">
        <v>0.95</v>
      </c>
      <c r="P12" s="93">
        <v>0.9</v>
      </c>
      <c r="Q12" s="102">
        <f t="shared" si="0"/>
        <v>0.92500000000000004</v>
      </c>
      <c r="R12" s="93">
        <v>16.8</v>
      </c>
      <c r="S12" s="93">
        <v>110</v>
      </c>
      <c r="T12" s="103">
        <f t="shared" si="1"/>
        <v>33</v>
      </c>
      <c r="U12" s="93">
        <v>98</v>
      </c>
      <c r="V12" s="104">
        <f t="shared" si="2"/>
        <v>3234</v>
      </c>
      <c r="W12" s="93">
        <v>11</v>
      </c>
      <c r="X12" s="93" t="s">
        <v>46</v>
      </c>
      <c r="Y12" s="93" t="s">
        <v>84</v>
      </c>
      <c r="Z12" s="93" t="s">
        <v>50</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139</v>
      </c>
      <c r="F13" s="93" t="s">
        <v>277</v>
      </c>
      <c r="G13" s="93" t="s">
        <v>42</v>
      </c>
      <c r="H13" s="93" t="s">
        <v>164</v>
      </c>
      <c r="I13" s="93" t="s">
        <v>159</v>
      </c>
      <c r="J13" s="93" t="s">
        <v>38</v>
      </c>
      <c r="K13" s="93" t="s">
        <v>161</v>
      </c>
      <c r="L13" s="93">
        <v>3</v>
      </c>
      <c r="N13" s="93">
        <v>1</v>
      </c>
      <c r="O13" s="93">
        <v>0.9</v>
      </c>
      <c r="P13" s="93">
        <v>1.05</v>
      </c>
      <c r="Q13" s="102">
        <f t="shared" si="0"/>
        <v>0.97500000000000009</v>
      </c>
      <c r="R13" s="93">
        <v>16.399999999999999</v>
      </c>
      <c r="S13" s="93">
        <v>114</v>
      </c>
      <c r="T13" s="103">
        <f t="shared" si="1"/>
        <v>30</v>
      </c>
      <c r="U13" s="93">
        <v>98</v>
      </c>
      <c r="V13" s="104">
        <f t="shared" si="2"/>
        <v>2940</v>
      </c>
      <c r="W13" s="93">
        <v>11</v>
      </c>
      <c r="X13" s="93" t="s">
        <v>46</v>
      </c>
      <c r="Y13" s="93" t="s">
        <v>84</v>
      </c>
      <c r="Z13" s="93" t="s">
        <v>50</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160</v>
      </c>
      <c r="I14" s="93" t="s">
        <v>159</v>
      </c>
      <c r="J14" s="93" t="s">
        <v>38</v>
      </c>
      <c r="K14" s="93" t="s">
        <v>213</v>
      </c>
      <c r="L14" s="93">
        <v>1</v>
      </c>
      <c r="N14" s="93">
        <v>1</v>
      </c>
      <c r="O14" s="93">
        <v>0.95</v>
      </c>
      <c r="P14" s="93">
        <v>1.05</v>
      </c>
      <c r="Q14" s="102">
        <f t="shared" si="0"/>
        <v>1</v>
      </c>
      <c r="R14" s="93">
        <v>12.7</v>
      </c>
      <c r="S14" s="93">
        <v>118</v>
      </c>
      <c r="T14" s="103">
        <f t="shared" si="1"/>
        <v>30</v>
      </c>
      <c r="U14" s="93">
        <v>178</v>
      </c>
      <c r="V14" s="104">
        <f t="shared" si="2"/>
        <v>5340</v>
      </c>
      <c r="W14" s="93">
        <v>11</v>
      </c>
      <c r="X14" s="93" t="s">
        <v>46</v>
      </c>
      <c r="Y14" s="93" t="s">
        <v>84</v>
      </c>
      <c r="Z14" s="93" t="s">
        <v>50</v>
      </c>
      <c r="AA14" s="93" t="s">
        <v>90</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160</v>
      </c>
      <c r="I15" s="93" t="s">
        <v>159</v>
      </c>
      <c r="J15" s="93" t="s">
        <v>38</v>
      </c>
      <c r="K15" s="93" t="s">
        <v>213</v>
      </c>
      <c r="L15" s="93">
        <v>2</v>
      </c>
      <c r="N15" s="93">
        <v>1</v>
      </c>
      <c r="O15" s="93">
        <v>1.1000000000000001</v>
      </c>
      <c r="P15" s="93">
        <v>0.95</v>
      </c>
      <c r="Q15" s="102">
        <f t="shared" si="0"/>
        <v>1.0249999999999999</v>
      </c>
      <c r="R15" s="93">
        <v>12.5</v>
      </c>
      <c r="S15" s="93">
        <v>118</v>
      </c>
      <c r="T15" s="103">
        <f t="shared" si="1"/>
        <v>30</v>
      </c>
      <c r="U15" s="93">
        <v>178</v>
      </c>
      <c r="V15" s="104">
        <f t="shared" si="2"/>
        <v>5340</v>
      </c>
      <c r="W15" s="93">
        <v>11</v>
      </c>
      <c r="X15" s="93" t="s">
        <v>46</v>
      </c>
      <c r="Y15" s="93" t="s">
        <v>84</v>
      </c>
      <c r="Z15" s="93" t="s">
        <v>50</v>
      </c>
      <c r="AA15" s="93" t="s">
        <v>90</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160</v>
      </c>
      <c r="I16" s="93" t="s">
        <v>159</v>
      </c>
      <c r="J16" s="93" t="s">
        <v>38</v>
      </c>
      <c r="K16" s="93" t="s">
        <v>213</v>
      </c>
      <c r="L16" s="93">
        <v>3</v>
      </c>
      <c r="N16" s="93">
        <v>1</v>
      </c>
      <c r="O16" s="93">
        <v>1</v>
      </c>
      <c r="P16" s="93">
        <v>1</v>
      </c>
      <c r="Q16" s="102">
        <f t="shared" si="0"/>
        <v>1</v>
      </c>
      <c r="R16" s="93">
        <v>12.2</v>
      </c>
      <c r="S16" s="93">
        <v>116</v>
      </c>
      <c r="T16" s="103">
        <f t="shared" si="1"/>
        <v>30</v>
      </c>
      <c r="U16" s="93">
        <v>178</v>
      </c>
      <c r="V16" s="104">
        <f t="shared" si="2"/>
        <v>5340</v>
      </c>
      <c r="W16" s="93">
        <v>11</v>
      </c>
      <c r="X16" s="93" t="s">
        <v>46</v>
      </c>
      <c r="Y16" s="93" t="s">
        <v>84</v>
      </c>
      <c r="Z16" s="93" t="s">
        <v>50</v>
      </c>
      <c r="AA16" s="93" t="s">
        <v>90</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188</v>
      </c>
      <c r="I17" s="93" t="s">
        <v>159</v>
      </c>
      <c r="J17" s="93" t="s">
        <v>80</v>
      </c>
      <c r="K17" s="93" t="s">
        <v>63</v>
      </c>
      <c r="L17" s="93">
        <v>1</v>
      </c>
      <c r="N17" s="93">
        <v>4</v>
      </c>
      <c r="O17" s="93">
        <v>1.1499999999999999</v>
      </c>
      <c r="P17" s="93">
        <v>1.1000000000000001</v>
      </c>
      <c r="Q17" s="102">
        <f t="shared" si="0"/>
        <v>1.125</v>
      </c>
      <c r="R17" s="93">
        <v>15.1</v>
      </c>
      <c r="S17" s="93">
        <v>95</v>
      </c>
      <c r="T17" s="103">
        <f t="shared" si="1"/>
        <v>36</v>
      </c>
      <c r="U17" s="93">
        <v>398</v>
      </c>
      <c r="V17" s="104">
        <f t="shared" si="2"/>
        <v>3582</v>
      </c>
      <c r="W17" s="93">
        <v>11</v>
      </c>
      <c r="X17" s="93" t="s">
        <v>46</v>
      </c>
      <c r="Y17" s="93" t="s">
        <v>84</v>
      </c>
      <c r="Z17" s="93" t="s">
        <v>50</v>
      </c>
      <c r="AA17" s="93" t="s">
        <v>90</v>
      </c>
      <c r="AB17" s="93" t="s">
        <v>158</v>
      </c>
      <c r="AE17" s="110" t="s">
        <v>220</v>
      </c>
      <c r="AP17" s="115" t="s">
        <v>221</v>
      </c>
      <c r="AR17" s="111" t="s">
        <v>96</v>
      </c>
      <c r="AV17" s="111" t="s">
        <v>86</v>
      </c>
    </row>
    <row r="18" spans="1:48" x14ac:dyDescent="0.15">
      <c r="A18" s="93" t="s">
        <v>51</v>
      </c>
      <c r="B18" s="93" t="s">
        <v>157</v>
      </c>
      <c r="C18" s="93">
        <v>2019</v>
      </c>
      <c r="D18" s="101" t="s">
        <v>262</v>
      </c>
      <c r="E18" s="93" t="s">
        <v>139</v>
      </c>
      <c r="F18" s="93" t="s">
        <v>277</v>
      </c>
      <c r="G18" s="93" t="s">
        <v>42</v>
      </c>
      <c r="H18" s="93" t="s">
        <v>188</v>
      </c>
      <c r="I18" s="93" t="s">
        <v>159</v>
      </c>
      <c r="J18" s="93" t="s">
        <v>80</v>
      </c>
      <c r="K18" s="93" t="s">
        <v>63</v>
      </c>
      <c r="L18" s="93">
        <v>2</v>
      </c>
      <c r="N18" s="93">
        <v>4</v>
      </c>
      <c r="O18" s="93">
        <v>1.1499999999999999</v>
      </c>
      <c r="P18" s="93">
        <v>1.3</v>
      </c>
      <c r="Q18" s="102">
        <f t="shared" si="0"/>
        <v>1.2250000000000001</v>
      </c>
      <c r="R18" s="93">
        <v>14.3</v>
      </c>
      <c r="S18" s="93">
        <v>88</v>
      </c>
      <c r="T18" s="103">
        <f t="shared" si="1"/>
        <v>36</v>
      </c>
      <c r="U18" s="93">
        <v>398</v>
      </c>
      <c r="V18" s="104">
        <f t="shared" si="2"/>
        <v>3582</v>
      </c>
      <c r="W18" s="93">
        <v>11</v>
      </c>
      <c r="X18" s="93" t="s">
        <v>46</v>
      </c>
      <c r="Y18" s="93" t="s">
        <v>84</v>
      </c>
      <c r="Z18" s="93" t="s">
        <v>50</v>
      </c>
      <c r="AA18" s="93" t="s">
        <v>90</v>
      </c>
      <c r="AB18" s="93" t="s">
        <v>158</v>
      </c>
      <c r="AE18" s="110" t="s">
        <v>213</v>
      </c>
      <c r="AP18" s="115" t="s">
        <v>222</v>
      </c>
      <c r="AR18" s="111" t="s">
        <v>101</v>
      </c>
      <c r="AV18" s="111" t="s">
        <v>88</v>
      </c>
    </row>
    <row r="19" spans="1:48" x14ac:dyDescent="0.15">
      <c r="A19" s="93" t="s">
        <v>51</v>
      </c>
      <c r="B19" s="93" t="s">
        <v>157</v>
      </c>
      <c r="C19" s="93">
        <v>2019</v>
      </c>
      <c r="D19" s="101" t="s">
        <v>262</v>
      </c>
      <c r="E19" s="93" t="s">
        <v>139</v>
      </c>
      <c r="F19" s="93" t="s">
        <v>277</v>
      </c>
      <c r="G19" s="93" t="s">
        <v>42</v>
      </c>
      <c r="H19" s="93" t="s">
        <v>188</v>
      </c>
      <c r="I19" s="93" t="s">
        <v>159</v>
      </c>
      <c r="J19" s="93" t="s">
        <v>80</v>
      </c>
      <c r="K19" s="93" t="s">
        <v>63</v>
      </c>
      <c r="L19" s="93">
        <v>3</v>
      </c>
      <c r="N19" s="93">
        <v>4</v>
      </c>
      <c r="O19" s="93">
        <v>1.2</v>
      </c>
      <c r="P19" s="93">
        <v>1.25</v>
      </c>
      <c r="Q19" s="102">
        <f t="shared" si="0"/>
        <v>1.2250000000000001</v>
      </c>
      <c r="R19" s="93">
        <v>14.7</v>
      </c>
      <c r="S19" s="93">
        <v>85</v>
      </c>
      <c r="T19" s="103">
        <f t="shared" si="1"/>
        <v>36</v>
      </c>
      <c r="U19" s="93">
        <v>398</v>
      </c>
      <c r="V19" s="104">
        <f t="shared" si="2"/>
        <v>3582</v>
      </c>
      <c r="W19" s="93">
        <v>11</v>
      </c>
      <c r="X19" s="93" t="s">
        <v>46</v>
      </c>
      <c r="Y19" s="93" t="s">
        <v>84</v>
      </c>
      <c r="Z19" s="93" t="s">
        <v>50</v>
      </c>
      <c r="AA19" s="93" t="s">
        <v>90</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164</v>
      </c>
      <c r="I20" s="93" t="s">
        <v>159</v>
      </c>
      <c r="J20" s="93" t="s">
        <v>38</v>
      </c>
      <c r="K20" s="93" t="s">
        <v>161</v>
      </c>
      <c r="L20" s="93">
        <v>1</v>
      </c>
      <c r="N20" s="93">
        <v>1</v>
      </c>
      <c r="O20" s="93">
        <v>0.7</v>
      </c>
      <c r="P20" s="93">
        <v>0.8</v>
      </c>
      <c r="Q20" s="102">
        <f t="shared" si="0"/>
        <v>0.75</v>
      </c>
      <c r="R20" s="93">
        <v>16.600000000000001</v>
      </c>
      <c r="S20" s="93">
        <v>140</v>
      </c>
      <c r="T20" s="103">
        <f t="shared" si="1"/>
        <v>22</v>
      </c>
      <c r="U20" s="93">
        <v>98</v>
      </c>
      <c r="V20" s="104">
        <f t="shared" si="2"/>
        <v>2156</v>
      </c>
      <c r="W20" s="93">
        <v>6</v>
      </c>
      <c r="X20" s="93" t="s">
        <v>46</v>
      </c>
      <c r="Y20" s="93" t="s">
        <v>50</v>
      </c>
      <c r="Z20" s="93" t="s">
        <v>84</v>
      </c>
      <c r="AA20" s="93" t="s">
        <v>69</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164</v>
      </c>
      <c r="I21" s="93" t="s">
        <v>159</v>
      </c>
      <c r="J21" s="93" t="s">
        <v>38</v>
      </c>
      <c r="K21" s="93" t="s">
        <v>161</v>
      </c>
      <c r="L21" s="93">
        <v>2</v>
      </c>
      <c r="N21" s="93">
        <v>1</v>
      </c>
      <c r="O21" s="93">
        <v>0.85</v>
      </c>
      <c r="P21" s="93">
        <v>0.65</v>
      </c>
      <c r="Q21" s="102">
        <f t="shared" si="0"/>
        <v>0.75</v>
      </c>
      <c r="R21" s="93">
        <v>17</v>
      </c>
      <c r="S21" s="93">
        <v>142</v>
      </c>
      <c r="T21" s="103">
        <f t="shared" si="1"/>
        <v>22</v>
      </c>
      <c r="U21" s="93">
        <v>98</v>
      </c>
      <c r="V21" s="104">
        <f t="shared" si="2"/>
        <v>2156</v>
      </c>
      <c r="W21" s="93">
        <v>6</v>
      </c>
      <c r="X21" s="93" t="s">
        <v>46</v>
      </c>
      <c r="Y21" s="93" t="s">
        <v>50</v>
      </c>
      <c r="Z21" s="93" t="s">
        <v>84</v>
      </c>
      <c r="AA21" s="93" t="s">
        <v>69</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164</v>
      </c>
      <c r="I22" s="93" t="s">
        <v>159</v>
      </c>
      <c r="J22" s="93" t="s">
        <v>38</v>
      </c>
      <c r="K22" s="93" t="s">
        <v>161</v>
      </c>
      <c r="L22" s="93">
        <v>3</v>
      </c>
      <c r="N22" s="93">
        <v>1</v>
      </c>
      <c r="O22" s="93">
        <v>0.75</v>
      </c>
      <c r="P22" s="93">
        <v>0.55000000000000004</v>
      </c>
      <c r="Q22" s="102">
        <f t="shared" si="0"/>
        <v>0.65</v>
      </c>
      <c r="R22" s="93">
        <v>16.899999999999999</v>
      </c>
      <c r="S22" s="93">
        <v>138</v>
      </c>
      <c r="T22" s="103">
        <f t="shared" si="1"/>
        <v>22</v>
      </c>
      <c r="U22" s="93">
        <v>98</v>
      </c>
      <c r="V22" s="104">
        <f t="shared" si="2"/>
        <v>2156</v>
      </c>
      <c r="W22" s="93">
        <v>6</v>
      </c>
      <c r="X22" s="93" t="s">
        <v>46</v>
      </c>
      <c r="Y22" s="93" t="s">
        <v>50</v>
      </c>
      <c r="Z22" s="93" t="s">
        <v>84</v>
      </c>
      <c r="AA22" s="93" t="s">
        <v>69</v>
      </c>
      <c r="AB22" s="93" t="s">
        <v>158</v>
      </c>
      <c r="AP22" s="115" t="s">
        <v>229</v>
      </c>
      <c r="AR22" s="111" t="s">
        <v>83</v>
      </c>
      <c r="AV22" s="115"/>
    </row>
    <row r="23" spans="1:48" x14ac:dyDescent="0.15">
      <c r="A23" s="93" t="s">
        <v>51</v>
      </c>
      <c r="B23" s="93" t="s">
        <v>157</v>
      </c>
      <c r="C23" s="93">
        <v>2019</v>
      </c>
      <c r="D23" s="101" t="s">
        <v>262</v>
      </c>
      <c r="E23" s="93" t="s">
        <v>271</v>
      </c>
      <c r="F23" s="93" t="s">
        <v>272</v>
      </c>
      <c r="G23" s="93" t="s">
        <v>36</v>
      </c>
      <c r="H23" s="93" t="s">
        <v>160</v>
      </c>
      <c r="I23" s="93" t="s">
        <v>159</v>
      </c>
      <c r="J23" s="93" t="s">
        <v>38</v>
      </c>
      <c r="K23" s="93" t="s">
        <v>161</v>
      </c>
      <c r="L23" s="93">
        <v>1</v>
      </c>
      <c r="N23" s="93">
        <v>4</v>
      </c>
      <c r="O23" s="93">
        <v>0.55000000000000004</v>
      </c>
      <c r="P23" s="93">
        <v>0.5</v>
      </c>
      <c r="Q23" s="102">
        <f t="shared" si="0"/>
        <v>0.52500000000000002</v>
      </c>
      <c r="R23" s="93">
        <v>16.2</v>
      </c>
      <c r="S23" s="93">
        <v>102</v>
      </c>
      <c r="T23" s="103">
        <f t="shared" si="1"/>
        <v>33</v>
      </c>
      <c r="U23" s="93">
        <v>498</v>
      </c>
      <c r="V23" s="104">
        <f t="shared" si="2"/>
        <v>4108.5</v>
      </c>
      <c r="W23" s="93">
        <v>6</v>
      </c>
      <c r="X23" s="93" t="s">
        <v>46</v>
      </c>
      <c r="Y23" s="93" t="s">
        <v>50</v>
      </c>
      <c r="Z23" s="93" t="s">
        <v>84</v>
      </c>
      <c r="AA23" s="93" t="s">
        <v>69</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160</v>
      </c>
      <c r="I24" s="93" t="s">
        <v>159</v>
      </c>
      <c r="J24" s="93" t="s">
        <v>38</v>
      </c>
      <c r="K24" s="93" t="s">
        <v>161</v>
      </c>
      <c r="L24" s="93">
        <v>2</v>
      </c>
      <c r="N24" s="93">
        <v>4</v>
      </c>
      <c r="O24" s="93">
        <v>0.25</v>
      </c>
      <c r="P24" s="93">
        <v>0.25</v>
      </c>
      <c r="Q24" s="102">
        <f t="shared" si="0"/>
        <v>0.25</v>
      </c>
      <c r="R24" s="93">
        <v>17</v>
      </c>
      <c r="S24" s="93">
        <v>97</v>
      </c>
      <c r="T24" s="103">
        <f t="shared" si="1"/>
        <v>36</v>
      </c>
      <c r="U24" s="93">
        <v>498</v>
      </c>
      <c r="V24" s="104">
        <f t="shared" si="2"/>
        <v>4482</v>
      </c>
      <c r="W24" s="93">
        <v>6</v>
      </c>
      <c r="X24" s="93" t="s">
        <v>46</v>
      </c>
      <c r="Y24" s="93" t="s">
        <v>50</v>
      </c>
      <c r="Z24" s="93" t="s">
        <v>84</v>
      </c>
      <c r="AA24" s="93" t="s">
        <v>69</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160</v>
      </c>
      <c r="I25" s="93" t="s">
        <v>159</v>
      </c>
      <c r="J25" s="93" t="s">
        <v>38</v>
      </c>
      <c r="K25" s="93" t="s">
        <v>161</v>
      </c>
      <c r="L25" s="93">
        <v>3</v>
      </c>
      <c r="N25" s="93">
        <v>4</v>
      </c>
      <c r="O25" s="93">
        <v>0.6</v>
      </c>
      <c r="P25" s="93">
        <v>0.55000000000000004</v>
      </c>
      <c r="Q25" s="102">
        <f t="shared" si="0"/>
        <v>0.57499999999999996</v>
      </c>
      <c r="R25" s="93">
        <v>16.8</v>
      </c>
      <c r="S25" s="93">
        <v>108</v>
      </c>
      <c r="T25" s="103">
        <f t="shared" si="1"/>
        <v>33</v>
      </c>
      <c r="U25" s="93">
        <v>498</v>
      </c>
      <c r="V25" s="104">
        <f t="shared" si="2"/>
        <v>4108.5</v>
      </c>
      <c r="W25" s="93">
        <v>6</v>
      </c>
      <c r="X25" s="93" t="s">
        <v>46</v>
      </c>
      <c r="Y25" s="93" t="s">
        <v>50</v>
      </c>
      <c r="Z25" s="93" t="s">
        <v>84</v>
      </c>
      <c r="AA25" s="93" t="s">
        <v>69</v>
      </c>
      <c r="AB25" s="93" t="s">
        <v>158</v>
      </c>
      <c r="AP25" s="115" t="s">
        <v>280</v>
      </c>
      <c r="AR25" s="115" t="s">
        <v>51</v>
      </c>
    </row>
    <row r="26" spans="1:48" x14ac:dyDescent="0.15">
      <c r="A26" s="93" t="s">
        <v>51</v>
      </c>
      <c r="B26" s="93" t="s">
        <v>157</v>
      </c>
      <c r="C26" s="93">
        <v>2019</v>
      </c>
      <c r="D26" s="101" t="s">
        <v>262</v>
      </c>
      <c r="E26" s="93" t="s">
        <v>211</v>
      </c>
      <c r="F26" s="93" t="s">
        <v>265</v>
      </c>
      <c r="G26" s="93" t="s">
        <v>42</v>
      </c>
      <c r="H26" s="93" t="s">
        <v>164</v>
      </c>
      <c r="I26" s="93" t="s">
        <v>165</v>
      </c>
      <c r="J26" s="93" t="s">
        <v>38</v>
      </c>
      <c r="K26" s="93" t="s">
        <v>161</v>
      </c>
      <c r="L26" s="93">
        <v>1</v>
      </c>
      <c r="N26" s="93">
        <v>1</v>
      </c>
      <c r="O26" s="93">
        <v>1.1000000000000001</v>
      </c>
      <c r="P26" s="93">
        <v>1</v>
      </c>
      <c r="Q26" s="102">
        <f t="shared" si="0"/>
        <v>1.05</v>
      </c>
      <c r="R26" s="93">
        <v>15.5</v>
      </c>
      <c r="S26" s="93">
        <v>122</v>
      </c>
      <c r="T26" s="103">
        <f t="shared" si="1"/>
        <v>27</v>
      </c>
      <c r="U26" s="93">
        <v>97</v>
      </c>
      <c r="V26" s="104">
        <f t="shared" si="2"/>
        <v>2619</v>
      </c>
      <c r="W26" s="93">
        <v>6</v>
      </c>
      <c r="X26" s="93" t="s">
        <v>46</v>
      </c>
      <c r="Y26" s="93" t="s">
        <v>84</v>
      </c>
      <c r="Z26" s="93" t="s">
        <v>90</v>
      </c>
      <c r="AA26" s="93" t="s">
        <v>50</v>
      </c>
      <c r="AB26" s="93" t="s">
        <v>158</v>
      </c>
      <c r="AP26" s="115" t="s">
        <v>230</v>
      </c>
      <c r="AR26" s="93" t="s">
        <v>231</v>
      </c>
    </row>
    <row r="27" spans="1:48" x14ac:dyDescent="0.15">
      <c r="A27" s="93" t="s">
        <v>51</v>
      </c>
      <c r="B27" s="93" t="s">
        <v>157</v>
      </c>
      <c r="C27" s="93">
        <v>2019</v>
      </c>
      <c r="D27" s="101" t="s">
        <v>262</v>
      </c>
      <c r="E27" s="93" t="s">
        <v>211</v>
      </c>
      <c r="F27" s="93" t="s">
        <v>265</v>
      </c>
      <c r="G27" s="93" t="s">
        <v>42</v>
      </c>
      <c r="H27" s="93" t="s">
        <v>164</v>
      </c>
      <c r="I27" s="93" t="s">
        <v>165</v>
      </c>
      <c r="J27" s="93" t="s">
        <v>38</v>
      </c>
      <c r="K27" s="93" t="s">
        <v>161</v>
      </c>
      <c r="L27" s="93">
        <v>2</v>
      </c>
      <c r="N27" s="93">
        <v>1</v>
      </c>
      <c r="O27" s="93">
        <v>1.25</v>
      </c>
      <c r="P27" s="93">
        <v>1.1499999999999999</v>
      </c>
      <c r="Q27" s="102">
        <f t="shared" si="0"/>
        <v>1.2</v>
      </c>
      <c r="R27" s="93">
        <v>14.7</v>
      </c>
      <c r="S27" s="93">
        <v>122</v>
      </c>
      <c r="T27" s="103">
        <f t="shared" si="1"/>
        <v>27</v>
      </c>
      <c r="U27" s="93">
        <v>97</v>
      </c>
      <c r="V27" s="104">
        <f t="shared" si="2"/>
        <v>2619</v>
      </c>
      <c r="W27" s="93">
        <v>6</v>
      </c>
      <c r="X27" s="93" t="s">
        <v>46</v>
      </c>
      <c r="Y27" s="93" t="s">
        <v>84</v>
      </c>
      <c r="Z27" s="93" t="s">
        <v>90</v>
      </c>
      <c r="AA27" s="93" t="s">
        <v>50</v>
      </c>
      <c r="AB27" s="93" t="s">
        <v>158</v>
      </c>
      <c r="AP27" s="115" t="s">
        <v>232</v>
      </c>
    </row>
    <row r="28" spans="1:48" x14ac:dyDescent="0.15">
      <c r="A28" s="93" t="s">
        <v>51</v>
      </c>
      <c r="B28" s="93" t="s">
        <v>157</v>
      </c>
      <c r="C28" s="93">
        <v>2019</v>
      </c>
      <c r="D28" s="101" t="s">
        <v>262</v>
      </c>
      <c r="E28" s="93" t="s">
        <v>211</v>
      </c>
      <c r="F28" s="93" t="s">
        <v>265</v>
      </c>
      <c r="G28" s="93" t="s">
        <v>42</v>
      </c>
      <c r="H28" s="93" t="s">
        <v>164</v>
      </c>
      <c r="I28" s="93" t="s">
        <v>165</v>
      </c>
      <c r="J28" s="93" t="s">
        <v>38</v>
      </c>
      <c r="K28" s="93" t="s">
        <v>161</v>
      </c>
      <c r="L28" s="93">
        <v>3</v>
      </c>
      <c r="N28" s="93">
        <v>1</v>
      </c>
      <c r="O28" s="93">
        <v>1.2</v>
      </c>
      <c r="P28" s="93">
        <v>1.3</v>
      </c>
      <c r="Q28" s="102">
        <f t="shared" si="0"/>
        <v>1.25</v>
      </c>
      <c r="R28" s="93">
        <v>15.1</v>
      </c>
      <c r="S28" s="93">
        <v>116</v>
      </c>
      <c r="T28" s="103">
        <f t="shared" si="1"/>
        <v>30</v>
      </c>
      <c r="U28" s="93">
        <v>97</v>
      </c>
      <c r="V28" s="104">
        <f t="shared" si="2"/>
        <v>2910</v>
      </c>
      <c r="W28" s="93">
        <v>6</v>
      </c>
      <c r="X28" s="93" t="s">
        <v>46</v>
      </c>
      <c r="Y28" s="93" t="s">
        <v>84</v>
      </c>
      <c r="Z28" s="93" t="s">
        <v>90</v>
      </c>
      <c r="AA28" s="93" t="s">
        <v>50</v>
      </c>
      <c r="AB28" s="93" t="s">
        <v>158</v>
      </c>
    </row>
    <row r="29" spans="1:48" x14ac:dyDescent="0.15">
      <c r="A29" s="93" t="s">
        <v>51</v>
      </c>
      <c r="B29" s="93" t="s">
        <v>157</v>
      </c>
      <c r="C29" s="93">
        <v>2019</v>
      </c>
      <c r="D29" s="101" t="s">
        <v>262</v>
      </c>
      <c r="E29" s="93" t="s">
        <v>273</v>
      </c>
      <c r="F29" s="93" t="s">
        <v>265</v>
      </c>
      <c r="G29" s="93" t="s">
        <v>42</v>
      </c>
      <c r="H29" s="93" t="s">
        <v>164</v>
      </c>
      <c r="I29" s="93" t="s">
        <v>159</v>
      </c>
      <c r="J29" s="93" t="s">
        <v>38</v>
      </c>
      <c r="K29" s="93" t="s">
        <v>161</v>
      </c>
      <c r="L29" s="93">
        <v>1</v>
      </c>
      <c r="N29" s="93">
        <v>1</v>
      </c>
      <c r="O29" s="93">
        <v>0.25</v>
      </c>
      <c r="P29" s="93">
        <v>0.25</v>
      </c>
      <c r="Q29" s="102">
        <f t="shared" si="0"/>
        <v>0.25</v>
      </c>
      <c r="R29" s="93">
        <v>15.2</v>
      </c>
      <c r="S29" s="93">
        <v>97</v>
      </c>
      <c r="T29" s="103">
        <f t="shared" si="1"/>
        <v>36</v>
      </c>
      <c r="U29" s="93">
        <v>78</v>
      </c>
      <c r="V29" s="104">
        <f t="shared" si="2"/>
        <v>2808</v>
      </c>
      <c r="W29" s="93">
        <v>13</v>
      </c>
      <c r="X29" s="93" t="s">
        <v>39</v>
      </c>
      <c r="Y29" s="93" t="s">
        <v>84</v>
      </c>
      <c r="Z29" s="93" t="s">
        <v>90</v>
      </c>
      <c r="AA29" s="93" t="s">
        <v>69</v>
      </c>
      <c r="AB29" s="93" t="s">
        <v>158</v>
      </c>
    </row>
    <row r="30" spans="1:48" x14ac:dyDescent="0.15">
      <c r="A30" s="93" t="s">
        <v>51</v>
      </c>
      <c r="B30" s="93" t="s">
        <v>157</v>
      </c>
      <c r="C30" s="93">
        <v>2019</v>
      </c>
      <c r="D30" s="101" t="s">
        <v>262</v>
      </c>
      <c r="E30" s="93" t="s">
        <v>273</v>
      </c>
      <c r="F30" s="93" t="s">
        <v>265</v>
      </c>
      <c r="G30" s="93" t="s">
        <v>42</v>
      </c>
      <c r="H30" s="93" t="s">
        <v>164</v>
      </c>
      <c r="I30" s="93" t="s">
        <v>159</v>
      </c>
      <c r="J30" s="93" t="s">
        <v>38</v>
      </c>
      <c r="K30" s="93" t="s">
        <v>161</v>
      </c>
      <c r="L30" s="93">
        <v>2</v>
      </c>
      <c r="N30" s="93">
        <v>1</v>
      </c>
      <c r="O30" s="93">
        <v>0.5</v>
      </c>
      <c r="P30" s="93">
        <v>0.25</v>
      </c>
      <c r="Q30" s="102">
        <f t="shared" si="0"/>
        <v>0.375</v>
      </c>
      <c r="R30" s="93">
        <v>15.5</v>
      </c>
      <c r="S30" s="93">
        <v>102</v>
      </c>
      <c r="T30" s="103">
        <f t="shared" si="1"/>
        <v>33</v>
      </c>
      <c r="U30" s="93">
        <v>78</v>
      </c>
      <c r="V30" s="104">
        <f t="shared" si="2"/>
        <v>2574</v>
      </c>
      <c r="W30" s="93">
        <v>13</v>
      </c>
      <c r="X30" s="93" t="s">
        <v>39</v>
      </c>
      <c r="Y30" s="93" t="s">
        <v>84</v>
      </c>
      <c r="Z30" s="93" t="s">
        <v>90</v>
      </c>
      <c r="AA30" s="93" t="s">
        <v>69</v>
      </c>
      <c r="AB30" s="93" t="s">
        <v>158</v>
      </c>
    </row>
    <row r="31" spans="1:48" x14ac:dyDescent="0.15">
      <c r="A31" s="93" t="s">
        <v>51</v>
      </c>
      <c r="B31" s="93" t="s">
        <v>157</v>
      </c>
      <c r="C31" s="93">
        <v>2019</v>
      </c>
      <c r="D31" s="101" t="s">
        <v>262</v>
      </c>
      <c r="E31" s="93" t="s">
        <v>273</v>
      </c>
      <c r="F31" s="93" t="s">
        <v>265</v>
      </c>
      <c r="G31" s="93" t="s">
        <v>42</v>
      </c>
      <c r="H31" s="93" t="s">
        <v>164</v>
      </c>
      <c r="I31" s="93" t="s">
        <v>159</v>
      </c>
      <c r="J31" s="93" t="s">
        <v>38</v>
      </c>
      <c r="K31" s="93" t="s">
        <v>161</v>
      </c>
      <c r="L31" s="93">
        <v>3</v>
      </c>
      <c r="N31" s="93">
        <v>1</v>
      </c>
      <c r="O31" s="93">
        <v>0.7</v>
      </c>
      <c r="P31" s="93">
        <v>0.65</v>
      </c>
      <c r="Q31" s="102">
        <f t="shared" si="0"/>
        <v>0.67500000000000004</v>
      </c>
      <c r="R31" s="93">
        <v>15.8</v>
      </c>
      <c r="S31" s="93">
        <v>97</v>
      </c>
      <c r="T31" s="103">
        <f t="shared" si="1"/>
        <v>36</v>
      </c>
      <c r="U31" s="93">
        <v>78</v>
      </c>
      <c r="V31" s="104">
        <f t="shared" si="2"/>
        <v>2808</v>
      </c>
      <c r="W31" s="93">
        <v>13</v>
      </c>
      <c r="X31" s="93" t="s">
        <v>39</v>
      </c>
      <c r="Y31" s="93" t="s">
        <v>84</v>
      </c>
      <c r="Z31" s="93" t="s">
        <v>90</v>
      </c>
      <c r="AA31" s="93" t="s">
        <v>69</v>
      </c>
      <c r="AB31" s="93" t="s">
        <v>158</v>
      </c>
    </row>
    <row r="32" spans="1:48" x14ac:dyDescent="0.15">
      <c r="A32" s="93" t="s">
        <v>51</v>
      </c>
      <c r="B32" s="93" t="s">
        <v>157</v>
      </c>
      <c r="C32" s="93">
        <v>2019</v>
      </c>
      <c r="D32" s="101" t="s">
        <v>262</v>
      </c>
      <c r="E32" s="93" t="s">
        <v>273</v>
      </c>
      <c r="F32" s="93" t="s">
        <v>265</v>
      </c>
      <c r="G32" s="93" t="s">
        <v>42</v>
      </c>
      <c r="H32" s="93" t="s">
        <v>164</v>
      </c>
      <c r="I32" s="93" t="s">
        <v>165</v>
      </c>
      <c r="J32" s="93" t="s">
        <v>38</v>
      </c>
      <c r="K32" s="93" t="s">
        <v>161</v>
      </c>
      <c r="L32" s="93">
        <v>1</v>
      </c>
      <c r="N32" s="93">
        <v>4</v>
      </c>
      <c r="O32" s="93">
        <v>0.6</v>
      </c>
      <c r="P32" s="93">
        <v>0.55000000000000004</v>
      </c>
      <c r="Q32" s="102">
        <f t="shared" si="0"/>
        <v>0.57499999999999996</v>
      </c>
      <c r="R32" s="93">
        <v>16.399999999999999</v>
      </c>
      <c r="S32" s="93">
        <v>100</v>
      </c>
      <c r="T32" s="103">
        <f t="shared" si="1"/>
        <v>33</v>
      </c>
      <c r="U32" s="93">
        <v>398</v>
      </c>
      <c r="V32" s="104">
        <f t="shared" si="2"/>
        <v>3283.5</v>
      </c>
      <c r="W32" s="93">
        <v>13</v>
      </c>
      <c r="X32" s="93" t="s">
        <v>39</v>
      </c>
      <c r="Y32" s="93" t="s">
        <v>84</v>
      </c>
      <c r="Z32" s="93" t="s">
        <v>90</v>
      </c>
      <c r="AA32" s="93" t="s">
        <v>69</v>
      </c>
      <c r="AB32" s="93" t="s">
        <v>158</v>
      </c>
    </row>
    <row r="33" spans="1:28" x14ac:dyDescent="0.15">
      <c r="A33" s="93" t="s">
        <v>51</v>
      </c>
      <c r="B33" s="93" t="s">
        <v>157</v>
      </c>
      <c r="C33" s="93">
        <v>2019</v>
      </c>
      <c r="D33" s="101" t="s">
        <v>262</v>
      </c>
      <c r="E33" s="93" t="s">
        <v>273</v>
      </c>
      <c r="F33" s="93" t="s">
        <v>265</v>
      </c>
      <c r="G33" s="93" t="s">
        <v>42</v>
      </c>
      <c r="H33" s="93" t="s">
        <v>164</v>
      </c>
      <c r="I33" s="93" t="s">
        <v>165</v>
      </c>
      <c r="J33" s="93" t="s">
        <v>38</v>
      </c>
      <c r="K33" s="93" t="s">
        <v>161</v>
      </c>
      <c r="L33" s="93">
        <v>2</v>
      </c>
      <c r="N33" s="93">
        <v>4</v>
      </c>
      <c r="O33" s="93">
        <v>0.5</v>
      </c>
      <c r="P33" s="93">
        <v>0.7</v>
      </c>
      <c r="Q33" s="102">
        <f t="shared" si="0"/>
        <v>0.6</v>
      </c>
      <c r="R33" s="93">
        <v>16.3</v>
      </c>
      <c r="S33" s="93">
        <v>102</v>
      </c>
      <c r="T33" s="103">
        <f t="shared" si="1"/>
        <v>33</v>
      </c>
      <c r="U33" s="93">
        <v>398</v>
      </c>
      <c r="V33" s="104">
        <f t="shared" si="2"/>
        <v>3283.5</v>
      </c>
      <c r="W33" s="93">
        <v>13</v>
      </c>
      <c r="X33" s="93" t="s">
        <v>39</v>
      </c>
      <c r="Y33" s="93" t="s">
        <v>84</v>
      </c>
      <c r="Z33" s="93" t="s">
        <v>90</v>
      </c>
      <c r="AA33" s="93" t="s">
        <v>69</v>
      </c>
      <c r="AB33" s="93" t="s">
        <v>158</v>
      </c>
    </row>
    <row r="34" spans="1:28" x14ac:dyDescent="0.15">
      <c r="A34" s="93" t="s">
        <v>51</v>
      </c>
      <c r="B34" s="93" t="s">
        <v>157</v>
      </c>
      <c r="C34" s="93">
        <v>2019</v>
      </c>
      <c r="D34" s="101" t="s">
        <v>262</v>
      </c>
      <c r="E34" s="93" t="s">
        <v>273</v>
      </c>
      <c r="F34" s="93" t="s">
        <v>265</v>
      </c>
      <c r="G34" s="93" t="s">
        <v>42</v>
      </c>
      <c r="H34" s="93" t="s">
        <v>164</v>
      </c>
      <c r="I34" s="93" t="s">
        <v>165</v>
      </c>
      <c r="J34" s="93" t="s">
        <v>38</v>
      </c>
      <c r="K34" s="93" t="s">
        <v>161</v>
      </c>
      <c r="L34" s="93">
        <v>3</v>
      </c>
      <c r="N34" s="93">
        <v>4</v>
      </c>
      <c r="O34" s="93">
        <v>0.65</v>
      </c>
      <c r="P34" s="93">
        <v>0.65</v>
      </c>
      <c r="Q34" s="102">
        <f t="shared" si="0"/>
        <v>0.65</v>
      </c>
      <c r="R34" s="93">
        <v>15.8</v>
      </c>
      <c r="S34" s="93">
        <v>95</v>
      </c>
      <c r="T34" s="103">
        <f t="shared" si="1"/>
        <v>36</v>
      </c>
      <c r="U34" s="93">
        <v>398</v>
      </c>
      <c r="V34" s="104">
        <f t="shared" si="2"/>
        <v>3582</v>
      </c>
      <c r="W34" s="93">
        <v>13</v>
      </c>
      <c r="X34" s="93" t="s">
        <v>39</v>
      </c>
      <c r="Y34" s="93" t="s">
        <v>84</v>
      </c>
      <c r="Z34" s="93" t="s">
        <v>90</v>
      </c>
      <c r="AA34" s="93" t="s">
        <v>69</v>
      </c>
      <c r="AB34" s="93" t="s">
        <v>158</v>
      </c>
    </row>
    <row r="35" spans="1:28" x14ac:dyDescent="0.15">
      <c r="A35" s="93" t="s">
        <v>51</v>
      </c>
      <c r="B35" s="93" t="s">
        <v>157</v>
      </c>
      <c r="C35" s="93">
        <v>2019</v>
      </c>
      <c r="D35" s="101" t="s">
        <v>262</v>
      </c>
      <c r="E35" s="93" t="s">
        <v>273</v>
      </c>
      <c r="F35" s="93" t="s">
        <v>265</v>
      </c>
      <c r="G35" s="93" t="s">
        <v>42</v>
      </c>
      <c r="H35" s="93" t="s">
        <v>160</v>
      </c>
      <c r="I35" s="93" t="s">
        <v>159</v>
      </c>
      <c r="J35" s="93" t="s">
        <v>38</v>
      </c>
      <c r="K35" s="93" t="s">
        <v>161</v>
      </c>
      <c r="L35" s="93">
        <v>1</v>
      </c>
      <c r="N35" s="93">
        <v>4</v>
      </c>
      <c r="O35" s="93">
        <v>0.6</v>
      </c>
      <c r="P35" s="93">
        <v>0.55000000000000004</v>
      </c>
      <c r="Q35" s="102">
        <f t="shared" si="0"/>
        <v>0.57499999999999996</v>
      </c>
      <c r="R35" s="93">
        <v>15</v>
      </c>
      <c r="S35" s="93">
        <v>96</v>
      </c>
      <c r="T35" s="103">
        <f t="shared" si="1"/>
        <v>36</v>
      </c>
      <c r="U35" s="93">
        <v>498</v>
      </c>
      <c r="V35" s="104">
        <f t="shared" si="2"/>
        <v>4482</v>
      </c>
      <c r="W35" s="93">
        <v>13</v>
      </c>
      <c r="X35" s="93" t="s">
        <v>39</v>
      </c>
      <c r="Y35" s="93" t="s">
        <v>84</v>
      </c>
      <c r="Z35" s="93" t="s">
        <v>90</v>
      </c>
      <c r="AA35" s="93" t="s">
        <v>69</v>
      </c>
      <c r="AB35" s="93" t="s">
        <v>158</v>
      </c>
    </row>
    <row r="36" spans="1:28" x14ac:dyDescent="0.15">
      <c r="A36" s="93" t="s">
        <v>51</v>
      </c>
      <c r="B36" s="93" t="s">
        <v>157</v>
      </c>
      <c r="C36" s="93">
        <v>2019</v>
      </c>
      <c r="D36" s="101" t="s">
        <v>262</v>
      </c>
      <c r="E36" s="93" t="s">
        <v>273</v>
      </c>
      <c r="F36" s="93" t="s">
        <v>265</v>
      </c>
      <c r="G36" s="93" t="s">
        <v>42</v>
      </c>
      <c r="H36" s="93" t="s">
        <v>160</v>
      </c>
      <c r="I36" s="93" t="s">
        <v>159</v>
      </c>
      <c r="J36" s="93" t="s">
        <v>38</v>
      </c>
      <c r="K36" s="93" t="s">
        <v>161</v>
      </c>
      <c r="L36" s="93">
        <v>2</v>
      </c>
      <c r="N36" s="93">
        <v>4</v>
      </c>
      <c r="O36" s="93">
        <v>0.65</v>
      </c>
      <c r="P36" s="93">
        <v>0.65</v>
      </c>
      <c r="Q36" s="102">
        <f t="shared" si="0"/>
        <v>0.65</v>
      </c>
      <c r="R36" s="93">
        <v>15.6</v>
      </c>
      <c r="S36" s="93">
        <v>97</v>
      </c>
      <c r="T36" s="103">
        <f t="shared" si="1"/>
        <v>36</v>
      </c>
      <c r="U36" s="93">
        <v>498</v>
      </c>
      <c r="V36" s="104">
        <f t="shared" si="2"/>
        <v>4482</v>
      </c>
      <c r="W36" s="93">
        <v>13</v>
      </c>
      <c r="X36" s="93" t="s">
        <v>39</v>
      </c>
      <c r="Y36" s="93" t="s">
        <v>84</v>
      </c>
      <c r="Z36" s="93" t="s">
        <v>90</v>
      </c>
      <c r="AA36" s="93" t="s">
        <v>69</v>
      </c>
      <c r="AB36" s="93" t="s">
        <v>158</v>
      </c>
    </row>
    <row r="37" spans="1:28" x14ac:dyDescent="0.15">
      <c r="A37" s="93" t="s">
        <v>51</v>
      </c>
      <c r="B37" s="93" t="s">
        <v>157</v>
      </c>
      <c r="C37" s="93">
        <v>2019</v>
      </c>
      <c r="D37" s="101" t="s">
        <v>262</v>
      </c>
      <c r="E37" s="93" t="s">
        <v>273</v>
      </c>
      <c r="F37" s="93" t="s">
        <v>265</v>
      </c>
      <c r="G37" s="93" t="s">
        <v>42</v>
      </c>
      <c r="H37" s="93" t="s">
        <v>160</v>
      </c>
      <c r="I37" s="93" t="s">
        <v>159</v>
      </c>
      <c r="J37" s="93" t="s">
        <v>38</v>
      </c>
      <c r="K37" s="93" t="s">
        <v>161</v>
      </c>
      <c r="L37" s="93">
        <v>3</v>
      </c>
      <c r="N37" s="93">
        <v>4</v>
      </c>
      <c r="O37" s="93">
        <v>0.6</v>
      </c>
      <c r="P37" s="93">
        <v>0.6</v>
      </c>
      <c r="Q37" s="102">
        <f t="shared" si="0"/>
        <v>0.6</v>
      </c>
      <c r="R37" s="93">
        <v>15.8</v>
      </c>
      <c r="S37" s="93">
        <v>98</v>
      </c>
      <c r="T37" s="103">
        <f t="shared" si="1"/>
        <v>36</v>
      </c>
      <c r="U37" s="93">
        <v>498</v>
      </c>
      <c r="V37" s="104">
        <f t="shared" si="2"/>
        <v>4482</v>
      </c>
      <c r="W37" s="93">
        <v>13</v>
      </c>
      <c r="X37" s="93" t="s">
        <v>39</v>
      </c>
      <c r="Y37" s="93" t="s">
        <v>84</v>
      </c>
      <c r="Z37" s="93" t="s">
        <v>90</v>
      </c>
      <c r="AA37" s="93" t="s">
        <v>69</v>
      </c>
      <c r="AB37" s="93" t="s">
        <v>158</v>
      </c>
    </row>
    <row r="38" spans="1:28" x14ac:dyDescent="0.15">
      <c r="A38" s="93" t="s">
        <v>51</v>
      </c>
      <c r="B38" s="93" t="s">
        <v>157</v>
      </c>
      <c r="C38" s="93">
        <v>2019</v>
      </c>
      <c r="D38" s="101" t="s">
        <v>262</v>
      </c>
      <c r="E38" s="93" t="s">
        <v>273</v>
      </c>
      <c r="F38" s="93" t="s">
        <v>265</v>
      </c>
      <c r="G38" s="93" t="s">
        <v>42</v>
      </c>
      <c r="H38" s="93" t="s">
        <v>160</v>
      </c>
      <c r="I38" s="93" t="s">
        <v>159</v>
      </c>
      <c r="J38" s="93" t="s">
        <v>38</v>
      </c>
      <c r="K38" s="93" t="s">
        <v>231</v>
      </c>
      <c r="L38" s="93">
        <v>1</v>
      </c>
      <c r="N38" s="93">
        <v>4</v>
      </c>
      <c r="O38" s="93">
        <v>0.95</v>
      </c>
      <c r="P38" s="93">
        <v>0.85</v>
      </c>
      <c r="Q38" s="102">
        <f t="shared" si="0"/>
        <v>0.89999999999999991</v>
      </c>
      <c r="R38" s="93">
        <v>14.6</v>
      </c>
      <c r="S38" s="93">
        <v>90</v>
      </c>
      <c r="T38" s="103">
        <f t="shared" si="1"/>
        <v>36</v>
      </c>
      <c r="U38" s="93">
        <v>498</v>
      </c>
      <c r="V38" s="104">
        <f t="shared" si="2"/>
        <v>4482</v>
      </c>
      <c r="W38" s="93">
        <v>13</v>
      </c>
      <c r="X38" s="93" t="s">
        <v>39</v>
      </c>
      <c r="Y38" s="93" t="s">
        <v>84</v>
      </c>
      <c r="Z38" s="93" t="s">
        <v>90</v>
      </c>
      <c r="AA38" s="93" t="s">
        <v>69</v>
      </c>
      <c r="AB38" s="93" t="s">
        <v>158</v>
      </c>
    </row>
    <row r="39" spans="1:28" x14ac:dyDescent="0.15">
      <c r="A39" s="93" t="s">
        <v>51</v>
      </c>
      <c r="B39" s="93" t="s">
        <v>157</v>
      </c>
      <c r="C39" s="93">
        <v>2019</v>
      </c>
      <c r="D39" s="101" t="s">
        <v>262</v>
      </c>
      <c r="E39" s="93" t="s">
        <v>273</v>
      </c>
      <c r="F39" s="93" t="s">
        <v>265</v>
      </c>
      <c r="G39" s="93" t="s">
        <v>42</v>
      </c>
      <c r="H39" s="93" t="s">
        <v>160</v>
      </c>
      <c r="I39" s="93" t="s">
        <v>159</v>
      </c>
      <c r="J39" s="93" t="s">
        <v>38</v>
      </c>
      <c r="K39" s="93" t="s">
        <v>231</v>
      </c>
      <c r="L39" s="93">
        <v>2</v>
      </c>
      <c r="N39" s="93">
        <v>4</v>
      </c>
      <c r="O39" s="93">
        <v>0.9</v>
      </c>
      <c r="P39" s="93">
        <v>0.75</v>
      </c>
      <c r="Q39" s="102">
        <f t="shared" si="0"/>
        <v>0.82499999999999996</v>
      </c>
      <c r="R39" s="93">
        <v>15.5</v>
      </c>
      <c r="S39" s="93">
        <v>93</v>
      </c>
      <c r="T39" s="103">
        <f t="shared" si="1"/>
        <v>36</v>
      </c>
      <c r="U39" s="93">
        <v>498</v>
      </c>
      <c r="V39" s="104">
        <f t="shared" si="2"/>
        <v>4482</v>
      </c>
      <c r="W39" s="93">
        <v>13</v>
      </c>
      <c r="X39" s="93" t="s">
        <v>39</v>
      </c>
      <c r="Y39" s="93" t="s">
        <v>84</v>
      </c>
      <c r="Z39" s="93" t="s">
        <v>90</v>
      </c>
      <c r="AA39" s="93" t="s">
        <v>69</v>
      </c>
      <c r="AB39" s="93" t="s">
        <v>158</v>
      </c>
    </row>
    <row r="40" spans="1:28" x14ac:dyDescent="0.15">
      <c r="A40" s="93" t="s">
        <v>51</v>
      </c>
      <c r="B40" s="93" t="s">
        <v>157</v>
      </c>
      <c r="C40" s="93">
        <v>2019</v>
      </c>
      <c r="D40" s="101" t="s">
        <v>262</v>
      </c>
      <c r="E40" s="93" t="s">
        <v>273</v>
      </c>
      <c r="F40" s="93" t="s">
        <v>265</v>
      </c>
      <c r="G40" s="93" t="s">
        <v>42</v>
      </c>
      <c r="H40" s="93" t="s">
        <v>160</v>
      </c>
      <c r="I40" s="93" t="s">
        <v>159</v>
      </c>
      <c r="J40" s="93" t="s">
        <v>38</v>
      </c>
      <c r="K40" s="93" t="s">
        <v>231</v>
      </c>
      <c r="L40" s="93">
        <v>3</v>
      </c>
      <c r="N40" s="93">
        <v>4</v>
      </c>
      <c r="O40" s="93">
        <v>0.65</v>
      </c>
      <c r="P40" s="93">
        <v>1.2</v>
      </c>
      <c r="Q40" s="102">
        <f t="shared" si="0"/>
        <v>0.92500000000000004</v>
      </c>
      <c r="R40" s="93">
        <v>14.1</v>
      </c>
      <c r="S40" s="93">
        <v>81</v>
      </c>
      <c r="T40" s="103">
        <f t="shared" si="1"/>
        <v>39</v>
      </c>
      <c r="U40" s="93">
        <v>498</v>
      </c>
      <c r="V40" s="104">
        <f t="shared" si="2"/>
        <v>4855.5</v>
      </c>
      <c r="W40" s="93">
        <v>13</v>
      </c>
      <c r="X40" s="93" t="s">
        <v>39</v>
      </c>
      <c r="Y40" s="93" t="s">
        <v>84</v>
      </c>
      <c r="Z40" s="93" t="s">
        <v>90</v>
      </c>
      <c r="AA40" s="93" t="s">
        <v>69</v>
      </c>
      <c r="AB40" s="93" t="s">
        <v>158</v>
      </c>
    </row>
    <row r="41" spans="1:28" x14ac:dyDescent="0.15">
      <c r="A41" s="93" t="s">
        <v>51</v>
      </c>
      <c r="B41" s="93" t="s">
        <v>157</v>
      </c>
      <c r="C41" s="93">
        <v>2019</v>
      </c>
      <c r="D41" s="101" t="s">
        <v>262</v>
      </c>
      <c r="E41" s="93" t="s">
        <v>268</v>
      </c>
      <c r="F41" s="93" t="s">
        <v>269</v>
      </c>
      <c r="G41" s="93" t="s">
        <v>42</v>
      </c>
      <c r="H41" s="93" t="s">
        <v>164</v>
      </c>
      <c r="I41" s="93" t="s">
        <v>159</v>
      </c>
      <c r="J41" s="93" t="s">
        <v>38</v>
      </c>
      <c r="K41" s="93" t="s">
        <v>161</v>
      </c>
      <c r="L41" s="93">
        <v>1</v>
      </c>
      <c r="N41" s="93">
        <v>1</v>
      </c>
      <c r="O41" s="93">
        <v>0.6</v>
      </c>
      <c r="P41" s="93">
        <v>0.6</v>
      </c>
      <c r="Q41" s="102">
        <f t="shared" si="0"/>
        <v>0.6</v>
      </c>
      <c r="R41" s="93">
        <v>15.9</v>
      </c>
      <c r="S41" s="93">
        <v>134</v>
      </c>
      <c r="T41" s="103">
        <f t="shared" si="1"/>
        <v>25</v>
      </c>
      <c r="U41" s="93">
        <v>128</v>
      </c>
      <c r="V41" s="104">
        <f t="shared" si="2"/>
        <v>3200</v>
      </c>
      <c r="W41" s="93">
        <v>3</v>
      </c>
      <c r="X41" s="93" t="s">
        <v>39</v>
      </c>
      <c r="Y41" s="93" t="s">
        <v>90</v>
      </c>
      <c r="Z41" s="93" t="s">
        <v>84</v>
      </c>
      <c r="AA41" s="93" t="s">
        <v>69</v>
      </c>
      <c r="AB41" s="93" t="s">
        <v>158</v>
      </c>
    </row>
    <row r="42" spans="1:28" x14ac:dyDescent="0.15">
      <c r="A42" s="93" t="s">
        <v>51</v>
      </c>
      <c r="B42" s="93" t="s">
        <v>157</v>
      </c>
      <c r="C42" s="93">
        <v>2019</v>
      </c>
      <c r="D42" s="101" t="s">
        <v>262</v>
      </c>
      <c r="E42" s="93" t="s">
        <v>268</v>
      </c>
      <c r="F42" s="93" t="s">
        <v>269</v>
      </c>
      <c r="G42" s="93" t="s">
        <v>42</v>
      </c>
      <c r="H42" s="93" t="s">
        <v>164</v>
      </c>
      <c r="I42" s="93" t="s">
        <v>159</v>
      </c>
      <c r="J42" s="93" t="s">
        <v>38</v>
      </c>
      <c r="K42" s="93" t="s">
        <v>161</v>
      </c>
      <c r="L42" s="93">
        <v>2</v>
      </c>
      <c r="N42" s="93">
        <v>1</v>
      </c>
      <c r="O42" s="93">
        <v>0.55000000000000004</v>
      </c>
      <c r="P42" s="93">
        <v>0.65</v>
      </c>
      <c r="Q42" s="102">
        <f t="shared" si="0"/>
        <v>0.60000000000000009</v>
      </c>
      <c r="R42" s="93">
        <v>16.100000000000001</v>
      </c>
      <c r="S42" s="93">
        <v>134</v>
      </c>
      <c r="T42" s="103">
        <f t="shared" si="1"/>
        <v>25</v>
      </c>
      <c r="U42" s="93">
        <v>128</v>
      </c>
      <c r="V42" s="104">
        <f t="shared" si="2"/>
        <v>3200</v>
      </c>
      <c r="W42" s="93">
        <v>3</v>
      </c>
      <c r="X42" s="93" t="s">
        <v>39</v>
      </c>
      <c r="Y42" s="93" t="s">
        <v>90</v>
      </c>
      <c r="Z42" s="93" t="s">
        <v>84</v>
      </c>
      <c r="AA42" s="93" t="s">
        <v>69</v>
      </c>
      <c r="AB42" s="93" t="s">
        <v>158</v>
      </c>
    </row>
    <row r="43" spans="1:28" x14ac:dyDescent="0.15">
      <c r="A43" s="93" t="s">
        <v>51</v>
      </c>
      <c r="B43" s="93" t="s">
        <v>157</v>
      </c>
      <c r="C43" s="93">
        <v>2019</v>
      </c>
      <c r="D43" s="101" t="s">
        <v>262</v>
      </c>
      <c r="E43" s="93" t="s">
        <v>268</v>
      </c>
      <c r="F43" s="93" t="s">
        <v>269</v>
      </c>
      <c r="G43" s="93" t="s">
        <v>42</v>
      </c>
      <c r="H43" s="93" t="s">
        <v>164</v>
      </c>
      <c r="I43" s="93" t="s">
        <v>159</v>
      </c>
      <c r="J43" s="93" t="s">
        <v>38</v>
      </c>
      <c r="K43" s="93" t="s">
        <v>161</v>
      </c>
      <c r="L43" s="93">
        <v>3</v>
      </c>
      <c r="N43" s="93">
        <v>1</v>
      </c>
      <c r="O43" s="93">
        <v>0.6</v>
      </c>
      <c r="P43" s="93">
        <v>0.5</v>
      </c>
      <c r="Q43" s="102">
        <f t="shared" si="0"/>
        <v>0.55000000000000004</v>
      </c>
      <c r="R43" s="93">
        <v>16.5</v>
      </c>
      <c r="S43" s="93">
        <v>134</v>
      </c>
      <c r="T43" s="103">
        <f t="shared" si="1"/>
        <v>25</v>
      </c>
      <c r="U43" s="93">
        <v>128</v>
      </c>
      <c r="V43" s="104">
        <f t="shared" si="2"/>
        <v>3200</v>
      </c>
      <c r="W43" s="93">
        <v>3</v>
      </c>
      <c r="X43" s="93" t="s">
        <v>39</v>
      </c>
      <c r="Y43" s="93" t="s">
        <v>90</v>
      </c>
      <c r="Z43" s="93" t="s">
        <v>84</v>
      </c>
      <c r="AA43" s="93" t="s">
        <v>69</v>
      </c>
      <c r="AB43" s="93" t="s">
        <v>158</v>
      </c>
    </row>
    <row r="44" spans="1:28" x14ac:dyDescent="0.15">
      <c r="A44" s="93" t="s">
        <v>51</v>
      </c>
      <c r="B44" s="93" t="s">
        <v>157</v>
      </c>
      <c r="C44" s="93">
        <v>2019</v>
      </c>
      <c r="D44" s="101" t="s">
        <v>262</v>
      </c>
      <c r="E44" s="93" t="s">
        <v>268</v>
      </c>
      <c r="F44" s="93" t="s">
        <v>269</v>
      </c>
      <c r="G44" s="93" t="s">
        <v>42</v>
      </c>
      <c r="H44" s="93" t="s">
        <v>160</v>
      </c>
      <c r="I44" s="93" t="s">
        <v>159</v>
      </c>
      <c r="J44" s="93" t="s">
        <v>38</v>
      </c>
      <c r="K44" s="93" t="s">
        <v>161</v>
      </c>
      <c r="L44" s="93">
        <v>1</v>
      </c>
      <c r="N44" s="93">
        <v>4</v>
      </c>
      <c r="O44" s="93">
        <v>0.6</v>
      </c>
      <c r="P44" s="93">
        <v>0.6</v>
      </c>
      <c r="Q44" s="102">
        <f t="shared" si="0"/>
        <v>0.6</v>
      </c>
      <c r="R44" s="93">
        <v>16.8</v>
      </c>
      <c r="S44" s="93">
        <v>100</v>
      </c>
      <c r="T44" s="103">
        <f t="shared" si="1"/>
        <v>33</v>
      </c>
      <c r="U44" s="93">
        <v>498</v>
      </c>
      <c r="V44" s="104">
        <f t="shared" si="2"/>
        <v>4108.5</v>
      </c>
      <c r="W44" s="93">
        <v>3</v>
      </c>
      <c r="X44" s="93" t="s">
        <v>39</v>
      </c>
      <c r="Y44" s="93" t="s">
        <v>90</v>
      </c>
      <c r="Z44" s="93" t="s">
        <v>84</v>
      </c>
      <c r="AA44" s="93" t="s">
        <v>69</v>
      </c>
      <c r="AB44" s="93" t="s">
        <v>158</v>
      </c>
    </row>
    <row r="45" spans="1:28" x14ac:dyDescent="0.15">
      <c r="A45" s="93" t="s">
        <v>51</v>
      </c>
      <c r="B45" s="93" t="s">
        <v>157</v>
      </c>
      <c r="C45" s="93">
        <v>2019</v>
      </c>
      <c r="D45" s="101" t="s">
        <v>262</v>
      </c>
      <c r="E45" s="93" t="s">
        <v>268</v>
      </c>
      <c r="F45" s="93" t="s">
        <v>269</v>
      </c>
      <c r="G45" s="93" t="s">
        <v>42</v>
      </c>
      <c r="H45" s="93" t="s">
        <v>160</v>
      </c>
      <c r="I45" s="93" t="s">
        <v>159</v>
      </c>
      <c r="J45" s="93" t="s">
        <v>38</v>
      </c>
      <c r="K45" s="93" t="s">
        <v>161</v>
      </c>
      <c r="L45" s="93">
        <v>2</v>
      </c>
      <c r="N45" s="93">
        <v>4</v>
      </c>
      <c r="O45" s="93">
        <v>0.55000000000000004</v>
      </c>
      <c r="P45" s="93">
        <v>0.5</v>
      </c>
      <c r="Q45" s="102">
        <f t="shared" si="0"/>
        <v>0.52500000000000002</v>
      </c>
      <c r="R45" s="93">
        <v>17.2</v>
      </c>
      <c r="S45" s="93">
        <v>93</v>
      </c>
      <c r="T45" s="103">
        <f t="shared" si="1"/>
        <v>36</v>
      </c>
      <c r="U45" s="93">
        <v>498</v>
      </c>
      <c r="V45" s="104">
        <f t="shared" si="2"/>
        <v>4482</v>
      </c>
      <c r="W45" s="93">
        <v>3</v>
      </c>
      <c r="X45" s="93" t="s">
        <v>39</v>
      </c>
      <c r="Y45" s="93" t="s">
        <v>90</v>
      </c>
      <c r="Z45" s="93" t="s">
        <v>84</v>
      </c>
      <c r="AA45" s="93" t="s">
        <v>69</v>
      </c>
      <c r="AB45" s="93" t="s">
        <v>158</v>
      </c>
    </row>
    <row r="46" spans="1:28" x14ac:dyDescent="0.15">
      <c r="A46" s="93" t="s">
        <v>51</v>
      </c>
      <c r="B46" s="93" t="s">
        <v>157</v>
      </c>
      <c r="C46" s="93">
        <v>2019</v>
      </c>
      <c r="D46" s="101" t="s">
        <v>262</v>
      </c>
      <c r="E46" s="93" t="s">
        <v>268</v>
      </c>
      <c r="F46" s="93" t="s">
        <v>269</v>
      </c>
      <c r="G46" s="93" t="s">
        <v>42</v>
      </c>
      <c r="H46" s="93" t="s">
        <v>160</v>
      </c>
      <c r="I46" s="93" t="s">
        <v>159</v>
      </c>
      <c r="J46" s="93" t="s">
        <v>38</v>
      </c>
      <c r="K46" s="93" t="s">
        <v>161</v>
      </c>
      <c r="L46" s="93">
        <v>3</v>
      </c>
      <c r="N46" s="93">
        <v>4</v>
      </c>
      <c r="O46" s="93">
        <v>0.55000000000000004</v>
      </c>
      <c r="P46" s="93">
        <v>0.55000000000000004</v>
      </c>
      <c r="Q46" s="102">
        <f t="shared" si="0"/>
        <v>0.55000000000000004</v>
      </c>
      <c r="R46" s="93">
        <v>18.600000000000001</v>
      </c>
      <c r="S46" s="93">
        <v>100</v>
      </c>
      <c r="T46" s="103">
        <f t="shared" si="1"/>
        <v>33</v>
      </c>
      <c r="U46" s="93">
        <v>498</v>
      </c>
      <c r="V46" s="104">
        <f t="shared" si="2"/>
        <v>4108.5</v>
      </c>
      <c r="W46" s="93">
        <v>3</v>
      </c>
      <c r="X46" s="93" t="s">
        <v>39</v>
      </c>
      <c r="Y46" s="93" t="s">
        <v>90</v>
      </c>
      <c r="Z46" s="93" t="s">
        <v>84</v>
      </c>
      <c r="AA46" s="93" t="s">
        <v>69</v>
      </c>
      <c r="AB46" s="93" t="s">
        <v>158</v>
      </c>
    </row>
    <row r="47" spans="1:28" x14ac:dyDescent="0.15">
      <c r="A47" s="93" t="s">
        <v>51</v>
      </c>
      <c r="B47" s="93" t="s">
        <v>157</v>
      </c>
      <c r="C47" s="93">
        <v>2019</v>
      </c>
      <c r="D47" s="101" t="s">
        <v>262</v>
      </c>
      <c r="E47" s="93" t="s">
        <v>270</v>
      </c>
      <c r="F47" s="93" t="s">
        <v>264</v>
      </c>
      <c r="G47" s="93" t="s">
        <v>36</v>
      </c>
      <c r="H47" s="93" t="s">
        <v>164</v>
      </c>
      <c r="I47" s="93" t="s">
        <v>159</v>
      </c>
      <c r="J47" s="93" t="s">
        <v>38</v>
      </c>
      <c r="K47" s="93" t="s">
        <v>161</v>
      </c>
      <c r="L47" s="93">
        <v>1</v>
      </c>
      <c r="N47" s="93">
        <v>1</v>
      </c>
      <c r="O47" s="93">
        <v>0.95</v>
      </c>
      <c r="P47" s="93">
        <v>0.9</v>
      </c>
      <c r="Q47" s="102">
        <f t="shared" si="0"/>
        <v>0.92500000000000004</v>
      </c>
      <c r="R47" s="93">
        <v>13.7</v>
      </c>
      <c r="S47" s="93">
        <v>112</v>
      </c>
      <c r="T47" s="103">
        <f t="shared" si="1"/>
        <v>33</v>
      </c>
      <c r="U47" s="93">
        <v>100</v>
      </c>
      <c r="V47" s="104">
        <f t="shared" si="2"/>
        <v>3300</v>
      </c>
      <c r="W47" s="93">
        <v>2</v>
      </c>
      <c r="X47" s="93" t="s">
        <v>39</v>
      </c>
      <c r="Y47" s="93" t="s">
        <v>84</v>
      </c>
      <c r="Z47" s="93" t="s">
        <v>50</v>
      </c>
      <c r="AA47" s="93" t="s">
        <v>69</v>
      </c>
      <c r="AB47" s="93" t="s">
        <v>158</v>
      </c>
    </row>
    <row r="48" spans="1:28" x14ac:dyDescent="0.15">
      <c r="A48" s="93" t="s">
        <v>51</v>
      </c>
      <c r="B48" s="93" t="s">
        <v>157</v>
      </c>
      <c r="C48" s="93">
        <v>2019</v>
      </c>
      <c r="D48" s="101" t="s">
        <v>262</v>
      </c>
      <c r="E48" s="93" t="s">
        <v>270</v>
      </c>
      <c r="F48" s="93" t="s">
        <v>264</v>
      </c>
      <c r="G48" s="93" t="s">
        <v>36</v>
      </c>
      <c r="H48" s="93" t="s">
        <v>164</v>
      </c>
      <c r="I48" s="93" t="s">
        <v>159</v>
      </c>
      <c r="J48" s="93" t="s">
        <v>38</v>
      </c>
      <c r="K48" s="93" t="s">
        <v>161</v>
      </c>
      <c r="L48" s="93">
        <v>2</v>
      </c>
      <c r="N48" s="93">
        <v>1</v>
      </c>
      <c r="O48" s="93">
        <v>1.1000000000000001</v>
      </c>
      <c r="P48" s="93">
        <v>1</v>
      </c>
      <c r="Q48" s="102">
        <f t="shared" si="0"/>
        <v>1.05</v>
      </c>
      <c r="R48" s="93">
        <v>13.2</v>
      </c>
      <c r="S48" s="93">
        <v>114</v>
      </c>
      <c r="T48" s="103">
        <f t="shared" si="1"/>
        <v>30</v>
      </c>
      <c r="U48" s="93">
        <v>100</v>
      </c>
      <c r="V48" s="104">
        <f t="shared" si="2"/>
        <v>3000</v>
      </c>
      <c r="W48" s="93">
        <v>2</v>
      </c>
      <c r="X48" s="93" t="s">
        <v>39</v>
      </c>
      <c r="Y48" s="93" t="s">
        <v>84</v>
      </c>
      <c r="Z48" s="93" t="s">
        <v>50</v>
      </c>
      <c r="AA48" s="93" t="s">
        <v>69</v>
      </c>
      <c r="AB48" s="93" t="s">
        <v>158</v>
      </c>
    </row>
    <row r="49" spans="1:28" x14ac:dyDescent="0.15">
      <c r="A49" s="93" t="s">
        <v>51</v>
      </c>
      <c r="B49" s="93" t="s">
        <v>157</v>
      </c>
      <c r="C49" s="93">
        <v>2019</v>
      </c>
      <c r="D49" s="101" t="s">
        <v>262</v>
      </c>
      <c r="E49" s="93" t="s">
        <v>270</v>
      </c>
      <c r="F49" s="93" t="s">
        <v>264</v>
      </c>
      <c r="G49" s="93" t="s">
        <v>36</v>
      </c>
      <c r="H49" s="93" t="s">
        <v>164</v>
      </c>
      <c r="I49" s="93" t="s">
        <v>159</v>
      </c>
      <c r="J49" s="93" t="s">
        <v>38</v>
      </c>
      <c r="K49" s="93" t="s">
        <v>161</v>
      </c>
      <c r="L49" s="93">
        <v>3</v>
      </c>
      <c r="N49" s="93">
        <v>1</v>
      </c>
      <c r="O49" s="93">
        <v>1</v>
      </c>
      <c r="P49" s="93">
        <v>0.9</v>
      </c>
      <c r="Q49" s="102">
        <f t="shared" si="0"/>
        <v>0.95</v>
      </c>
      <c r="R49" s="93">
        <v>13.6</v>
      </c>
      <c r="S49" s="93">
        <v>112</v>
      </c>
      <c r="T49" s="103">
        <f t="shared" si="1"/>
        <v>33</v>
      </c>
      <c r="U49" s="93">
        <v>100</v>
      </c>
      <c r="V49" s="104">
        <f t="shared" si="2"/>
        <v>3300</v>
      </c>
      <c r="W49" s="93">
        <v>2</v>
      </c>
      <c r="X49" s="93" t="s">
        <v>39</v>
      </c>
      <c r="Y49" s="93" t="s">
        <v>84</v>
      </c>
      <c r="Z49" s="93" t="s">
        <v>50</v>
      </c>
      <c r="AA49" s="93" t="s">
        <v>69</v>
      </c>
      <c r="AB49" s="93" t="s">
        <v>158</v>
      </c>
    </row>
    <row r="50" spans="1:28" x14ac:dyDescent="0.15">
      <c r="A50" s="93" t="s">
        <v>51</v>
      </c>
      <c r="B50" s="93" t="s">
        <v>157</v>
      </c>
      <c r="C50" s="93">
        <v>2019</v>
      </c>
      <c r="D50" s="101" t="s">
        <v>262</v>
      </c>
      <c r="E50" s="93" t="s">
        <v>274</v>
      </c>
      <c r="F50" s="93" t="s">
        <v>275</v>
      </c>
      <c r="G50" s="93" t="s">
        <v>36</v>
      </c>
      <c r="H50" s="93" t="s">
        <v>164</v>
      </c>
      <c r="I50" s="93" t="s">
        <v>159</v>
      </c>
      <c r="J50" s="93" t="s">
        <v>38</v>
      </c>
      <c r="K50" s="93" t="s">
        <v>161</v>
      </c>
      <c r="L50" s="93">
        <v>1</v>
      </c>
      <c r="N50" s="93">
        <v>1</v>
      </c>
      <c r="O50" s="93">
        <v>0.95</v>
      </c>
      <c r="P50" s="93">
        <v>1</v>
      </c>
      <c r="Q50" s="102">
        <f t="shared" si="0"/>
        <v>0.97499999999999998</v>
      </c>
      <c r="R50" s="93">
        <v>15.8</v>
      </c>
      <c r="S50" s="93">
        <v>136</v>
      </c>
      <c r="T50" s="103">
        <f t="shared" si="1"/>
        <v>25</v>
      </c>
      <c r="U50" s="93">
        <v>128</v>
      </c>
      <c r="V50" s="104">
        <f t="shared" si="2"/>
        <v>3200</v>
      </c>
      <c r="W50" s="93">
        <v>6</v>
      </c>
      <c r="X50" s="93" t="s">
        <v>46</v>
      </c>
      <c r="Y50" s="93" t="s">
        <v>84</v>
      </c>
      <c r="Z50" s="93" t="s">
        <v>90</v>
      </c>
      <c r="AA50" s="93" t="s">
        <v>69</v>
      </c>
      <c r="AB50" s="93" t="s">
        <v>158</v>
      </c>
    </row>
    <row r="51" spans="1:28" x14ac:dyDescent="0.15">
      <c r="A51" s="93" t="s">
        <v>51</v>
      </c>
      <c r="B51" s="93" t="s">
        <v>157</v>
      </c>
      <c r="C51" s="93">
        <v>2019</v>
      </c>
      <c r="D51" s="101" t="s">
        <v>262</v>
      </c>
      <c r="E51" s="93" t="s">
        <v>274</v>
      </c>
      <c r="F51" s="93" t="s">
        <v>275</v>
      </c>
      <c r="G51" s="93" t="s">
        <v>36</v>
      </c>
      <c r="H51" s="93" t="s">
        <v>164</v>
      </c>
      <c r="I51" s="93" t="s">
        <v>159</v>
      </c>
      <c r="J51" s="93" t="s">
        <v>38</v>
      </c>
      <c r="K51" s="93" t="s">
        <v>161</v>
      </c>
      <c r="L51" s="93">
        <v>2</v>
      </c>
      <c r="N51" s="93">
        <v>1</v>
      </c>
      <c r="O51" s="93">
        <v>1.1000000000000001</v>
      </c>
      <c r="P51" s="93">
        <v>1.05</v>
      </c>
      <c r="Q51" s="102">
        <f t="shared" si="0"/>
        <v>1.0750000000000002</v>
      </c>
      <c r="R51" s="93">
        <v>16.3</v>
      </c>
      <c r="S51" s="93">
        <v>146</v>
      </c>
      <c r="T51" s="103">
        <f t="shared" si="1"/>
        <v>22</v>
      </c>
      <c r="U51" s="93">
        <v>128</v>
      </c>
      <c r="V51" s="104">
        <f t="shared" si="2"/>
        <v>2816</v>
      </c>
      <c r="W51" s="93">
        <v>6</v>
      </c>
      <c r="X51" s="93" t="s">
        <v>46</v>
      </c>
      <c r="Y51" s="93" t="s">
        <v>84</v>
      </c>
      <c r="Z51" s="93" t="s">
        <v>90</v>
      </c>
      <c r="AA51" s="93" t="s">
        <v>69</v>
      </c>
      <c r="AB51" s="93" t="s">
        <v>158</v>
      </c>
    </row>
    <row r="52" spans="1:28" x14ac:dyDescent="0.15">
      <c r="A52" s="93" t="s">
        <v>51</v>
      </c>
      <c r="B52" s="93" t="s">
        <v>157</v>
      </c>
      <c r="C52" s="93">
        <v>2019</v>
      </c>
      <c r="D52" s="101" t="s">
        <v>262</v>
      </c>
      <c r="E52" s="93" t="s">
        <v>274</v>
      </c>
      <c r="F52" s="93" t="s">
        <v>275</v>
      </c>
      <c r="G52" s="93" t="s">
        <v>36</v>
      </c>
      <c r="H52" s="93" t="s">
        <v>164</v>
      </c>
      <c r="I52" s="93" t="s">
        <v>159</v>
      </c>
      <c r="J52" s="93" t="s">
        <v>38</v>
      </c>
      <c r="K52" s="93" t="s">
        <v>161</v>
      </c>
      <c r="L52" s="93">
        <v>3</v>
      </c>
      <c r="N52" s="93">
        <v>1</v>
      </c>
      <c r="O52" s="93">
        <v>0.95</v>
      </c>
      <c r="P52" s="93">
        <v>1</v>
      </c>
      <c r="Q52" s="102">
        <f t="shared" si="0"/>
        <v>0.97499999999999998</v>
      </c>
      <c r="R52" s="93">
        <v>16.600000000000001</v>
      </c>
      <c r="S52" s="93">
        <v>146</v>
      </c>
      <c r="T52" s="103">
        <f t="shared" si="1"/>
        <v>22</v>
      </c>
      <c r="U52" s="93">
        <v>128</v>
      </c>
      <c r="V52" s="104">
        <f t="shared" si="2"/>
        <v>2816</v>
      </c>
      <c r="W52" s="93">
        <v>6</v>
      </c>
      <c r="X52" s="93" t="s">
        <v>46</v>
      </c>
      <c r="Y52" s="93" t="s">
        <v>84</v>
      </c>
      <c r="Z52" s="93" t="s">
        <v>90</v>
      </c>
      <c r="AA52" s="93" t="s">
        <v>69</v>
      </c>
      <c r="AB52" s="93" t="s">
        <v>158</v>
      </c>
    </row>
    <row r="53" spans="1:28" x14ac:dyDescent="0.15">
      <c r="A53" s="93" t="s">
        <v>51</v>
      </c>
      <c r="B53" s="93" t="s">
        <v>157</v>
      </c>
      <c r="C53" s="93">
        <v>2019</v>
      </c>
      <c r="D53" s="101" t="s">
        <v>262</v>
      </c>
      <c r="E53" s="93" t="s">
        <v>274</v>
      </c>
      <c r="F53" s="93" t="s">
        <v>275</v>
      </c>
      <c r="G53" s="93" t="s">
        <v>36</v>
      </c>
      <c r="H53" s="93" t="s">
        <v>160</v>
      </c>
      <c r="I53" s="93" t="s">
        <v>159</v>
      </c>
      <c r="J53" s="93" t="s">
        <v>38</v>
      </c>
      <c r="K53" s="93" t="s">
        <v>161</v>
      </c>
      <c r="L53" s="93">
        <v>1</v>
      </c>
      <c r="N53" s="93">
        <v>1</v>
      </c>
      <c r="O53" s="93">
        <v>0.95</v>
      </c>
      <c r="P53" s="93">
        <v>1.05</v>
      </c>
      <c r="Q53" s="102">
        <f t="shared" si="0"/>
        <v>1</v>
      </c>
      <c r="R53" s="93">
        <v>16.899999999999999</v>
      </c>
      <c r="S53" s="93">
        <v>148</v>
      </c>
      <c r="T53" s="103">
        <f t="shared" si="1"/>
        <v>22</v>
      </c>
      <c r="U53" s="93">
        <v>138</v>
      </c>
      <c r="V53" s="104">
        <f t="shared" si="2"/>
        <v>3036</v>
      </c>
      <c r="W53" s="93">
        <v>6</v>
      </c>
      <c r="X53" s="93" t="s">
        <v>46</v>
      </c>
      <c r="Y53" s="93" t="s">
        <v>84</v>
      </c>
      <c r="Z53" s="93" t="s">
        <v>90</v>
      </c>
      <c r="AA53" s="93" t="s">
        <v>69</v>
      </c>
      <c r="AB53" s="93" t="s">
        <v>158</v>
      </c>
    </row>
    <row r="54" spans="1:28" x14ac:dyDescent="0.15">
      <c r="A54" s="93" t="s">
        <v>51</v>
      </c>
      <c r="B54" s="93" t="s">
        <v>157</v>
      </c>
      <c r="C54" s="93">
        <v>2019</v>
      </c>
      <c r="D54" s="101" t="s">
        <v>262</v>
      </c>
      <c r="E54" s="93" t="s">
        <v>274</v>
      </c>
      <c r="F54" s="93" t="s">
        <v>275</v>
      </c>
      <c r="G54" s="93" t="s">
        <v>36</v>
      </c>
      <c r="H54" s="93" t="s">
        <v>160</v>
      </c>
      <c r="I54" s="93" t="s">
        <v>159</v>
      </c>
      <c r="J54" s="93" t="s">
        <v>38</v>
      </c>
      <c r="K54" s="93" t="s">
        <v>161</v>
      </c>
      <c r="L54" s="93">
        <v>2</v>
      </c>
      <c r="N54" s="93">
        <v>1</v>
      </c>
      <c r="O54" s="93">
        <v>0.85</v>
      </c>
      <c r="P54" s="93">
        <v>0.9</v>
      </c>
      <c r="Q54" s="102">
        <f t="shared" si="0"/>
        <v>0.875</v>
      </c>
      <c r="R54" s="93">
        <v>17.2</v>
      </c>
      <c r="S54" s="93">
        <v>144</v>
      </c>
      <c r="T54" s="103">
        <f t="shared" si="1"/>
        <v>22</v>
      </c>
      <c r="U54" s="93">
        <v>138</v>
      </c>
      <c r="V54" s="104">
        <f t="shared" si="2"/>
        <v>3036</v>
      </c>
      <c r="W54" s="93">
        <v>6</v>
      </c>
      <c r="X54" s="93" t="s">
        <v>46</v>
      </c>
      <c r="Y54" s="93" t="s">
        <v>84</v>
      </c>
      <c r="Z54" s="93" t="s">
        <v>90</v>
      </c>
      <c r="AA54" s="93" t="s">
        <v>69</v>
      </c>
      <c r="AB54" s="93" t="s">
        <v>158</v>
      </c>
    </row>
    <row r="55" spans="1:28" x14ac:dyDescent="0.15">
      <c r="A55" s="93" t="s">
        <v>51</v>
      </c>
      <c r="B55" s="93" t="s">
        <v>157</v>
      </c>
      <c r="C55" s="93">
        <v>2019</v>
      </c>
      <c r="D55" s="101" t="s">
        <v>262</v>
      </c>
      <c r="E55" s="93" t="s">
        <v>274</v>
      </c>
      <c r="F55" s="93" t="s">
        <v>275</v>
      </c>
      <c r="G55" s="93" t="s">
        <v>36</v>
      </c>
      <c r="H55" s="93" t="s">
        <v>160</v>
      </c>
      <c r="I55" s="93" t="s">
        <v>159</v>
      </c>
      <c r="J55" s="93" t="s">
        <v>38</v>
      </c>
      <c r="K55" s="93" t="s">
        <v>161</v>
      </c>
      <c r="L55" s="93">
        <v>3</v>
      </c>
      <c r="N55" s="93">
        <v>1</v>
      </c>
      <c r="O55" s="93">
        <v>0.8</v>
      </c>
      <c r="P55" s="93">
        <v>0.7</v>
      </c>
      <c r="Q55" s="102">
        <f t="shared" si="0"/>
        <v>0.75</v>
      </c>
      <c r="R55" s="93">
        <v>17.8</v>
      </c>
      <c r="S55" s="93">
        <v>148</v>
      </c>
      <c r="T55" s="103">
        <f t="shared" si="1"/>
        <v>22</v>
      </c>
      <c r="U55" s="93">
        <v>138</v>
      </c>
      <c r="V55" s="104">
        <f t="shared" si="2"/>
        <v>3036</v>
      </c>
      <c r="W55" s="93">
        <v>6</v>
      </c>
      <c r="X55" s="93" t="s">
        <v>46</v>
      </c>
      <c r="Y55" s="93" t="s">
        <v>84</v>
      </c>
      <c r="Z55" s="93" t="s">
        <v>90</v>
      </c>
      <c r="AA55" s="93" t="s">
        <v>69</v>
      </c>
      <c r="AB55" s="93" t="s">
        <v>158</v>
      </c>
    </row>
    <row r="56" spans="1:28" x14ac:dyDescent="0.15">
      <c r="A56" s="93" t="s">
        <v>51</v>
      </c>
      <c r="B56" s="93" t="s">
        <v>157</v>
      </c>
      <c r="C56" s="93">
        <v>2019</v>
      </c>
      <c r="D56" s="101" t="s">
        <v>262</v>
      </c>
      <c r="E56" s="93" t="s">
        <v>276</v>
      </c>
      <c r="F56" s="93" t="s">
        <v>264</v>
      </c>
      <c r="G56" s="93" t="s">
        <v>42</v>
      </c>
      <c r="H56" s="93" t="s">
        <v>164</v>
      </c>
      <c r="I56" s="93" t="s">
        <v>159</v>
      </c>
      <c r="J56" s="93" t="s">
        <v>38</v>
      </c>
      <c r="K56" s="93" t="s">
        <v>161</v>
      </c>
      <c r="L56" s="93">
        <v>1</v>
      </c>
      <c r="N56" s="93">
        <v>1</v>
      </c>
      <c r="O56" s="93">
        <v>0.85</v>
      </c>
      <c r="P56" s="93">
        <v>0.85</v>
      </c>
      <c r="Q56" s="102">
        <f t="shared" si="0"/>
        <v>0.85</v>
      </c>
      <c r="R56" s="93">
        <v>16.600000000000001</v>
      </c>
      <c r="S56" s="93">
        <v>118</v>
      </c>
      <c r="T56" s="103">
        <f t="shared" si="1"/>
        <v>30</v>
      </c>
      <c r="U56" s="93">
        <v>98</v>
      </c>
      <c r="V56" s="104">
        <f t="shared" si="2"/>
        <v>2940</v>
      </c>
      <c r="W56" s="93">
        <v>4</v>
      </c>
      <c r="X56" s="93" t="s">
        <v>39</v>
      </c>
      <c r="Y56" s="93" t="s">
        <v>84</v>
      </c>
      <c r="Z56" s="93" t="s">
        <v>69</v>
      </c>
      <c r="AA56" s="93" t="s">
        <v>90</v>
      </c>
      <c r="AB56" s="93" t="s">
        <v>158</v>
      </c>
    </row>
    <row r="57" spans="1:28" x14ac:dyDescent="0.15">
      <c r="A57" s="93" t="s">
        <v>51</v>
      </c>
      <c r="B57" s="93" t="s">
        <v>157</v>
      </c>
      <c r="C57" s="93">
        <v>2019</v>
      </c>
      <c r="D57" s="101" t="s">
        <v>262</v>
      </c>
      <c r="E57" s="93" t="s">
        <v>276</v>
      </c>
      <c r="F57" s="93" t="s">
        <v>264</v>
      </c>
      <c r="G57" s="93" t="s">
        <v>42</v>
      </c>
      <c r="H57" s="93" t="s">
        <v>164</v>
      </c>
      <c r="I57" s="93" t="s">
        <v>159</v>
      </c>
      <c r="J57" s="93" t="s">
        <v>38</v>
      </c>
      <c r="K57" s="93" t="s">
        <v>161</v>
      </c>
      <c r="L57" s="93">
        <v>2</v>
      </c>
      <c r="N57" s="93">
        <v>1</v>
      </c>
      <c r="O57" s="93">
        <v>0.95</v>
      </c>
      <c r="P57" s="93">
        <v>0.8</v>
      </c>
      <c r="Q57" s="102">
        <f t="shared" si="0"/>
        <v>0.875</v>
      </c>
      <c r="R57" s="93">
        <v>16.100000000000001</v>
      </c>
      <c r="S57" s="93">
        <v>116</v>
      </c>
      <c r="T57" s="103">
        <f t="shared" si="1"/>
        <v>30</v>
      </c>
      <c r="U57" s="93">
        <v>98</v>
      </c>
      <c r="V57" s="104">
        <f t="shared" si="2"/>
        <v>2940</v>
      </c>
      <c r="W57" s="93">
        <v>4</v>
      </c>
      <c r="X57" s="93" t="s">
        <v>39</v>
      </c>
      <c r="Y57" s="93" t="s">
        <v>84</v>
      </c>
      <c r="Z57" s="93" t="s">
        <v>69</v>
      </c>
      <c r="AA57" s="93" t="s">
        <v>90</v>
      </c>
      <c r="AB57" s="93" t="s">
        <v>158</v>
      </c>
    </row>
    <row r="58" spans="1:28" x14ac:dyDescent="0.15">
      <c r="A58" s="93" t="s">
        <v>51</v>
      </c>
      <c r="B58" s="93" t="s">
        <v>157</v>
      </c>
      <c r="C58" s="93">
        <v>2019</v>
      </c>
      <c r="D58" s="101" t="s">
        <v>262</v>
      </c>
      <c r="E58" s="93" t="s">
        <v>276</v>
      </c>
      <c r="F58" s="93" t="s">
        <v>264</v>
      </c>
      <c r="G58" s="93" t="s">
        <v>42</v>
      </c>
      <c r="H58" s="93" t="s">
        <v>164</v>
      </c>
      <c r="I58" s="93" t="s">
        <v>159</v>
      </c>
      <c r="J58" s="93" t="s">
        <v>38</v>
      </c>
      <c r="K58" s="93" t="s">
        <v>161</v>
      </c>
      <c r="L58" s="93">
        <v>3</v>
      </c>
      <c r="N58" s="93">
        <v>1</v>
      </c>
      <c r="O58" s="93">
        <v>0.95</v>
      </c>
      <c r="P58" s="93">
        <v>1</v>
      </c>
      <c r="Q58" s="102">
        <f t="shared" si="0"/>
        <v>0.97499999999999998</v>
      </c>
      <c r="R58" s="93">
        <v>15.7</v>
      </c>
      <c r="S58" s="93">
        <v>118</v>
      </c>
      <c r="T58" s="103">
        <f t="shared" si="1"/>
        <v>30</v>
      </c>
      <c r="U58" s="93">
        <v>98</v>
      </c>
      <c r="V58" s="104">
        <f t="shared" si="2"/>
        <v>2940</v>
      </c>
      <c r="W58" s="93">
        <v>4</v>
      </c>
      <c r="X58" s="93" t="s">
        <v>39</v>
      </c>
      <c r="Y58" s="93" t="s">
        <v>84</v>
      </c>
      <c r="Z58" s="93" t="s">
        <v>69</v>
      </c>
      <c r="AA58" s="93" t="s">
        <v>90</v>
      </c>
      <c r="AB58" s="93" t="s">
        <v>158</v>
      </c>
    </row>
    <row r="59" spans="1:28" x14ac:dyDescent="0.15">
      <c r="A59" s="93" t="s">
        <v>51</v>
      </c>
      <c r="B59" s="93" t="s">
        <v>157</v>
      </c>
      <c r="C59" s="93">
        <v>2019</v>
      </c>
      <c r="D59" s="101" t="s">
        <v>262</v>
      </c>
      <c r="E59" s="93" t="s">
        <v>276</v>
      </c>
      <c r="F59" s="93" t="s">
        <v>264</v>
      </c>
      <c r="G59" s="93" t="s">
        <v>42</v>
      </c>
      <c r="H59" s="93" t="s">
        <v>160</v>
      </c>
      <c r="I59" s="93" t="s">
        <v>159</v>
      </c>
      <c r="J59" s="93" t="s">
        <v>38</v>
      </c>
      <c r="K59" s="93" t="s">
        <v>161</v>
      </c>
      <c r="L59" s="93">
        <v>1</v>
      </c>
      <c r="N59" s="93">
        <v>1</v>
      </c>
      <c r="O59" s="93">
        <v>0.25</v>
      </c>
      <c r="P59" s="93">
        <v>0.5</v>
      </c>
      <c r="Q59" s="102">
        <f t="shared" si="0"/>
        <v>0.375</v>
      </c>
      <c r="R59" s="93">
        <v>16.600000000000001</v>
      </c>
      <c r="S59" s="93">
        <v>118</v>
      </c>
      <c r="T59" s="103">
        <f t="shared" si="1"/>
        <v>30</v>
      </c>
      <c r="U59" s="93">
        <v>158</v>
      </c>
      <c r="V59" s="104">
        <f t="shared" si="2"/>
        <v>4740</v>
      </c>
      <c r="W59" s="93">
        <v>4</v>
      </c>
      <c r="X59" s="93" t="s">
        <v>39</v>
      </c>
      <c r="Y59" s="93" t="s">
        <v>84</v>
      </c>
      <c r="Z59" s="93" t="s">
        <v>69</v>
      </c>
      <c r="AA59" s="93" t="s">
        <v>90</v>
      </c>
      <c r="AB59" s="93" t="s">
        <v>158</v>
      </c>
    </row>
    <row r="60" spans="1:28" x14ac:dyDescent="0.15">
      <c r="A60" s="93" t="s">
        <v>51</v>
      </c>
      <c r="B60" s="93" t="s">
        <v>157</v>
      </c>
      <c r="C60" s="93">
        <v>2019</v>
      </c>
      <c r="D60" s="101" t="s">
        <v>262</v>
      </c>
      <c r="E60" s="93" t="s">
        <v>276</v>
      </c>
      <c r="F60" s="93" t="s">
        <v>264</v>
      </c>
      <c r="G60" s="93" t="s">
        <v>42</v>
      </c>
      <c r="H60" s="93" t="s">
        <v>160</v>
      </c>
      <c r="I60" s="93" t="s">
        <v>159</v>
      </c>
      <c r="J60" s="93" t="s">
        <v>38</v>
      </c>
      <c r="K60" s="93" t="s">
        <v>161</v>
      </c>
      <c r="L60" s="93">
        <v>2</v>
      </c>
      <c r="N60" s="93">
        <v>1</v>
      </c>
      <c r="O60" s="93">
        <v>0.6</v>
      </c>
      <c r="P60" s="93">
        <v>0.55000000000000004</v>
      </c>
      <c r="Q60" s="102">
        <f t="shared" si="0"/>
        <v>0.57499999999999996</v>
      </c>
      <c r="R60" s="93">
        <v>16.8</v>
      </c>
      <c r="S60" s="93">
        <v>126</v>
      </c>
      <c r="T60" s="103">
        <f t="shared" si="1"/>
        <v>27</v>
      </c>
      <c r="U60" s="93">
        <v>158</v>
      </c>
      <c r="V60" s="104">
        <f t="shared" si="2"/>
        <v>4266</v>
      </c>
      <c r="W60" s="93">
        <v>4</v>
      </c>
      <c r="X60" s="93" t="s">
        <v>39</v>
      </c>
      <c r="Y60" s="93" t="s">
        <v>84</v>
      </c>
      <c r="Z60" s="93" t="s">
        <v>69</v>
      </c>
      <c r="AA60" s="93" t="s">
        <v>90</v>
      </c>
      <c r="AB60" s="93" t="s">
        <v>158</v>
      </c>
    </row>
    <row r="61" spans="1:28" x14ac:dyDescent="0.15">
      <c r="A61" s="93" t="s">
        <v>51</v>
      </c>
      <c r="B61" s="93" t="s">
        <v>157</v>
      </c>
      <c r="C61" s="93">
        <v>2019</v>
      </c>
      <c r="D61" s="101" t="s">
        <v>262</v>
      </c>
      <c r="E61" s="93" t="s">
        <v>276</v>
      </c>
      <c r="F61" s="93" t="s">
        <v>264</v>
      </c>
      <c r="G61" s="93" t="s">
        <v>42</v>
      </c>
      <c r="H61" s="93" t="s">
        <v>160</v>
      </c>
      <c r="I61" s="93" t="s">
        <v>159</v>
      </c>
      <c r="J61" s="93" t="s">
        <v>38</v>
      </c>
      <c r="K61" s="93" t="s">
        <v>161</v>
      </c>
      <c r="L61" s="93">
        <v>3</v>
      </c>
      <c r="N61" s="93">
        <v>1</v>
      </c>
      <c r="O61" s="93">
        <v>0.7</v>
      </c>
      <c r="P61" s="93">
        <v>0.65</v>
      </c>
      <c r="Q61" s="102">
        <f t="shared" si="0"/>
        <v>0.67500000000000004</v>
      </c>
      <c r="R61" s="93">
        <v>17.100000000000001</v>
      </c>
      <c r="S61" s="93">
        <v>128</v>
      </c>
      <c r="T61" s="103">
        <f t="shared" si="1"/>
        <v>27</v>
      </c>
      <c r="U61" s="93">
        <v>158</v>
      </c>
      <c r="V61" s="104">
        <f t="shared" si="2"/>
        <v>4266</v>
      </c>
      <c r="W61" s="93">
        <v>4</v>
      </c>
      <c r="X61" s="93" t="s">
        <v>39</v>
      </c>
      <c r="Y61" s="93" t="s">
        <v>84</v>
      </c>
      <c r="Z61" s="93" t="s">
        <v>69</v>
      </c>
      <c r="AA61" s="93" t="s">
        <v>90</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B5483138-185D-4C64-9721-FDE9EEB2ACF7}">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1DABF5E8-409B-479A-B480-78F2CF1C73F0}">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56BFF860-6ADB-4752-ABB3-BDFBAC396959}">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FEB4EAA-51C1-4C74-BA3F-1F4FF2F399EB}">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E48E7EF7-35C2-44CB-BF76-AC135C00B10E}">
      <formula1>$AN$5:$AN$6</formula1>
    </dataValidation>
    <dataValidation type="list" allowBlank="1" showInputMessage="1" showErrorMessage="1" sqref="Y2:AA500" xr:uid="{B8E7DCD6-65F1-41B5-8D1D-533E23C4435D}">
      <formula1>$AV$2:$AV$21</formula1>
    </dataValidation>
    <dataValidation type="list" allowBlank="1" showInputMessage="1" showErrorMessage="1" sqref="H2:H500" xr:uid="{9D7D4F9A-1855-4D57-8EED-C0D7684FEFF1}">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B4B4DC3-082E-40E3-9109-A0BEE7550F6E}">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2B1227BF-CE51-43DC-A43A-1A6EB8851ABB}">
      <formula1>$AH$2:$AH$11</formula1>
    </dataValidation>
    <dataValidation type="list" allowBlank="1" showInputMessage="1" showErrorMessage="1" sqref="K2:K89" xr:uid="{FCFFAAA2-653B-46BD-AAEC-5710A860D8FF}">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A3A0D711-2FB2-4799-8001-662090ED4D91}">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CF6E403B-BF0A-4115-8D27-46DA40B2AF8F}"/>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C7DC362E-1FE3-4BB8-BF30-52F70F95A037}">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69900BCC-0DB7-4499-9CEF-52CCBB5B715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0A6D473A-18B9-42C0-8F22-6C35081DCEB7}">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1D49-C7F1-48E5-87BE-9AB64F86E12F}">
  <sheetPr>
    <pageSetUpPr fitToPage="1"/>
  </sheetPr>
  <dimension ref="A1:BA120"/>
  <sheetViews>
    <sheetView topLeftCell="A40" zoomScale="85" zoomScaleNormal="85" workbookViewId="0">
      <selection activeCell="U77" sqref="U77"/>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284</v>
      </c>
      <c r="E2" s="127" t="s">
        <v>285</v>
      </c>
      <c r="F2" s="127" t="s">
        <v>286</v>
      </c>
      <c r="G2" s="127" t="s">
        <v>42</v>
      </c>
      <c r="H2" s="53" t="s">
        <v>127</v>
      </c>
      <c r="I2" s="53" t="s">
        <v>159</v>
      </c>
      <c r="J2" s="127" t="s">
        <v>67</v>
      </c>
      <c r="K2" s="53" t="s">
        <v>87</v>
      </c>
      <c r="L2" s="53">
        <v>1</v>
      </c>
      <c r="M2" s="53"/>
      <c r="N2" s="53">
        <v>5</v>
      </c>
      <c r="O2" s="53">
        <v>1.25</v>
      </c>
      <c r="P2" s="53">
        <v>1.75</v>
      </c>
      <c r="Q2" s="75">
        <f t="shared" ref="Q2:Q22" si="0">IF(OR(O2="",P2=""),"",AVERAGE(O2,P2))</f>
        <v>1.5</v>
      </c>
      <c r="R2" s="53">
        <v>11.2</v>
      </c>
      <c r="S2" s="53">
        <v>88</v>
      </c>
      <c r="T2" s="16">
        <f t="shared" ref="T2:T65" si="1">IF(H2="","",IF(OR(H2="GREEN",H2="GK"),IF(S2&gt;=$AX$2,VLOOKUP(S2,$AX$2:$AY$15,2,1),""),IF(S2&gt;=$AZ$2,VLOOKUP(S2,$AZ$2:$BA$15,2,1),"")))</f>
        <v>39</v>
      </c>
      <c r="U2" s="53">
        <v>368</v>
      </c>
      <c r="V2" s="129">
        <f t="shared" ref="V2:V22" si="2">IF(OR(N2="",U2="",T2=""),"",U2/N2*T2)</f>
        <v>2870.3999999999996</v>
      </c>
      <c r="W2" s="53">
        <v>4</v>
      </c>
      <c r="X2" s="127" t="s">
        <v>39</v>
      </c>
      <c r="Y2" s="53" t="s">
        <v>90</v>
      </c>
      <c r="Z2" s="53" t="s">
        <v>84</v>
      </c>
      <c r="AA2" s="53" t="s">
        <v>50</v>
      </c>
      <c r="AB2" s="127" t="s">
        <v>237</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284</v>
      </c>
      <c r="E3" s="127" t="s">
        <v>285</v>
      </c>
      <c r="F3" s="127" t="s">
        <v>286</v>
      </c>
      <c r="G3" s="127" t="s">
        <v>42</v>
      </c>
      <c r="H3" s="53" t="s">
        <v>127</v>
      </c>
      <c r="I3" s="53" t="s">
        <v>159</v>
      </c>
      <c r="J3" s="127" t="s">
        <v>67</v>
      </c>
      <c r="K3" s="53" t="s">
        <v>87</v>
      </c>
      <c r="L3" s="53">
        <v>2</v>
      </c>
      <c r="N3" s="53">
        <v>5</v>
      </c>
      <c r="O3" s="53">
        <v>1.25</v>
      </c>
      <c r="P3" s="53">
        <v>1.7</v>
      </c>
      <c r="Q3" s="75">
        <f t="shared" si="0"/>
        <v>1.4750000000000001</v>
      </c>
      <c r="R3" s="53">
        <v>10.9</v>
      </c>
      <c r="S3" s="53">
        <v>85</v>
      </c>
      <c r="T3" s="16">
        <f t="shared" si="1"/>
        <v>39</v>
      </c>
      <c r="U3" s="53">
        <v>368</v>
      </c>
      <c r="V3" s="129">
        <f t="shared" si="2"/>
        <v>2870.3999999999996</v>
      </c>
      <c r="W3" s="53">
        <v>4</v>
      </c>
      <c r="X3" s="127" t="s">
        <v>39</v>
      </c>
      <c r="Y3" s="53" t="s">
        <v>90</v>
      </c>
      <c r="Z3" s="53" t="s">
        <v>84</v>
      </c>
      <c r="AA3" s="53" t="s">
        <v>50</v>
      </c>
      <c r="AB3" s="127" t="s">
        <v>237</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284</v>
      </c>
      <c r="E4" s="127" t="s">
        <v>285</v>
      </c>
      <c r="F4" s="127" t="s">
        <v>286</v>
      </c>
      <c r="G4" s="127" t="s">
        <v>42</v>
      </c>
      <c r="H4" s="53" t="s">
        <v>127</v>
      </c>
      <c r="I4" s="53" t="s">
        <v>159</v>
      </c>
      <c r="J4" s="127" t="s">
        <v>67</v>
      </c>
      <c r="K4" s="53" t="s">
        <v>87</v>
      </c>
      <c r="L4" s="53">
        <v>3</v>
      </c>
      <c r="N4" s="53">
        <v>5</v>
      </c>
      <c r="O4" s="53">
        <v>1.7</v>
      </c>
      <c r="P4" s="53">
        <v>1.95</v>
      </c>
      <c r="Q4" s="75">
        <f t="shared" si="0"/>
        <v>1.825</v>
      </c>
      <c r="R4" s="53">
        <v>12.7</v>
      </c>
      <c r="S4" s="53">
        <v>86</v>
      </c>
      <c r="T4" s="16">
        <f t="shared" si="1"/>
        <v>39</v>
      </c>
      <c r="U4" s="53">
        <v>368</v>
      </c>
      <c r="V4" s="129">
        <f t="shared" si="2"/>
        <v>2870.3999999999996</v>
      </c>
      <c r="W4" s="53">
        <v>4</v>
      </c>
      <c r="X4" s="127" t="s">
        <v>39</v>
      </c>
      <c r="Y4" s="53" t="s">
        <v>90</v>
      </c>
      <c r="Z4" s="53" t="s">
        <v>84</v>
      </c>
      <c r="AA4" s="53" t="s">
        <v>50</v>
      </c>
      <c r="AB4" s="127" t="s">
        <v>237</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284</v>
      </c>
      <c r="E5" s="127" t="s">
        <v>285</v>
      </c>
      <c r="F5" s="127" t="s">
        <v>286</v>
      </c>
      <c r="G5" s="127" t="s">
        <v>42</v>
      </c>
      <c r="H5" s="53" t="s">
        <v>127</v>
      </c>
      <c r="I5" s="53" t="s">
        <v>159</v>
      </c>
      <c r="J5" s="93" t="s">
        <v>53</v>
      </c>
      <c r="K5" s="93" t="s">
        <v>54</v>
      </c>
      <c r="L5" s="53">
        <v>1</v>
      </c>
      <c r="N5" s="53">
        <v>6</v>
      </c>
      <c r="O5" s="53">
        <v>5</v>
      </c>
      <c r="P5" s="53">
        <v>5</v>
      </c>
      <c r="Q5" s="75">
        <f t="shared" si="0"/>
        <v>5</v>
      </c>
      <c r="R5" s="53">
        <v>10.9</v>
      </c>
      <c r="S5" s="53">
        <v>64</v>
      </c>
      <c r="T5" s="16">
        <f t="shared" si="1"/>
        <v>50</v>
      </c>
      <c r="U5" s="53">
        <v>275</v>
      </c>
      <c r="V5" s="129">
        <f t="shared" si="2"/>
        <v>2291.666666666667</v>
      </c>
      <c r="W5" s="53">
        <v>4</v>
      </c>
      <c r="X5" s="127" t="s">
        <v>39</v>
      </c>
      <c r="Y5" s="53" t="s">
        <v>90</v>
      </c>
      <c r="Z5" s="53" t="s">
        <v>84</v>
      </c>
      <c r="AA5" s="53" t="s">
        <v>50</v>
      </c>
      <c r="AB5" s="127" t="s">
        <v>237</v>
      </c>
      <c r="AC5" s="34"/>
      <c r="AE5" s="22"/>
      <c r="AP5" s="27" t="s">
        <v>113</v>
      </c>
      <c r="AR5" s="23" t="s">
        <v>105</v>
      </c>
      <c r="AV5" s="134" t="s">
        <v>291</v>
      </c>
    </row>
    <row r="6" spans="1:53" x14ac:dyDescent="0.15">
      <c r="A6" s="127" t="s">
        <v>61</v>
      </c>
      <c r="B6" s="127" t="s">
        <v>233</v>
      </c>
      <c r="C6" s="127">
        <v>2019</v>
      </c>
      <c r="D6" s="128" t="s">
        <v>284</v>
      </c>
      <c r="E6" s="127" t="s">
        <v>285</v>
      </c>
      <c r="F6" s="127" t="s">
        <v>286</v>
      </c>
      <c r="G6" s="127" t="s">
        <v>42</v>
      </c>
      <c r="H6" s="53" t="s">
        <v>127</v>
      </c>
      <c r="I6" s="53" t="s">
        <v>159</v>
      </c>
      <c r="J6" s="93" t="s">
        <v>53</v>
      </c>
      <c r="K6" s="93" t="s">
        <v>54</v>
      </c>
      <c r="L6" s="53">
        <v>2</v>
      </c>
      <c r="N6" s="53">
        <v>6</v>
      </c>
      <c r="O6" s="53">
        <v>5</v>
      </c>
      <c r="P6" s="53">
        <v>5</v>
      </c>
      <c r="Q6" s="75">
        <f t="shared" si="0"/>
        <v>5</v>
      </c>
      <c r="R6" s="53">
        <v>11.1</v>
      </c>
      <c r="S6" s="53">
        <v>68</v>
      </c>
      <c r="T6" s="16">
        <f t="shared" si="1"/>
        <v>50</v>
      </c>
      <c r="U6" s="53">
        <v>275</v>
      </c>
      <c r="V6" s="129">
        <f t="shared" si="2"/>
        <v>2291.666666666667</v>
      </c>
      <c r="W6" s="53">
        <v>4</v>
      </c>
      <c r="X6" s="127" t="s">
        <v>39</v>
      </c>
      <c r="Y6" s="53" t="s">
        <v>90</v>
      </c>
      <c r="Z6" s="53" t="s">
        <v>84</v>
      </c>
      <c r="AA6" s="53" t="s">
        <v>50</v>
      </c>
      <c r="AB6" s="127" t="s">
        <v>237</v>
      </c>
      <c r="AC6" s="34"/>
      <c r="AE6" s="22"/>
      <c r="AP6" s="27" t="s">
        <v>114</v>
      </c>
      <c r="AR6" s="23" t="s">
        <v>68</v>
      </c>
      <c r="AV6" s="134" t="s">
        <v>292</v>
      </c>
    </row>
    <row r="7" spans="1:53" x14ac:dyDescent="0.15">
      <c r="A7" s="127" t="s">
        <v>61</v>
      </c>
      <c r="B7" s="127" t="s">
        <v>233</v>
      </c>
      <c r="C7" s="127">
        <v>2019</v>
      </c>
      <c r="D7" s="128" t="s">
        <v>284</v>
      </c>
      <c r="E7" s="127" t="s">
        <v>285</v>
      </c>
      <c r="F7" s="127" t="s">
        <v>286</v>
      </c>
      <c r="G7" s="127" t="s">
        <v>42</v>
      </c>
      <c r="H7" s="53" t="s">
        <v>127</v>
      </c>
      <c r="I7" s="53" t="s">
        <v>159</v>
      </c>
      <c r="J7" s="93" t="s">
        <v>53</v>
      </c>
      <c r="K7" s="93" t="s">
        <v>54</v>
      </c>
      <c r="L7" s="53">
        <v>3</v>
      </c>
      <c r="N7" s="53">
        <v>6</v>
      </c>
      <c r="O7" s="53">
        <v>5</v>
      </c>
      <c r="P7" s="53">
        <v>5</v>
      </c>
      <c r="Q7" s="75">
        <f t="shared" si="0"/>
        <v>5</v>
      </c>
      <c r="R7" s="53">
        <v>11.4</v>
      </c>
      <c r="S7" s="53">
        <v>73</v>
      </c>
      <c r="T7" s="16">
        <f t="shared" si="1"/>
        <v>42</v>
      </c>
      <c r="U7" s="53">
        <v>275</v>
      </c>
      <c r="V7" s="129">
        <f t="shared" si="2"/>
        <v>1925</v>
      </c>
      <c r="W7" s="53">
        <v>4</v>
      </c>
      <c r="X7" s="127" t="s">
        <v>39</v>
      </c>
      <c r="Y7" s="53" t="s">
        <v>90</v>
      </c>
      <c r="Z7" s="53" t="s">
        <v>84</v>
      </c>
      <c r="AA7" s="53" t="s">
        <v>50</v>
      </c>
      <c r="AB7" s="127" t="s">
        <v>237</v>
      </c>
      <c r="AC7" s="34"/>
      <c r="AE7" s="35"/>
      <c r="AP7" s="27" t="s">
        <v>115</v>
      </c>
      <c r="AR7" s="23" t="s">
        <v>83</v>
      </c>
      <c r="AV7" s="23"/>
    </row>
    <row r="8" spans="1:53" x14ac:dyDescent="0.15">
      <c r="A8" s="127" t="s">
        <v>61</v>
      </c>
      <c r="B8" s="127" t="s">
        <v>233</v>
      </c>
      <c r="C8" s="127">
        <v>2019</v>
      </c>
      <c r="D8" s="128" t="s">
        <v>284</v>
      </c>
      <c r="E8" s="127" t="s">
        <v>287</v>
      </c>
      <c r="F8" s="127" t="s">
        <v>288</v>
      </c>
      <c r="G8" s="127" t="s">
        <v>42</v>
      </c>
      <c r="H8" s="53" t="s">
        <v>164</v>
      </c>
      <c r="I8" s="53" t="s">
        <v>159</v>
      </c>
      <c r="J8" s="127" t="s">
        <v>38</v>
      </c>
      <c r="K8" s="53" t="s">
        <v>161</v>
      </c>
      <c r="L8" s="53">
        <v>1</v>
      </c>
      <c r="N8" s="53">
        <v>1</v>
      </c>
      <c r="O8" s="53">
        <v>0.85</v>
      </c>
      <c r="P8" s="53">
        <v>0.85</v>
      </c>
      <c r="Q8" s="75">
        <f t="shared" si="0"/>
        <v>0.85</v>
      </c>
      <c r="R8" s="53">
        <v>12.3</v>
      </c>
      <c r="S8" s="53">
        <v>147</v>
      </c>
      <c r="T8" s="16">
        <f t="shared" si="1"/>
        <v>22</v>
      </c>
      <c r="U8" s="53">
        <v>128</v>
      </c>
      <c r="V8" s="129">
        <f t="shared" si="2"/>
        <v>2816</v>
      </c>
      <c r="W8" s="53">
        <v>5</v>
      </c>
      <c r="X8" s="127" t="s">
        <v>46</v>
      </c>
      <c r="Y8" s="53" t="s">
        <v>90</v>
      </c>
      <c r="Z8" s="53" t="s">
        <v>50</v>
      </c>
      <c r="AA8" s="53" t="s">
        <v>84</v>
      </c>
      <c r="AB8" s="127" t="s">
        <v>237</v>
      </c>
      <c r="AC8" s="34"/>
      <c r="AE8" s="22" t="s">
        <v>59</v>
      </c>
      <c r="AG8" s="49" t="s">
        <v>293</v>
      </c>
      <c r="AH8" s="49" t="s">
        <v>294</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284</v>
      </c>
      <c r="E9" s="127" t="s">
        <v>287</v>
      </c>
      <c r="F9" s="127" t="s">
        <v>288</v>
      </c>
      <c r="G9" s="127" t="s">
        <v>42</v>
      </c>
      <c r="H9" s="53" t="s">
        <v>164</v>
      </c>
      <c r="I9" s="53" t="s">
        <v>159</v>
      </c>
      <c r="J9" s="127" t="s">
        <v>38</v>
      </c>
      <c r="K9" s="53" t="s">
        <v>161</v>
      </c>
      <c r="L9" s="53">
        <v>2</v>
      </c>
      <c r="N9" s="53">
        <v>1</v>
      </c>
      <c r="O9" s="53">
        <v>1</v>
      </c>
      <c r="P9" s="53">
        <v>0.75</v>
      </c>
      <c r="Q9" s="75">
        <f t="shared" si="0"/>
        <v>0.875</v>
      </c>
      <c r="R9" s="34">
        <v>14.7</v>
      </c>
      <c r="S9" s="53">
        <v>145</v>
      </c>
      <c r="T9" s="16">
        <f t="shared" si="1"/>
        <v>22</v>
      </c>
      <c r="U9" s="53">
        <v>128</v>
      </c>
      <c r="V9" s="129">
        <f t="shared" si="2"/>
        <v>2816</v>
      </c>
      <c r="W9" s="53">
        <v>5</v>
      </c>
      <c r="X9" s="127" t="s">
        <v>46</v>
      </c>
      <c r="Y9" s="53" t="s">
        <v>90</v>
      </c>
      <c r="Z9" s="53" t="s">
        <v>50</v>
      </c>
      <c r="AA9" s="53" t="s">
        <v>84</v>
      </c>
      <c r="AB9" s="127" t="s">
        <v>237</v>
      </c>
      <c r="AC9" s="34"/>
      <c r="AE9" s="22" t="s">
        <v>98</v>
      </c>
      <c r="AG9" s="49" t="s">
        <v>133</v>
      </c>
      <c r="AH9" s="49" t="s">
        <v>295</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284</v>
      </c>
      <c r="E10" s="127" t="s">
        <v>287</v>
      </c>
      <c r="F10" s="127" t="s">
        <v>288</v>
      </c>
      <c r="G10" s="127" t="s">
        <v>42</v>
      </c>
      <c r="H10" s="53" t="s">
        <v>164</v>
      </c>
      <c r="I10" s="53" t="s">
        <v>159</v>
      </c>
      <c r="J10" s="127" t="s">
        <v>38</v>
      </c>
      <c r="K10" s="53" t="s">
        <v>161</v>
      </c>
      <c r="L10" s="53">
        <v>3</v>
      </c>
      <c r="N10" s="53">
        <v>1</v>
      </c>
      <c r="O10" s="53">
        <v>0.9</v>
      </c>
      <c r="P10" s="53">
        <v>0.65</v>
      </c>
      <c r="Q10" s="75">
        <f t="shared" si="0"/>
        <v>0.77500000000000002</v>
      </c>
      <c r="R10" s="53">
        <v>13.6</v>
      </c>
      <c r="S10" s="53">
        <v>137</v>
      </c>
      <c r="T10" s="16">
        <f t="shared" si="1"/>
        <v>25</v>
      </c>
      <c r="U10" s="53">
        <v>128</v>
      </c>
      <c r="V10" s="129">
        <f t="shared" si="2"/>
        <v>3200</v>
      </c>
      <c r="W10" s="53">
        <v>5</v>
      </c>
      <c r="X10" s="127" t="s">
        <v>46</v>
      </c>
      <c r="Y10" s="53" t="s">
        <v>90</v>
      </c>
      <c r="Z10" s="53" t="s">
        <v>50</v>
      </c>
      <c r="AA10" s="53" t="s">
        <v>84</v>
      </c>
      <c r="AB10" s="127" t="s">
        <v>237</v>
      </c>
      <c r="AC10" s="34"/>
      <c r="AE10" s="22" t="s">
        <v>103</v>
      </c>
      <c r="AG10" s="49" t="s">
        <v>296</v>
      </c>
      <c r="AH10" s="49" t="s">
        <v>297</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284</v>
      </c>
      <c r="E11" s="127" t="s">
        <v>287</v>
      </c>
      <c r="F11" s="127" t="s">
        <v>288</v>
      </c>
      <c r="G11" s="127" t="s">
        <v>42</v>
      </c>
      <c r="H11" s="53" t="s">
        <v>160</v>
      </c>
      <c r="I11" s="53" t="s">
        <v>159</v>
      </c>
      <c r="J11" s="127" t="s">
        <v>38</v>
      </c>
      <c r="K11" s="53" t="s">
        <v>161</v>
      </c>
      <c r="L11" s="53">
        <v>1</v>
      </c>
      <c r="N11" s="53">
        <v>1</v>
      </c>
      <c r="O11" s="53">
        <v>0.5</v>
      </c>
      <c r="P11" s="53">
        <v>0.5</v>
      </c>
      <c r="Q11" s="75">
        <f t="shared" si="0"/>
        <v>0.5</v>
      </c>
      <c r="R11" s="53">
        <v>12.8</v>
      </c>
      <c r="S11" s="53">
        <v>134</v>
      </c>
      <c r="T11" s="16">
        <f t="shared" si="1"/>
        <v>25</v>
      </c>
      <c r="U11" s="53">
        <v>128</v>
      </c>
      <c r="V11" s="129">
        <f t="shared" si="2"/>
        <v>3200</v>
      </c>
      <c r="W11" s="53">
        <v>5</v>
      </c>
      <c r="X11" s="127" t="s">
        <v>46</v>
      </c>
      <c r="Y11" s="53" t="s">
        <v>90</v>
      </c>
      <c r="Z11" s="53" t="s">
        <v>50</v>
      </c>
      <c r="AA11" s="53" t="s">
        <v>84</v>
      </c>
      <c r="AB11" s="127" t="s">
        <v>237</v>
      </c>
      <c r="AC11" s="34"/>
      <c r="AE11" s="22" t="s">
        <v>65</v>
      </c>
      <c r="AG11" s="49" t="s">
        <v>298</v>
      </c>
      <c r="AH11" s="49" t="s">
        <v>297</v>
      </c>
      <c r="AL11" s="135"/>
      <c r="AP11" s="23" t="s">
        <v>104</v>
      </c>
      <c r="AR11" s="23" t="s">
        <v>87</v>
      </c>
      <c r="AV11" s="134" t="s">
        <v>299</v>
      </c>
      <c r="AX11" s="24">
        <v>151</v>
      </c>
      <c r="AY11" s="25">
        <v>22</v>
      </c>
      <c r="AZ11" s="25">
        <v>152</v>
      </c>
      <c r="BA11" s="26">
        <v>18</v>
      </c>
    </row>
    <row r="12" spans="1:53" x14ac:dyDescent="0.15">
      <c r="A12" s="127" t="s">
        <v>61</v>
      </c>
      <c r="B12" s="127" t="s">
        <v>233</v>
      </c>
      <c r="C12" s="127">
        <v>2019</v>
      </c>
      <c r="D12" s="128" t="s">
        <v>284</v>
      </c>
      <c r="E12" s="127" t="s">
        <v>287</v>
      </c>
      <c r="F12" s="127" t="s">
        <v>288</v>
      </c>
      <c r="G12" s="127" t="s">
        <v>42</v>
      </c>
      <c r="H12" s="53" t="s">
        <v>160</v>
      </c>
      <c r="I12" s="53" t="s">
        <v>159</v>
      </c>
      <c r="J12" s="127" t="s">
        <v>38</v>
      </c>
      <c r="K12" s="53" t="s">
        <v>161</v>
      </c>
      <c r="L12" s="53">
        <v>2</v>
      </c>
      <c r="N12" s="53">
        <v>1</v>
      </c>
      <c r="O12" s="53">
        <v>0.5</v>
      </c>
      <c r="P12" s="53">
        <v>0.5</v>
      </c>
      <c r="Q12" s="75">
        <f t="shared" si="0"/>
        <v>0.5</v>
      </c>
      <c r="R12" s="34">
        <v>13.5</v>
      </c>
      <c r="S12" s="53">
        <v>148</v>
      </c>
      <c r="T12" s="16">
        <f t="shared" si="1"/>
        <v>22</v>
      </c>
      <c r="U12" s="53">
        <v>128</v>
      </c>
      <c r="V12" s="129">
        <f t="shared" si="2"/>
        <v>2816</v>
      </c>
      <c r="W12" s="53">
        <v>5</v>
      </c>
      <c r="X12" s="127" t="s">
        <v>46</v>
      </c>
      <c r="Y12" s="53" t="s">
        <v>90</v>
      </c>
      <c r="Z12" s="53" t="s">
        <v>50</v>
      </c>
      <c r="AA12" s="53" t="s">
        <v>84</v>
      </c>
      <c r="AB12" s="127" t="s">
        <v>237</v>
      </c>
      <c r="AC12" s="34"/>
      <c r="AE12" s="22" t="s">
        <v>70</v>
      </c>
      <c r="AG12" s="23"/>
      <c r="AH12" s="22"/>
      <c r="AL12" s="135"/>
      <c r="AP12" s="23" t="s">
        <v>67</v>
      </c>
      <c r="AR12" s="23" t="s">
        <v>124</v>
      </c>
      <c r="AV12" s="134" t="s">
        <v>300</v>
      </c>
      <c r="AX12" s="24">
        <v>180</v>
      </c>
      <c r="AY12" s="25">
        <v>18</v>
      </c>
      <c r="AZ12" s="25">
        <v>181</v>
      </c>
      <c r="BA12" s="26">
        <v>16</v>
      </c>
    </row>
    <row r="13" spans="1:53" x14ac:dyDescent="0.15">
      <c r="A13" s="127" t="s">
        <v>61</v>
      </c>
      <c r="B13" s="127" t="s">
        <v>233</v>
      </c>
      <c r="C13" s="127">
        <v>2019</v>
      </c>
      <c r="D13" s="128" t="s">
        <v>284</v>
      </c>
      <c r="E13" s="127" t="s">
        <v>287</v>
      </c>
      <c r="F13" s="127" t="s">
        <v>288</v>
      </c>
      <c r="G13" s="127" t="s">
        <v>42</v>
      </c>
      <c r="H13" s="53" t="s">
        <v>160</v>
      </c>
      <c r="I13" s="53" t="s">
        <v>159</v>
      </c>
      <c r="J13" s="127" t="s">
        <v>38</v>
      </c>
      <c r="K13" s="53" t="s">
        <v>161</v>
      </c>
      <c r="L13" s="53">
        <v>3</v>
      </c>
      <c r="N13" s="53">
        <v>1</v>
      </c>
      <c r="O13" s="53">
        <v>0.5</v>
      </c>
      <c r="P13" s="53">
        <v>0.5</v>
      </c>
      <c r="Q13" s="75">
        <f t="shared" si="0"/>
        <v>0.5</v>
      </c>
      <c r="R13" s="53">
        <v>19.3</v>
      </c>
      <c r="S13" s="53">
        <v>139</v>
      </c>
      <c r="T13" s="16">
        <f t="shared" si="1"/>
        <v>22</v>
      </c>
      <c r="U13" s="53">
        <v>128</v>
      </c>
      <c r="V13" s="129">
        <f t="shared" si="2"/>
        <v>2816</v>
      </c>
      <c r="W13" s="53">
        <v>5</v>
      </c>
      <c r="X13" s="127" t="s">
        <v>46</v>
      </c>
      <c r="Y13" s="53" t="s">
        <v>90</v>
      </c>
      <c r="Z13" s="53" t="s">
        <v>50</v>
      </c>
      <c r="AA13" s="53" t="s">
        <v>84</v>
      </c>
      <c r="AB13" s="127" t="s">
        <v>237</v>
      </c>
      <c r="AC13" s="34"/>
      <c r="AE13" s="22" t="s">
        <v>73</v>
      </c>
      <c r="AG13" s="23"/>
      <c r="AH13" s="22"/>
      <c r="AL13" s="136"/>
      <c r="AP13" s="23" t="s">
        <v>71</v>
      </c>
      <c r="AR13" s="23" t="s">
        <v>103</v>
      </c>
      <c r="AV13" s="134" t="s">
        <v>301</v>
      </c>
      <c r="AX13" s="24"/>
      <c r="AY13" s="25"/>
      <c r="AZ13" s="25"/>
      <c r="BA13" s="26"/>
    </row>
    <row r="14" spans="1:53" x14ac:dyDescent="0.15">
      <c r="A14" s="127" t="s">
        <v>61</v>
      </c>
      <c r="B14" s="127" t="s">
        <v>233</v>
      </c>
      <c r="C14" s="127">
        <v>2019</v>
      </c>
      <c r="D14" s="128" t="s">
        <v>284</v>
      </c>
      <c r="E14" s="127" t="s">
        <v>289</v>
      </c>
      <c r="F14" s="127" t="s">
        <v>290</v>
      </c>
      <c r="G14" s="127" t="s">
        <v>42</v>
      </c>
      <c r="H14" s="53" t="s">
        <v>160</v>
      </c>
      <c r="I14" s="53" t="s">
        <v>159</v>
      </c>
      <c r="J14" s="127" t="s">
        <v>38</v>
      </c>
      <c r="K14" s="53" t="s">
        <v>161</v>
      </c>
      <c r="L14" s="53">
        <v>1</v>
      </c>
      <c r="N14" s="53">
        <v>1</v>
      </c>
      <c r="O14" s="53">
        <v>0.5</v>
      </c>
      <c r="P14" s="53">
        <v>0.5</v>
      </c>
      <c r="Q14" s="75">
        <f t="shared" si="0"/>
        <v>0.5</v>
      </c>
      <c r="R14" s="53">
        <v>14.8</v>
      </c>
      <c r="S14" s="53">
        <v>125</v>
      </c>
      <c r="T14" s="16">
        <f t="shared" si="1"/>
        <v>27</v>
      </c>
      <c r="U14" s="53">
        <v>98</v>
      </c>
      <c r="V14" s="129">
        <f t="shared" si="2"/>
        <v>2646</v>
      </c>
      <c r="W14" s="53">
        <v>6</v>
      </c>
      <c r="X14" s="127" t="s">
        <v>46</v>
      </c>
      <c r="Y14" s="53" t="s">
        <v>50</v>
      </c>
      <c r="Z14" s="53" t="s">
        <v>90</v>
      </c>
      <c r="AA14" s="53" t="s">
        <v>84</v>
      </c>
      <c r="AB14" s="127" t="s">
        <v>237</v>
      </c>
      <c r="AC14" s="34"/>
      <c r="AE14" s="22" t="s">
        <v>76</v>
      </c>
      <c r="AG14" s="23"/>
      <c r="AH14" s="22"/>
      <c r="AL14" s="34"/>
      <c r="AP14" s="23" t="s">
        <v>74</v>
      </c>
      <c r="AR14" s="23" t="s">
        <v>125</v>
      </c>
      <c r="AV14" s="134" t="s">
        <v>302</v>
      </c>
      <c r="AX14" s="24"/>
      <c r="AY14" s="25"/>
      <c r="AZ14" s="25"/>
      <c r="BA14" s="26"/>
    </row>
    <row r="15" spans="1:53" x14ac:dyDescent="0.15">
      <c r="A15" s="127" t="s">
        <v>61</v>
      </c>
      <c r="B15" s="127" t="s">
        <v>233</v>
      </c>
      <c r="C15" s="127">
        <v>2019</v>
      </c>
      <c r="D15" s="128" t="s">
        <v>284</v>
      </c>
      <c r="E15" s="127" t="s">
        <v>289</v>
      </c>
      <c r="F15" s="127" t="s">
        <v>290</v>
      </c>
      <c r="G15" s="127" t="s">
        <v>42</v>
      </c>
      <c r="H15" s="53" t="s">
        <v>160</v>
      </c>
      <c r="I15" s="53" t="s">
        <v>159</v>
      </c>
      <c r="J15" s="127" t="s">
        <v>38</v>
      </c>
      <c r="K15" s="53" t="s">
        <v>161</v>
      </c>
      <c r="L15" s="53">
        <v>2</v>
      </c>
      <c r="N15" s="53">
        <v>1</v>
      </c>
      <c r="O15" s="53">
        <v>0.5</v>
      </c>
      <c r="P15" s="53">
        <v>0.5</v>
      </c>
      <c r="Q15" s="75">
        <f t="shared" si="0"/>
        <v>0.5</v>
      </c>
      <c r="R15" s="34">
        <v>13.9</v>
      </c>
      <c r="S15" s="53">
        <v>119</v>
      </c>
      <c r="T15" s="16">
        <f t="shared" si="1"/>
        <v>39</v>
      </c>
      <c r="U15" s="53">
        <v>98</v>
      </c>
      <c r="V15" s="129">
        <f t="shared" si="2"/>
        <v>3822</v>
      </c>
      <c r="W15" s="53">
        <v>6</v>
      </c>
      <c r="X15" s="127" t="s">
        <v>46</v>
      </c>
      <c r="Y15" s="53" t="s">
        <v>50</v>
      </c>
      <c r="Z15" s="53" t="s">
        <v>90</v>
      </c>
      <c r="AA15" s="53" t="s">
        <v>84</v>
      </c>
      <c r="AB15" s="127" t="s">
        <v>237</v>
      </c>
      <c r="AC15" s="34"/>
      <c r="AE15" s="22" t="s">
        <v>79</v>
      </c>
      <c r="AG15" s="23"/>
      <c r="AH15" s="23"/>
      <c r="AL15" s="34"/>
      <c r="AP15" s="23" t="s">
        <v>77</v>
      </c>
      <c r="AR15" s="23" t="s">
        <v>94</v>
      </c>
      <c r="AV15" s="134" t="s">
        <v>303</v>
      </c>
      <c r="AX15" s="31"/>
      <c r="AY15" s="32"/>
      <c r="AZ15" s="32"/>
      <c r="BA15" s="33"/>
    </row>
    <row r="16" spans="1:53" x14ac:dyDescent="0.15">
      <c r="A16" s="127" t="s">
        <v>61</v>
      </c>
      <c r="B16" s="127" t="s">
        <v>233</v>
      </c>
      <c r="C16" s="127">
        <v>2019</v>
      </c>
      <c r="D16" s="128" t="s">
        <v>284</v>
      </c>
      <c r="E16" s="127" t="s">
        <v>289</v>
      </c>
      <c r="F16" s="127" t="s">
        <v>290</v>
      </c>
      <c r="G16" s="127" t="s">
        <v>42</v>
      </c>
      <c r="H16" s="53" t="s">
        <v>160</v>
      </c>
      <c r="I16" s="53" t="s">
        <v>159</v>
      </c>
      <c r="J16" s="127" t="s">
        <v>38</v>
      </c>
      <c r="K16" s="53" t="s">
        <v>161</v>
      </c>
      <c r="L16" s="53">
        <v>3</v>
      </c>
      <c r="N16" s="53">
        <v>1</v>
      </c>
      <c r="O16" s="53">
        <v>0.5</v>
      </c>
      <c r="P16" s="53">
        <v>0.5</v>
      </c>
      <c r="Q16" s="75">
        <f t="shared" si="0"/>
        <v>0.5</v>
      </c>
      <c r="R16" s="53">
        <v>14.2</v>
      </c>
      <c r="S16" s="53">
        <v>126</v>
      </c>
      <c r="T16" s="16">
        <f t="shared" si="1"/>
        <v>27</v>
      </c>
      <c r="U16" s="53">
        <v>98</v>
      </c>
      <c r="V16" s="129">
        <f t="shared" si="2"/>
        <v>2646</v>
      </c>
      <c r="W16" s="53">
        <v>6</v>
      </c>
      <c r="X16" s="127" t="s">
        <v>46</v>
      </c>
      <c r="Y16" s="53" t="s">
        <v>50</v>
      </c>
      <c r="Z16" s="53" t="s">
        <v>90</v>
      </c>
      <c r="AA16" s="53" t="s">
        <v>84</v>
      </c>
      <c r="AB16" s="127" t="s">
        <v>237</v>
      </c>
      <c r="AC16" s="34"/>
      <c r="AE16" s="22" t="s">
        <v>82</v>
      </c>
      <c r="AG16" s="23"/>
      <c r="AH16" s="23"/>
      <c r="AP16" s="23" t="s">
        <v>80</v>
      </c>
      <c r="AR16" s="23" t="s">
        <v>63</v>
      </c>
      <c r="AV16" s="134" t="s">
        <v>304</v>
      </c>
    </row>
    <row r="17" spans="1:48" x14ac:dyDescent="0.15">
      <c r="A17" s="127" t="s">
        <v>61</v>
      </c>
      <c r="B17" s="127" t="s">
        <v>233</v>
      </c>
      <c r="C17" s="127">
        <v>2019</v>
      </c>
      <c r="D17" s="128" t="s">
        <v>284</v>
      </c>
      <c r="E17" s="127" t="s">
        <v>289</v>
      </c>
      <c r="F17" s="127" t="s">
        <v>290</v>
      </c>
      <c r="G17" s="127" t="s">
        <v>42</v>
      </c>
      <c r="H17" s="53" t="s">
        <v>127</v>
      </c>
      <c r="I17" s="53" t="s">
        <v>159</v>
      </c>
      <c r="J17" s="127" t="s">
        <v>67</v>
      </c>
      <c r="K17" s="53" t="s">
        <v>87</v>
      </c>
      <c r="L17" s="53">
        <v>1</v>
      </c>
      <c r="N17" s="53">
        <v>5</v>
      </c>
      <c r="O17" s="53">
        <v>0.5</v>
      </c>
      <c r="P17" s="53">
        <v>0.5</v>
      </c>
      <c r="Q17" s="75">
        <f t="shared" si="0"/>
        <v>0.5</v>
      </c>
      <c r="R17" s="53">
        <v>12.3</v>
      </c>
      <c r="S17" s="53">
        <v>80</v>
      </c>
      <c r="T17" s="16">
        <f t="shared" si="1"/>
        <v>39</v>
      </c>
      <c r="U17" s="53">
        <v>298</v>
      </c>
      <c r="V17" s="129">
        <f t="shared" si="2"/>
        <v>2324.4</v>
      </c>
      <c r="W17" s="53">
        <v>6</v>
      </c>
      <c r="X17" s="127" t="s">
        <v>46</v>
      </c>
      <c r="Y17" s="53" t="s">
        <v>50</v>
      </c>
      <c r="Z17" s="53" t="s">
        <v>90</v>
      </c>
      <c r="AA17" s="53" t="s">
        <v>84</v>
      </c>
      <c r="AB17" s="127" t="s">
        <v>237</v>
      </c>
      <c r="AC17" s="34"/>
      <c r="AE17" s="22" t="s">
        <v>85</v>
      </c>
      <c r="AP17" s="27" t="s">
        <v>110</v>
      </c>
      <c r="AR17" s="23" t="s">
        <v>96</v>
      </c>
      <c r="AV17" s="134" t="s">
        <v>255</v>
      </c>
    </row>
    <row r="18" spans="1:48" x14ac:dyDescent="0.15">
      <c r="A18" s="127" t="s">
        <v>61</v>
      </c>
      <c r="B18" s="127" t="s">
        <v>233</v>
      </c>
      <c r="C18" s="127">
        <v>2019</v>
      </c>
      <c r="D18" s="128" t="s">
        <v>284</v>
      </c>
      <c r="E18" s="127" t="s">
        <v>289</v>
      </c>
      <c r="F18" s="127" t="s">
        <v>290</v>
      </c>
      <c r="G18" s="127" t="s">
        <v>42</v>
      </c>
      <c r="H18" s="53" t="s">
        <v>127</v>
      </c>
      <c r="I18" s="53" t="s">
        <v>159</v>
      </c>
      <c r="J18" s="127" t="s">
        <v>67</v>
      </c>
      <c r="K18" s="53" t="s">
        <v>87</v>
      </c>
      <c r="L18" s="53">
        <v>2</v>
      </c>
      <c r="N18" s="53">
        <v>5</v>
      </c>
      <c r="O18" s="53">
        <v>0.5</v>
      </c>
      <c r="P18" s="53">
        <v>0.5</v>
      </c>
      <c r="Q18" s="75">
        <f t="shared" si="0"/>
        <v>0.5</v>
      </c>
      <c r="R18" s="34">
        <v>10.1</v>
      </c>
      <c r="S18" s="53">
        <v>96</v>
      </c>
      <c r="T18" s="16">
        <f t="shared" si="1"/>
        <v>39</v>
      </c>
      <c r="U18" s="53">
        <v>298</v>
      </c>
      <c r="V18" s="129">
        <f t="shared" si="2"/>
        <v>2324.4</v>
      </c>
      <c r="W18" s="53">
        <v>6</v>
      </c>
      <c r="X18" s="127" t="s">
        <v>46</v>
      </c>
      <c r="Y18" s="53" t="s">
        <v>50</v>
      </c>
      <c r="Z18" s="53" t="s">
        <v>90</v>
      </c>
      <c r="AA18" s="53" t="s">
        <v>84</v>
      </c>
      <c r="AB18" s="127" t="s">
        <v>237</v>
      </c>
      <c r="AC18" s="34"/>
      <c r="AE18" s="22" t="s">
        <v>87</v>
      </c>
      <c r="AP18" s="27" t="s">
        <v>111</v>
      </c>
      <c r="AR18" s="23" t="s">
        <v>101</v>
      </c>
      <c r="AV18" s="134" t="s">
        <v>135</v>
      </c>
    </row>
    <row r="19" spans="1:48" x14ac:dyDescent="0.15">
      <c r="A19" s="127" t="s">
        <v>61</v>
      </c>
      <c r="B19" s="127" t="s">
        <v>233</v>
      </c>
      <c r="C19" s="127">
        <v>2019</v>
      </c>
      <c r="D19" s="128" t="s">
        <v>284</v>
      </c>
      <c r="E19" s="127" t="s">
        <v>289</v>
      </c>
      <c r="F19" s="127" t="s">
        <v>290</v>
      </c>
      <c r="G19" s="127" t="s">
        <v>42</v>
      </c>
      <c r="H19" s="53" t="s">
        <v>127</v>
      </c>
      <c r="I19" s="53" t="s">
        <v>159</v>
      </c>
      <c r="J19" s="127" t="s">
        <v>67</v>
      </c>
      <c r="K19" s="53" t="s">
        <v>87</v>
      </c>
      <c r="L19" s="53">
        <v>3</v>
      </c>
      <c r="N19" s="53">
        <v>5</v>
      </c>
      <c r="O19" s="34">
        <v>0.5</v>
      </c>
      <c r="P19" s="53">
        <v>0.5</v>
      </c>
      <c r="Q19" s="75">
        <f t="shared" si="0"/>
        <v>0.5</v>
      </c>
      <c r="R19" s="53">
        <v>11</v>
      </c>
      <c r="S19" s="53">
        <v>78</v>
      </c>
      <c r="T19" s="16">
        <f t="shared" si="1"/>
        <v>39</v>
      </c>
      <c r="U19" s="53">
        <v>298</v>
      </c>
      <c r="V19" s="129">
        <f t="shared" si="2"/>
        <v>2324.4</v>
      </c>
      <c r="W19" s="53">
        <v>6</v>
      </c>
      <c r="X19" s="127" t="s">
        <v>46</v>
      </c>
      <c r="Y19" s="53" t="s">
        <v>50</v>
      </c>
      <c r="Z19" s="53" t="s">
        <v>90</v>
      </c>
      <c r="AA19" s="53" t="s">
        <v>84</v>
      </c>
      <c r="AB19" s="127" t="s">
        <v>237</v>
      </c>
      <c r="AC19" s="34"/>
      <c r="AE19" s="35" t="s">
        <v>89</v>
      </c>
      <c r="AP19" s="27" t="s">
        <v>112</v>
      </c>
      <c r="AR19" s="23" t="s">
        <v>126</v>
      </c>
      <c r="AV19" s="134" t="s">
        <v>305</v>
      </c>
    </row>
    <row r="20" spans="1:48" x14ac:dyDescent="0.15">
      <c r="A20" s="127" t="s">
        <v>61</v>
      </c>
      <c r="B20" s="127" t="s">
        <v>233</v>
      </c>
      <c r="C20" s="127">
        <v>2019</v>
      </c>
      <c r="D20" s="128" t="s">
        <v>284</v>
      </c>
      <c r="E20" s="127" t="s">
        <v>306</v>
      </c>
      <c r="F20" s="127" t="s">
        <v>307</v>
      </c>
      <c r="G20" s="127" t="s">
        <v>42</v>
      </c>
      <c r="H20" s="53" t="s">
        <v>164</v>
      </c>
      <c r="I20" s="53" t="s">
        <v>159</v>
      </c>
      <c r="J20" s="127" t="s">
        <v>38</v>
      </c>
      <c r="K20" s="53" t="s">
        <v>161</v>
      </c>
      <c r="L20" s="53">
        <v>1</v>
      </c>
      <c r="N20" s="53">
        <v>1</v>
      </c>
      <c r="O20" s="53">
        <v>0.5</v>
      </c>
      <c r="P20" s="53">
        <v>0.5</v>
      </c>
      <c r="Q20" s="75">
        <f t="shared" si="0"/>
        <v>0.5</v>
      </c>
      <c r="R20" s="53">
        <v>13.2</v>
      </c>
      <c r="S20" s="53">
        <v>131</v>
      </c>
      <c r="T20" s="16">
        <f t="shared" si="1"/>
        <v>25</v>
      </c>
      <c r="U20" s="53">
        <v>138</v>
      </c>
      <c r="V20" s="129">
        <f t="shared" si="2"/>
        <v>3450</v>
      </c>
      <c r="W20" s="53">
        <v>10</v>
      </c>
      <c r="X20" s="127" t="s">
        <v>46</v>
      </c>
      <c r="Y20" s="53" t="s">
        <v>308</v>
      </c>
      <c r="Z20" s="53" t="s">
        <v>50</v>
      </c>
      <c r="AA20" s="53" t="s">
        <v>84</v>
      </c>
      <c r="AB20" s="127" t="s">
        <v>237</v>
      </c>
      <c r="AC20" s="34"/>
      <c r="AE20" s="22"/>
      <c r="AP20" s="27" t="s">
        <v>113</v>
      </c>
      <c r="AR20" s="23" t="s">
        <v>105</v>
      </c>
      <c r="AV20" s="134" t="s">
        <v>291</v>
      </c>
    </row>
    <row r="21" spans="1:48" x14ac:dyDescent="0.15">
      <c r="A21" s="127" t="s">
        <v>61</v>
      </c>
      <c r="B21" s="127" t="s">
        <v>233</v>
      </c>
      <c r="C21" s="127">
        <v>2019</v>
      </c>
      <c r="D21" s="128" t="s">
        <v>284</v>
      </c>
      <c r="E21" s="127" t="s">
        <v>306</v>
      </c>
      <c r="F21" s="127" t="s">
        <v>307</v>
      </c>
      <c r="G21" s="127" t="s">
        <v>42</v>
      </c>
      <c r="H21" s="53" t="s">
        <v>164</v>
      </c>
      <c r="I21" s="53" t="s">
        <v>159</v>
      </c>
      <c r="J21" s="127" t="s">
        <v>38</v>
      </c>
      <c r="K21" s="53" t="s">
        <v>161</v>
      </c>
      <c r="L21" s="53">
        <v>2</v>
      </c>
      <c r="N21" s="53">
        <v>1</v>
      </c>
      <c r="O21" s="53">
        <v>0.75</v>
      </c>
      <c r="P21" s="53">
        <v>0.85</v>
      </c>
      <c r="Q21" s="75">
        <f t="shared" si="0"/>
        <v>0.8</v>
      </c>
      <c r="R21" s="53">
        <v>11.6</v>
      </c>
      <c r="S21" s="53">
        <v>126</v>
      </c>
      <c r="T21" s="16">
        <f t="shared" si="1"/>
        <v>27</v>
      </c>
      <c r="U21" s="53">
        <v>138</v>
      </c>
      <c r="V21" s="129">
        <f t="shared" si="2"/>
        <v>3726</v>
      </c>
      <c r="W21" s="53">
        <v>10</v>
      </c>
      <c r="X21" s="127" t="s">
        <v>46</v>
      </c>
      <c r="Y21" s="53" t="s">
        <v>308</v>
      </c>
      <c r="Z21" s="53" t="s">
        <v>50</v>
      </c>
      <c r="AA21" s="53" t="s">
        <v>84</v>
      </c>
      <c r="AB21" s="127" t="s">
        <v>237</v>
      </c>
      <c r="AC21" s="34"/>
      <c r="AE21" s="22"/>
      <c r="AP21" s="27" t="s">
        <v>114</v>
      </c>
      <c r="AR21" s="23" t="s">
        <v>68</v>
      </c>
      <c r="AV21" s="134" t="s">
        <v>292</v>
      </c>
    </row>
    <row r="22" spans="1:48" x14ac:dyDescent="0.15">
      <c r="A22" s="127" t="s">
        <v>61</v>
      </c>
      <c r="B22" s="127" t="s">
        <v>233</v>
      </c>
      <c r="C22" s="127">
        <v>2019</v>
      </c>
      <c r="D22" s="128" t="s">
        <v>284</v>
      </c>
      <c r="E22" s="127" t="s">
        <v>306</v>
      </c>
      <c r="F22" s="127" t="s">
        <v>307</v>
      </c>
      <c r="G22" s="127" t="s">
        <v>42</v>
      </c>
      <c r="H22" s="53" t="s">
        <v>164</v>
      </c>
      <c r="I22" s="53" t="s">
        <v>159</v>
      </c>
      <c r="J22" s="127" t="s">
        <v>38</v>
      </c>
      <c r="K22" s="53" t="s">
        <v>161</v>
      </c>
      <c r="L22" s="53">
        <v>3</v>
      </c>
      <c r="N22" s="53">
        <v>1</v>
      </c>
      <c r="O22" s="53">
        <v>0.65</v>
      </c>
      <c r="P22" s="53">
        <v>0.85</v>
      </c>
      <c r="Q22" s="75">
        <f t="shared" si="0"/>
        <v>0.75</v>
      </c>
      <c r="R22" s="53">
        <v>13.2</v>
      </c>
      <c r="S22" s="53">
        <v>126</v>
      </c>
      <c r="T22" s="16">
        <f t="shared" si="1"/>
        <v>27</v>
      </c>
      <c r="U22" s="53">
        <v>138</v>
      </c>
      <c r="V22" s="129">
        <f t="shared" si="2"/>
        <v>3726</v>
      </c>
      <c r="W22" s="53">
        <v>10</v>
      </c>
      <c r="X22" s="127" t="s">
        <v>46</v>
      </c>
      <c r="Y22" s="53" t="s">
        <v>308</v>
      </c>
      <c r="Z22" s="53" t="s">
        <v>50</v>
      </c>
      <c r="AA22" s="53" t="s">
        <v>84</v>
      </c>
      <c r="AB22" s="127" t="s">
        <v>237</v>
      </c>
      <c r="AC22" s="34"/>
      <c r="AE22" s="35"/>
      <c r="AP22" s="27" t="s">
        <v>115</v>
      </c>
      <c r="AR22" s="23" t="s">
        <v>83</v>
      </c>
      <c r="AV22" s="23"/>
    </row>
    <row r="23" spans="1:48" x14ac:dyDescent="0.15">
      <c r="A23" s="127" t="s">
        <v>61</v>
      </c>
      <c r="B23" s="127" t="s">
        <v>233</v>
      </c>
      <c r="C23" s="127">
        <v>2019</v>
      </c>
      <c r="D23" s="128" t="s">
        <v>284</v>
      </c>
      <c r="E23" s="127" t="s">
        <v>306</v>
      </c>
      <c r="F23" s="127" t="s">
        <v>307</v>
      </c>
      <c r="G23" s="127" t="s">
        <v>42</v>
      </c>
      <c r="H23" s="53" t="s">
        <v>160</v>
      </c>
      <c r="I23" s="53" t="s">
        <v>159</v>
      </c>
      <c r="J23" s="127" t="s">
        <v>38</v>
      </c>
      <c r="K23" s="53" t="s">
        <v>161</v>
      </c>
      <c r="L23" s="53">
        <v>1</v>
      </c>
      <c r="N23" s="53">
        <v>1</v>
      </c>
      <c r="O23" s="53">
        <v>0.5</v>
      </c>
      <c r="P23" s="53">
        <v>0.5</v>
      </c>
      <c r="Q23" s="75">
        <f>IF(OR(O23="",P23=""),"",AVERAGE(O23,P23))</f>
        <v>0.5</v>
      </c>
      <c r="R23" s="53">
        <v>13.9</v>
      </c>
      <c r="S23" s="53">
        <v>138</v>
      </c>
      <c r="T23" s="16">
        <f t="shared" si="1"/>
        <v>22</v>
      </c>
      <c r="U23" s="53">
        <v>128</v>
      </c>
      <c r="V23" s="129">
        <f>IF(OR(N23="",U23="",T23=""),"",U23/N23*T23)</f>
        <v>2816</v>
      </c>
      <c r="W23" s="53">
        <v>10</v>
      </c>
      <c r="X23" s="127" t="s">
        <v>46</v>
      </c>
      <c r="Y23" s="53" t="s">
        <v>308</v>
      </c>
      <c r="Z23" s="53" t="s">
        <v>50</v>
      </c>
      <c r="AA23" s="53" t="s">
        <v>84</v>
      </c>
      <c r="AB23" s="127" t="s">
        <v>237</v>
      </c>
      <c r="AC23" s="34"/>
      <c r="AE23" s="22"/>
      <c r="AP23" s="27" t="s">
        <v>137</v>
      </c>
      <c r="AR23" s="23" t="s">
        <v>61</v>
      </c>
    </row>
    <row r="24" spans="1:48" x14ac:dyDescent="0.15">
      <c r="A24" s="127" t="s">
        <v>61</v>
      </c>
      <c r="B24" s="127" t="s">
        <v>233</v>
      </c>
      <c r="C24" s="127">
        <v>2019</v>
      </c>
      <c r="D24" s="128" t="s">
        <v>284</v>
      </c>
      <c r="E24" s="127" t="s">
        <v>306</v>
      </c>
      <c r="F24" s="127" t="s">
        <v>307</v>
      </c>
      <c r="G24" s="127" t="s">
        <v>42</v>
      </c>
      <c r="H24" s="53" t="s">
        <v>160</v>
      </c>
      <c r="I24" s="53" t="s">
        <v>159</v>
      </c>
      <c r="J24" s="127" t="s">
        <v>38</v>
      </c>
      <c r="K24" s="53" t="s">
        <v>161</v>
      </c>
      <c r="L24" s="53">
        <v>2</v>
      </c>
      <c r="N24" s="53">
        <v>1</v>
      </c>
      <c r="O24" s="53">
        <v>0.5</v>
      </c>
      <c r="P24" s="53">
        <v>0.5</v>
      </c>
      <c r="Q24" s="75">
        <f>IF(OR(O24="",P24=""),"",AVERAGE(O24,P24))</f>
        <v>0.5</v>
      </c>
      <c r="R24" s="53">
        <v>15.7</v>
      </c>
      <c r="S24" s="53">
        <v>140</v>
      </c>
      <c r="T24" s="16">
        <f t="shared" si="1"/>
        <v>22</v>
      </c>
      <c r="U24" s="53">
        <v>128</v>
      </c>
      <c r="V24" s="129">
        <f>IF(OR(N24="",U24="",T24=""),"",U24/N24*T24)</f>
        <v>2816</v>
      </c>
      <c r="W24" s="53">
        <v>10</v>
      </c>
      <c r="X24" s="127" t="s">
        <v>46</v>
      </c>
      <c r="Y24" s="53" t="s">
        <v>308</v>
      </c>
      <c r="Z24" s="53" t="s">
        <v>50</v>
      </c>
      <c r="AA24" s="53" t="s">
        <v>84</v>
      </c>
      <c r="AB24" s="127" t="s">
        <v>237</v>
      </c>
      <c r="AC24" s="34"/>
      <c r="AE24" s="22"/>
      <c r="AP24" s="27" t="s">
        <v>138</v>
      </c>
      <c r="AR24" s="23" t="s">
        <v>91</v>
      </c>
    </row>
    <row r="25" spans="1:48" x14ac:dyDescent="0.15">
      <c r="A25" s="127" t="s">
        <v>61</v>
      </c>
      <c r="B25" s="127" t="s">
        <v>233</v>
      </c>
      <c r="C25" s="127">
        <v>2019</v>
      </c>
      <c r="D25" s="128" t="s">
        <v>284</v>
      </c>
      <c r="E25" s="127" t="s">
        <v>306</v>
      </c>
      <c r="F25" s="127" t="s">
        <v>307</v>
      </c>
      <c r="G25" s="127" t="s">
        <v>42</v>
      </c>
      <c r="H25" s="53" t="s">
        <v>160</v>
      </c>
      <c r="I25" s="53" t="s">
        <v>159</v>
      </c>
      <c r="J25" s="127" t="s">
        <v>38</v>
      </c>
      <c r="K25" s="53" t="s">
        <v>161</v>
      </c>
      <c r="L25" s="53">
        <v>3</v>
      </c>
      <c r="N25" s="53">
        <v>1</v>
      </c>
      <c r="O25" s="34">
        <v>0.5</v>
      </c>
      <c r="P25" s="53">
        <v>0.5</v>
      </c>
      <c r="Q25" s="75">
        <f>IF(OR(O25="",P25=""),"",AVERAGE(O25,P25))</f>
        <v>0.5</v>
      </c>
      <c r="R25" s="53">
        <v>20.9</v>
      </c>
      <c r="S25" s="53">
        <v>133</v>
      </c>
      <c r="T25" s="16">
        <f t="shared" si="1"/>
        <v>25</v>
      </c>
      <c r="U25" s="53">
        <v>128</v>
      </c>
      <c r="V25" s="129">
        <f>IF(OR(N25="",U25="",T25=""),"",U25/N25*T25)</f>
        <v>3200</v>
      </c>
      <c r="W25" s="53">
        <v>10</v>
      </c>
      <c r="X25" s="127" t="s">
        <v>46</v>
      </c>
      <c r="Y25" s="53" t="s">
        <v>308</v>
      </c>
      <c r="Z25" s="53" t="s">
        <v>50</v>
      </c>
      <c r="AA25" s="53" t="s">
        <v>84</v>
      </c>
      <c r="AB25" s="127" t="s">
        <v>237</v>
      </c>
      <c r="AC25" s="34"/>
      <c r="AE25" s="35"/>
      <c r="AP25" s="27" t="s">
        <v>116</v>
      </c>
      <c r="AR25" s="27" t="s">
        <v>92</v>
      </c>
    </row>
    <row r="26" spans="1:48" x14ac:dyDescent="0.15">
      <c r="A26" s="127" t="s">
        <v>61</v>
      </c>
      <c r="B26" s="127" t="s">
        <v>233</v>
      </c>
      <c r="C26" s="127">
        <v>2019</v>
      </c>
      <c r="D26" s="128" t="s">
        <v>284</v>
      </c>
      <c r="E26" s="127" t="s">
        <v>306</v>
      </c>
      <c r="F26" s="127" t="s">
        <v>307</v>
      </c>
      <c r="G26" s="127" t="s">
        <v>42</v>
      </c>
      <c r="H26" s="53" t="s">
        <v>127</v>
      </c>
      <c r="I26" s="53" t="s">
        <v>159</v>
      </c>
      <c r="J26" s="127" t="s">
        <v>58</v>
      </c>
      <c r="K26" s="53" t="s">
        <v>59</v>
      </c>
      <c r="L26" s="53">
        <v>1</v>
      </c>
      <c r="N26" s="53">
        <v>1</v>
      </c>
      <c r="O26" s="53">
        <v>0.5</v>
      </c>
      <c r="P26" s="53">
        <v>0.5</v>
      </c>
      <c r="Q26" s="75">
        <f t="shared" ref="Q26:Q79" si="3">IF(OR(O26="",P26=""),"",AVERAGE(O26,P26))</f>
        <v>0.5</v>
      </c>
      <c r="R26" s="53">
        <v>17.2</v>
      </c>
      <c r="S26" s="53">
        <v>71</v>
      </c>
      <c r="T26" s="16">
        <f t="shared" si="1"/>
        <v>42</v>
      </c>
      <c r="U26" s="53">
        <v>138</v>
      </c>
      <c r="V26" s="129">
        <f t="shared" ref="V26:V79" si="4">IF(OR(N26="",U26="",T26=""),"",U26/N26*T26)</f>
        <v>5796</v>
      </c>
      <c r="W26" s="53">
        <v>10</v>
      </c>
      <c r="X26" s="127" t="s">
        <v>46</v>
      </c>
      <c r="Y26" s="53" t="s">
        <v>308</v>
      </c>
      <c r="Z26" s="53" t="s">
        <v>50</v>
      </c>
      <c r="AA26" s="53" t="s">
        <v>84</v>
      </c>
      <c r="AB26" s="127" t="s">
        <v>237</v>
      </c>
      <c r="AC26" s="34"/>
      <c r="AE26" s="22"/>
      <c r="AP26" s="27" t="s">
        <v>113</v>
      </c>
      <c r="AR26" s="23" t="s">
        <v>105</v>
      </c>
      <c r="AV26" s="134" t="s">
        <v>291</v>
      </c>
    </row>
    <row r="27" spans="1:48" x14ac:dyDescent="0.15">
      <c r="A27" s="127" t="s">
        <v>61</v>
      </c>
      <c r="B27" s="127" t="s">
        <v>233</v>
      </c>
      <c r="C27" s="127">
        <v>2019</v>
      </c>
      <c r="D27" s="128" t="s">
        <v>284</v>
      </c>
      <c r="E27" s="127" t="s">
        <v>306</v>
      </c>
      <c r="F27" s="127" t="s">
        <v>307</v>
      </c>
      <c r="G27" s="127" t="s">
        <v>42</v>
      </c>
      <c r="H27" s="53" t="s">
        <v>127</v>
      </c>
      <c r="I27" s="53" t="s">
        <v>159</v>
      </c>
      <c r="J27" s="127" t="s">
        <v>58</v>
      </c>
      <c r="K27" s="53" t="s">
        <v>59</v>
      </c>
      <c r="L27" s="53">
        <v>2</v>
      </c>
      <c r="N27" s="53">
        <v>1</v>
      </c>
      <c r="O27" s="53">
        <v>0.7</v>
      </c>
      <c r="P27" s="53">
        <v>0.75</v>
      </c>
      <c r="Q27" s="75">
        <f t="shared" si="3"/>
        <v>0.72499999999999998</v>
      </c>
      <c r="R27" s="53">
        <v>19.600000000000001</v>
      </c>
      <c r="S27" s="53">
        <v>77</v>
      </c>
      <c r="T27" s="16">
        <f t="shared" si="1"/>
        <v>39</v>
      </c>
      <c r="U27" s="53">
        <v>138</v>
      </c>
      <c r="V27" s="129">
        <f t="shared" si="4"/>
        <v>5382</v>
      </c>
      <c r="W27" s="53">
        <v>10</v>
      </c>
      <c r="X27" s="127" t="s">
        <v>46</v>
      </c>
      <c r="Y27" s="53" t="s">
        <v>308</v>
      </c>
      <c r="Z27" s="53" t="s">
        <v>50</v>
      </c>
      <c r="AA27" s="53" t="s">
        <v>84</v>
      </c>
      <c r="AB27" s="127" t="s">
        <v>237</v>
      </c>
      <c r="AC27" s="34"/>
      <c r="AE27" s="22"/>
      <c r="AP27" s="27" t="s">
        <v>114</v>
      </c>
      <c r="AR27" s="23" t="s">
        <v>68</v>
      </c>
      <c r="AV27" s="134" t="s">
        <v>292</v>
      </c>
    </row>
    <row r="28" spans="1:48" x14ac:dyDescent="0.15">
      <c r="A28" s="127" t="s">
        <v>61</v>
      </c>
      <c r="B28" s="127" t="s">
        <v>233</v>
      </c>
      <c r="C28" s="127">
        <v>2019</v>
      </c>
      <c r="D28" s="128" t="s">
        <v>284</v>
      </c>
      <c r="E28" s="127" t="s">
        <v>306</v>
      </c>
      <c r="F28" s="127" t="s">
        <v>307</v>
      </c>
      <c r="G28" s="127" t="s">
        <v>42</v>
      </c>
      <c r="H28" s="53" t="s">
        <v>127</v>
      </c>
      <c r="I28" s="53" t="s">
        <v>159</v>
      </c>
      <c r="J28" s="127" t="s">
        <v>58</v>
      </c>
      <c r="K28" s="53" t="s">
        <v>59</v>
      </c>
      <c r="L28" s="53">
        <v>3</v>
      </c>
      <c r="N28" s="53">
        <v>1</v>
      </c>
      <c r="O28" s="53">
        <v>0.5</v>
      </c>
      <c r="P28" s="53">
        <v>0.5</v>
      </c>
      <c r="Q28" s="75">
        <f t="shared" si="3"/>
        <v>0.5</v>
      </c>
      <c r="R28" s="53">
        <v>14.6</v>
      </c>
      <c r="S28" s="53">
        <v>74</v>
      </c>
      <c r="T28" s="16">
        <f t="shared" si="1"/>
        <v>42</v>
      </c>
      <c r="U28" s="53">
        <v>138</v>
      </c>
      <c r="V28" s="129">
        <f t="shared" si="4"/>
        <v>5796</v>
      </c>
      <c r="W28" s="53">
        <v>10</v>
      </c>
      <c r="X28" s="127" t="s">
        <v>46</v>
      </c>
      <c r="Y28" s="53" t="s">
        <v>308</v>
      </c>
      <c r="Z28" s="53" t="s">
        <v>50</v>
      </c>
      <c r="AA28" s="53" t="s">
        <v>84</v>
      </c>
      <c r="AB28" s="127" t="s">
        <v>237</v>
      </c>
      <c r="AC28" s="34"/>
      <c r="AE28" s="35"/>
      <c r="AP28" s="27" t="s">
        <v>115</v>
      </c>
      <c r="AR28" s="23" t="s">
        <v>83</v>
      </c>
      <c r="AV28" s="23"/>
    </row>
    <row r="29" spans="1:48" x14ac:dyDescent="0.15">
      <c r="A29" s="127" t="s">
        <v>61</v>
      </c>
      <c r="B29" s="127" t="s">
        <v>233</v>
      </c>
      <c r="C29" s="127">
        <v>2019</v>
      </c>
      <c r="D29" s="128" t="s">
        <v>284</v>
      </c>
      <c r="E29" s="127" t="s">
        <v>306</v>
      </c>
      <c r="F29" s="127" t="s">
        <v>307</v>
      </c>
      <c r="G29" s="127" t="s">
        <v>42</v>
      </c>
      <c r="H29" s="53" t="s">
        <v>164</v>
      </c>
      <c r="I29" s="53" t="s">
        <v>165</v>
      </c>
      <c r="J29" s="127" t="s">
        <v>38</v>
      </c>
      <c r="K29" s="53" t="s">
        <v>161</v>
      </c>
      <c r="L29" s="53">
        <v>1</v>
      </c>
      <c r="N29" s="53">
        <v>5</v>
      </c>
      <c r="O29" s="53">
        <v>0.75</v>
      </c>
      <c r="P29" s="53">
        <v>0.7</v>
      </c>
      <c r="Q29" s="75">
        <f t="shared" si="3"/>
        <v>0.72499999999999998</v>
      </c>
      <c r="R29" s="53">
        <v>11.3</v>
      </c>
      <c r="S29" s="53">
        <v>147</v>
      </c>
      <c r="T29" s="16">
        <f t="shared" si="1"/>
        <v>22</v>
      </c>
      <c r="U29" s="53">
        <v>398</v>
      </c>
      <c r="V29" s="129">
        <f t="shared" si="4"/>
        <v>1751.1999999999998</v>
      </c>
      <c r="W29" s="53">
        <v>10</v>
      </c>
      <c r="X29" s="127" t="s">
        <v>46</v>
      </c>
      <c r="Y29" s="53" t="s">
        <v>308</v>
      </c>
      <c r="Z29" s="53" t="s">
        <v>50</v>
      </c>
      <c r="AA29" s="53" t="s">
        <v>84</v>
      </c>
      <c r="AB29" s="127" t="s">
        <v>237</v>
      </c>
      <c r="AC29" s="34"/>
      <c r="AE29" s="22"/>
      <c r="AP29" s="27" t="s">
        <v>113</v>
      </c>
      <c r="AR29" s="23" t="s">
        <v>105</v>
      </c>
      <c r="AV29" s="134" t="s">
        <v>291</v>
      </c>
    </row>
    <row r="30" spans="1:48" x14ac:dyDescent="0.15">
      <c r="A30" s="127" t="s">
        <v>61</v>
      </c>
      <c r="B30" s="127" t="s">
        <v>233</v>
      </c>
      <c r="C30" s="127">
        <v>2019</v>
      </c>
      <c r="D30" s="128" t="s">
        <v>284</v>
      </c>
      <c r="E30" s="127" t="s">
        <v>306</v>
      </c>
      <c r="F30" s="127" t="s">
        <v>307</v>
      </c>
      <c r="G30" s="127" t="s">
        <v>42</v>
      </c>
      <c r="H30" s="53" t="s">
        <v>164</v>
      </c>
      <c r="I30" s="53" t="s">
        <v>165</v>
      </c>
      <c r="J30" s="127" t="s">
        <v>38</v>
      </c>
      <c r="K30" s="53" t="s">
        <v>161</v>
      </c>
      <c r="L30" s="53">
        <v>2</v>
      </c>
      <c r="N30" s="53">
        <v>5</v>
      </c>
      <c r="O30" s="53">
        <v>0.5</v>
      </c>
      <c r="P30" s="53">
        <v>0.5</v>
      </c>
      <c r="Q30" s="75">
        <f t="shared" si="3"/>
        <v>0.5</v>
      </c>
      <c r="R30" s="53">
        <v>12.5</v>
      </c>
      <c r="S30" s="53">
        <v>143</v>
      </c>
      <c r="T30" s="16">
        <f t="shared" si="1"/>
        <v>22</v>
      </c>
      <c r="U30" s="53">
        <v>398</v>
      </c>
      <c r="V30" s="129">
        <f t="shared" si="4"/>
        <v>1751.1999999999998</v>
      </c>
      <c r="W30" s="53">
        <v>10</v>
      </c>
      <c r="X30" s="127" t="s">
        <v>46</v>
      </c>
      <c r="Y30" s="53" t="s">
        <v>308</v>
      </c>
      <c r="Z30" s="53" t="s">
        <v>50</v>
      </c>
      <c r="AA30" s="53" t="s">
        <v>84</v>
      </c>
      <c r="AB30" s="127" t="s">
        <v>237</v>
      </c>
      <c r="AC30" s="34"/>
      <c r="AE30" s="22"/>
      <c r="AP30" s="27" t="s">
        <v>114</v>
      </c>
      <c r="AR30" s="23" t="s">
        <v>68</v>
      </c>
      <c r="AV30" s="134" t="s">
        <v>292</v>
      </c>
    </row>
    <row r="31" spans="1:48" x14ac:dyDescent="0.15">
      <c r="A31" s="127" t="s">
        <v>61</v>
      </c>
      <c r="B31" s="127" t="s">
        <v>233</v>
      </c>
      <c r="C31" s="127">
        <v>2019</v>
      </c>
      <c r="D31" s="128" t="s">
        <v>284</v>
      </c>
      <c r="E31" s="127" t="s">
        <v>306</v>
      </c>
      <c r="F31" s="127" t="s">
        <v>307</v>
      </c>
      <c r="G31" s="127" t="s">
        <v>42</v>
      </c>
      <c r="H31" s="53" t="s">
        <v>164</v>
      </c>
      <c r="I31" s="53" t="s">
        <v>165</v>
      </c>
      <c r="J31" s="127" t="s">
        <v>38</v>
      </c>
      <c r="K31" s="53" t="s">
        <v>161</v>
      </c>
      <c r="L31" s="53">
        <v>3</v>
      </c>
      <c r="N31" s="53">
        <v>5</v>
      </c>
      <c r="O31" s="53">
        <v>0.5</v>
      </c>
      <c r="P31" s="53">
        <v>0.5</v>
      </c>
      <c r="Q31" s="75">
        <f t="shared" si="3"/>
        <v>0.5</v>
      </c>
      <c r="R31" s="53">
        <v>13.4</v>
      </c>
      <c r="S31" s="53">
        <v>145</v>
      </c>
      <c r="T31" s="16">
        <f t="shared" si="1"/>
        <v>22</v>
      </c>
      <c r="U31" s="53">
        <v>398</v>
      </c>
      <c r="V31" s="129">
        <f t="shared" si="4"/>
        <v>1751.1999999999998</v>
      </c>
      <c r="W31" s="53">
        <v>10</v>
      </c>
      <c r="X31" s="127" t="s">
        <v>46</v>
      </c>
      <c r="Y31" s="53" t="s">
        <v>308</v>
      </c>
      <c r="Z31" s="53" t="s">
        <v>50</v>
      </c>
      <c r="AA31" s="53" t="s">
        <v>84</v>
      </c>
      <c r="AB31" s="127" t="s">
        <v>237</v>
      </c>
      <c r="AC31" s="34"/>
      <c r="AE31" s="35"/>
      <c r="AP31" s="27" t="s">
        <v>115</v>
      </c>
      <c r="AR31" s="23" t="s">
        <v>83</v>
      </c>
      <c r="AV31" s="23"/>
    </row>
    <row r="32" spans="1:48" x14ac:dyDescent="0.15">
      <c r="A32" s="127" t="s">
        <v>61</v>
      </c>
      <c r="B32" s="127" t="s">
        <v>233</v>
      </c>
      <c r="C32" s="127">
        <v>2019</v>
      </c>
      <c r="D32" s="128" t="s">
        <v>284</v>
      </c>
      <c r="E32" s="127" t="s">
        <v>309</v>
      </c>
      <c r="F32" s="127" t="s">
        <v>310</v>
      </c>
      <c r="G32" s="127" t="s">
        <v>42</v>
      </c>
      <c r="H32" s="53" t="s">
        <v>164</v>
      </c>
      <c r="I32" s="53" t="s">
        <v>165</v>
      </c>
      <c r="J32" s="127" t="s">
        <v>38</v>
      </c>
      <c r="K32" s="53" t="s">
        <v>161</v>
      </c>
      <c r="L32" s="53">
        <v>1</v>
      </c>
      <c r="N32" s="53">
        <v>1</v>
      </c>
      <c r="O32" s="34">
        <v>1.1000000000000001</v>
      </c>
      <c r="P32" s="53">
        <v>0.8</v>
      </c>
      <c r="Q32" s="75">
        <f t="shared" si="3"/>
        <v>0.95000000000000007</v>
      </c>
      <c r="R32" s="53">
        <v>13.1</v>
      </c>
      <c r="S32" s="53">
        <v>121</v>
      </c>
      <c r="T32" s="16">
        <f t="shared" si="1"/>
        <v>27</v>
      </c>
      <c r="U32" s="53">
        <v>95</v>
      </c>
      <c r="V32" s="129">
        <f t="shared" si="4"/>
        <v>2565</v>
      </c>
      <c r="W32" s="53">
        <v>6</v>
      </c>
      <c r="X32" s="127" t="s">
        <v>39</v>
      </c>
      <c r="Y32" s="53" t="s">
        <v>90</v>
      </c>
      <c r="Z32" s="53" t="s">
        <v>84</v>
      </c>
      <c r="AA32" s="53" t="s">
        <v>50</v>
      </c>
      <c r="AB32" s="127" t="s">
        <v>237</v>
      </c>
      <c r="AC32" s="34"/>
      <c r="AD32" s="34"/>
      <c r="AE32" s="35"/>
      <c r="AP32" s="27" t="s">
        <v>117</v>
      </c>
      <c r="AR32" s="23" t="s">
        <v>153</v>
      </c>
    </row>
    <row r="33" spans="1:48" x14ac:dyDescent="0.15">
      <c r="A33" s="127" t="s">
        <v>61</v>
      </c>
      <c r="B33" s="127" t="s">
        <v>233</v>
      </c>
      <c r="C33" s="127">
        <v>2019</v>
      </c>
      <c r="D33" s="128" t="s">
        <v>284</v>
      </c>
      <c r="E33" s="127" t="s">
        <v>309</v>
      </c>
      <c r="F33" s="127" t="s">
        <v>310</v>
      </c>
      <c r="G33" s="127" t="s">
        <v>42</v>
      </c>
      <c r="H33" s="53" t="s">
        <v>164</v>
      </c>
      <c r="I33" s="53" t="s">
        <v>165</v>
      </c>
      <c r="J33" s="127" t="s">
        <v>38</v>
      </c>
      <c r="K33" s="53" t="s">
        <v>161</v>
      </c>
      <c r="L33" s="53">
        <v>2</v>
      </c>
      <c r="N33" s="53">
        <v>1</v>
      </c>
      <c r="O33" s="34">
        <v>1.05</v>
      </c>
      <c r="P33" s="53">
        <v>0.9</v>
      </c>
      <c r="Q33" s="75">
        <f t="shared" si="3"/>
        <v>0.97500000000000009</v>
      </c>
      <c r="R33" s="53">
        <v>13.5</v>
      </c>
      <c r="S33" s="53">
        <v>118</v>
      </c>
      <c r="T33" s="16">
        <f t="shared" si="1"/>
        <v>39</v>
      </c>
      <c r="U33" s="53">
        <v>95</v>
      </c>
      <c r="V33" s="129">
        <f t="shared" si="4"/>
        <v>3705</v>
      </c>
      <c r="W33" s="53">
        <v>6</v>
      </c>
      <c r="X33" s="127" t="s">
        <v>39</v>
      </c>
      <c r="Y33" s="53" t="s">
        <v>90</v>
      </c>
      <c r="Z33" s="53" t="s">
        <v>84</v>
      </c>
      <c r="AA33" s="53" t="s">
        <v>50</v>
      </c>
      <c r="AB33" s="127" t="s">
        <v>237</v>
      </c>
      <c r="AC33" s="34"/>
      <c r="AD33" s="34"/>
      <c r="AE33" s="28"/>
      <c r="AP33" s="27" t="s">
        <v>118</v>
      </c>
      <c r="AR33" s="23"/>
    </row>
    <row r="34" spans="1:48" x14ac:dyDescent="0.15">
      <c r="A34" s="127" t="s">
        <v>61</v>
      </c>
      <c r="B34" s="127" t="s">
        <v>233</v>
      </c>
      <c r="C34" s="127">
        <v>2019</v>
      </c>
      <c r="D34" s="128" t="s">
        <v>284</v>
      </c>
      <c r="E34" s="127" t="s">
        <v>309</v>
      </c>
      <c r="F34" s="127" t="s">
        <v>310</v>
      </c>
      <c r="G34" s="127" t="s">
        <v>42</v>
      </c>
      <c r="H34" s="53" t="s">
        <v>164</v>
      </c>
      <c r="I34" s="53" t="s">
        <v>165</v>
      </c>
      <c r="J34" s="127" t="s">
        <v>38</v>
      </c>
      <c r="K34" s="53" t="s">
        <v>161</v>
      </c>
      <c r="L34" s="53">
        <v>3</v>
      </c>
      <c r="N34" s="53">
        <v>1</v>
      </c>
      <c r="O34" s="34">
        <v>0.95</v>
      </c>
      <c r="P34" s="53">
        <v>0.8</v>
      </c>
      <c r="Q34" s="75">
        <f t="shared" si="3"/>
        <v>0.875</v>
      </c>
      <c r="R34" s="53">
        <v>14.2</v>
      </c>
      <c r="S34" s="53">
        <v>117</v>
      </c>
      <c r="T34" s="16">
        <f t="shared" si="1"/>
        <v>39</v>
      </c>
      <c r="U34" s="53">
        <v>95</v>
      </c>
      <c r="V34" s="129">
        <f t="shared" si="4"/>
        <v>3705</v>
      </c>
      <c r="W34" s="53">
        <v>6</v>
      </c>
      <c r="X34" s="127" t="s">
        <v>39</v>
      </c>
      <c r="Y34" s="53" t="s">
        <v>90</v>
      </c>
      <c r="Z34" s="53" t="s">
        <v>84</v>
      </c>
      <c r="AA34" s="53" t="s">
        <v>50</v>
      </c>
      <c r="AB34" s="127" t="s">
        <v>237</v>
      </c>
      <c r="AC34" s="34"/>
      <c r="AD34" s="34"/>
      <c r="AP34" s="27"/>
      <c r="AR34" s="23"/>
    </row>
    <row r="35" spans="1:48" x14ac:dyDescent="0.15">
      <c r="A35" s="127" t="s">
        <v>61</v>
      </c>
      <c r="B35" s="127" t="s">
        <v>233</v>
      </c>
      <c r="C35" s="127">
        <v>2019</v>
      </c>
      <c r="D35" s="128" t="s">
        <v>284</v>
      </c>
      <c r="E35" s="127" t="s">
        <v>309</v>
      </c>
      <c r="F35" s="127" t="s">
        <v>310</v>
      </c>
      <c r="G35" s="127" t="s">
        <v>42</v>
      </c>
      <c r="H35" s="53" t="s">
        <v>127</v>
      </c>
      <c r="I35" s="53" t="s">
        <v>159</v>
      </c>
      <c r="J35" s="127" t="s">
        <v>58</v>
      </c>
      <c r="K35" s="53" t="s">
        <v>59</v>
      </c>
      <c r="L35" s="53">
        <v>1</v>
      </c>
      <c r="N35" s="53">
        <v>2</v>
      </c>
      <c r="O35" s="53">
        <v>0.5</v>
      </c>
      <c r="P35" s="53">
        <v>0.5</v>
      </c>
      <c r="Q35" s="75">
        <f t="shared" si="3"/>
        <v>0.5</v>
      </c>
      <c r="R35" s="53">
        <v>11</v>
      </c>
      <c r="S35" s="53">
        <v>114</v>
      </c>
      <c r="T35" s="16">
        <f t="shared" si="1"/>
        <v>39</v>
      </c>
      <c r="U35" s="53">
        <v>95</v>
      </c>
      <c r="V35" s="129">
        <f t="shared" si="4"/>
        <v>1852.5</v>
      </c>
      <c r="W35" s="53">
        <v>6</v>
      </c>
      <c r="X35" s="127" t="s">
        <v>39</v>
      </c>
      <c r="Y35" s="53" t="s">
        <v>90</v>
      </c>
      <c r="Z35" s="53" t="s">
        <v>84</v>
      </c>
      <c r="AA35" s="53" t="s">
        <v>50</v>
      </c>
      <c r="AB35" s="127" t="s">
        <v>237</v>
      </c>
      <c r="AC35" s="34"/>
      <c r="AE35" s="22"/>
      <c r="AP35" s="27" t="s">
        <v>113</v>
      </c>
      <c r="AR35" s="23" t="s">
        <v>105</v>
      </c>
      <c r="AV35" s="134" t="s">
        <v>291</v>
      </c>
    </row>
    <row r="36" spans="1:48" x14ac:dyDescent="0.15">
      <c r="A36" s="127" t="s">
        <v>61</v>
      </c>
      <c r="B36" s="127" t="s">
        <v>233</v>
      </c>
      <c r="C36" s="127">
        <v>2019</v>
      </c>
      <c r="D36" s="128" t="s">
        <v>284</v>
      </c>
      <c r="E36" s="127" t="s">
        <v>309</v>
      </c>
      <c r="F36" s="127" t="s">
        <v>310</v>
      </c>
      <c r="G36" s="127" t="s">
        <v>42</v>
      </c>
      <c r="H36" s="53" t="s">
        <v>127</v>
      </c>
      <c r="I36" s="53" t="s">
        <v>159</v>
      </c>
      <c r="J36" s="127" t="s">
        <v>58</v>
      </c>
      <c r="K36" s="53" t="s">
        <v>59</v>
      </c>
      <c r="L36" s="53">
        <v>2</v>
      </c>
      <c r="N36" s="53">
        <v>2</v>
      </c>
      <c r="O36" s="53">
        <v>0.7</v>
      </c>
      <c r="P36" s="53">
        <v>0.75</v>
      </c>
      <c r="Q36" s="75">
        <f t="shared" si="3"/>
        <v>0.72499999999999998</v>
      </c>
      <c r="R36" s="53">
        <v>12.1</v>
      </c>
      <c r="S36" s="53">
        <v>127</v>
      </c>
      <c r="T36" s="16">
        <f t="shared" si="1"/>
        <v>27</v>
      </c>
      <c r="U36" s="53">
        <v>95</v>
      </c>
      <c r="V36" s="129">
        <f t="shared" si="4"/>
        <v>1282.5</v>
      </c>
      <c r="W36" s="53">
        <v>6</v>
      </c>
      <c r="X36" s="127" t="s">
        <v>39</v>
      </c>
      <c r="Y36" s="53" t="s">
        <v>90</v>
      </c>
      <c r="Z36" s="53" t="s">
        <v>84</v>
      </c>
      <c r="AA36" s="53" t="s">
        <v>50</v>
      </c>
      <c r="AB36" s="127" t="s">
        <v>237</v>
      </c>
      <c r="AC36" s="34"/>
      <c r="AE36" s="22"/>
      <c r="AP36" s="27" t="s">
        <v>114</v>
      </c>
      <c r="AR36" s="23" t="s">
        <v>68</v>
      </c>
      <c r="AV36" s="134" t="s">
        <v>292</v>
      </c>
    </row>
    <row r="37" spans="1:48" x14ac:dyDescent="0.15">
      <c r="A37" s="127" t="s">
        <v>61</v>
      </c>
      <c r="B37" s="127" t="s">
        <v>233</v>
      </c>
      <c r="C37" s="127">
        <v>2019</v>
      </c>
      <c r="D37" s="128" t="s">
        <v>284</v>
      </c>
      <c r="E37" s="127" t="s">
        <v>309</v>
      </c>
      <c r="F37" s="127" t="s">
        <v>310</v>
      </c>
      <c r="G37" s="127" t="s">
        <v>42</v>
      </c>
      <c r="H37" s="53" t="s">
        <v>127</v>
      </c>
      <c r="I37" s="53" t="s">
        <v>159</v>
      </c>
      <c r="J37" s="127" t="s">
        <v>58</v>
      </c>
      <c r="K37" s="53" t="s">
        <v>59</v>
      </c>
      <c r="L37" s="53">
        <v>3</v>
      </c>
      <c r="N37" s="53">
        <v>2</v>
      </c>
      <c r="O37" s="53">
        <v>0.5</v>
      </c>
      <c r="P37" s="53">
        <v>0.5</v>
      </c>
      <c r="Q37" s="75">
        <f t="shared" si="3"/>
        <v>0.5</v>
      </c>
      <c r="R37" s="53">
        <v>12.9</v>
      </c>
      <c r="S37" s="53">
        <v>114</v>
      </c>
      <c r="T37" s="16">
        <f t="shared" si="1"/>
        <v>39</v>
      </c>
      <c r="U37" s="53">
        <v>95</v>
      </c>
      <c r="V37" s="129">
        <f t="shared" si="4"/>
        <v>1852.5</v>
      </c>
      <c r="W37" s="53">
        <v>6</v>
      </c>
      <c r="X37" s="127" t="s">
        <v>39</v>
      </c>
      <c r="Y37" s="53" t="s">
        <v>90</v>
      </c>
      <c r="Z37" s="53" t="s">
        <v>84</v>
      </c>
      <c r="AA37" s="53" t="s">
        <v>50</v>
      </c>
      <c r="AB37" s="127" t="s">
        <v>237</v>
      </c>
      <c r="AC37" s="34"/>
      <c r="AE37" s="35"/>
      <c r="AP37" s="27" t="s">
        <v>115</v>
      </c>
      <c r="AR37" s="23" t="s">
        <v>83</v>
      </c>
      <c r="AV37" s="23"/>
    </row>
    <row r="38" spans="1:48" x14ac:dyDescent="0.15">
      <c r="A38" s="127" t="s">
        <v>61</v>
      </c>
      <c r="B38" s="127" t="s">
        <v>233</v>
      </c>
      <c r="C38" s="127">
        <v>2019</v>
      </c>
      <c r="D38" s="128" t="s">
        <v>284</v>
      </c>
      <c r="E38" s="127" t="s">
        <v>311</v>
      </c>
      <c r="F38" s="127" t="s">
        <v>312</v>
      </c>
      <c r="G38" s="127" t="s">
        <v>42</v>
      </c>
      <c r="H38" s="53" t="s">
        <v>164</v>
      </c>
      <c r="I38" s="53" t="s">
        <v>159</v>
      </c>
      <c r="J38" s="127" t="s">
        <v>38</v>
      </c>
      <c r="K38" s="53" t="s">
        <v>161</v>
      </c>
      <c r="L38" s="53">
        <v>1</v>
      </c>
      <c r="N38" s="53">
        <v>1</v>
      </c>
      <c r="O38" s="34">
        <v>0.65</v>
      </c>
      <c r="P38" s="34">
        <v>0.5</v>
      </c>
      <c r="Q38" s="75">
        <f t="shared" si="3"/>
        <v>0.57499999999999996</v>
      </c>
      <c r="R38" s="53">
        <v>13</v>
      </c>
      <c r="S38" s="53">
        <v>108</v>
      </c>
      <c r="T38" s="16">
        <f t="shared" si="1"/>
        <v>39</v>
      </c>
      <c r="U38" s="53">
        <v>98</v>
      </c>
      <c r="V38" s="129">
        <f t="shared" si="4"/>
        <v>3822</v>
      </c>
      <c r="W38" s="53">
        <v>10</v>
      </c>
      <c r="X38" s="127" t="s">
        <v>46</v>
      </c>
      <c r="Y38" s="53" t="s">
        <v>69</v>
      </c>
      <c r="Z38" s="53" t="s">
        <v>90</v>
      </c>
      <c r="AA38" s="53" t="s">
        <v>84</v>
      </c>
      <c r="AB38" s="127" t="s">
        <v>237</v>
      </c>
      <c r="AC38" s="34"/>
    </row>
    <row r="39" spans="1:48" x14ac:dyDescent="0.15">
      <c r="A39" s="127" t="s">
        <v>61</v>
      </c>
      <c r="B39" s="127" t="s">
        <v>233</v>
      </c>
      <c r="C39" s="127">
        <v>2019</v>
      </c>
      <c r="D39" s="128" t="s">
        <v>284</v>
      </c>
      <c r="E39" s="127" t="s">
        <v>311</v>
      </c>
      <c r="F39" s="127" t="s">
        <v>312</v>
      </c>
      <c r="G39" s="127" t="s">
        <v>42</v>
      </c>
      <c r="H39" s="53" t="s">
        <v>164</v>
      </c>
      <c r="I39" s="53" t="s">
        <v>159</v>
      </c>
      <c r="J39" s="127" t="s">
        <v>38</v>
      </c>
      <c r="K39" s="53" t="s">
        <v>161</v>
      </c>
      <c r="L39" s="53">
        <v>2</v>
      </c>
      <c r="N39" s="53">
        <v>1</v>
      </c>
      <c r="O39" s="34">
        <v>0.5</v>
      </c>
      <c r="P39" s="34">
        <v>0.5</v>
      </c>
      <c r="Q39" s="75">
        <f t="shared" si="3"/>
        <v>0.5</v>
      </c>
      <c r="R39" s="53">
        <v>14.3</v>
      </c>
      <c r="S39" s="53">
        <v>103</v>
      </c>
      <c r="T39" s="16">
        <f t="shared" si="1"/>
        <v>39</v>
      </c>
      <c r="U39" s="53">
        <v>98</v>
      </c>
      <c r="V39" s="129">
        <f t="shared" si="4"/>
        <v>3822</v>
      </c>
      <c r="W39" s="53">
        <v>10</v>
      </c>
      <c r="X39" s="127" t="s">
        <v>46</v>
      </c>
      <c r="Y39" s="53" t="s">
        <v>69</v>
      </c>
      <c r="Z39" s="53" t="s">
        <v>90</v>
      </c>
      <c r="AA39" s="53" t="s">
        <v>84</v>
      </c>
      <c r="AB39" s="127" t="s">
        <v>237</v>
      </c>
      <c r="AC39" s="34"/>
    </row>
    <row r="40" spans="1:48" x14ac:dyDescent="0.15">
      <c r="A40" s="127" t="s">
        <v>61</v>
      </c>
      <c r="B40" s="127" t="s">
        <v>233</v>
      </c>
      <c r="C40" s="127">
        <v>2019</v>
      </c>
      <c r="D40" s="128" t="s">
        <v>284</v>
      </c>
      <c r="E40" s="127" t="s">
        <v>311</v>
      </c>
      <c r="F40" s="127" t="s">
        <v>312</v>
      </c>
      <c r="G40" s="127" t="s">
        <v>42</v>
      </c>
      <c r="H40" s="53" t="s">
        <v>164</v>
      </c>
      <c r="I40" s="53" t="s">
        <v>159</v>
      </c>
      <c r="J40" s="127" t="s">
        <v>38</v>
      </c>
      <c r="K40" s="53" t="s">
        <v>161</v>
      </c>
      <c r="L40" s="53">
        <v>3</v>
      </c>
      <c r="N40" s="53">
        <v>1</v>
      </c>
      <c r="O40" s="34">
        <v>0.5</v>
      </c>
      <c r="P40" s="34">
        <v>0.5</v>
      </c>
      <c r="Q40" s="75">
        <f t="shared" si="3"/>
        <v>0.5</v>
      </c>
      <c r="R40" s="53">
        <v>13.6</v>
      </c>
      <c r="S40" s="53">
        <v>110</v>
      </c>
      <c r="T40" s="16">
        <f t="shared" si="1"/>
        <v>39</v>
      </c>
      <c r="U40" s="53">
        <v>98</v>
      </c>
      <c r="V40" s="129">
        <f t="shared" si="4"/>
        <v>3822</v>
      </c>
      <c r="W40" s="53">
        <v>10</v>
      </c>
      <c r="X40" s="127" t="s">
        <v>46</v>
      </c>
      <c r="Y40" s="53" t="s">
        <v>69</v>
      </c>
      <c r="Z40" s="53" t="s">
        <v>90</v>
      </c>
      <c r="AA40" s="53" t="s">
        <v>84</v>
      </c>
      <c r="AB40" s="127" t="s">
        <v>237</v>
      </c>
      <c r="AC40" s="34"/>
    </row>
    <row r="41" spans="1:48" x14ac:dyDescent="0.15">
      <c r="A41" s="127" t="s">
        <v>61</v>
      </c>
      <c r="B41" s="127" t="s">
        <v>233</v>
      </c>
      <c r="C41" s="127">
        <v>2019</v>
      </c>
      <c r="D41" s="128" t="s">
        <v>284</v>
      </c>
      <c r="E41" s="127" t="s">
        <v>311</v>
      </c>
      <c r="F41" s="127" t="s">
        <v>312</v>
      </c>
      <c r="G41" s="127" t="s">
        <v>42</v>
      </c>
      <c r="H41" s="53" t="s">
        <v>160</v>
      </c>
      <c r="I41" s="53" t="s">
        <v>159</v>
      </c>
      <c r="J41" s="127" t="s">
        <v>38</v>
      </c>
      <c r="K41" s="53" t="s">
        <v>161</v>
      </c>
      <c r="L41" s="53">
        <v>1</v>
      </c>
      <c r="N41" s="53">
        <v>1</v>
      </c>
      <c r="O41" s="34">
        <v>0.5</v>
      </c>
      <c r="P41" s="34">
        <v>0.5</v>
      </c>
      <c r="Q41" s="75">
        <f t="shared" si="3"/>
        <v>0.5</v>
      </c>
      <c r="R41" s="53">
        <v>12.1</v>
      </c>
      <c r="S41" s="53">
        <v>136</v>
      </c>
      <c r="T41" s="16">
        <f t="shared" si="1"/>
        <v>25</v>
      </c>
      <c r="U41" s="53">
        <v>98</v>
      </c>
      <c r="V41" s="129">
        <f t="shared" si="4"/>
        <v>2450</v>
      </c>
      <c r="W41" s="53">
        <v>10</v>
      </c>
      <c r="X41" s="127" t="s">
        <v>46</v>
      </c>
      <c r="Y41" s="53" t="s">
        <v>69</v>
      </c>
      <c r="Z41" s="53" t="s">
        <v>90</v>
      </c>
      <c r="AA41" s="53" t="s">
        <v>84</v>
      </c>
      <c r="AB41" s="127" t="s">
        <v>237</v>
      </c>
      <c r="AC41" s="34"/>
    </row>
    <row r="42" spans="1:48" x14ac:dyDescent="0.15">
      <c r="A42" s="127" t="s">
        <v>61</v>
      </c>
      <c r="B42" s="127" t="s">
        <v>233</v>
      </c>
      <c r="C42" s="127">
        <v>2019</v>
      </c>
      <c r="D42" s="128" t="s">
        <v>284</v>
      </c>
      <c r="E42" s="127" t="s">
        <v>311</v>
      </c>
      <c r="F42" s="127" t="s">
        <v>312</v>
      </c>
      <c r="G42" s="127" t="s">
        <v>42</v>
      </c>
      <c r="H42" s="53" t="s">
        <v>160</v>
      </c>
      <c r="I42" s="53" t="s">
        <v>159</v>
      </c>
      <c r="J42" s="127" t="s">
        <v>38</v>
      </c>
      <c r="K42" s="53" t="s">
        <v>161</v>
      </c>
      <c r="L42" s="53">
        <v>2</v>
      </c>
      <c r="N42" s="53">
        <v>1</v>
      </c>
      <c r="O42" s="34">
        <v>0.5</v>
      </c>
      <c r="P42" s="34">
        <v>0.5</v>
      </c>
      <c r="Q42" s="75">
        <f t="shared" si="3"/>
        <v>0.5</v>
      </c>
      <c r="R42" s="53">
        <v>14.6</v>
      </c>
      <c r="S42" s="53">
        <v>142</v>
      </c>
      <c r="T42" s="16">
        <f t="shared" si="1"/>
        <v>22</v>
      </c>
      <c r="U42" s="53">
        <v>98</v>
      </c>
      <c r="V42" s="129">
        <f t="shared" si="4"/>
        <v>2156</v>
      </c>
      <c r="W42" s="53">
        <v>10</v>
      </c>
      <c r="X42" s="127" t="s">
        <v>46</v>
      </c>
      <c r="Y42" s="53" t="s">
        <v>69</v>
      </c>
      <c r="Z42" s="53" t="s">
        <v>90</v>
      </c>
      <c r="AA42" s="53" t="s">
        <v>84</v>
      </c>
      <c r="AB42" s="127" t="s">
        <v>237</v>
      </c>
      <c r="AC42" s="34"/>
    </row>
    <row r="43" spans="1:48" x14ac:dyDescent="0.15">
      <c r="A43" s="127" t="s">
        <v>61</v>
      </c>
      <c r="B43" s="127" t="s">
        <v>233</v>
      </c>
      <c r="C43" s="127">
        <v>2019</v>
      </c>
      <c r="D43" s="128" t="s">
        <v>284</v>
      </c>
      <c r="E43" s="127" t="s">
        <v>311</v>
      </c>
      <c r="F43" s="127" t="s">
        <v>312</v>
      </c>
      <c r="G43" s="127" t="s">
        <v>42</v>
      </c>
      <c r="H43" s="53" t="s">
        <v>160</v>
      </c>
      <c r="I43" s="53" t="s">
        <v>159</v>
      </c>
      <c r="J43" s="127" t="s">
        <v>38</v>
      </c>
      <c r="K43" s="53" t="s">
        <v>161</v>
      </c>
      <c r="L43" s="53">
        <v>3</v>
      </c>
      <c r="N43" s="53">
        <v>1</v>
      </c>
      <c r="O43" s="34">
        <v>0.5</v>
      </c>
      <c r="P43" s="34">
        <v>0.5</v>
      </c>
      <c r="Q43" s="75">
        <f t="shared" si="3"/>
        <v>0.5</v>
      </c>
      <c r="R43" s="53">
        <v>14.6</v>
      </c>
      <c r="S43" s="53">
        <v>139</v>
      </c>
      <c r="T43" s="16">
        <f t="shared" si="1"/>
        <v>22</v>
      </c>
      <c r="U43" s="53">
        <v>98</v>
      </c>
      <c r="V43" s="129">
        <f t="shared" si="4"/>
        <v>2156</v>
      </c>
      <c r="W43" s="53">
        <v>10</v>
      </c>
      <c r="X43" s="127" t="s">
        <v>46</v>
      </c>
      <c r="Y43" s="53" t="s">
        <v>69</v>
      </c>
      <c r="Z43" s="53" t="s">
        <v>90</v>
      </c>
      <c r="AA43" s="53" t="s">
        <v>84</v>
      </c>
      <c r="AB43" s="127" t="s">
        <v>237</v>
      </c>
      <c r="AC43" s="34"/>
    </row>
    <row r="44" spans="1:48" x14ac:dyDescent="0.15">
      <c r="A44" s="127" t="s">
        <v>61</v>
      </c>
      <c r="B44" s="127" t="s">
        <v>233</v>
      </c>
      <c r="C44" s="127">
        <v>2019</v>
      </c>
      <c r="D44" s="128" t="s">
        <v>284</v>
      </c>
      <c r="E44" s="127" t="s">
        <v>293</v>
      </c>
      <c r="F44" s="127" t="s">
        <v>294</v>
      </c>
      <c r="G44" s="127" t="s">
        <v>42</v>
      </c>
      <c r="H44" s="53" t="s">
        <v>164</v>
      </c>
      <c r="I44" s="53" t="s">
        <v>159</v>
      </c>
      <c r="J44" s="127" t="s">
        <v>38</v>
      </c>
      <c r="K44" s="53" t="s">
        <v>161</v>
      </c>
      <c r="L44" s="53">
        <v>1</v>
      </c>
      <c r="N44" s="53">
        <v>4</v>
      </c>
      <c r="O44" s="34">
        <v>0.8</v>
      </c>
      <c r="P44" s="34">
        <v>0.5</v>
      </c>
      <c r="Q44" s="75">
        <f t="shared" si="3"/>
        <v>0.65</v>
      </c>
      <c r="R44" s="53">
        <v>14.5</v>
      </c>
      <c r="S44" s="53">
        <v>106</v>
      </c>
      <c r="T44" s="16">
        <f t="shared" si="1"/>
        <v>39</v>
      </c>
      <c r="U44" s="53">
        <v>321</v>
      </c>
      <c r="V44" s="129">
        <f t="shared" si="4"/>
        <v>3129.75</v>
      </c>
      <c r="W44" s="53">
        <v>6</v>
      </c>
      <c r="X44" s="127" t="s">
        <v>39</v>
      </c>
      <c r="Y44" s="53" t="s">
        <v>90</v>
      </c>
      <c r="Z44" s="53" t="s">
        <v>84</v>
      </c>
      <c r="AA44" s="53" t="s">
        <v>50</v>
      </c>
      <c r="AB44" s="127" t="s">
        <v>237</v>
      </c>
    </row>
    <row r="45" spans="1:48" x14ac:dyDescent="0.15">
      <c r="A45" s="127" t="s">
        <v>61</v>
      </c>
      <c r="B45" s="127" t="s">
        <v>233</v>
      </c>
      <c r="C45" s="127">
        <v>2020</v>
      </c>
      <c r="D45" s="128" t="s">
        <v>284</v>
      </c>
      <c r="E45" s="127" t="s">
        <v>293</v>
      </c>
      <c r="F45" s="127" t="s">
        <v>294</v>
      </c>
      <c r="G45" s="127" t="s">
        <v>42</v>
      </c>
      <c r="H45" s="53" t="s">
        <v>164</v>
      </c>
      <c r="I45" s="53" t="s">
        <v>159</v>
      </c>
      <c r="J45" s="127" t="s">
        <v>38</v>
      </c>
      <c r="K45" s="53" t="s">
        <v>161</v>
      </c>
      <c r="L45" s="53">
        <v>2</v>
      </c>
      <c r="N45" s="53">
        <v>4</v>
      </c>
      <c r="O45" s="34">
        <v>0.65</v>
      </c>
      <c r="P45" s="34">
        <v>0.5</v>
      </c>
      <c r="Q45" s="75">
        <f t="shared" si="3"/>
        <v>0.57499999999999996</v>
      </c>
      <c r="R45" s="53">
        <v>13.5</v>
      </c>
      <c r="S45" s="53">
        <v>108</v>
      </c>
      <c r="T45" s="16">
        <f t="shared" si="1"/>
        <v>39</v>
      </c>
      <c r="U45" s="53">
        <v>321</v>
      </c>
      <c r="V45" s="129">
        <f t="shared" si="4"/>
        <v>3129.75</v>
      </c>
      <c r="W45" s="53">
        <v>6</v>
      </c>
      <c r="X45" s="127" t="s">
        <v>39</v>
      </c>
      <c r="Y45" s="53" t="s">
        <v>90</v>
      </c>
      <c r="Z45" s="53" t="s">
        <v>84</v>
      </c>
      <c r="AA45" s="53" t="s">
        <v>50</v>
      </c>
      <c r="AB45" s="127" t="s">
        <v>237</v>
      </c>
    </row>
    <row r="46" spans="1:48" x14ac:dyDescent="0.15">
      <c r="A46" s="127" t="s">
        <v>61</v>
      </c>
      <c r="B46" s="127" t="s">
        <v>233</v>
      </c>
      <c r="C46" s="127">
        <v>2021</v>
      </c>
      <c r="D46" s="128" t="s">
        <v>284</v>
      </c>
      <c r="E46" s="127" t="s">
        <v>293</v>
      </c>
      <c r="F46" s="127" t="s">
        <v>294</v>
      </c>
      <c r="G46" s="127" t="s">
        <v>42</v>
      </c>
      <c r="H46" s="53" t="s">
        <v>164</v>
      </c>
      <c r="I46" s="53" t="s">
        <v>159</v>
      </c>
      <c r="J46" s="127" t="s">
        <v>38</v>
      </c>
      <c r="K46" s="53" t="s">
        <v>161</v>
      </c>
      <c r="L46" s="53">
        <v>3</v>
      </c>
      <c r="N46" s="53">
        <v>4</v>
      </c>
      <c r="O46" s="34">
        <v>0.5</v>
      </c>
      <c r="P46" s="34">
        <v>0.5</v>
      </c>
      <c r="Q46" s="75">
        <f t="shared" si="3"/>
        <v>0.5</v>
      </c>
      <c r="R46" s="53">
        <v>13.3</v>
      </c>
      <c r="S46" s="53">
        <v>110</v>
      </c>
      <c r="T46" s="16">
        <f t="shared" si="1"/>
        <v>39</v>
      </c>
      <c r="U46" s="53">
        <v>321</v>
      </c>
      <c r="V46" s="129">
        <f t="shared" si="4"/>
        <v>3129.75</v>
      </c>
      <c r="W46" s="53">
        <v>6</v>
      </c>
      <c r="X46" s="127" t="s">
        <v>39</v>
      </c>
      <c r="Y46" s="53" t="s">
        <v>90</v>
      </c>
      <c r="Z46" s="53" t="s">
        <v>84</v>
      </c>
      <c r="AA46" s="53" t="s">
        <v>50</v>
      </c>
      <c r="AB46" s="127" t="s">
        <v>237</v>
      </c>
    </row>
    <row r="47" spans="1:48" x14ac:dyDescent="0.15">
      <c r="A47" s="127" t="s">
        <v>61</v>
      </c>
      <c r="B47" s="127" t="s">
        <v>233</v>
      </c>
      <c r="C47" s="127">
        <v>2019</v>
      </c>
      <c r="D47" s="128" t="s">
        <v>284</v>
      </c>
      <c r="E47" s="127" t="s">
        <v>133</v>
      </c>
      <c r="F47" s="127" t="s">
        <v>295</v>
      </c>
      <c r="G47" s="127" t="s">
        <v>42</v>
      </c>
      <c r="H47" s="53" t="s">
        <v>164</v>
      </c>
      <c r="I47" s="53" t="s">
        <v>159</v>
      </c>
      <c r="J47" s="127" t="s">
        <v>38</v>
      </c>
      <c r="K47" s="53" t="s">
        <v>161</v>
      </c>
      <c r="L47" s="53">
        <v>1</v>
      </c>
      <c r="N47" s="53">
        <v>1</v>
      </c>
      <c r="O47" s="53">
        <v>0.75</v>
      </c>
      <c r="P47" s="53">
        <v>0.85</v>
      </c>
      <c r="Q47" s="75">
        <f t="shared" si="3"/>
        <v>0.8</v>
      </c>
      <c r="R47" s="53">
        <v>13.3</v>
      </c>
      <c r="S47" s="53">
        <v>118</v>
      </c>
      <c r="T47" s="16">
        <f t="shared" si="1"/>
        <v>39</v>
      </c>
      <c r="U47" s="53">
        <v>98</v>
      </c>
      <c r="V47" s="129">
        <f t="shared" si="4"/>
        <v>3822</v>
      </c>
      <c r="W47" s="53">
        <v>12</v>
      </c>
      <c r="X47" s="127" t="s">
        <v>46</v>
      </c>
      <c r="Y47" s="53" t="s">
        <v>50</v>
      </c>
      <c r="Z47" s="53" t="s">
        <v>84</v>
      </c>
      <c r="AA47" s="53" t="s">
        <v>90</v>
      </c>
      <c r="AB47" s="127" t="s">
        <v>237</v>
      </c>
      <c r="AC47" s="34"/>
    </row>
    <row r="48" spans="1:48" x14ac:dyDescent="0.15">
      <c r="A48" s="127" t="s">
        <v>61</v>
      </c>
      <c r="B48" s="127" t="s">
        <v>233</v>
      </c>
      <c r="C48" s="127">
        <v>2019</v>
      </c>
      <c r="D48" s="128" t="s">
        <v>284</v>
      </c>
      <c r="E48" s="127" t="s">
        <v>133</v>
      </c>
      <c r="F48" s="127" t="s">
        <v>295</v>
      </c>
      <c r="G48" s="127" t="s">
        <v>42</v>
      </c>
      <c r="H48" s="53" t="s">
        <v>164</v>
      </c>
      <c r="I48" s="53" t="s">
        <v>159</v>
      </c>
      <c r="J48" s="127" t="s">
        <v>38</v>
      </c>
      <c r="K48" s="53" t="s">
        <v>161</v>
      </c>
      <c r="L48" s="53">
        <v>2</v>
      </c>
      <c r="N48" s="53">
        <v>1</v>
      </c>
      <c r="O48" s="53">
        <v>0.85</v>
      </c>
      <c r="P48" s="53">
        <v>0.65</v>
      </c>
      <c r="Q48" s="75">
        <f t="shared" si="3"/>
        <v>0.75</v>
      </c>
      <c r="R48" s="53">
        <v>13.6</v>
      </c>
      <c r="S48" s="53">
        <v>104</v>
      </c>
      <c r="T48" s="16">
        <f t="shared" si="1"/>
        <v>39</v>
      </c>
      <c r="U48" s="53">
        <v>98</v>
      </c>
      <c r="V48" s="129">
        <f t="shared" si="4"/>
        <v>3822</v>
      </c>
      <c r="W48" s="53">
        <v>12</v>
      </c>
      <c r="X48" s="127" t="s">
        <v>46</v>
      </c>
      <c r="Y48" s="53" t="s">
        <v>50</v>
      </c>
      <c r="Z48" s="53" t="s">
        <v>84</v>
      </c>
      <c r="AA48" s="53" t="s">
        <v>90</v>
      </c>
      <c r="AB48" s="127" t="s">
        <v>237</v>
      </c>
      <c r="AC48" s="34"/>
    </row>
    <row r="49" spans="1:29" x14ac:dyDescent="0.15">
      <c r="A49" s="127" t="s">
        <v>61</v>
      </c>
      <c r="B49" s="127" t="s">
        <v>233</v>
      </c>
      <c r="C49" s="127">
        <v>2019</v>
      </c>
      <c r="D49" s="128" t="s">
        <v>284</v>
      </c>
      <c r="E49" s="127" t="s">
        <v>133</v>
      </c>
      <c r="F49" s="127" t="s">
        <v>295</v>
      </c>
      <c r="G49" s="127" t="s">
        <v>42</v>
      </c>
      <c r="H49" s="53" t="s">
        <v>164</v>
      </c>
      <c r="I49" s="53" t="s">
        <v>159</v>
      </c>
      <c r="J49" s="127" t="s">
        <v>38</v>
      </c>
      <c r="K49" s="53" t="s">
        <v>161</v>
      </c>
      <c r="L49" s="53">
        <v>3</v>
      </c>
      <c r="N49" s="53">
        <v>1</v>
      </c>
      <c r="O49" s="53">
        <v>0.55000000000000004</v>
      </c>
      <c r="P49" s="53">
        <v>0.65</v>
      </c>
      <c r="Q49" s="75">
        <f t="shared" si="3"/>
        <v>0.60000000000000009</v>
      </c>
      <c r="R49" s="53">
        <v>14.7</v>
      </c>
      <c r="S49" s="53">
        <v>115</v>
      </c>
      <c r="T49" s="16">
        <f t="shared" si="1"/>
        <v>39</v>
      </c>
      <c r="U49" s="53">
        <v>98</v>
      </c>
      <c r="V49" s="129">
        <f t="shared" si="4"/>
        <v>3822</v>
      </c>
      <c r="W49" s="53">
        <v>12</v>
      </c>
      <c r="X49" s="127" t="s">
        <v>46</v>
      </c>
      <c r="Y49" s="53" t="s">
        <v>50</v>
      </c>
      <c r="Z49" s="53" t="s">
        <v>84</v>
      </c>
      <c r="AA49" s="53" t="s">
        <v>90</v>
      </c>
      <c r="AB49" s="127" t="s">
        <v>237</v>
      </c>
      <c r="AC49" s="34"/>
    </row>
    <row r="50" spans="1:29" x14ac:dyDescent="0.15">
      <c r="A50" s="127" t="s">
        <v>61</v>
      </c>
      <c r="B50" s="127" t="s">
        <v>233</v>
      </c>
      <c r="C50" s="127">
        <v>2019</v>
      </c>
      <c r="D50" s="128" t="s">
        <v>284</v>
      </c>
      <c r="E50" s="127" t="s">
        <v>133</v>
      </c>
      <c r="F50" s="127" t="s">
        <v>295</v>
      </c>
      <c r="G50" s="127" t="s">
        <v>42</v>
      </c>
      <c r="H50" s="53" t="s">
        <v>160</v>
      </c>
      <c r="I50" s="53" t="s">
        <v>159</v>
      </c>
      <c r="J50" s="127" t="s">
        <v>38</v>
      </c>
      <c r="K50" s="53" t="s">
        <v>161</v>
      </c>
      <c r="L50" s="53">
        <v>1</v>
      </c>
      <c r="N50" s="53">
        <v>1</v>
      </c>
      <c r="O50" s="53">
        <v>0.5</v>
      </c>
      <c r="P50" s="53">
        <v>0.5</v>
      </c>
      <c r="Q50" s="75">
        <f t="shared" si="3"/>
        <v>0.5</v>
      </c>
      <c r="R50" s="53">
        <v>13</v>
      </c>
      <c r="S50" s="53">
        <v>120</v>
      </c>
      <c r="T50" s="16">
        <f t="shared" si="1"/>
        <v>39</v>
      </c>
      <c r="U50" s="53">
        <v>158</v>
      </c>
      <c r="V50" s="129">
        <f t="shared" si="4"/>
        <v>6162</v>
      </c>
      <c r="W50" s="53">
        <v>12</v>
      </c>
      <c r="X50" s="127" t="s">
        <v>46</v>
      </c>
      <c r="Y50" s="53" t="s">
        <v>50</v>
      </c>
      <c r="Z50" s="53" t="s">
        <v>84</v>
      </c>
      <c r="AA50" s="53" t="s">
        <v>90</v>
      </c>
      <c r="AB50" s="127" t="s">
        <v>237</v>
      </c>
      <c r="AC50" s="34"/>
    </row>
    <row r="51" spans="1:29" x14ac:dyDescent="0.15">
      <c r="A51" s="127" t="s">
        <v>61</v>
      </c>
      <c r="B51" s="127" t="s">
        <v>233</v>
      </c>
      <c r="C51" s="127">
        <v>2019</v>
      </c>
      <c r="D51" s="128" t="s">
        <v>284</v>
      </c>
      <c r="E51" s="127" t="s">
        <v>133</v>
      </c>
      <c r="F51" s="127" t="s">
        <v>295</v>
      </c>
      <c r="G51" s="127" t="s">
        <v>42</v>
      </c>
      <c r="H51" s="53" t="s">
        <v>160</v>
      </c>
      <c r="I51" s="53" t="s">
        <v>159</v>
      </c>
      <c r="J51" s="127" t="s">
        <v>38</v>
      </c>
      <c r="K51" s="53" t="s">
        <v>161</v>
      </c>
      <c r="L51" s="53">
        <v>2</v>
      </c>
      <c r="N51" s="53">
        <v>1</v>
      </c>
      <c r="O51" s="53">
        <v>0.5</v>
      </c>
      <c r="P51" s="53">
        <v>0.5</v>
      </c>
      <c r="Q51" s="75">
        <f t="shared" si="3"/>
        <v>0.5</v>
      </c>
      <c r="R51" s="53">
        <v>17.899999999999999</v>
      </c>
      <c r="S51" s="53">
        <v>118</v>
      </c>
      <c r="T51" s="16">
        <f t="shared" si="1"/>
        <v>39</v>
      </c>
      <c r="U51" s="53">
        <v>158</v>
      </c>
      <c r="V51" s="129">
        <f t="shared" si="4"/>
        <v>6162</v>
      </c>
      <c r="W51" s="53">
        <v>12</v>
      </c>
      <c r="X51" s="127" t="s">
        <v>46</v>
      </c>
      <c r="Y51" s="53" t="s">
        <v>50</v>
      </c>
      <c r="Z51" s="53" t="s">
        <v>84</v>
      </c>
      <c r="AA51" s="53" t="s">
        <v>90</v>
      </c>
      <c r="AB51" s="127" t="s">
        <v>237</v>
      </c>
      <c r="AC51" s="34"/>
    </row>
    <row r="52" spans="1:29" x14ac:dyDescent="0.15">
      <c r="A52" s="127" t="s">
        <v>61</v>
      </c>
      <c r="B52" s="127" t="s">
        <v>233</v>
      </c>
      <c r="C52" s="127">
        <v>2019</v>
      </c>
      <c r="D52" s="128" t="s">
        <v>284</v>
      </c>
      <c r="E52" s="127" t="s">
        <v>133</v>
      </c>
      <c r="F52" s="127" t="s">
        <v>295</v>
      </c>
      <c r="G52" s="127" t="s">
        <v>42</v>
      </c>
      <c r="H52" s="53" t="s">
        <v>160</v>
      </c>
      <c r="I52" s="53" t="s">
        <v>159</v>
      </c>
      <c r="J52" s="127" t="s">
        <v>38</v>
      </c>
      <c r="K52" s="53" t="s">
        <v>161</v>
      </c>
      <c r="L52" s="53">
        <v>3</v>
      </c>
      <c r="N52" s="53">
        <v>1</v>
      </c>
      <c r="O52" s="53">
        <v>0.65</v>
      </c>
      <c r="P52" s="53">
        <v>0.5</v>
      </c>
      <c r="Q52" s="75">
        <f t="shared" si="3"/>
        <v>0.57499999999999996</v>
      </c>
      <c r="R52" s="53">
        <v>13.5</v>
      </c>
      <c r="S52" s="53">
        <v>117</v>
      </c>
      <c r="T52" s="16">
        <f t="shared" si="1"/>
        <v>39</v>
      </c>
      <c r="U52" s="53">
        <v>158</v>
      </c>
      <c r="V52" s="129">
        <f t="shared" si="4"/>
        <v>6162</v>
      </c>
      <c r="W52" s="53">
        <v>12</v>
      </c>
      <c r="X52" s="127" t="s">
        <v>46</v>
      </c>
      <c r="Y52" s="53" t="s">
        <v>50</v>
      </c>
      <c r="Z52" s="53" t="s">
        <v>84</v>
      </c>
      <c r="AA52" s="53" t="s">
        <v>90</v>
      </c>
      <c r="AB52" s="127" t="s">
        <v>237</v>
      </c>
      <c r="AC52" s="34"/>
    </row>
    <row r="53" spans="1:29" x14ac:dyDescent="0.15">
      <c r="A53" s="127" t="s">
        <v>61</v>
      </c>
      <c r="B53" s="127" t="s">
        <v>233</v>
      </c>
      <c r="C53" s="127">
        <v>2019</v>
      </c>
      <c r="D53" s="128" t="s">
        <v>284</v>
      </c>
      <c r="E53" s="127" t="s">
        <v>133</v>
      </c>
      <c r="F53" s="127" t="s">
        <v>295</v>
      </c>
      <c r="G53" s="127" t="s">
        <v>42</v>
      </c>
      <c r="H53" s="53" t="s">
        <v>160</v>
      </c>
      <c r="I53" s="53" t="s">
        <v>159</v>
      </c>
      <c r="J53" s="127" t="s">
        <v>80</v>
      </c>
      <c r="K53" s="53" t="s">
        <v>45</v>
      </c>
      <c r="L53" s="53">
        <v>1</v>
      </c>
      <c r="N53" s="53">
        <v>1</v>
      </c>
      <c r="O53" s="53">
        <v>2.9</v>
      </c>
      <c r="P53" s="53">
        <v>0.85</v>
      </c>
      <c r="Q53" s="75">
        <f t="shared" si="3"/>
        <v>1.875</v>
      </c>
      <c r="R53" s="53">
        <v>13.4</v>
      </c>
      <c r="S53" s="53">
        <v>107</v>
      </c>
      <c r="T53" s="16">
        <f t="shared" si="1"/>
        <v>39</v>
      </c>
      <c r="U53" s="53">
        <v>98</v>
      </c>
      <c r="V53" s="129">
        <f t="shared" si="4"/>
        <v>3822</v>
      </c>
      <c r="W53" s="53">
        <v>12</v>
      </c>
      <c r="X53" s="127" t="s">
        <v>46</v>
      </c>
      <c r="Y53" s="53" t="s">
        <v>50</v>
      </c>
      <c r="Z53" s="53" t="s">
        <v>84</v>
      </c>
      <c r="AA53" s="53" t="s">
        <v>90</v>
      </c>
      <c r="AB53" s="127" t="s">
        <v>237</v>
      </c>
      <c r="AC53" s="34"/>
    </row>
    <row r="54" spans="1:29" x14ac:dyDescent="0.15">
      <c r="A54" s="127" t="s">
        <v>61</v>
      </c>
      <c r="B54" s="127" t="s">
        <v>233</v>
      </c>
      <c r="C54" s="127">
        <v>2019</v>
      </c>
      <c r="D54" s="128" t="s">
        <v>284</v>
      </c>
      <c r="E54" s="127" t="s">
        <v>133</v>
      </c>
      <c r="F54" s="127" t="s">
        <v>295</v>
      </c>
      <c r="G54" s="127" t="s">
        <v>42</v>
      </c>
      <c r="H54" s="53" t="s">
        <v>160</v>
      </c>
      <c r="I54" s="53" t="s">
        <v>159</v>
      </c>
      <c r="J54" s="127" t="s">
        <v>80</v>
      </c>
      <c r="K54" s="53" t="s">
        <v>45</v>
      </c>
      <c r="L54" s="53">
        <v>2</v>
      </c>
      <c r="N54" s="53">
        <v>1</v>
      </c>
      <c r="O54" s="53">
        <v>1.5</v>
      </c>
      <c r="P54" s="53">
        <v>0.65</v>
      </c>
      <c r="Q54" s="75">
        <f t="shared" si="3"/>
        <v>1.075</v>
      </c>
      <c r="R54" s="53">
        <v>13.2</v>
      </c>
      <c r="S54" s="53">
        <v>101</v>
      </c>
      <c r="T54" s="16">
        <f t="shared" si="1"/>
        <v>39</v>
      </c>
      <c r="U54" s="53">
        <v>98</v>
      </c>
      <c r="V54" s="129">
        <f t="shared" si="4"/>
        <v>3822</v>
      </c>
      <c r="W54" s="53">
        <v>12</v>
      </c>
      <c r="X54" s="127" t="s">
        <v>46</v>
      </c>
      <c r="Y54" s="53" t="s">
        <v>50</v>
      </c>
      <c r="Z54" s="53" t="s">
        <v>84</v>
      </c>
      <c r="AA54" s="53" t="s">
        <v>90</v>
      </c>
      <c r="AB54" s="127" t="s">
        <v>237</v>
      </c>
      <c r="AC54" s="34"/>
    </row>
    <row r="55" spans="1:29" x14ac:dyDescent="0.15">
      <c r="A55" s="127" t="s">
        <v>61</v>
      </c>
      <c r="B55" s="127" t="s">
        <v>233</v>
      </c>
      <c r="C55" s="127">
        <v>2019</v>
      </c>
      <c r="D55" s="128" t="s">
        <v>284</v>
      </c>
      <c r="E55" s="127" t="s">
        <v>133</v>
      </c>
      <c r="F55" s="127" t="s">
        <v>295</v>
      </c>
      <c r="G55" s="127" t="s">
        <v>42</v>
      </c>
      <c r="H55" s="53" t="s">
        <v>160</v>
      </c>
      <c r="I55" s="53" t="s">
        <v>159</v>
      </c>
      <c r="J55" s="127" t="s">
        <v>80</v>
      </c>
      <c r="K55" s="53" t="s">
        <v>45</v>
      </c>
      <c r="L55" s="53">
        <v>3</v>
      </c>
      <c r="N55" s="53">
        <v>1</v>
      </c>
      <c r="O55" s="53">
        <v>1.6</v>
      </c>
      <c r="P55" s="53">
        <v>0.65</v>
      </c>
      <c r="Q55" s="75">
        <f t="shared" si="3"/>
        <v>1.125</v>
      </c>
      <c r="R55" s="53">
        <v>12.4</v>
      </c>
      <c r="S55" s="53">
        <v>111</v>
      </c>
      <c r="T55" s="16">
        <f t="shared" si="1"/>
        <v>39</v>
      </c>
      <c r="U55" s="53">
        <v>98</v>
      </c>
      <c r="V55" s="129">
        <f t="shared" si="4"/>
        <v>3822</v>
      </c>
      <c r="W55" s="53">
        <v>12</v>
      </c>
      <c r="X55" s="127" t="s">
        <v>46</v>
      </c>
      <c r="Y55" s="53" t="s">
        <v>50</v>
      </c>
      <c r="Z55" s="53" t="s">
        <v>84</v>
      </c>
      <c r="AA55" s="53" t="s">
        <v>90</v>
      </c>
      <c r="AB55" s="127" t="s">
        <v>237</v>
      </c>
      <c r="AC55" s="34"/>
    </row>
    <row r="56" spans="1:29" x14ac:dyDescent="0.15">
      <c r="A56" s="127" t="s">
        <v>61</v>
      </c>
      <c r="B56" s="127" t="s">
        <v>233</v>
      </c>
      <c r="C56" s="127">
        <v>2019</v>
      </c>
      <c r="D56" s="128" t="s">
        <v>284</v>
      </c>
      <c r="E56" s="127" t="s">
        <v>133</v>
      </c>
      <c r="F56" s="127" t="s">
        <v>295</v>
      </c>
      <c r="G56" s="127" t="s">
        <v>42</v>
      </c>
      <c r="H56" s="53" t="s">
        <v>127</v>
      </c>
      <c r="I56" s="53" t="s">
        <v>159</v>
      </c>
      <c r="J56" s="127" t="s">
        <v>58</v>
      </c>
      <c r="K56" s="53" t="s">
        <v>59</v>
      </c>
      <c r="L56" s="53">
        <v>1</v>
      </c>
      <c r="N56" s="53">
        <v>1</v>
      </c>
      <c r="O56" s="53">
        <v>0.5</v>
      </c>
      <c r="P56" s="53">
        <v>0.5</v>
      </c>
      <c r="Q56" s="75">
        <f t="shared" si="3"/>
        <v>0.5</v>
      </c>
      <c r="R56" s="53">
        <v>11.1</v>
      </c>
      <c r="S56" s="53">
        <v>113</v>
      </c>
      <c r="T56" s="16">
        <f t="shared" si="1"/>
        <v>39</v>
      </c>
      <c r="U56" s="53">
        <v>148</v>
      </c>
      <c r="V56" s="129">
        <f t="shared" si="4"/>
        <v>5772</v>
      </c>
      <c r="W56" s="53">
        <v>12</v>
      </c>
      <c r="X56" s="127" t="s">
        <v>46</v>
      </c>
      <c r="Y56" s="53" t="s">
        <v>50</v>
      </c>
      <c r="Z56" s="53" t="s">
        <v>84</v>
      </c>
      <c r="AA56" s="53" t="s">
        <v>90</v>
      </c>
      <c r="AB56" s="127" t="s">
        <v>237</v>
      </c>
      <c r="AC56" s="34"/>
    </row>
    <row r="57" spans="1:29" x14ac:dyDescent="0.15">
      <c r="A57" s="127" t="s">
        <v>61</v>
      </c>
      <c r="B57" s="127" t="s">
        <v>233</v>
      </c>
      <c r="C57" s="127">
        <v>2019</v>
      </c>
      <c r="D57" s="128" t="s">
        <v>284</v>
      </c>
      <c r="E57" s="127" t="s">
        <v>133</v>
      </c>
      <c r="F57" s="127" t="s">
        <v>295</v>
      </c>
      <c r="G57" s="127" t="s">
        <v>42</v>
      </c>
      <c r="H57" s="53" t="s">
        <v>127</v>
      </c>
      <c r="I57" s="53" t="s">
        <v>159</v>
      </c>
      <c r="J57" s="127" t="s">
        <v>58</v>
      </c>
      <c r="K57" s="53" t="s">
        <v>59</v>
      </c>
      <c r="L57" s="53">
        <v>2</v>
      </c>
      <c r="N57" s="53">
        <v>1</v>
      </c>
      <c r="O57" s="53">
        <v>0.5</v>
      </c>
      <c r="P57" s="53">
        <v>0.5</v>
      </c>
      <c r="Q57" s="75">
        <f t="shared" si="3"/>
        <v>0.5</v>
      </c>
      <c r="R57" s="53">
        <v>10.9</v>
      </c>
      <c r="S57" s="53">
        <v>113</v>
      </c>
      <c r="T57" s="16">
        <f t="shared" si="1"/>
        <v>39</v>
      </c>
      <c r="U57" s="53">
        <v>148</v>
      </c>
      <c r="V57" s="129">
        <f t="shared" si="4"/>
        <v>5772</v>
      </c>
      <c r="W57" s="53">
        <v>12</v>
      </c>
      <c r="X57" s="127" t="s">
        <v>46</v>
      </c>
      <c r="Y57" s="53" t="s">
        <v>50</v>
      </c>
      <c r="Z57" s="53" t="s">
        <v>84</v>
      </c>
      <c r="AA57" s="53" t="s">
        <v>90</v>
      </c>
      <c r="AB57" s="127" t="s">
        <v>237</v>
      </c>
      <c r="AC57" s="34"/>
    </row>
    <row r="58" spans="1:29" x14ac:dyDescent="0.15">
      <c r="A58" s="127" t="s">
        <v>61</v>
      </c>
      <c r="B58" s="127" t="s">
        <v>233</v>
      </c>
      <c r="C58" s="127">
        <v>2019</v>
      </c>
      <c r="D58" s="128" t="s">
        <v>284</v>
      </c>
      <c r="E58" s="127" t="s">
        <v>133</v>
      </c>
      <c r="F58" s="127" t="s">
        <v>295</v>
      </c>
      <c r="G58" s="127" t="s">
        <v>42</v>
      </c>
      <c r="H58" s="53" t="s">
        <v>127</v>
      </c>
      <c r="I58" s="53" t="s">
        <v>159</v>
      </c>
      <c r="J58" s="127" t="s">
        <v>58</v>
      </c>
      <c r="K58" s="53" t="s">
        <v>59</v>
      </c>
      <c r="L58" s="53">
        <v>3</v>
      </c>
      <c r="N58" s="53">
        <v>1</v>
      </c>
      <c r="O58" s="53">
        <v>0.5</v>
      </c>
      <c r="P58" s="53">
        <v>0.5</v>
      </c>
      <c r="Q58" s="75">
        <f t="shared" si="3"/>
        <v>0.5</v>
      </c>
      <c r="R58" s="53">
        <v>12.2</v>
      </c>
      <c r="S58" s="53">
        <v>116</v>
      </c>
      <c r="T58" s="16">
        <f t="shared" si="1"/>
        <v>39</v>
      </c>
      <c r="U58" s="53">
        <v>148</v>
      </c>
      <c r="V58" s="129">
        <f t="shared" si="4"/>
        <v>5772</v>
      </c>
      <c r="W58" s="53">
        <v>12</v>
      </c>
      <c r="X58" s="127" t="s">
        <v>46</v>
      </c>
      <c r="Y58" s="53" t="s">
        <v>50</v>
      </c>
      <c r="Z58" s="53" t="s">
        <v>84</v>
      </c>
      <c r="AA58" s="53" t="s">
        <v>90</v>
      </c>
      <c r="AB58" s="127" t="s">
        <v>237</v>
      </c>
      <c r="AC58" s="34"/>
    </row>
    <row r="59" spans="1:29" x14ac:dyDescent="0.15">
      <c r="A59" s="127" t="s">
        <v>61</v>
      </c>
      <c r="B59" s="127" t="s">
        <v>233</v>
      </c>
      <c r="C59" s="127">
        <v>2019</v>
      </c>
      <c r="D59" s="128" t="s">
        <v>284</v>
      </c>
      <c r="E59" s="127" t="s">
        <v>296</v>
      </c>
      <c r="F59" s="127" t="s">
        <v>297</v>
      </c>
      <c r="G59" s="127" t="s">
        <v>42</v>
      </c>
      <c r="H59" s="53" t="s">
        <v>164</v>
      </c>
      <c r="I59" s="53" t="s">
        <v>159</v>
      </c>
      <c r="J59" s="127" t="s">
        <v>38</v>
      </c>
      <c r="K59" s="53" t="s">
        <v>161</v>
      </c>
      <c r="L59" s="53">
        <v>1</v>
      </c>
      <c r="N59" s="53">
        <v>1</v>
      </c>
      <c r="O59" s="53">
        <v>0.75</v>
      </c>
      <c r="P59" s="53">
        <v>0.65</v>
      </c>
      <c r="Q59" s="75">
        <f t="shared" si="3"/>
        <v>0.7</v>
      </c>
      <c r="R59" s="53">
        <v>14.7</v>
      </c>
      <c r="S59" s="53">
        <v>141</v>
      </c>
      <c r="T59" s="16">
        <f t="shared" si="1"/>
        <v>22</v>
      </c>
      <c r="U59" s="53">
        <v>128</v>
      </c>
      <c r="V59" s="129">
        <f t="shared" si="4"/>
        <v>2816</v>
      </c>
      <c r="W59" s="53">
        <v>6</v>
      </c>
      <c r="X59" s="127" t="s">
        <v>39</v>
      </c>
      <c r="Y59" s="53" t="s">
        <v>90</v>
      </c>
      <c r="Z59" s="53" t="s">
        <v>84</v>
      </c>
      <c r="AA59" s="53" t="s">
        <v>50</v>
      </c>
      <c r="AB59" s="127" t="s">
        <v>237</v>
      </c>
      <c r="AC59" s="34"/>
    </row>
    <row r="60" spans="1:29" x14ac:dyDescent="0.15">
      <c r="A60" s="127" t="s">
        <v>61</v>
      </c>
      <c r="B60" s="127" t="s">
        <v>233</v>
      </c>
      <c r="C60" s="127">
        <v>2019</v>
      </c>
      <c r="D60" s="128" t="s">
        <v>284</v>
      </c>
      <c r="E60" s="127" t="s">
        <v>296</v>
      </c>
      <c r="F60" s="127" t="s">
        <v>297</v>
      </c>
      <c r="G60" s="127" t="s">
        <v>42</v>
      </c>
      <c r="H60" s="53" t="s">
        <v>164</v>
      </c>
      <c r="I60" s="53" t="s">
        <v>159</v>
      </c>
      <c r="J60" s="127" t="s">
        <v>38</v>
      </c>
      <c r="K60" s="53" t="s">
        <v>161</v>
      </c>
      <c r="L60" s="53">
        <v>2</v>
      </c>
      <c r="N60" s="53">
        <v>1</v>
      </c>
      <c r="O60" s="53">
        <v>0.8</v>
      </c>
      <c r="P60" s="53">
        <v>0.5</v>
      </c>
      <c r="Q60" s="75">
        <f t="shared" si="3"/>
        <v>0.65</v>
      </c>
      <c r="R60" s="53">
        <v>14.8</v>
      </c>
      <c r="S60" s="53">
        <v>139</v>
      </c>
      <c r="T60" s="16">
        <f t="shared" si="1"/>
        <v>22</v>
      </c>
      <c r="U60" s="53">
        <v>128</v>
      </c>
      <c r="V60" s="129">
        <f t="shared" si="4"/>
        <v>2816</v>
      </c>
      <c r="W60" s="53">
        <v>6</v>
      </c>
      <c r="X60" s="127" t="s">
        <v>39</v>
      </c>
      <c r="Y60" s="53" t="s">
        <v>90</v>
      </c>
      <c r="Z60" s="53" t="s">
        <v>84</v>
      </c>
      <c r="AA60" s="53" t="s">
        <v>50</v>
      </c>
      <c r="AB60" s="127" t="s">
        <v>237</v>
      </c>
      <c r="AC60" s="34"/>
    </row>
    <row r="61" spans="1:29" x14ac:dyDescent="0.15">
      <c r="A61" s="127" t="s">
        <v>61</v>
      </c>
      <c r="B61" s="127" t="s">
        <v>233</v>
      </c>
      <c r="C61" s="127">
        <v>2019</v>
      </c>
      <c r="D61" s="128" t="s">
        <v>284</v>
      </c>
      <c r="E61" s="127" t="s">
        <v>296</v>
      </c>
      <c r="F61" s="127" t="s">
        <v>297</v>
      </c>
      <c r="G61" s="127" t="s">
        <v>42</v>
      </c>
      <c r="H61" s="53" t="s">
        <v>164</v>
      </c>
      <c r="I61" s="53" t="s">
        <v>159</v>
      </c>
      <c r="J61" s="127" t="s">
        <v>38</v>
      </c>
      <c r="K61" s="53" t="s">
        <v>161</v>
      </c>
      <c r="L61" s="53">
        <v>3</v>
      </c>
      <c r="N61" s="53">
        <v>1</v>
      </c>
      <c r="O61" s="53">
        <v>0.5</v>
      </c>
      <c r="P61" s="53">
        <v>0.5</v>
      </c>
      <c r="Q61" s="75">
        <f t="shared" si="3"/>
        <v>0.5</v>
      </c>
      <c r="R61" s="53">
        <v>14.2</v>
      </c>
      <c r="S61" s="53">
        <v>140</v>
      </c>
      <c r="T61" s="16">
        <f t="shared" si="1"/>
        <v>22</v>
      </c>
      <c r="U61" s="53">
        <v>128</v>
      </c>
      <c r="V61" s="129">
        <f t="shared" si="4"/>
        <v>2816</v>
      </c>
      <c r="W61" s="53">
        <v>6</v>
      </c>
      <c r="X61" s="127" t="s">
        <v>39</v>
      </c>
      <c r="Y61" s="53" t="s">
        <v>90</v>
      </c>
      <c r="Z61" s="53" t="s">
        <v>84</v>
      </c>
      <c r="AA61" s="53" t="s">
        <v>50</v>
      </c>
      <c r="AB61" s="127" t="s">
        <v>237</v>
      </c>
      <c r="AC61" s="34"/>
    </row>
    <row r="62" spans="1:29" x14ac:dyDescent="0.15">
      <c r="A62" s="127" t="s">
        <v>61</v>
      </c>
      <c r="B62" s="127" t="s">
        <v>233</v>
      </c>
      <c r="C62" s="127">
        <v>2019</v>
      </c>
      <c r="D62" s="128" t="s">
        <v>284</v>
      </c>
      <c r="E62" s="127" t="s">
        <v>296</v>
      </c>
      <c r="F62" s="127" t="s">
        <v>297</v>
      </c>
      <c r="G62" s="127" t="s">
        <v>42</v>
      </c>
      <c r="H62" s="53" t="s">
        <v>160</v>
      </c>
      <c r="I62" s="53" t="s">
        <v>159</v>
      </c>
      <c r="J62" s="127" t="s">
        <v>38</v>
      </c>
      <c r="K62" s="53" t="s">
        <v>161</v>
      </c>
      <c r="L62" s="53">
        <v>1</v>
      </c>
      <c r="N62" s="53">
        <v>1</v>
      </c>
      <c r="O62" s="53">
        <v>0.5</v>
      </c>
      <c r="P62" s="53">
        <v>0.85</v>
      </c>
      <c r="Q62" s="75">
        <f t="shared" si="3"/>
        <v>0.67500000000000004</v>
      </c>
      <c r="R62" s="53">
        <v>20.9</v>
      </c>
      <c r="S62" s="53">
        <v>144</v>
      </c>
      <c r="T62" s="16">
        <f t="shared" si="1"/>
        <v>22</v>
      </c>
      <c r="U62" s="53">
        <v>138</v>
      </c>
      <c r="V62" s="129">
        <f t="shared" si="4"/>
        <v>3036</v>
      </c>
      <c r="W62" s="53">
        <v>6</v>
      </c>
      <c r="X62" s="127" t="s">
        <v>39</v>
      </c>
      <c r="Y62" s="53" t="s">
        <v>90</v>
      </c>
      <c r="Z62" s="53" t="s">
        <v>84</v>
      </c>
      <c r="AA62" s="53" t="s">
        <v>50</v>
      </c>
      <c r="AB62" s="127" t="s">
        <v>237</v>
      </c>
      <c r="AC62" s="34"/>
    </row>
    <row r="63" spans="1:29" x14ac:dyDescent="0.15">
      <c r="A63" s="127" t="s">
        <v>61</v>
      </c>
      <c r="B63" s="127" t="s">
        <v>233</v>
      </c>
      <c r="C63" s="127">
        <v>2019</v>
      </c>
      <c r="D63" s="128" t="s">
        <v>284</v>
      </c>
      <c r="E63" s="127" t="s">
        <v>296</v>
      </c>
      <c r="F63" s="127" t="s">
        <v>297</v>
      </c>
      <c r="G63" s="127" t="s">
        <v>42</v>
      </c>
      <c r="H63" s="53" t="s">
        <v>160</v>
      </c>
      <c r="I63" s="53" t="s">
        <v>159</v>
      </c>
      <c r="J63" s="127" t="s">
        <v>38</v>
      </c>
      <c r="K63" s="53" t="s">
        <v>161</v>
      </c>
      <c r="L63" s="53">
        <v>2</v>
      </c>
      <c r="N63" s="53">
        <v>1</v>
      </c>
      <c r="O63" s="53">
        <v>0.5</v>
      </c>
      <c r="P63" s="53">
        <v>0.75</v>
      </c>
      <c r="Q63" s="75">
        <f t="shared" si="3"/>
        <v>0.625</v>
      </c>
      <c r="R63" s="53">
        <v>13.8</v>
      </c>
      <c r="S63" s="53">
        <v>143</v>
      </c>
      <c r="T63" s="16">
        <f t="shared" si="1"/>
        <v>22</v>
      </c>
      <c r="U63" s="53">
        <v>138</v>
      </c>
      <c r="V63" s="129">
        <f t="shared" si="4"/>
        <v>3036</v>
      </c>
      <c r="W63" s="53">
        <v>6</v>
      </c>
      <c r="X63" s="127" t="s">
        <v>39</v>
      </c>
      <c r="Y63" s="53" t="s">
        <v>90</v>
      </c>
      <c r="Z63" s="53" t="s">
        <v>84</v>
      </c>
      <c r="AA63" s="53" t="s">
        <v>50</v>
      </c>
      <c r="AB63" s="127" t="s">
        <v>237</v>
      </c>
      <c r="AC63" s="34"/>
    </row>
    <row r="64" spans="1:29" x14ac:dyDescent="0.15">
      <c r="A64" s="127" t="s">
        <v>61</v>
      </c>
      <c r="B64" s="127" t="s">
        <v>233</v>
      </c>
      <c r="C64" s="127">
        <v>2019</v>
      </c>
      <c r="D64" s="128" t="s">
        <v>284</v>
      </c>
      <c r="E64" s="127" t="s">
        <v>296</v>
      </c>
      <c r="F64" s="127" t="s">
        <v>297</v>
      </c>
      <c r="G64" s="127" t="s">
        <v>42</v>
      </c>
      <c r="H64" s="53" t="s">
        <v>160</v>
      </c>
      <c r="I64" s="53" t="s">
        <v>159</v>
      </c>
      <c r="J64" s="127" t="s">
        <v>38</v>
      </c>
      <c r="K64" s="53" t="s">
        <v>161</v>
      </c>
      <c r="L64" s="53">
        <v>3</v>
      </c>
      <c r="N64" s="53">
        <v>1</v>
      </c>
      <c r="O64" s="53">
        <v>0.5</v>
      </c>
      <c r="P64" s="53">
        <v>0.75</v>
      </c>
      <c r="Q64" s="75">
        <f t="shared" si="3"/>
        <v>0.625</v>
      </c>
      <c r="R64" s="53">
        <v>14.9</v>
      </c>
      <c r="S64" s="53">
        <v>136</v>
      </c>
      <c r="T64" s="16">
        <f t="shared" si="1"/>
        <v>25</v>
      </c>
      <c r="U64" s="53">
        <v>138</v>
      </c>
      <c r="V64" s="129">
        <f t="shared" si="4"/>
        <v>3450</v>
      </c>
      <c r="W64" s="53">
        <v>6</v>
      </c>
      <c r="X64" s="127" t="s">
        <v>39</v>
      </c>
      <c r="Y64" s="53" t="s">
        <v>90</v>
      </c>
      <c r="Z64" s="53" t="s">
        <v>84</v>
      </c>
      <c r="AA64" s="53" t="s">
        <v>50</v>
      </c>
      <c r="AB64" s="127" t="s">
        <v>237</v>
      </c>
      <c r="AC64" s="34"/>
    </row>
    <row r="65" spans="1:29" x14ac:dyDescent="0.15">
      <c r="A65" s="127" t="s">
        <v>61</v>
      </c>
      <c r="B65" s="127" t="s">
        <v>233</v>
      </c>
      <c r="C65" s="127">
        <v>2019</v>
      </c>
      <c r="D65" s="128" t="s">
        <v>284</v>
      </c>
      <c r="E65" s="127" t="s">
        <v>296</v>
      </c>
      <c r="F65" s="127" t="s">
        <v>297</v>
      </c>
      <c r="G65" s="127" t="s">
        <v>42</v>
      </c>
      <c r="H65" s="53" t="s">
        <v>164</v>
      </c>
      <c r="I65" s="53" t="s">
        <v>165</v>
      </c>
      <c r="J65" s="127" t="s">
        <v>38</v>
      </c>
      <c r="K65" s="53" t="s">
        <v>161</v>
      </c>
      <c r="L65" s="53">
        <v>1</v>
      </c>
      <c r="N65" s="53">
        <v>5</v>
      </c>
      <c r="O65" s="53">
        <v>0.75</v>
      </c>
      <c r="P65" s="53">
        <v>0.5</v>
      </c>
      <c r="Q65" s="75">
        <f t="shared" si="3"/>
        <v>0.625</v>
      </c>
      <c r="R65" s="53">
        <v>14</v>
      </c>
      <c r="S65" s="53">
        <v>74</v>
      </c>
      <c r="T65" s="16">
        <f t="shared" si="1"/>
        <v>42</v>
      </c>
      <c r="U65" s="53">
        <v>398</v>
      </c>
      <c r="V65" s="129">
        <f t="shared" si="4"/>
        <v>3343.2</v>
      </c>
      <c r="W65" s="53">
        <v>6</v>
      </c>
      <c r="X65" s="127" t="s">
        <v>39</v>
      </c>
      <c r="Y65" s="53" t="s">
        <v>90</v>
      </c>
      <c r="Z65" s="53" t="s">
        <v>84</v>
      </c>
      <c r="AA65" s="53" t="s">
        <v>50</v>
      </c>
      <c r="AB65" s="127" t="s">
        <v>237</v>
      </c>
      <c r="AC65" s="34"/>
    </row>
    <row r="66" spans="1:29" x14ac:dyDescent="0.15">
      <c r="A66" s="127" t="s">
        <v>61</v>
      </c>
      <c r="B66" s="127" t="s">
        <v>233</v>
      </c>
      <c r="C66" s="127">
        <v>2019</v>
      </c>
      <c r="D66" s="128" t="s">
        <v>284</v>
      </c>
      <c r="E66" s="127" t="s">
        <v>296</v>
      </c>
      <c r="F66" s="127" t="s">
        <v>297</v>
      </c>
      <c r="G66" s="127" t="s">
        <v>42</v>
      </c>
      <c r="H66" s="53" t="s">
        <v>164</v>
      </c>
      <c r="I66" s="53" t="s">
        <v>165</v>
      </c>
      <c r="J66" s="127" t="s">
        <v>38</v>
      </c>
      <c r="K66" s="53" t="s">
        <v>161</v>
      </c>
      <c r="L66" s="53">
        <v>2</v>
      </c>
      <c r="N66" s="53">
        <v>5</v>
      </c>
      <c r="O66" s="53">
        <v>0.5</v>
      </c>
      <c r="P66" s="53">
        <v>0.5</v>
      </c>
      <c r="Q66" s="75">
        <f t="shared" si="3"/>
        <v>0.5</v>
      </c>
      <c r="R66" s="53">
        <v>14.9</v>
      </c>
      <c r="S66" s="53">
        <v>76</v>
      </c>
      <c r="T66" s="16">
        <f t="shared" ref="T66:T79" si="5">IF(H66="","",IF(OR(H66="GREEN",H66="GK"),IF(S66&gt;=$AX$2,VLOOKUP(S66,$AX$2:$AY$15,2,1),""),IF(S66&gt;=$AZ$2,VLOOKUP(S66,$AZ$2:$BA$15,2,1),"")))</f>
        <v>39</v>
      </c>
      <c r="U66" s="53">
        <v>398</v>
      </c>
      <c r="V66" s="129">
        <f t="shared" si="4"/>
        <v>3104.3999999999996</v>
      </c>
      <c r="W66" s="53">
        <v>6</v>
      </c>
      <c r="X66" s="127" t="s">
        <v>39</v>
      </c>
      <c r="Y66" s="53" t="s">
        <v>90</v>
      </c>
      <c r="Z66" s="53" t="s">
        <v>84</v>
      </c>
      <c r="AA66" s="53" t="s">
        <v>50</v>
      </c>
      <c r="AB66" s="127" t="s">
        <v>237</v>
      </c>
      <c r="AC66" s="34"/>
    </row>
    <row r="67" spans="1:29" x14ac:dyDescent="0.15">
      <c r="A67" s="127" t="s">
        <v>61</v>
      </c>
      <c r="B67" s="127" t="s">
        <v>233</v>
      </c>
      <c r="C67" s="127">
        <v>2019</v>
      </c>
      <c r="D67" s="128" t="s">
        <v>284</v>
      </c>
      <c r="E67" s="127" t="s">
        <v>296</v>
      </c>
      <c r="F67" s="127" t="s">
        <v>297</v>
      </c>
      <c r="G67" s="127" t="s">
        <v>42</v>
      </c>
      <c r="H67" s="53" t="s">
        <v>164</v>
      </c>
      <c r="I67" s="53" t="s">
        <v>165</v>
      </c>
      <c r="J67" s="127" t="s">
        <v>38</v>
      </c>
      <c r="K67" s="53" t="s">
        <v>161</v>
      </c>
      <c r="L67" s="53">
        <v>3</v>
      </c>
      <c r="N67" s="53">
        <v>5</v>
      </c>
      <c r="O67" s="53">
        <v>0.75</v>
      </c>
      <c r="P67" s="53">
        <v>0.5</v>
      </c>
      <c r="Q67" s="75">
        <f t="shared" si="3"/>
        <v>0.625</v>
      </c>
      <c r="R67" s="53">
        <v>13.6</v>
      </c>
      <c r="S67" s="53">
        <v>75</v>
      </c>
      <c r="T67" s="16">
        <f t="shared" si="5"/>
        <v>42</v>
      </c>
      <c r="U67" s="53">
        <v>398</v>
      </c>
      <c r="V67" s="129">
        <f t="shared" si="4"/>
        <v>3343.2</v>
      </c>
      <c r="W67" s="53">
        <v>6</v>
      </c>
      <c r="X67" s="127" t="s">
        <v>39</v>
      </c>
      <c r="Y67" s="53" t="s">
        <v>90</v>
      </c>
      <c r="Z67" s="53" t="s">
        <v>84</v>
      </c>
      <c r="AA67" s="53" t="s">
        <v>50</v>
      </c>
      <c r="AB67" s="127" t="s">
        <v>237</v>
      </c>
      <c r="AC67" s="34"/>
    </row>
    <row r="68" spans="1:29" x14ac:dyDescent="0.15">
      <c r="A68" s="127" t="s">
        <v>61</v>
      </c>
      <c r="B68" s="127" t="s">
        <v>233</v>
      </c>
      <c r="C68" s="127">
        <v>2019</v>
      </c>
      <c r="D68" s="128" t="s">
        <v>284</v>
      </c>
      <c r="E68" s="127" t="s">
        <v>298</v>
      </c>
      <c r="F68" s="127" t="s">
        <v>297</v>
      </c>
      <c r="G68" s="127" t="s">
        <v>42</v>
      </c>
      <c r="H68" s="53" t="s">
        <v>164</v>
      </c>
      <c r="I68" s="53" t="s">
        <v>159</v>
      </c>
      <c r="J68" s="127" t="s">
        <v>38</v>
      </c>
      <c r="K68" s="53" t="s">
        <v>161</v>
      </c>
      <c r="L68" s="53">
        <v>1</v>
      </c>
      <c r="N68" s="53">
        <v>1</v>
      </c>
      <c r="O68" s="53">
        <v>0.5</v>
      </c>
      <c r="P68" s="53">
        <v>0.5</v>
      </c>
      <c r="Q68" s="75">
        <f t="shared" si="3"/>
        <v>0.5</v>
      </c>
      <c r="R68" s="53">
        <v>11.9</v>
      </c>
      <c r="S68" s="53">
        <v>123</v>
      </c>
      <c r="T68" s="16">
        <f t="shared" si="5"/>
        <v>27</v>
      </c>
      <c r="U68" s="53">
        <v>159</v>
      </c>
      <c r="V68" s="129">
        <f t="shared" si="4"/>
        <v>4293</v>
      </c>
      <c r="W68" s="53">
        <v>12</v>
      </c>
      <c r="X68" s="127" t="s">
        <v>46</v>
      </c>
      <c r="Y68" s="53" t="s">
        <v>90</v>
      </c>
      <c r="Z68" s="53" t="s">
        <v>84</v>
      </c>
      <c r="AA68" s="53" t="s">
        <v>69</v>
      </c>
      <c r="AB68" s="127" t="s">
        <v>237</v>
      </c>
      <c r="AC68" s="34"/>
    </row>
    <row r="69" spans="1:29" x14ac:dyDescent="0.15">
      <c r="A69" s="127" t="s">
        <v>61</v>
      </c>
      <c r="B69" s="127" t="s">
        <v>233</v>
      </c>
      <c r="C69" s="127">
        <v>2019</v>
      </c>
      <c r="D69" s="128" t="s">
        <v>284</v>
      </c>
      <c r="E69" s="127" t="s">
        <v>298</v>
      </c>
      <c r="F69" s="127" t="s">
        <v>297</v>
      </c>
      <c r="G69" s="127" t="s">
        <v>42</v>
      </c>
      <c r="H69" s="53" t="s">
        <v>164</v>
      </c>
      <c r="I69" s="53" t="s">
        <v>159</v>
      </c>
      <c r="J69" s="127" t="s">
        <v>38</v>
      </c>
      <c r="K69" s="53" t="s">
        <v>161</v>
      </c>
      <c r="L69" s="53">
        <v>2</v>
      </c>
      <c r="N69" s="53">
        <v>1</v>
      </c>
      <c r="O69" s="53">
        <v>0.5</v>
      </c>
      <c r="P69" s="53">
        <v>0.85</v>
      </c>
      <c r="Q69" s="75">
        <f t="shared" si="3"/>
        <v>0.67500000000000004</v>
      </c>
      <c r="R69" s="53">
        <v>12.1</v>
      </c>
      <c r="S69" s="53">
        <v>120</v>
      </c>
      <c r="T69" s="16">
        <f t="shared" si="5"/>
        <v>39</v>
      </c>
      <c r="U69" s="53">
        <v>159</v>
      </c>
      <c r="V69" s="129">
        <f t="shared" si="4"/>
        <v>6201</v>
      </c>
      <c r="W69" s="53">
        <v>12</v>
      </c>
      <c r="X69" s="127" t="s">
        <v>46</v>
      </c>
      <c r="Y69" s="53" t="s">
        <v>90</v>
      </c>
      <c r="Z69" s="53" t="s">
        <v>84</v>
      </c>
      <c r="AA69" s="53" t="s">
        <v>69</v>
      </c>
      <c r="AB69" s="127" t="s">
        <v>237</v>
      </c>
      <c r="AC69" s="34"/>
    </row>
    <row r="70" spans="1:29" x14ac:dyDescent="0.15">
      <c r="A70" s="127" t="s">
        <v>61</v>
      </c>
      <c r="B70" s="127" t="s">
        <v>233</v>
      </c>
      <c r="C70" s="127">
        <v>2019</v>
      </c>
      <c r="D70" s="128" t="s">
        <v>284</v>
      </c>
      <c r="E70" s="127" t="s">
        <v>298</v>
      </c>
      <c r="F70" s="127" t="s">
        <v>297</v>
      </c>
      <c r="G70" s="127" t="s">
        <v>42</v>
      </c>
      <c r="H70" s="53" t="s">
        <v>164</v>
      </c>
      <c r="I70" s="53" t="s">
        <v>159</v>
      </c>
      <c r="J70" s="127" t="s">
        <v>38</v>
      </c>
      <c r="K70" s="53" t="s">
        <v>161</v>
      </c>
      <c r="L70" s="53">
        <v>3</v>
      </c>
      <c r="N70" s="53">
        <v>1</v>
      </c>
      <c r="O70" s="53">
        <v>0.5</v>
      </c>
      <c r="P70" s="53">
        <v>0.5</v>
      </c>
      <c r="Q70" s="75">
        <f t="shared" si="3"/>
        <v>0.5</v>
      </c>
      <c r="R70" s="53">
        <v>11.3</v>
      </c>
      <c r="S70" s="53">
        <v>120</v>
      </c>
      <c r="T70" s="16">
        <f t="shared" si="5"/>
        <v>39</v>
      </c>
      <c r="U70" s="53">
        <v>159</v>
      </c>
      <c r="V70" s="129">
        <f t="shared" si="4"/>
        <v>6201</v>
      </c>
      <c r="W70" s="53">
        <v>12</v>
      </c>
      <c r="X70" s="127" t="s">
        <v>46</v>
      </c>
      <c r="Y70" s="53" t="s">
        <v>90</v>
      </c>
      <c r="Z70" s="53" t="s">
        <v>84</v>
      </c>
      <c r="AA70" s="53" t="s">
        <v>69</v>
      </c>
      <c r="AB70" s="127" t="s">
        <v>237</v>
      </c>
      <c r="AC70" s="34"/>
    </row>
    <row r="71" spans="1:29" x14ac:dyDescent="0.15">
      <c r="A71" s="127" t="s">
        <v>61</v>
      </c>
      <c r="B71" s="127" t="s">
        <v>233</v>
      </c>
      <c r="C71" s="127">
        <v>2019</v>
      </c>
      <c r="D71" s="128" t="s">
        <v>284</v>
      </c>
      <c r="E71" s="127" t="s">
        <v>298</v>
      </c>
      <c r="F71" s="127" t="s">
        <v>297</v>
      </c>
      <c r="G71" s="127" t="s">
        <v>42</v>
      </c>
      <c r="H71" s="53" t="s">
        <v>160</v>
      </c>
      <c r="I71" s="53" t="s">
        <v>159</v>
      </c>
      <c r="J71" s="127" t="s">
        <v>38</v>
      </c>
      <c r="K71" s="53" t="s">
        <v>161</v>
      </c>
      <c r="L71" s="53">
        <v>1</v>
      </c>
      <c r="N71" s="53">
        <v>3</v>
      </c>
      <c r="O71" s="53">
        <v>0.5</v>
      </c>
      <c r="P71" s="53">
        <v>0.5</v>
      </c>
      <c r="Q71" s="75">
        <f t="shared" si="3"/>
        <v>0.5</v>
      </c>
      <c r="R71" s="53">
        <v>13.7</v>
      </c>
      <c r="S71" s="53">
        <v>112</v>
      </c>
      <c r="T71" s="16">
        <f t="shared" si="5"/>
        <v>39</v>
      </c>
      <c r="U71" s="53">
        <v>429</v>
      </c>
      <c r="V71" s="129">
        <f t="shared" si="4"/>
        <v>5577</v>
      </c>
      <c r="W71" s="53">
        <v>12</v>
      </c>
      <c r="X71" s="127" t="s">
        <v>46</v>
      </c>
      <c r="Y71" s="53" t="s">
        <v>90</v>
      </c>
      <c r="Z71" s="53" t="s">
        <v>84</v>
      </c>
      <c r="AA71" s="53" t="s">
        <v>69</v>
      </c>
      <c r="AB71" s="127" t="s">
        <v>237</v>
      </c>
    </row>
    <row r="72" spans="1:29" x14ac:dyDescent="0.15">
      <c r="A72" s="127" t="s">
        <v>61</v>
      </c>
      <c r="B72" s="127" t="s">
        <v>233</v>
      </c>
      <c r="C72" s="127">
        <v>2019</v>
      </c>
      <c r="D72" s="128" t="s">
        <v>284</v>
      </c>
      <c r="E72" s="127" t="s">
        <v>298</v>
      </c>
      <c r="F72" s="127" t="s">
        <v>297</v>
      </c>
      <c r="G72" s="127" t="s">
        <v>42</v>
      </c>
      <c r="H72" s="53" t="s">
        <v>160</v>
      </c>
      <c r="I72" s="53" t="s">
        <v>159</v>
      </c>
      <c r="J72" s="127" t="s">
        <v>38</v>
      </c>
      <c r="K72" s="53" t="s">
        <v>161</v>
      </c>
      <c r="L72" s="53">
        <v>2</v>
      </c>
      <c r="N72" s="53">
        <v>3</v>
      </c>
      <c r="O72" s="53">
        <v>0.5</v>
      </c>
      <c r="P72" s="53">
        <v>0.5</v>
      </c>
      <c r="Q72" s="75">
        <f t="shared" si="3"/>
        <v>0.5</v>
      </c>
      <c r="R72" s="53">
        <v>14.2</v>
      </c>
      <c r="S72" s="53">
        <v>107</v>
      </c>
      <c r="T72" s="16">
        <f t="shared" si="5"/>
        <v>39</v>
      </c>
      <c r="U72" s="53">
        <v>429</v>
      </c>
      <c r="V72" s="129">
        <f t="shared" si="4"/>
        <v>5577</v>
      </c>
      <c r="W72" s="53">
        <v>12</v>
      </c>
      <c r="X72" s="127" t="s">
        <v>46</v>
      </c>
      <c r="Y72" s="53" t="s">
        <v>90</v>
      </c>
      <c r="Z72" s="53" t="s">
        <v>84</v>
      </c>
      <c r="AA72" s="53" t="s">
        <v>69</v>
      </c>
      <c r="AB72" s="127" t="s">
        <v>237</v>
      </c>
    </row>
    <row r="73" spans="1:29" x14ac:dyDescent="0.15">
      <c r="A73" s="127" t="s">
        <v>61</v>
      </c>
      <c r="B73" s="127" t="s">
        <v>233</v>
      </c>
      <c r="C73" s="127">
        <v>2019</v>
      </c>
      <c r="D73" s="128" t="s">
        <v>284</v>
      </c>
      <c r="E73" s="127" t="s">
        <v>298</v>
      </c>
      <c r="F73" s="127" t="s">
        <v>297</v>
      </c>
      <c r="G73" s="127" t="s">
        <v>42</v>
      </c>
      <c r="H73" s="53" t="s">
        <v>160</v>
      </c>
      <c r="I73" s="53" t="s">
        <v>159</v>
      </c>
      <c r="J73" s="127" t="s">
        <v>38</v>
      </c>
      <c r="K73" s="53" t="s">
        <v>161</v>
      </c>
      <c r="L73" s="53">
        <v>3</v>
      </c>
      <c r="N73" s="53">
        <v>3</v>
      </c>
      <c r="O73" s="53">
        <v>0.5</v>
      </c>
      <c r="P73" s="53">
        <v>0.5</v>
      </c>
      <c r="Q73" s="75">
        <f t="shared" si="3"/>
        <v>0.5</v>
      </c>
      <c r="R73" s="53">
        <v>13.8</v>
      </c>
      <c r="S73" s="53">
        <v>108</v>
      </c>
      <c r="T73" s="16">
        <f t="shared" si="5"/>
        <v>39</v>
      </c>
      <c r="U73" s="53">
        <v>429</v>
      </c>
      <c r="V73" s="129">
        <f t="shared" si="4"/>
        <v>5577</v>
      </c>
      <c r="W73" s="53">
        <v>12</v>
      </c>
      <c r="X73" s="127" t="s">
        <v>46</v>
      </c>
      <c r="Y73" s="53" t="s">
        <v>90</v>
      </c>
      <c r="Z73" s="53" t="s">
        <v>84</v>
      </c>
      <c r="AA73" s="53" t="s">
        <v>69</v>
      </c>
      <c r="AB73" s="127" t="s">
        <v>237</v>
      </c>
    </row>
    <row r="74" spans="1:29" x14ac:dyDescent="0.15">
      <c r="A74" s="127" t="s">
        <v>61</v>
      </c>
      <c r="B74" s="127" t="s">
        <v>233</v>
      </c>
      <c r="C74" s="127">
        <v>2019</v>
      </c>
      <c r="D74" s="128" t="s">
        <v>284</v>
      </c>
      <c r="E74" s="127" t="s">
        <v>298</v>
      </c>
      <c r="F74" s="127" t="s">
        <v>297</v>
      </c>
      <c r="G74" s="127" t="s">
        <v>42</v>
      </c>
      <c r="H74" s="53" t="s">
        <v>127</v>
      </c>
      <c r="I74" s="53" t="s">
        <v>159</v>
      </c>
      <c r="J74" s="127" t="s">
        <v>58</v>
      </c>
      <c r="K74" s="53" t="s">
        <v>59</v>
      </c>
      <c r="L74" s="53">
        <v>1</v>
      </c>
      <c r="N74" s="53">
        <v>5</v>
      </c>
      <c r="O74" s="53">
        <v>0.5</v>
      </c>
      <c r="P74" s="53">
        <v>0.6</v>
      </c>
      <c r="Q74" s="75">
        <f t="shared" si="3"/>
        <v>0.55000000000000004</v>
      </c>
      <c r="R74" s="53">
        <v>12.1</v>
      </c>
      <c r="S74" s="53">
        <v>58</v>
      </c>
      <c r="T74" s="16">
        <f t="shared" si="5"/>
        <v>50</v>
      </c>
      <c r="U74" s="53">
        <v>429</v>
      </c>
      <c r="V74" s="129">
        <f t="shared" si="4"/>
        <v>4290</v>
      </c>
      <c r="W74" s="53">
        <v>12</v>
      </c>
      <c r="X74" s="127" t="s">
        <v>46</v>
      </c>
      <c r="Y74" s="53" t="s">
        <v>90</v>
      </c>
      <c r="Z74" s="53" t="s">
        <v>84</v>
      </c>
      <c r="AA74" s="53" t="s">
        <v>69</v>
      </c>
      <c r="AB74" s="127" t="s">
        <v>237</v>
      </c>
      <c r="AC74" s="34"/>
    </row>
    <row r="75" spans="1:29" x14ac:dyDescent="0.15">
      <c r="A75" s="127" t="s">
        <v>61</v>
      </c>
      <c r="B75" s="127" t="s">
        <v>233</v>
      </c>
      <c r="C75" s="127">
        <v>2019</v>
      </c>
      <c r="D75" s="128" t="s">
        <v>284</v>
      </c>
      <c r="E75" s="127" t="s">
        <v>298</v>
      </c>
      <c r="F75" s="127" t="s">
        <v>297</v>
      </c>
      <c r="G75" s="127" t="s">
        <v>42</v>
      </c>
      <c r="H75" s="53" t="s">
        <v>127</v>
      </c>
      <c r="I75" s="53" t="s">
        <v>159</v>
      </c>
      <c r="J75" s="127" t="s">
        <v>58</v>
      </c>
      <c r="K75" s="53" t="s">
        <v>59</v>
      </c>
      <c r="L75" s="53">
        <v>2</v>
      </c>
      <c r="N75" s="53">
        <v>5</v>
      </c>
      <c r="O75" s="53">
        <v>0.5</v>
      </c>
      <c r="P75" s="53">
        <v>0.5</v>
      </c>
      <c r="Q75" s="75">
        <f t="shared" si="3"/>
        <v>0.5</v>
      </c>
      <c r="R75" s="53">
        <v>12</v>
      </c>
      <c r="S75" s="53">
        <v>62</v>
      </c>
      <c r="T75" s="16">
        <f t="shared" si="5"/>
        <v>50</v>
      </c>
      <c r="U75" s="53">
        <v>429</v>
      </c>
      <c r="V75" s="129">
        <f t="shared" si="4"/>
        <v>4290</v>
      </c>
      <c r="W75" s="53">
        <v>12</v>
      </c>
      <c r="X75" s="127" t="s">
        <v>46</v>
      </c>
      <c r="Y75" s="53" t="s">
        <v>90</v>
      </c>
      <c r="Z75" s="53" t="s">
        <v>84</v>
      </c>
      <c r="AA75" s="53" t="s">
        <v>69</v>
      </c>
      <c r="AB75" s="127" t="s">
        <v>237</v>
      </c>
      <c r="AC75" s="34"/>
    </row>
    <row r="76" spans="1:29" x14ac:dyDescent="0.15">
      <c r="A76" s="127" t="s">
        <v>61</v>
      </c>
      <c r="B76" s="127" t="s">
        <v>233</v>
      </c>
      <c r="C76" s="127">
        <v>2019</v>
      </c>
      <c r="D76" s="128" t="s">
        <v>284</v>
      </c>
      <c r="E76" s="127" t="s">
        <v>298</v>
      </c>
      <c r="F76" s="127" t="s">
        <v>297</v>
      </c>
      <c r="G76" s="127" t="s">
        <v>42</v>
      </c>
      <c r="H76" s="53" t="s">
        <v>127</v>
      </c>
      <c r="I76" s="53" t="s">
        <v>159</v>
      </c>
      <c r="J76" s="127" t="s">
        <v>58</v>
      </c>
      <c r="K76" s="53" t="s">
        <v>59</v>
      </c>
      <c r="L76" s="53">
        <v>3</v>
      </c>
      <c r="N76" s="53">
        <v>5</v>
      </c>
      <c r="O76" s="53">
        <v>0.5</v>
      </c>
      <c r="P76" s="53">
        <v>0.5</v>
      </c>
      <c r="Q76" s="75">
        <f t="shared" si="3"/>
        <v>0.5</v>
      </c>
      <c r="R76" s="53">
        <v>10.6</v>
      </c>
      <c r="S76" s="53">
        <v>56</v>
      </c>
      <c r="T76" s="16">
        <f t="shared" si="5"/>
        <v>50</v>
      </c>
      <c r="U76" s="53">
        <v>429</v>
      </c>
      <c r="V76" s="129">
        <f t="shared" si="4"/>
        <v>4290</v>
      </c>
      <c r="W76" s="53">
        <v>12</v>
      </c>
      <c r="X76" s="127" t="s">
        <v>46</v>
      </c>
      <c r="Y76" s="53" t="s">
        <v>90</v>
      </c>
      <c r="Z76" s="53" t="s">
        <v>84</v>
      </c>
      <c r="AA76" s="53" t="s">
        <v>69</v>
      </c>
      <c r="AB76" s="127" t="s">
        <v>237</v>
      </c>
      <c r="AC76" s="34"/>
    </row>
    <row r="77" spans="1:29" x14ac:dyDescent="0.15">
      <c r="A77" s="127"/>
      <c r="B77" s="127"/>
      <c r="C77" s="127"/>
      <c r="D77" s="128"/>
      <c r="F77" s="127"/>
      <c r="G77" s="127"/>
      <c r="J77" s="127"/>
      <c r="Q77" s="75" t="str">
        <f t="shared" si="3"/>
        <v/>
      </c>
      <c r="T77" s="16" t="str">
        <f t="shared" si="5"/>
        <v/>
      </c>
      <c r="V77" s="129" t="str">
        <f t="shared" si="4"/>
        <v/>
      </c>
      <c r="X77" s="127"/>
      <c r="AB77" s="127"/>
      <c r="AC77" s="34"/>
    </row>
    <row r="78" spans="1:29" x14ac:dyDescent="0.15">
      <c r="A78" s="127"/>
      <c r="B78" s="127"/>
      <c r="C78" s="127"/>
      <c r="D78" s="128"/>
      <c r="F78" s="127"/>
      <c r="G78" s="127"/>
      <c r="J78" s="127"/>
      <c r="Q78" s="75" t="str">
        <f t="shared" si="3"/>
        <v/>
      </c>
      <c r="T78" s="16" t="str">
        <f t="shared" si="5"/>
        <v/>
      </c>
      <c r="V78" s="129" t="str">
        <f t="shared" si="4"/>
        <v/>
      </c>
      <c r="X78" s="127"/>
      <c r="AB78" s="127"/>
      <c r="AC78" s="34"/>
    </row>
    <row r="79" spans="1:29" x14ac:dyDescent="0.15">
      <c r="A79" s="127"/>
      <c r="B79" s="127"/>
      <c r="C79" s="127"/>
      <c r="D79" s="128"/>
      <c r="G79" s="127"/>
      <c r="J79" s="127"/>
      <c r="Q79" s="75" t="str">
        <f t="shared" si="3"/>
        <v/>
      </c>
      <c r="T79" s="16" t="str">
        <f t="shared" si="5"/>
        <v/>
      </c>
      <c r="V79" s="129" t="str">
        <f t="shared" si="4"/>
        <v/>
      </c>
      <c r="X79" s="127"/>
      <c r="AB79" s="127"/>
      <c r="AC79" s="34"/>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t="str">
        <f>IF(OR(O83="",P83=""),"",AVERAGE(O83,P83))</f>
        <v/>
      </c>
      <c r="T83" s="16" t="str">
        <f>IF(H83="","",IF(OR(H83="GREEN",H83="GK"),IF(S83&gt;=$AX$2,VLOOKUP(S83,$AX$2:$AY$15,2,1),""),IF(S83&gt;=$AZ$2,VLOOKUP(S83,$AZ$2:$BA$15,2,1),"")))</f>
        <v/>
      </c>
      <c r="V83" s="129" t="str">
        <f t="shared" ref="V83:V85" si="6">IF(OR(N83="",U83="",T83=""),"",U83/N83*T83)</f>
        <v/>
      </c>
      <c r="X83" s="127"/>
      <c r="AB83" s="127"/>
    </row>
    <row r="84" spans="1:28" x14ac:dyDescent="0.15">
      <c r="A84" s="127"/>
      <c r="B84" s="127"/>
      <c r="C84" s="127"/>
      <c r="D84" s="128"/>
      <c r="G84" s="127"/>
      <c r="J84" s="127"/>
      <c r="Q84" s="75" t="str">
        <f>IF(OR(O84="",P84=""),"",AVERAGE(O84,P84))</f>
        <v/>
      </c>
      <c r="T84" s="16" t="str">
        <f>IF(H84="","",IF(OR(H84="GREEN",H84="GK"),IF(S84&gt;=$AX$2,VLOOKUP(S84,$AX$2:$AY$15,2,1),""),IF(S84&gt;=$AZ$2,VLOOKUP(S84,$AZ$2:$BA$15,2,1),"")))</f>
        <v/>
      </c>
      <c r="V84" s="129" t="str">
        <f t="shared" si="6"/>
        <v/>
      </c>
      <c r="X84" s="127"/>
      <c r="AB84" s="127"/>
    </row>
    <row r="85" spans="1:28" x14ac:dyDescent="0.15">
      <c r="A85" s="127"/>
      <c r="B85" s="127"/>
      <c r="C85" s="127"/>
      <c r="D85" s="128"/>
      <c r="G85" s="127"/>
      <c r="J85" s="127"/>
      <c r="Q85" s="75" t="str">
        <f>IF(OR(O85="",P85=""),"",AVERAGE(O85,P85))</f>
        <v/>
      </c>
      <c r="T85" s="16" t="str">
        <f>IF(H85="","",IF(OR(H85="GREEN",H85="GK"),IF(S85&gt;=$AX$2,VLOOKUP(S85,$AX$2:$AY$15,2,1),""),IF(S85&gt;=$AZ$2,VLOOKUP(S85,$AZ$2:$BA$15,2,1),"")))</f>
        <v/>
      </c>
      <c r="V85" s="129" t="str">
        <f t="shared" si="6"/>
        <v/>
      </c>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D101" s="128"/>
    </row>
    <row r="102" spans="1:28" x14ac:dyDescent="0.15">
      <c r="A102" s="127"/>
      <c r="B102" s="127"/>
      <c r="C102" s="127"/>
      <c r="D102" s="128"/>
      <c r="G102" s="127"/>
      <c r="J102" s="127"/>
      <c r="Q102" s="75"/>
      <c r="V102" s="129"/>
      <c r="X102" s="127"/>
      <c r="AB102" s="127"/>
    </row>
    <row r="103" spans="1:28" x14ac:dyDescent="0.15">
      <c r="A103" s="127"/>
      <c r="B103" s="127"/>
      <c r="C103" s="127"/>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A116" s="127"/>
      <c r="B116" s="127"/>
      <c r="C116" s="127"/>
      <c r="D116" s="128"/>
      <c r="G116" s="127"/>
      <c r="J116" s="127"/>
      <c r="Q116" s="75"/>
      <c r="V116" s="129"/>
      <c r="X116" s="127"/>
      <c r="AB116" s="127"/>
    </row>
    <row r="117" spans="1:28" x14ac:dyDescent="0.15">
      <c r="A117" s="127"/>
      <c r="B117" s="127"/>
      <c r="C117" s="127"/>
      <c r="D117" s="128"/>
      <c r="G117" s="127"/>
      <c r="J117" s="127"/>
      <c r="Q117" s="75"/>
      <c r="V117" s="129"/>
      <c r="X117" s="127"/>
      <c r="AB117" s="127"/>
    </row>
    <row r="118" spans="1:28" x14ac:dyDescent="0.15">
      <c r="A118" s="127"/>
      <c r="B118" s="127"/>
      <c r="C118" s="127"/>
      <c r="D118" s="128"/>
      <c r="G118" s="127"/>
      <c r="J118" s="127"/>
      <c r="Q118" s="75"/>
      <c r="V118" s="129"/>
      <c r="X118" s="127"/>
      <c r="AB118" s="127"/>
    </row>
    <row r="119" spans="1:28" x14ac:dyDescent="0.15">
      <c r="D119" s="128"/>
    </row>
    <row r="120" spans="1:28" x14ac:dyDescent="0.15">
      <c r="D120" s="128"/>
    </row>
  </sheetData>
  <autoFilter ref="A1:BA1" xr:uid="{00000000-0009-0000-0000-000004000000}"/>
  <phoneticPr fontId="3"/>
  <dataValidations count="22">
    <dataValidation type="list" allowBlank="1" showInputMessage="1" showErrorMessage="1" sqref="J5:J7" xr:uid="{5FA1ADED-67B9-4CAE-A840-563488805DA1}">
      <formula1>$AP$2:$AP$27</formula1>
    </dataValidation>
    <dataValidation type="list" allowBlank="1" showInputMessage="1" showErrorMessage="1" sqref="K5:K7" xr:uid="{2028022E-2593-4A82-AABD-E471B28A467D}">
      <formula1>$AR$2:$AR$26</formula1>
    </dataValidation>
    <dataValidation type="list" allowBlank="1" showInputMessage="1" showErrorMessage="1" sqref="K2:K4 K8:K506" xr:uid="{C992C05E-15A1-45AC-BFDB-456D79693EA3}">
      <formula1>$AR$2:$AR$28</formula1>
    </dataValidation>
    <dataValidation type="list" allowBlank="1" showInputMessage="1" showErrorMessage="1" sqref="WVS981811:WVS981900 WLW981811:WLW981900 K64316:K64405 JG64307:JG64396 TC64307:TC64396 ACY64307:ACY64396 AMU64307:AMU64396 AWQ64307:AWQ64396 BGM64307:BGM64396 BQI64307:BQI64396 CAE64307:CAE64396 CKA64307:CKA64396 CTW64307:CTW64396 DDS64307:DDS64396 DNO64307:DNO64396 DXK64307:DXK64396 EHG64307:EHG64396 ERC64307:ERC64396 FAY64307:FAY64396 FKU64307:FKU64396 FUQ64307:FUQ64396 GEM64307:GEM64396 GOI64307:GOI64396 GYE64307:GYE64396 HIA64307:HIA64396 HRW64307:HRW64396 IBS64307:IBS64396 ILO64307:ILO64396 IVK64307:IVK64396 JFG64307:JFG64396 JPC64307:JPC64396 JYY64307:JYY64396 KIU64307:KIU64396 KSQ64307:KSQ64396 LCM64307:LCM64396 LMI64307:LMI64396 LWE64307:LWE64396 MGA64307:MGA64396 MPW64307:MPW64396 MZS64307:MZS64396 NJO64307:NJO64396 NTK64307:NTK64396 ODG64307:ODG64396 ONC64307:ONC64396 OWY64307:OWY64396 PGU64307:PGU64396 PQQ64307:PQQ64396 QAM64307:QAM64396 QKI64307:QKI64396 QUE64307:QUE64396 REA64307:REA64396 RNW64307:RNW64396 RXS64307:RXS64396 SHO64307:SHO64396 SRK64307:SRK64396 TBG64307:TBG64396 TLC64307:TLC64396 TUY64307:TUY64396 UEU64307:UEU64396 UOQ64307:UOQ64396 UYM64307:UYM64396 VII64307:VII64396 VSE64307:VSE64396 WCA64307:WCA64396 WLW64307:WLW64396 WVS64307:WVS64396 K129852:K129941 JG129843:JG129932 TC129843:TC129932 ACY129843:ACY129932 AMU129843:AMU129932 AWQ129843:AWQ129932 BGM129843:BGM129932 BQI129843:BQI129932 CAE129843:CAE129932 CKA129843:CKA129932 CTW129843:CTW129932 DDS129843:DDS129932 DNO129843:DNO129932 DXK129843:DXK129932 EHG129843:EHG129932 ERC129843:ERC129932 FAY129843:FAY129932 FKU129843:FKU129932 FUQ129843:FUQ129932 GEM129843:GEM129932 GOI129843:GOI129932 GYE129843:GYE129932 HIA129843:HIA129932 HRW129843:HRW129932 IBS129843:IBS129932 ILO129843:ILO129932 IVK129843:IVK129932 JFG129843:JFG129932 JPC129843:JPC129932 JYY129843:JYY129932 KIU129843:KIU129932 KSQ129843:KSQ129932 LCM129843:LCM129932 LMI129843:LMI129932 LWE129843:LWE129932 MGA129843:MGA129932 MPW129843:MPW129932 MZS129843:MZS129932 NJO129843:NJO129932 NTK129843:NTK129932 ODG129843:ODG129932 ONC129843:ONC129932 OWY129843:OWY129932 PGU129843:PGU129932 PQQ129843:PQQ129932 QAM129843:QAM129932 QKI129843:QKI129932 QUE129843:QUE129932 REA129843:REA129932 RNW129843:RNW129932 RXS129843:RXS129932 SHO129843:SHO129932 SRK129843:SRK129932 TBG129843:TBG129932 TLC129843:TLC129932 TUY129843:TUY129932 UEU129843:UEU129932 UOQ129843:UOQ129932 UYM129843:UYM129932 VII129843:VII129932 VSE129843:VSE129932 WCA129843:WCA129932 WLW129843:WLW129932 WVS129843:WVS129932 K195388:K195477 JG195379:JG195468 TC195379:TC195468 ACY195379:ACY195468 AMU195379:AMU195468 AWQ195379:AWQ195468 BGM195379:BGM195468 BQI195379:BQI195468 CAE195379:CAE195468 CKA195379:CKA195468 CTW195379:CTW195468 DDS195379:DDS195468 DNO195379:DNO195468 DXK195379:DXK195468 EHG195379:EHG195468 ERC195379:ERC195468 FAY195379:FAY195468 FKU195379:FKU195468 FUQ195379:FUQ195468 GEM195379:GEM195468 GOI195379:GOI195468 GYE195379:GYE195468 HIA195379:HIA195468 HRW195379:HRW195468 IBS195379:IBS195468 ILO195379:ILO195468 IVK195379:IVK195468 JFG195379:JFG195468 JPC195379:JPC195468 JYY195379:JYY195468 KIU195379:KIU195468 KSQ195379:KSQ195468 LCM195379:LCM195468 LMI195379:LMI195468 LWE195379:LWE195468 MGA195379:MGA195468 MPW195379:MPW195468 MZS195379:MZS195468 NJO195379:NJO195468 NTK195379:NTK195468 ODG195379:ODG195468 ONC195379:ONC195468 OWY195379:OWY195468 PGU195379:PGU195468 PQQ195379:PQQ195468 QAM195379:QAM195468 QKI195379:QKI195468 QUE195379:QUE195468 REA195379:REA195468 RNW195379:RNW195468 RXS195379:RXS195468 SHO195379:SHO195468 SRK195379:SRK195468 TBG195379:TBG195468 TLC195379:TLC195468 TUY195379:TUY195468 UEU195379:UEU195468 UOQ195379:UOQ195468 UYM195379:UYM195468 VII195379:VII195468 VSE195379:VSE195468 WCA195379:WCA195468 WLW195379:WLW195468 WVS195379:WVS195468 K260924:K261013 JG260915:JG261004 TC260915:TC261004 ACY260915:ACY261004 AMU260915:AMU261004 AWQ260915:AWQ261004 BGM260915:BGM261004 BQI260915:BQI261004 CAE260915:CAE261004 CKA260915:CKA261004 CTW260915:CTW261004 DDS260915:DDS261004 DNO260915:DNO261004 DXK260915:DXK261004 EHG260915:EHG261004 ERC260915:ERC261004 FAY260915:FAY261004 FKU260915:FKU261004 FUQ260915:FUQ261004 GEM260915:GEM261004 GOI260915:GOI261004 GYE260915:GYE261004 HIA260915:HIA261004 HRW260915:HRW261004 IBS260915:IBS261004 ILO260915:ILO261004 IVK260915:IVK261004 JFG260915:JFG261004 JPC260915:JPC261004 JYY260915:JYY261004 KIU260915:KIU261004 KSQ260915:KSQ261004 LCM260915:LCM261004 LMI260915:LMI261004 LWE260915:LWE261004 MGA260915:MGA261004 MPW260915:MPW261004 MZS260915:MZS261004 NJO260915:NJO261004 NTK260915:NTK261004 ODG260915:ODG261004 ONC260915:ONC261004 OWY260915:OWY261004 PGU260915:PGU261004 PQQ260915:PQQ261004 QAM260915:QAM261004 QKI260915:QKI261004 QUE260915:QUE261004 REA260915:REA261004 RNW260915:RNW261004 RXS260915:RXS261004 SHO260915:SHO261004 SRK260915:SRK261004 TBG260915:TBG261004 TLC260915:TLC261004 TUY260915:TUY261004 UEU260915:UEU261004 UOQ260915:UOQ261004 UYM260915:UYM261004 VII260915:VII261004 VSE260915:VSE261004 WCA260915:WCA261004 WLW260915:WLW261004 WVS260915:WVS261004 K326460:K326549 JG326451:JG326540 TC326451:TC326540 ACY326451:ACY326540 AMU326451:AMU326540 AWQ326451:AWQ326540 BGM326451:BGM326540 BQI326451:BQI326540 CAE326451:CAE326540 CKA326451:CKA326540 CTW326451:CTW326540 DDS326451:DDS326540 DNO326451:DNO326540 DXK326451:DXK326540 EHG326451:EHG326540 ERC326451:ERC326540 FAY326451:FAY326540 FKU326451:FKU326540 FUQ326451:FUQ326540 GEM326451:GEM326540 GOI326451:GOI326540 GYE326451:GYE326540 HIA326451:HIA326540 HRW326451:HRW326540 IBS326451:IBS326540 ILO326451:ILO326540 IVK326451:IVK326540 JFG326451:JFG326540 JPC326451:JPC326540 JYY326451:JYY326540 KIU326451:KIU326540 KSQ326451:KSQ326540 LCM326451:LCM326540 LMI326451:LMI326540 LWE326451:LWE326540 MGA326451:MGA326540 MPW326451:MPW326540 MZS326451:MZS326540 NJO326451:NJO326540 NTK326451:NTK326540 ODG326451:ODG326540 ONC326451:ONC326540 OWY326451:OWY326540 PGU326451:PGU326540 PQQ326451:PQQ326540 QAM326451:QAM326540 QKI326451:QKI326540 QUE326451:QUE326540 REA326451:REA326540 RNW326451:RNW326540 RXS326451:RXS326540 SHO326451:SHO326540 SRK326451:SRK326540 TBG326451:TBG326540 TLC326451:TLC326540 TUY326451:TUY326540 UEU326451:UEU326540 UOQ326451:UOQ326540 UYM326451:UYM326540 VII326451:VII326540 VSE326451:VSE326540 WCA326451:WCA326540 WLW326451:WLW326540 WVS326451:WVS326540 K391996:K392085 JG391987:JG392076 TC391987:TC392076 ACY391987:ACY392076 AMU391987:AMU392076 AWQ391987:AWQ392076 BGM391987:BGM392076 BQI391987:BQI392076 CAE391987:CAE392076 CKA391987:CKA392076 CTW391987:CTW392076 DDS391987:DDS392076 DNO391987:DNO392076 DXK391987:DXK392076 EHG391987:EHG392076 ERC391987:ERC392076 FAY391987:FAY392076 FKU391987:FKU392076 FUQ391987:FUQ392076 GEM391987:GEM392076 GOI391987:GOI392076 GYE391987:GYE392076 HIA391987:HIA392076 HRW391987:HRW392076 IBS391987:IBS392076 ILO391987:ILO392076 IVK391987:IVK392076 JFG391987:JFG392076 JPC391987:JPC392076 JYY391987:JYY392076 KIU391987:KIU392076 KSQ391987:KSQ392076 LCM391987:LCM392076 LMI391987:LMI392076 LWE391987:LWE392076 MGA391987:MGA392076 MPW391987:MPW392076 MZS391987:MZS392076 NJO391987:NJO392076 NTK391987:NTK392076 ODG391987:ODG392076 ONC391987:ONC392076 OWY391987:OWY392076 PGU391987:PGU392076 PQQ391987:PQQ392076 QAM391987:QAM392076 QKI391987:QKI392076 QUE391987:QUE392076 REA391987:REA392076 RNW391987:RNW392076 RXS391987:RXS392076 SHO391987:SHO392076 SRK391987:SRK392076 TBG391987:TBG392076 TLC391987:TLC392076 TUY391987:TUY392076 UEU391987:UEU392076 UOQ391987:UOQ392076 UYM391987:UYM392076 VII391987:VII392076 VSE391987:VSE392076 WCA391987:WCA392076 WLW391987:WLW392076 WVS391987:WVS392076 K457532:K457621 JG457523:JG457612 TC457523:TC457612 ACY457523:ACY457612 AMU457523:AMU457612 AWQ457523:AWQ457612 BGM457523:BGM457612 BQI457523:BQI457612 CAE457523:CAE457612 CKA457523:CKA457612 CTW457523:CTW457612 DDS457523:DDS457612 DNO457523:DNO457612 DXK457523:DXK457612 EHG457523:EHG457612 ERC457523:ERC457612 FAY457523:FAY457612 FKU457523:FKU457612 FUQ457523:FUQ457612 GEM457523:GEM457612 GOI457523:GOI457612 GYE457523:GYE457612 HIA457523:HIA457612 HRW457523:HRW457612 IBS457523:IBS457612 ILO457523:ILO457612 IVK457523:IVK457612 JFG457523:JFG457612 JPC457523:JPC457612 JYY457523:JYY457612 KIU457523:KIU457612 KSQ457523:KSQ457612 LCM457523:LCM457612 LMI457523:LMI457612 LWE457523:LWE457612 MGA457523:MGA457612 MPW457523:MPW457612 MZS457523:MZS457612 NJO457523:NJO457612 NTK457523:NTK457612 ODG457523:ODG457612 ONC457523:ONC457612 OWY457523:OWY457612 PGU457523:PGU457612 PQQ457523:PQQ457612 QAM457523:QAM457612 QKI457523:QKI457612 QUE457523:QUE457612 REA457523:REA457612 RNW457523:RNW457612 RXS457523:RXS457612 SHO457523:SHO457612 SRK457523:SRK457612 TBG457523:TBG457612 TLC457523:TLC457612 TUY457523:TUY457612 UEU457523:UEU457612 UOQ457523:UOQ457612 UYM457523:UYM457612 VII457523:VII457612 VSE457523:VSE457612 WCA457523:WCA457612 WLW457523:WLW457612 WVS457523:WVS457612 K523068:K523157 JG523059:JG523148 TC523059:TC523148 ACY523059:ACY523148 AMU523059:AMU523148 AWQ523059:AWQ523148 BGM523059:BGM523148 BQI523059:BQI523148 CAE523059:CAE523148 CKA523059:CKA523148 CTW523059:CTW523148 DDS523059:DDS523148 DNO523059:DNO523148 DXK523059:DXK523148 EHG523059:EHG523148 ERC523059:ERC523148 FAY523059:FAY523148 FKU523059:FKU523148 FUQ523059:FUQ523148 GEM523059:GEM523148 GOI523059:GOI523148 GYE523059:GYE523148 HIA523059:HIA523148 HRW523059:HRW523148 IBS523059:IBS523148 ILO523059:ILO523148 IVK523059:IVK523148 JFG523059:JFG523148 JPC523059:JPC523148 JYY523059:JYY523148 KIU523059:KIU523148 KSQ523059:KSQ523148 LCM523059:LCM523148 LMI523059:LMI523148 LWE523059:LWE523148 MGA523059:MGA523148 MPW523059:MPW523148 MZS523059:MZS523148 NJO523059:NJO523148 NTK523059:NTK523148 ODG523059:ODG523148 ONC523059:ONC523148 OWY523059:OWY523148 PGU523059:PGU523148 PQQ523059:PQQ523148 QAM523059:QAM523148 QKI523059:QKI523148 QUE523059:QUE523148 REA523059:REA523148 RNW523059:RNW523148 RXS523059:RXS523148 SHO523059:SHO523148 SRK523059:SRK523148 TBG523059:TBG523148 TLC523059:TLC523148 TUY523059:TUY523148 UEU523059:UEU523148 UOQ523059:UOQ523148 UYM523059:UYM523148 VII523059:VII523148 VSE523059:VSE523148 WCA523059:WCA523148 WLW523059:WLW523148 WVS523059:WVS523148 K588604:K588693 JG588595:JG588684 TC588595:TC588684 ACY588595:ACY588684 AMU588595:AMU588684 AWQ588595:AWQ588684 BGM588595:BGM588684 BQI588595:BQI588684 CAE588595:CAE588684 CKA588595:CKA588684 CTW588595:CTW588684 DDS588595:DDS588684 DNO588595:DNO588684 DXK588595:DXK588684 EHG588595:EHG588684 ERC588595:ERC588684 FAY588595:FAY588684 FKU588595:FKU588684 FUQ588595:FUQ588684 GEM588595:GEM588684 GOI588595:GOI588684 GYE588595:GYE588684 HIA588595:HIA588684 HRW588595:HRW588684 IBS588595:IBS588684 ILO588595:ILO588684 IVK588595:IVK588684 JFG588595:JFG588684 JPC588595:JPC588684 JYY588595:JYY588684 KIU588595:KIU588684 KSQ588595:KSQ588684 LCM588595:LCM588684 LMI588595:LMI588684 LWE588595:LWE588684 MGA588595:MGA588684 MPW588595:MPW588684 MZS588595:MZS588684 NJO588595:NJO588684 NTK588595:NTK588684 ODG588595:ODG588684 ONC588595:ONC588684 OWY588595:OWY588684 PGU588595:PGU588684 PQQ588595:PQQ588684 QAM588595:QAM588684 QKI588595:QKI588684 QUE588595:QUE588684 REA588595:REA588684 RNW588595:RNW588684 RXS588595:RXS588684 SHO588595:SHO588684 SRK588595:SRK588684 TBG588595:TBG588684 TLC588595:TLC588684 TUY588595:TUY588684 UEU588595:UEU588684 UOQ588595:UOQ588684 UYM588595:UYM588684 VII588595:VII588684 VSE588595:VSE588684 WCA588595:WCA588684 WLW588595:WLW588684 WVS588595:WVS588684 K654140:K654229 JG654131:JG654220 TC654131:TC654220 ACY654131:ACY654220 AMU654131:AMU654220 AWQ654131:AWQ654220 BGM654131:BGM654220 BQI654131:BQI654220 CAE654131:CAE654220 CKA654131:CKA654220 CTW654131:CTW654220 DDS654131:DDS654220 DNO654131:DNO654220 DXK654131:DXK654220 EHG654131:EHG654220 ERC654131:ERC654220 FAY654131:FAY654220 FKU654131:FKU654220 FUQ654131:FUQ654220 GEM654131:GEM654220 GOI654131:GOI654220 GYE654131:GYE654220 HIA654131:HIA654220 HRW654131:HRW654220 IBS654131:IBS654220 ILO654131:ILO654220 IVK654131:IVK654220 JFG654131:JFG654220 JPC654131:JPC654220 JYY654131:JYY654220 KIU654131:KIU654220 KSQ654131:KSQ654220 LCM654131:LCM654220 LMI654131:LMI654220 LWE654131:LWE654220 MGA654131:MGA654220 MPW654131:MPW654220 MZS654131:MZS654220 NJO654131:NJO654220 NTK654131:NTK654220 ODG654131:ODG654220 ONC654131:ONC654220 OWY654131:OWY654220 PGU654131:PGU654220 PQQ654131:PQQ654220 QAM654131:QAM654220 QKI654131:QKI654220 QUE654131:QUE654220 REA654131:REA654220 RNW654131:RNW654220 RXS654131:RXS654220 SHO654131:SHO654220 SRK654131:SRK654220 TBG654131:TBG654220 TLC654131:TLC654220 TUY654131:TUY654220 UEU654131:UEU654220 UOQ654131:UOQ654220 UYM654131:UYM654220 VII654131:VII654220 VSE654131:VSE654220 WCA654131:WCA654220 WLW654131:WLW654220 WVS654131:WVS654220 K719676:K719765 JG719667:JG719756 TC719667:TC719756 ACY719667:ACY719756 AMU719667:AMU719756 AWQ719667:AWQ719756 BGM719667:BGM719756 BQI719667:BQI719756 CAE719667:CAE719756 CKA719667:CKA719756 CTW719667:CTW719756 DDS719667:DDS719756 DNO719667:DNO719756 DXK719667:DXK719756 EHG719667:EHG719756 ERC719667:ERC719756 FAY719667:FAY719756 FKU719667:FKU719756 FUQ719667:FUQ719756 GEM719667:GEM719756 GOI719667:GOI719756 GYE719667:GYE719756 HIA719667:HIA719756 HRW719667:HRW719756 IBS719667:IBS719756 ILO719667:ILO719756 IVK719667:IVK719756 JFG719667:JFG719756 JPC719667:JPC719756 JYY719667:JYY719756 KIU719667:KIU719756 KSQ719667:KSQ719756 LCM719667:LCM719756 LMI719667:LMI719756 LWE719667:LWE719756 MGA719667:MGA719756 MPW719667:MPW719756 MZS719667:MZS719756 NJO719667:NJO719756 NTK719667:NTK719756 ODG719667:ODG719756 ONC719667:ONC719756 OWY719667:OWY719756 PGU719667:PGU719756 PQQ719667:PQQ719756 QAM719667:QAM719756 QKI719667:QKI719756 QUE719667:QUE719756 REA719667:REA719756 RNW719667:RNW719756 RXS719667:RXS719756 SHO719667:SHO719756 SRK719667:SRK719756 TBG719667:TBG719756 TLC719667:TLC719756 TUY719667:TUY719756 UEU719667:UEU719756 UOQ719667:UOQ719756 UYM719667:UYM719756 VII719667:VII719756 VSE719667:VSE719756 WCA719667:WCA719756 WLW719667:WLW719756 WVS719667:WVS719756 K785212:K785301 JG785203:JG785292 TC785203:TC785292 ACY785203:ACY785292 AMU785203:AMU785292 AWQ785203:AWQ785292 BGM785203:BGM785292 BQI785203:BQI785292 CAE785203:CAE785292 CKA785203:CKA785292 CTW785203:CTW785292 DDS785203:DDS785292 DNO785203:DNO785292 DXK785203:DXK785292 EHG785203:EHG785292 ERC785203:ERC785292 FAY785203:FAY785292 FKU785203:FKU785292 FUQ785203:FUQ785292 GEM785203:GEM785292 GOI785203:GOI785292 GYE785203:GYE785292 HIA785203:HIA785292 HRW785203:HRW785292 IBS785203:IBS785292 ILO785203:ILO785292 IVK785203:IVK785292 JFG785203:JFG785292 JPC785203:JPC785292 JYY785203:JYY785292 KIU785203:KIU785292 KSQ785203:KSQ785292 LCM785203:LCM785292 LMI785203:LMI785292 LWE785203:LWE785292 MGA785203:MGA785292 MPW785203:MPW785292 MZS785203:MZS785292 NJO785203:NJO785292 NTK785203:NTK785292 ODG785203:ODG785292 ONC785203:ONC785292 OWY785203:OWY785292 PGU785203:PGU785292 PQQ785203:PQQ785292 QAM785203:QAM785292 QKI785203:QKI785292 QUE785203:QUE785292 REA785203:REA785292 RNW785203:RNW785292 RXS785203:RXS785292 SHO785203:SHO785292 SRK785203:SRK785292 TBG785203:TBG785292 TLC785203:TLC785292 TUY785203:TUY785292 UEU785203:UEU785292 UOQ785203:UOQ785292 UYM785203:UYM785292 VII785203:VII785292 VSE785203:VSE785292 WCA785203:WCA785292 WLW785203:WLW785292 WVS785203:WVS785292 K850748:K850837 JG850739:JG850828 TC850739:TC850828 ACY850739:ACY850828 AMU850739:AMU850828 AWQ850739:AWQ850828 BGM850739:BGM850828 BQI850739:BQI850828 CAE850739:CAE850828 CKA850739:CKA850828 CTW850739:CTW850828 DDS850739:DDS850828 DNO850739:DNO850828 DXK850739:DXK850828 EHG850739:EHG850828 ERC850739:ERC850828 FAY850739:FAY850828 FKU850739:FKU850828 FUQ850739:FUQ850828 GEM850739:GEM850828 GOI850739:GOI850828 GYE850739:GYE850828 HIA850739:HIA850828 HRW850739:HRW850828 IBS850739:IBS850828 ILO850739:ILO850828 IVK850739:IVK850828 JFG850739:JFG850828 JPC850739:JPC850828 JYY850739:JYY850828 KIU850739:KIU850828 KSQ850739:KSQ850828 LCM850739:LCM850828 LMI850739:LMI850828 LWE850739:LWE850828 MGA850739:MGA850828 MPW850739:MPW850828 MZS850739:MZS850828 NJO850739:NJO850828 NTK850739:NTK850828 ODG850739:ODG850828 ONC850739:ONC850828 OWY850739:OWY850828 PGU850739:PGU850828 PQQ850739:PQQ850828 QAM850739:QAM850828 QKI850739:QKI850828 QUE850739:QUE850828 REA850739:REA850828 RNW850739:RNW850828 RXS850739:RXS850828 SHO850739:SHO850828 SRK850739:SRK850828 TBG850739:TBG850828 TLC850739:TLC850828 TUY850739:TUY850828 UEU850739:UEU850828 UOQ850739:UOQ850828 UYM850739:UYM850828 VII850739:VII850828 VSE850739:VSE850828 WCA850739:WCA850828 WLW850739:WLW850828 WVS850739:WVS850828 K916284:K916373 JG916275:JG916364 TC916275:TC916364 ACY916275:ACY916364 AMU916275:AMU916364 AWQ916275:AWQ916364 BGM916275:BGM916364 BQI916275:BQI916364 CAE916275:CAE916364 CKA916275:CKA916364 CTW916275:CTW916364 DDS916275:DDS916364 DNO916275:DNO916364 DXK916275:DXK916364 EHG916275:EHG916364 ERC916275:ERC916364 FAY916275:FAY916364 FKU916275:FKU916364 FUQ916275:FUQ916364 GEM916275:GEM916364 GOI916275:GOI916364 GYE916275:GYE916364 HIA916275:HIA916364 HRW916275:HRW916364 IBS916275:IBS916364 ILO916275:ILO916364 IVK916275:IVK916364 JFG916275:JFG916364 JPC916275:JPC916364 JYY916275:JYY916364 KIU916275:KIU916364 KSQ916275:KSQ916364 LCM916275:LCM916364 LMI916275:LMI916364 LWE916275:LWE916364 MGA916275:MGA916364 MPW916275:MPW916364 MZS916275:MZS916364 NJO916275:NJO916364 NTK916275:NTK916364 ODG916275:ODG916364 ONC916275:ONC916364 OWY916275:OWY916364 PGU916275:PGU916364 PQQ916275:PQQ916364 QAM916275:QAM916364 QKI916275:QKI916364 QUE916275:QUE916364 REA916275:REA916364 RNW916275:RNW916364 RXS916275:RXS916364 SHO916275:SHO916364 SRK916275:SRK916364 TBG916275:TBG916364 TLC916275:TLC916364 TUY916275:TUY916364 UEU916275:UEU916364 UOQ916275:UOQ916364 UYM916275:UYM916364 VII916275:VII916364 VSE916275:VSE916364 WCA916275:WCA916364 WLW916275:WLW916364 WVS916275:WVS916364 K981820:K981909 JG981811:JG981900 TC981811:TC981900 ACY981811:ACY981900 AMU981811:AMU981900 AWQ981811:AWQ981900 BGM981811:BGM981900 BQI981811:BQI981900 CAE981811:CAE981900 CKA981811:CKA981900 CTW981811:CTW981900 DDS981811:DDS981900 DNO981811:DNO981900 DXK981811:DXK981900 EHG981811:EHG981900 ERC981811:ERC981900 FAY981811:FAY981900 FKU981811:FKU981900 FUQ981811:FUQ981900 GEM981811:GEM981900 GOI981811:GOI981900 GYE981811:GYE981900 HIA981811:HIA981900 HRW981811:HRW981900 IBS981811:IBS981900 ILO981811:ILO981900 IVK981811:IVK981900 JFG981811:JFG981900 JPC981811:JPC981900 JYY981811:JYY981900 KIU981811:KIU981900 KSQ981811:KSQ981900 LCM981811:LCM981900 LMI981811:LMI981900 LWE981811:LWE981900 MGA981811:MGA981900 MPW981811:MPW981900 MZS981811:MZS981900 NJO981811:NJO981900 NTK981811:NTK981900 ODG981811:ODG981900 ONC981811:ONC981900 OWY981811:OWY981900 PGU981811:PGU981900 PQQ981811:PQQ981900 QAM981811:QAM981900 QKI981811:QKI981900 QUE981811:QUE981900 REA981811:REA981900 RNW981811:RNW981900 RXS981811:RXS981900 SHO981811:SHO981900 SRK981811:SRK981900 TBG981811:TBG981900 TLC981811:TLC981900 TUY981811:TUY981900 UEU981811:UEU981900 UOQ981811:UOQ981900 UYM981811:UYM981900 VII981811:VII981900 VSE981811:VSE981900 WCA981811:WCA981900 WVS2:WVS79 WLW2:WLW79 WCA2:WCA79 VSE2:VSE79 VII2:VII79 UYM2:UYM79 UOQ2:UOQ79 UEU2:UEU79 TUY2:TUY79 TLC2:TLC79 TBG2:TBG79 SRK2:SRK79 SHO2:SHO79 RXS2:RXS79 RNW2:RNW79 REA2:REA79 QUE2:QUE79 QKI2:QKI79 QAM2:QAM79 PQQ2:PQQ79 PGU2:PGU79 OWY2:OWY79 ONC2:ONC79 ODG2:ODG79 NTK2:NTK79 NJO2:NJO79 MZS2:MZS79 MPW2:MPW79 MGA2:MGA79 LWE2:LWE79 LMI2:LMI79 LCM2:LCM79 KSQ2:KSQ79 KIU2:KIU79 JYY2:JYY79 JPC2:JPC79 JFG2:JFG79 IVK2:IVK79 ILO2:ILO79 IBS2:IBS79 HRW2:HRW79 HIA2:HIA79 GYE2:GYE79 GOI2:GOI79 GEM2:GEM79 FUQ2:FUQ79 FKU2:FKU79 FAY2:FAY79 ERC2:ERC79 EHG2:EHG79 DXK2:DXK79 DNO2:DNO79 DDS2:DDS79 CTW2:CTW79 CKA2:CKA79 CAE2:CAE79 BQI2:BQI79 BGM2:BGM79 AWQ2:AWQ79 AMU2:AMU79 ACY2:ACY79 TC2:TC79 JG2:JG79" xr:uid="{B6FF8DE7-C2EF-45AE-AC98-6BB05CDB4EDA}">
      <formula1>$AR$2:$AR$24</formula1>
    </dataValidation>
    <dataValidation type="list" allowBlank="1" showInputMessage="1" showErrorMessage="1" sqref="J102:J506 J2:J4 J8:J100" xr:uid="{93C6277B-8AFB-4BA1-BFB8-409FCDE3BC7A}">
      <formula1>$AP$2:$AP$28</formula1>
    </dataValidation>
    <dataValidation type="list" allowBlank="1" showInputMessage="1" showErrorMessage="1" sqref="I64412:I64417 WVQ981895:WVQ981900 WLU981895:WLU981900 WBY981895:WBY981900 VSC981895:VSC981900 VIG981895:VIG981900 UYK981895:UYK981900 UOO981895:UOO981900 UES981895:UES981900 TUW981895:TUW981900 TLA981895:TLA981900 TBE981895:TBE981900 SRI981895:SRI981900 SHM981895:SHM981900 RXQ981895:RXQ981900 RNU981895:RNU981900 RDY981895:RDY981900 QUC981895:QUC981900 QKG981895:QKG981900 QAK981895:QAK981900 PQO981895:PQO981900 PGS981895:PGS981900 OWW981895:OWW981900 ONA981895:ONA981900 ODE981895:ODE981900 NTI981895:NTI981900 NJM981895:NJM981900 MZQ981895:MZQ981900 MPU981895:MPU981900 MFY981895:MFY981900 LWC981895:LWC981900 LMG981895:LMG981900 LCK981895:LCK981900 KSO981895:KSO981900 KIS981895:KIS981900 JYW981895:JYW981900 JPA981895:JPA981900 JFE981895:JFE981900 IVI981895:IVI981900 ILM981895:ILM981900 IBQ981895:IBQ981900 HRU981895:HRU981900 HHY981895:HHY981900 GYC981895:GYC981900 GOG981895:GOG981900 GEK981895:GEK981900 FUO981895:FUO981900 FKS981895:FKS981900 FAW981895:FAW981900 ERA981895:ERA981900 EHE981895:EHE981900 DXI981895:DXI981900 DNM981895:DNM981900 DDQ981895:DDQ981900 CTU981895:CTU981900 CJY981895:CJY981900 CAC981895:CAC981900 BQG981895:BQG981900 BGK981895:BGK981900 AWO981895:AWO981900 AMS981895:AMS981900 ACW981895:ACW981900 TA981895:TA981900 JE981895:JE981900 I981916:I981921 WVQ916359:WVQ916364 WLU916359:WLU916364 WBY916359:WBY916364 VSC916359:VSC916364 VIG916359:VIG916364 UYK916359:UYK916364 UOO916359:UOO916364 UES916359:UES916364 TUW916359:TUW916364 TLA916359:TLA916364 TBE916359:TBE916364 SRI916359:SRI916364 SHM916359:SHM916364 RXQ916359:RXQ916364 RNU916359:RNU916364 RDY916359:RDY916364 QUC916359:QUC916364 QKG916359:QKG916364 QAK916359:QAK916364 PQO916359:PQO916364 PGS916359:PGS916364 OWW916359:OWW916364 ONA916359:ONA916364 ODE916359:ODE916364 NTI916359:NTI916364 NJM916359:NJM916364 MZQ916359:MZQ916364 MPU916359:MPU916364 MFY916359:MFY916364 LWC916359:LWC916364 LMG916359:LMG916364 LCK916359:LCK916364 KSO916359:KSO916364 KIS916359:KIS916364 JYW916359:JYW916364 JPA916359:JPA916364 JFE916359:JFE916364 IVI916359:IVI916364 ILM916359:ILM916364 IBQ916359:IBQ916364 HRU916359:HRU916364 HHY916359:HHY916364 GYC916359:GYC916364 GOG916359:GOG916364 GEK916359:GEK916364 FUO916359:FUO916364 FKS916359:FKS916364 FAW916359:FAW916364 ERA916359:ERA916364 EHE916359:EHE916364 DXI916359:DXI916364 DNM916359:DNM916364 DDQ916359:DDQ916364 CTU916359:CTU916364 CJY916359:CJY916364 CAC916359:CAC916364 BQG916359:BQG916364 BGK916359:BGK916364 AWO916359:AWO916364 AMS916359:AMS916364 ACW916359:ACW916364 TA916359:TA916364 JE916359:JE916364 I916380:I916385 WVQ850823:WVQ850828 WLU850823:WLU850828 WBY850823:WBY850828 VSC850823:VSC850828 VIG850823:VIG850828 UYK850823:UYK850828 UOO850823:UOO850828 UES850823:UES850828 TUW850823:TUW850828 TLA850823:TLA850828 TBE850823:TBE850828 SRI850823:SRI850828 SHM850823:SHM850828 RXQ850823:RXQ850828 RNU850823:RNU850828 RDY850823:RDY850828 QUC850823:QUC850828 QKG850823:QKG850828 QAK850823:QAK850828 PQO850823:PQO850828 PGS850823:PGS850828 OWW850823:OWW850828 ONA850823:ONA850828 ODE850823:ODE850828 NTI850823:NTI850828 NJM850823:NJM850828 MZQ850823:MZQ850828 MPU850823:MPU850828 MFY850823:MFY850828 LWC850823:LWC850828 LMG850823:LMG850828 LCK850823:LCK850828 KSO850823:KSO850828 KIS850823:KIS850828 JYW850823:JYW850828 JPA850823:JPA850828 JFE850823:JFE850828 IVI850823:IVI850828 ILM850823:ILM850828 IBQ850823:IBQ850828 HRU850823:HRU850828 HHY850823:HHY850828 GYC850823:GYC850828 GOG850823:GOG850828 GEK850823:GEK850828 FUO850823:FUO850828 FKS850823:FKS850828 FAW850823:FAW850828 ERA850823:ERA850828 EHE850823:EHE850828 DXI850823:DXI850828 DNM850823:DNM850828 DDQ850823:DDQ850828 CTU850823:CTU850828 CJY850823:CJY850828 CAC850823:CAC850828 BQG850823:BQG850828 BGK850823:BGK850828 AWO850823:AWO850828 AMS850823:AMS850828 ACW850823:ACW850828 TA850823:TA850828 JE850823:JE850828 I850844:I850849 WVQ785287:WVQ785292 WLU785287:WLU785292 WBY785287:WBY785292 VSC785287:VSC785292 VIG785287:VIG785292 UYK785287:UYK785292 UOO785287:UOO785292 UES785287:UES785292 TUW785287:TUW785292 TLA785287:TLA785292 TBE785287:TBE785292 SRI785287:SRI785292 SHM785287:SHM785292 RXQ785287:RXQ785292 RNU785287:RNU785292 RDY785287:RDY785292 QUC785287:QUC785292 QKG785287:QKG785292 QAK785287:QAK785292 PQO785287:PQO785292 PGS785287:PGS785292 OWW785287:OWW785292 ONA785287:ONA785292 ODE785287:ODE785292 NTI785287:NTI785292 NJM785287:NJM785292 MZQ785287:MZQ785292 MPU785287:MPU785292 MFY785287:MFY785292 LWC785287:LWC785292 LMG785287:LMG785292 LCK785287:LCK785292 KSO785287:KSO785292 KIS785287:KIS785292 JYW785287:JYW785292 JPA785287:JPA785292 JFE785287:JFE785292 IVI785287:IVI785292 ILM785287:ILM785292 IBQ785287:IBQ785292 HRU785287:HRU785292 HHY785287:HHY785292 GYC785287:GYC785292 GOG785287:GOG785292 GEK785287:GEK785292 FUO785287:FUO785292 FKS785287:FKS785292 FAW785287:FAW785292 ERA785287:ERA785292 EHE785287:EHE785292 DXI785287:DXI785292 DNM785287:DNM785292 DDQ785287:DDQ785292 CTU785287:CTU785292 CJY785287:CJY785292 CAC785287:CAC785292 BQG785287:BQG785292 BGK785287:BGK785292 AWO785287:AWO785292 AMS785287:AMS785292 ACW785287:ACW785292 TA785287:TA785292 JE785287:JE785292 I785308:I785313 WVQ719751:WVQ719756 WLU719751:WLU719756 WBY719751:WBY719756 VSC719751:VSC719756 VIG719751:VIG719756 UYK719751:UYK719756 UOO719751:UOO719756 UES719751:UES719756 TUW719751:TUW719756 TLA719751:TLA719756 TBE719751:TBE719756 SRI719751:SRI719756 SHM719751:SHM719756 RXQ719751:RXQ719756 RNU719751:RNU719756 RDY719751:RDY719756 QUC719751:QUC719756 QKG719751:QKG719756 QAK719751:QAK719756 PQO719751:PQO719756 PGS719751:PGS719756 OWW719751:OWW719756 ONA719751:ONA719756 ODE719751:ODE719756 NTI719751:NTI719756 NJM719751:NJM719756 MZQ719751:MZQ719756 MPU719751:MPU719756 MFY719751:MFY719756 LWC719751:LWC719756 LMG719751:LMG719756 LCK719751:LCK719756 KSO719751:KSO719756 KIS719751:KIS719756 JYW719751:JYW719756 JPA719751:JPA719756 JFE719751:JFE719756 IVI719751:IVI719756 ILM719751:ILM719756 IBQ719751:IBQ719756 HRU719751:HRU719756 HHY719751:HHY719756 GYC719751:GYC719756 GOG719751:GOG719756 GEK719751:GEK719756 FUO719751:FUO719756 FKS719751:FKS719756 FAW719751:FAW719756 ERA719751:ERA719756 EHE719751:EHE719756 DXI719751:DXI719756 DNM719751:DNM719756 DDQ719751:DDQ719756 CTU719751:CTU719756 CJY719751:CJY719756 CAC719751:CAC719756 BQG719751:BQG719756 BGK719751:BGK719756 AWO719751:AWO719756 AMS719751:AMS719756 ACW719751:ACW719756 TA719751:TA719756 JE719751:JE719756 I719772:I719777 WVQ654215:WVQ654220 WLU654215:WLU654220 WBY654215:WBY654220 VSC654215:VSC654220 VIG654215:VIG654220 UYK654215:UYK654220 UOO654215:UOO654220 UES654215:UES654220 TUW654215:TUW654220 TLA654215:TLA654220 TBE654215:TBE654220 SRI654215:SRI654220 SHM654215:SHM654220 RXQ654215:RXQ654220 RNU654215:RNU654220 RDY654215:RDY654220 QUC654215:QUC654220 QKG654215:QKG654220 QAK654215:QAK654220 PQO654215:PQO654220 PGS654215:PGS654220 OWW654215:OWW654220 ONA654215:ONA654220 ODE654215:ODE654220 NTI654215:NTI654220 NJM654215:NJM654220 MZQ654215:MZQ654220 MPU654215:MPU654220 MFY654215:MFY654220 LWC654215:LWC654220 LMG654215:LMG654220 LCK654215:LCK654220 KSO654215:KSO654220 KIS654215:KIS654220 JYW654215:JYW654220 JPA654215:JPA654220 JFE654215:JFE654220 IVI654215:IVI654220 ILM654215:ILM654220 IBQ654215:IBQ654220 HRU654215:HRU654220 HHY654215:HHY654220 GYC654215:GYC654220 GOG654215:GOG654220 GEK654215:GEK654220 FUO654215:FUO654220 FKS654215:FKS654220 FAW654215:FAW654220 ERA654215:ERA654220 EHE654215:EHE654220 DXI654215:DXI654220 DNM654215:DNM654220 DDQ654215:DDQ654220 CTU654215:CTU654220 CJY654215:CJY654220 CAC654215:CAC654220 BQG654215:BQG654220 BGK654215:BGK654220 AWO654215:AWO654220 AMS654215:AMS654220 ACW654215:ACW654220 TA654215:TA654220 JE654215:JE654220 I654236:I654241 WVQ588679:WVQ588684 WLU588679:WLU588684 WBY588679:WBY588684 VSC588679:VSC588684 VIG588679:VIG588684 UYK588679:UYK588684 UOO588679:UOO588684 UES588679:UES588684 TUW588679:TUW588684 TLA588679:TLA588684 TBE588679:TBE588684 SRI588679:SRI588684 SHM588679:SHM588684 RXQ588679:RXQ588684 RNU588679:RNU588684 RDY588679:RDY588684 QUC588679:QUC588684 QKG588679:QKG588684 QAK588679:QAK588684 PQO588679:PQO588684 PGS588679:PGS588684 OWW588679:OWW588684 ONA588679:ONA588684 ODE588679:ODE588684 NTI588679:NTI588684 NJM588679:NJM588684 MZQ588679:MZQ588684 MPU588679:MPU588684 MFY588679:MFY588684 LWC588679:LWC588684 LMG588679:LMG588684 LCK588679:LCK588684 KSO588679:KSO588684 KIS588679:KIS588684 JYW588679:JYW588684 JPA588679:JPA588684 JFE588679:JFE588684 IVI588679:IVI588684 ILM588679:ILM588684 IBQ588679:IBQ588684 HRU588679:HRU588684 HHY588679:HHY588684 GYC588679:GYC588684 GOG588679:GOG588684 GEK588679:GEK588684 FUO588679:FUO588684 FKS588679:FKS588684 FAW588679:FAW588684 ERA588679:ERA588684 EHE588679:EHE588684 DXI588679:DXI588684 DNM588679:DNM588684 DDQ588679:DDQ588684 CTU588679:CTU588684 CJY588679:CJY588684 CAC588679:CAC588684 BQG588679:BQG588684 BGK588679:BGK588684 AWO588679:AWO588684 AMS588679:AMS588684 ACW588679:ACW588684 TA588679:TA588684 JE588679:JE588684 I588700:I588705 WVQ523143:WVQ523148 WLU523143:WLU523148 WBY523143:WBY523148 VSC523143:VSC523148 VIG523143:VIG523148 UYK523143:UYK523148 UOO523143:UOO523148 UES523143:UES523148 TUW523143:TUW523148 TLA523143:TLA523148 TBE523143:TBE523148 SRI523143:SRI523148 SHM523143:SHM523148 RXQ523143:RXQ523148 RNU523143:RNU523148 RDY523143:RDY523148 QUC523143:QUC523148 QKG523143:QKG523148 QAK523143:QAK523148 PQO523143:PQO523148 PGS523143:PGS523148 OWW523143:OWW523148 ONA523143:ONA523148 ODE523143:ODE523148 NTI523143:NTI523148 NJM523143:NJM523148 MZQ523143:MZQ523148 MPU523143:MPU523148 MFY523143:MFY523148 LWC523143:LWC523148 LMG523143:LMG523148 LCK523143:LCK523148 KSO523143:KSO523148 KIS523143:KIS523148 JYW523143:JYW523148 JPA523143:JPA523148 JFE523143:JFE523148 IVI523143:IVI523148 ILM523143:ILM523148 IBQ523143:IBQ523148 HRU523143:HRU523148 HHY523143:HHY523148 GYC523143:GYC523148 GOG523143:GOG523148 GEK523143:GEK523148 FUO523143:FUO523148 FKS523143:FKS523148 FAW523143:FAW523148 ERA523143:ERA523148 EHE523143:EHE523148 DXI523143:DXI523148 DNM523143:DNM523148 DDQ523143:DDQ523148 CTU523143:CTU523148 CJY523143:CJY523148 CAC523143:CAC523148 BQG523143:BQG523148 BGK523143:BGK523148 AWO523143:AWO523148 AMS523143:AMS523148 ACW523143:ACW523148 TA523143:TA523148 JE523143:JE523148 I523164:I523169 WVQ457607:WVQ457612 WLU457607:WLU457612 WBY457607:WBY457612 VSC457607:VSC457612 VIG457607:VIG457612 UYK457607:UYK457612 UOO457607:UOO457612 UES457607:UES457612 TUW457607:TUW457612 TLA457607:TLA457612 TBE457607:TBE457612 SRI457607:SRI457612 SHM457607:SHM457612 RXQ457607:RXQ457612 RNU457607:RNU457612 RDY457607:RDY457612 QUC457607:QUC457612 QKG457607:QKG457612 QAK457607:QAK457612 PQO457607:PQO457612 PGS457607:PGS457612 OWW457607:OWW457612 ONA457607:ONA457612 ODE457607:ODE457612 NTI457607:NTI457612 NJM457607:NJM457612 MZQ457607:MZQ457612 MPU457607:MPU457612 MFY457607:MFY457612 LWC457607:LWC457612 LMG457607:LMG457612 LCK457607:LCK457612 KSO457607:KSO457612 KIS457607:KIS457612 JYW457607:JYW457612 JPA457607:JPA457612 JFE457607:JFE457612 IVI457607:IVI457612 ILM457607:ILM457612 IBQ457607:IBQ457612 HRU457607:HRU457612 HHY457607:HHY457612 GYC457607:GYC457612 GOG457607:GOG457612 GEK457607:GEK457612 FUO457607:FUO457612 FKS457607:FKS457612 FAW457607:FAW457612 ERA457607:ERA457612 EHE457607:EHE457612 DXI457607:DXI457612 DNM457607:DNM457612 DDQ457607:DDQ457612 CTU457607:CTU457612 CJY457607:CJY457612 CAC457607:CAC457612 BQG457607:BQG457612 BGK457607:BGK457612 AWO457607:AWO457612 AMS457607:AMS457612 ACW457607:ACW457612 TA457607:TA457612 JE457607:JE457612 I457628:I457633 WVQ392071:WVQ392076 WLU392071:WLU392076 WBY392071:WBY392076 VSC392071:VSC392076 VIG392071:VIG392076 UYK392071:UYK392076 UOO392071:UOO392076 UES392071:UES392076 TUW392071:TUW392076 TLA392071:TLA392076 TBE392071:TBE392076 SRI392071:SRI392076 SHM392071:SHM392076 RXQ392071:RXQ392076 RNU392071:RNU392076 RDY392071:RDY392076 QUC392071:QUC392076 QKG392071:QKG392076 QAK392071:QAK392076 PQO392071:PQO392076 PGS392071:PGS392076 OWW392071:OWW392076 ONA392071:ONA392076 ODE392071:ODE392076 NTI392071:NTI392076 NJM392071:NJM392076 MZQ392071:MZQ392076 MPU392071:MPU392076 MFY392071:MFY392076 LWC392071:LWC392076 LMG392071:LMG392076 LCK392071:LCK392076 KSO392071:KSO392076 KIS392071:KIS392076 JYW392071:JYW392076 JPA392071:JPA392076 JFE392071:JFE392076 IVI392071:IVI392076 ILM392071:ILM392076 IBQ392071:IBQ392076 HRU392071:HRU392076 HHY392071:HHY392076 GYC392071:GYC392076 GOG392071:GOG392076 GEK392071:GEK392076 FUO392071:FUO392076 FKS392071:FKS392076 FAW392071:FAW392076 ERA392071:ERA392076 EHE392071:EHE392076 DXI392071:DXI392076 DNM392071:DNM392076 DDQ392071:DDQ392076 CTU392071:CTU392076 CJY392071:CJY392076 CAC392071:CAC392076 BQG392071:BQG392076 BGK392071:BGK392076 AWO392071:AWO392076 AMS392071:AMS392076 ACW392071:ACW392076 TA392071:TA392076 JE392071:JE392076 I392092:I392097 WVQ326535:WVQ326540 WLU326535:WLU326540 WBY326535:WBY326540 VSC326535:VSC326540 VIG326535:VIG326540 UYK326535:UYK326540 UOO326535:UOO326540 UES326535:UES326540 TUW326535:TUW326540 TLA326535:TLA326540 TBE326535:TBE326540 SRI326535:SRI326540 SHM326535:SHM326540 RXQ326535:RXQ326540 RNU326535:RNU326540 RDY326535:RDY326540 QUC326535:QUC326540 QKG326535:QKG326540 QAK326535:QAK326540 PQO326535:PQO326540 PGS326535:PGS326540 OWW326535:OWW326540 ONA326535:ONA326540 ODE326535:ODE326540 NTI326535:NTI326540 NJM326535:NJM326540 MZQ326535:MZQ326540 MPU326535:MPU326540 MFY326535:MFY326540 LWC326535:LWC326540 LMG326535:LMG326540 LCK326535:LCK326540 KSO326535:KSO326540 KIS326535:KIS326540 JYW326535:JYW326540 JPA326535:JPA326540 JFE326535:JFE326540 IVI326535:IVI326540 ILM326535:ILM326540 IBQ326535:IBQ326540 HRU326535:HRU326540 HHY326535:HHY326540 GYC326535:GYC326540 GOG326535:GOG326540 GEK326535:GEK326540 FUO326535:FUO326540 FKS326535:FKS326540 FAW326535:FAW326540 ERA326535:ERA326540 EHE326535:EHE326540 DXI326535:DXI326540 DNM326535:DNM326540 DDQ326535:DDQ326540 CTU326535:CTU326540 CJY326535:CJY326540 CAC326535:CAC326540 BQG326535:BQG326540 BGK326535:BGK326540 AWO326535:AWO326540 AMS326535:AMS326540 ACW326535:ACW326540 TA326535:TA326540 JE326535:JE326540 I326556:I326561 WVQ260999:WVQ261004 WLU260999:WLU261004 WBY260999:WBY261004 VSC260999:VSC261004 VIG260999:VIG261004 UYK260999:UYK261004 UOO260999:UOO261004 UES260999:UES261004 TUW260999:TUW261004 TLA260999:TLA261004 TBE260999:TBE261004 SRI260999:SRI261004 SHM260999:SHM261004 RXQ260999:RXQ261004 RNU260999:RNU261004 RDY260999:RDY261004 QUC260999:QUC261004 QKG260999:QKG261004 QAK260999:QAK261004 PQO260999:PQO261004 PGS260999:PGS261004 OWW260999:OWW261004 ONA260999:ONA261004 ODE260999:ODE261004 NTI260999:NTI261004 NJM260999:NJM261004 MZQ260999:MZQ261004 MPU260999:MPU261004 MFY260999:MFY261004 LWC260999:LWC261004 LMG260999:LMG261004 LCK260999:LCK261004 KSO260999:KSO261004 KIS260999:KIS261004 JYW260999:JYW261004 JPA260999:JPA261004 JFE260999:JFE261004 IVI260999:IVI261004 ILM260999:ILM261004 IBQ260999:IBQ261004 HRU260999:HRU261004 HHY260999:HHY261004 GYC260999:GYC261004 GOG260999:GOG261004 GEK260999:GEK261004 FUO260999:FUO261004 FKS260999:FKS261004 FAW260999:FAW261004 ERA260999:ERA261004 EHE260999:EHE261004 DXI260999:DXI261004 DNM260999:DNM261004 DDQ260999:DDQ261004 CTU260999:CTU261004 CJY260999:CJY261004 CAC260999:CAC261004 BQG260999:BQG261004 BGK260999:BGK261004 AWO260999:AWO261004 AMS260999:AMS261004 ACW260999:ACW261004 TA260999:TA261004 JE260999:JE261004 I261020:I261025 WVQ195463:WVQ195468 WLU195463:WLU195468 WBY195463:WBY195468 VSC195463:VSC195468 VIG195463:VIG195468 UYK195463:UYK195468 UOO195463:UOO195468 UES195463:UES195468 TUW195463:TUW195468 TLA195463:TLA195468 TBE195463:TBE195468 SRI195463:SRI195468 SHM195463:SHM195468 RXQ195463:RXQ195468 RNU195463:RNU195468 RDY195463:RDY195468 QUC195463:QUC195468 QKG195463:QKG195468 QAK195463:QAK195468 PQO195463:PQO195468 PGS195463:PGS195468 OWW195463:OWW195468 ONA195463:ONA195468 ODE195463:ODE195468 NTI195463:NTI195468 NJM195463:NJM195468 MZQ195463:MZQ195468 MPU195463:MPU195468 MFY195463:MFY195468 LWC195463:LWC195468 LMG195463:LMG195468 LCK195463:LCK195468 KSO195463:KSO195468 KIS195463:KIS195468 JYW195463:JYW195468 JPA195463:JPA195468 JFE195463:JFE195468 IVI195463:IVI195468 ILM195463:ILM195468 IBQ195463:IBQ195468 HRU195463:HRU195468 HHY195463:HHY195468 GYC195463:GYC195468 GOG195463:GOG195468 GEK195463:GEK195468 FUO195463:FUO195468 FKS195463:FKS195468 FAW195463:FAW195468 ERA195463:ERA195468 EHE195463:EHE195468 DXI195463:DXI195468 DNM195463:DNM195468 DDQ195463:DDQ195468 CTU195463:CTU195468 CJY195463:CJY195468 CAC195463:CAC195468 BQG195463:BQG195468 BGK195463:BGK195468 AWO195463:AWO195468 AMS195463:AMS195468 ACW195463:ACW195468 TA195463:TA195468 JE195463:JE195468 I195484:I195489 WVQ129927:WVQ129932 WLU129927:WLU129932 WBY129927:WBY129932 VSC129927:VSC129932 VIG129927:VIG129932 UYK129927:UYK129932 UOO129927:UOO129932 UES129927:UES129932 TUW129927:TUW129932 TLA129927:TLA129932 TBE129927:TBE129932 SRI129927:SRI129932 SHM129927:SHM129932 RXQ129927:RXQ129932 RNU129927:RNU129932 RDY129927:RDY129932 QUC129927:QUC129932 QKG129927:QKG129932 QAK129927:QAK129932 PQO129927:PQO129932 PGS129927:PGS129932 OWW129927:OWW129932 ONA129927:ONA129932 ODE129927:ODE129932 NTI129927:NTI129932 NJM129927:NJM129932 MZQ129927:MZQ129932 MPU129927:MPU129932 MFY129927:MFY129932 LWC129927:LWC129932 LMG129927:LMG129932 LCK129927:LCK129932 KSO129927:KSO129932 KIS129927:KIS129932 JYW129927:JYW129932 JPA129927:JPA129932 JFE129927:JFE129932 IVI129927:IVI129932 ILM129927:ILM129932 IBQ129927:IBQ129932 HRU129927:HRU129932 HHY129927:HHY129932 GYC129927:GYC129932 GOG129927:GOG129932 GEK129927:GEK129932 FUO129927:FUO129932 FKS129927:FKS129932 FAW129927:FAW129932 ERA129927:ERA129932 EHE129927:EHE129932 DXI129927:DXI129932 DNM129927:DNM129932 DDQ129927:DDQ129932 CTU129927:CTU129932 CJY129927:CJY129932 CAC129927:CAC129932 BQG129927:BQG129932 BGK129927:BGK129932 AWO129927:AWO129932 AMS129927:AMS129932 ACW129927:ACW129932 TA129927:TA129932 JE129927:JE129932 I129948:I129953 WVQ64391:WVQ64396 WLU64391:WLU64396 WBY64391:WBY64396 VSC64391:VSC64396 VIG64391:VIG64396 UYK64391:UYK64396 UOO64391:UOO64396 UES64391:UES64396 TUW64391:TUW64396 TLA64391:TLA64396 TBE64391:TBE64396 SRI64391:SRI64396 SHM64391:SHM64396 RXQ64391:RXQ64396 RNU64391:RNU64396 RDY64391:RDY64396 QUC64391:QUC64396 QKG64391:QKG64396 QAK64391:QAK64396 PQO64391:PQO64396 PGS64391:PGS64396 OWW64391:OWW64396 ONA64391:ONA64396 ODE64391:ODE64396 NTI64391:NTI64396 NJM64391:NJM64396 MZQ64391:MZQ64396 MPU64391:MPU64396 MFY64391:MFY64396 LWC64391:LWC64396 LMG64391:LMG64396 LCK64391:LCK64396 KSO64391:KSO64396 KIS64391:KIS64396 JYW64391:JYW64396 JPA64391:JPA64396 JFE64391:JFE64396 IVI64391:IVI64396 ILM64391:ILM64396 IBQ64391:IBQ64396 HRU64391:HRU64396 HHY64391:HHY64396 GYC64391:GYC64396 GOG64391:GOG64396 GEK64391:GEK64396 FUO64391:FUO64396 FKS64391:FKS64396 FAW64391:FAW64396 ERA64391:ERA64396 EHE64391:EHE64396 DXI64391:DXI64396 DNM64391:DNM64396 DDQ64391:DDQ64396 CTU64391:CTU64396 CJY64391:CJY64396 CAC64391:CAC64396 BQG64391:BQG64396 BGK64391:BGK64396 AWO64391:AWO64396 AMS64391:AMS64396 ACW64391:ACW64396 TA64391:TA64396 JE64391:JE64396" xr:uid="{FDC34CC5-7541-47CB-8347-168F9F1FEF7A}">
      <formula1>$AN$8:$AN$9</formula1>
    </dataValidation>
    <dataValidation type="list" allowBlank="1" showInputMessage="1" showErrorMessage="1" sqref="WVR981811:WVR981900 WLV981811:WLV981900 WBZ981811:WBZ981900 VSD981811:VSD981900 VIH981811:VIH981900 UYL981811:UYL981900 UOP981811:UOP981900 UET981811:UET981900 TUX981811:TUX981900 TLB981811:TLB981900 TBF981811:TBF981900 SRJ981811:SRJ981900 SHN981811:SHN981900 RXR981811:RXR981900 RNV981811:RNV981900 RDZ981811:RDZ981900 QUD981811:QUD981900 QKH981811:QKH981900 QAL981811:QAL981900 PQP981811:PQP981900 PGT981811:PGT981900 OWX981811:OWX981900 ONB981811:ONB981900 ODF981811:ODF981900 NTJ981811:NTJ981900 NJN981811:NJN981900 MZR981811:MZR981900 MPV981811:MPV981900 MFZ981811:MFZ981900 LWD981811:LWD981900 LMH981811:LMH981900 LCL981811:LCL981900 KSP981811:KSP981900 KIT981811:KIT981900 JYX981811:JYX981900 JPB981811:JPB981900 JFF981811:JFF981900 IVJ981811:IVJ981900 ILN981811:ILN981900 IBR981811:IBR981900 HRV981811:HRV981900 HHZ981811:HHZ981900 GYD981811:GYD981900 GOH981811:GOH981900 GEL981811:GEL981900 FUP981811:FUP981900 FKT981811:FKT981900 FAX981811:FAX981900 ERB981811:ERB981900 EHF981811:EHF981900 DXJ981811:DXJ981900 DNN981811:DNN981900 DDR981811:DDR981900 CTV981811:CTV981900 CJZ981811:CJZ981900 CAD981811:CAD981900 BQH981811:BQH981900 BGL981811:BGL981900 AWP981811:AWP981900 AMT981811:AMT981900 ACX981811:ACX981900 TB981811:TB981900 JF981811:JF981900 J981820:J981909 WVR916275:WVR916364 WLV916275:WLV916364 WBZ916275:WBZ916364 VSD916275:VSD916364 VIH916275:VIH916364 UYL916275:UYL916364 UOP916275:UOP916364 UET916275:UET916364 TUX916275:TUX916364 TLB916275:TLB916364 TBF916275:TBF916364 SRJ916275:SRJ916364 SHN916275:SHN916364 RXR916275:RXR916364 RNV916275:RNV916364 RDZ916275:RDZ916364 QUD916275:QUD916364 QKH916275:QKH916364 QAL916275:QAL916364 PQP916275:PQP916364 PGT916275:PGT916364 OWX916275:OWX916364 ONB916275:ONB916364 ODF916275:ODF916364 NTJ916275:NTJ916364 NJN916275:NJN916364 MZR916275:MZR916364 MPV916275:MPV916364 MFZ916275:MFZ916364 LWD916275:LWD916364 LMH916275:LMH916364 LCL916275:LCL916364 KSP916275:KSP916364 KIT916275:KIT916364 JYX916275:JYX916364 JPB916275:JPB916364 JFF916275:JFF916364 IVJ916275:IVJ916364 ILN916275:ILN916364 IBR916275:IBR916364 HRV916275:HRV916364 HHZ916275:HHZ916364 GYD916275:GYD916364 GOH916275:GOH916364 GEL916275:GEL916364 FUP916275:FUP916364 FKT916275:FKT916364 FAX916275:FAX916364 ERB916275:ERB916364 EHF916275:EHF916364 DXJ916275:DXJ916364 DNN916275:DNN916364 DDR916275:DDR916364 CTV916275:CTV916364 CJZ916275:CJZ916364 CAD916275:CAD916364 BQH916275:BQH916364 BGL916275:BGL916364 AWP916275:AWP916364 AMT916275:AMT916364 ACX916275:ACX916364 TB916275:TB916364 JF916275:JF916364 J916284:J916373 WVR850739:WVR850828 WLV850739:WLV850828 WBZ850739:WBZ850828 VSD850739:VSD850828 VIH850739:VIH850828 UYL850739:UYL850828 UOP850739:UOP850828 UET850739:UET850828 TUX850739:TUX850828 TLB850739:TLB850828 TBF850739:TBF850828 SRJ850739:SRJ850828 SHN850739:SHN850828 RXR850739:RXR850828 RNV850739:RNV850828 RDZ850739:RDZ850828 QUD850739:QUD850828 QKH850739:QKH850828 QAL850739:QAL850828 PQP850739:PQP850828 PGT850739:PGT850828 OWX850739:OWX850828 ONB850739:ONB850828 ODF850739:ODF850828 NTJ850739:NTJ850828 NJN850739:NJN850828 MZR850739:MZR850828 MPV850739:MPV850828 MFZ850739:MFZ850828 LWD850739:LWD850828 LMH850739:LMH850828 LCL850739:LCL850828 KSP850739:KSP850828 KIT850739:KIT850828 JYX850739:JYX850828 JPB850739:JPB850828 JFF850739:JFF850828 IVJ850739:IVJ850828 ILN850739:ILN850828 IBR850739:IBR850828 HRV850739:HRV850828 HHZ850739:HHZ850828 GYD850739:GYD850828 GOH850739:GOH850828 GEL850739:GEL850828 FUP850739:FUP850828 FKT850739:FKT850828 FAX850739:FAX850828 ERB850739:ERB850828 EHF850739:EHF850828 DXJ850739:DXJ850828 DNN850739:DNN850828 DDR850739:DDR850828 CTV850739:CTV850828 CJZ850739:CJZ850828 CAD850739:CAD850828 BQH850739:BQH850828 BGL850739:BGL850828 AWP850739:AWP850828 AMT850739:AMT850828 ACX850739:ACX850828 TB850739:TB850828 JF850739:JF850828 J850748:J850837 WVR785203:WVR785292 WLV785203:WLV785292 WBZ785203:WBZ785292 VSD785203:VSD785292 VIH785203:VIH785292 UYL785203:UYL785292 UOP785203:UOP785292 UET785203:UET785292 TUX785203:TUX785292 TLB785203:TLB785292 TBF785203:TBF785292 SRJ785203:SRJ785292 SHN785203:SHN785292 RXR785203:RXR785292 RNV785203:RNV785292 RDZ785203:RDZ785292 QUD785203:QUD785292 QKH785203:QKH785292 QAL785203:QAL785292 PQP785203:PQP785292 PGT785203:PGT785292 OWX785203:OWX785292 ONB785203:ONB785292 ODF785203:ODF785292 NTJ785203:NTJ785292 NJN785203:NJN785292 MZR785203:MZR785292 MPV785203:MPV785292 MFZ785203:MFZ785292 LWD785203:LWD785292 LMH785203:LMH785292 LCL785203:LCL785292 KSP785203:KSP785292 KIT785203:KIT785292 JYX785203:JYX785292 JPB785203:JPB785292 JFF785203:JFF785292 IVJ785203:IVJ785292 ILN785203:ILN785292 IBR785203:IBR785292 HRV785203:HRV785292 HHZ785203:HHZ785292 GYD785203:GYD785292 GOH785203:GOH785292 GEL785203:GEL785292 FUP785203:FUP785292 FKT785203:FKT785292 FAX785203:FAX785292 ERB785203:ERB785292 EHF785203:EHF785292 DXJ785203:DXJ785292 DNN785203:DNN785292 DDR785203:DDR785292 CTV785203:CTV785292 CJZ785203:CJZ785292 CAD785203:CAD785292 BQH785203:BQH785292 BGL785203:BGL785292 AWP785203:AWP785292 AMT785203:AMT785292 ACX785203:ACX785292 TB785203:TB785292 JF785203:JF785292 J785212:J785301 WVR719667:WVR719756 WLV719667:WLV719756 WBZ719667:WBZ719756 VSD719667:VSD719756 VIH719667:VIH719756 UYL719667:UYL719756 UOP719667:UOP719756 UET719667:UET719756 TUX719667:TUX719756 TLB719667:TLB719756 TBF719667:TBF719756 SRJ719667:SRJ719756 SHN719667:SHN719756 RXR719667:RXR719756 RNV719667:RNV719756 RDZ719667:RDZ719756 QUD719667:QUD719756 QKH719667:QKH719756 QAL719667:QAL719756 PQP719667:PQP719756 PGT719667:PGT719756 OWX719667:OWX719756 ONB719667:ONB719756 ODF719667:ODF719756 NTJ719667:NTJ719756 NJN719667:NJN719756 MZR719667:MZR719756 MPV719667:MPV719756 MFZ719667:MFZ719756 LWD719667:LWD719756 LMH719667:LMH719756 LCL719667:LCL719756 KSP719667:KSP719756 KIT719667:KIT719756 JYX719667:JYX719756 JPB719667:JPB719756 JFF719667:JFF719756 IVJ719667:IVJ719756 ILN719667:ILN719756 IBR719667:IBR719756 HRV719667:HRV719756 HHZ719667:HHZ719756 GYD719667:GYD719756 GOH719667:GOH719756 GEL719667:GEL719756 FUP719667:FUP719756 FKT719667:FKT719756 FAX719667:FAX719756 ERB719667:ERB719756 EHF719667:EHF719756 DXJ719667:DXJ719756 DNN719667:DNN719756 DDR719667:DDR719756 CTV719667:CTV719756 CJZ719667:CJZ719756 CAD719667:CAD719756 BQH719667:BQH719756 BGL719667:BGL719756 AWP719667:AWP719756 AMT719667:AMT719756 ACX719667:ACX719756 TB719667:TB719756 JF719667:JF719756 J719676:J719765 WVR654131:WVR654220 WLV654131:WLV654220 WBZ654131:WBZ654220 VSD654131:VSD654220 VIH654131:VIH654220 UYL654131:UYL654220 UOP654131:UOP654220 UET654131:UET654220 TUX654131:TUX654220 TLB654131:TLB654220 TBF654131:TBF654220 SRJ654131:SRJ654220 SHN654131:SHN654220 RXR654131:RXR654220 RNV654131:RNV654220 RDZ654131:RDZ654220 QUD654131:QUD654220 QKH654131:QKH654220 QAL654131:QAL654220 PQP654131:PQP654220 PGT654131:PGT654220 OWX654131:OWX654220 ONB654131:ONB654220 ODF654131:ODF654220 NTJ654131:NTJ654220 NJN654131:NJN654220 MZR654131:MZR654220 MPV654131:MPV654220 MFZ654131:MFZ654220 LWD654131:LWD654220 LMH654131:LMH654220 LCL654131:LCL654220 KSP654131:KSP654220 KIT654131:KIT654220 JYX654131:JYX654220 JPB654131:JPB654220 JFF654131:JFF654220 IVJ654131:IVJ654220 ILN654131:ILN654220 IBR654131:IBR654220 HRV654131:HRV654220 HHZ654131:HHZ654220 GYD654131:GYD654220 GOH654131:GOH654220 GEL654131:GEL654220 FUP654131:FUP654220 FKT654131:FKT654220 FAX654131:FAX654220 ERB654131:ERB654220 EHF654131:EHF654220 DXJ654131:DXJ654220 DNN654131:DNN654220 DDR654131:DDR654220 CTV654131:CTV654220 CJZ654131:CJZ654220 CAD654131:CAD654220 BQH654131:BQH654220 BGL654131:BGL654220 AWP654131:AWP654220 AMT654131:AMT654220 ACX654131:ACX654220 TB654131:TB654220 JF654131:JF654220 J654140:J654229 WVR588595:WVR588684 WLV588595:WLV588684 WBZ588595:WBZ588684 VSD588595:VSD588684 VIH588595:VIH588684 UYL588595:UYL588684 UOP588595:UOP588684 UET588595:UET588684 TUX588595:TUX588684 TLB588595:TLB588684 TBF588595:TBF588684 SRJ588595:SRJ588684 SHN588595:SHN588684 RXR588595:RXR588684 RNV588595:RNV588684 RDZ588595:RDZ588684 QUD588595:QUD588684 QKH588595:QKH588684 QAL588595:QAL588684 PQP588595:PQP588684 PGT588595:PGT588684 OWX588595:OWX588684 ONB588595:ONB588684 ODF588595:ODF588684 NTJ588595:NTJ588684 NJN588595:NJN588684 MZR588595:MZR588684 MPV588595:MPV588684 MFZ588595:MFZ588684 LWD588595:LWD588684 LMH588595:LMH588684 LCL588595:LCL588684 KSP588595:KSP588684 KIT588595:KIT588684 JYX588595:JYX588684 JPB588595:JPB588684 JFF588595:JFF588684 IVJ588595:IVJ588684 ILN588595:ILN588684 IBR588595:IBR588684 HRV588595:HRV588684 HHZ588595:HHZ588684 GYD588595:GYD588684 GOH588595:GOH588684 GEL588595:GEL588684 FUP588595:FUP588684 FKT588595:FKT588684 FAX588595:FAX588684 ERB588595:ERB588684 EHF588595:EHF588684 DXJ588595:DXJ588684 DNN588595:DNN588684 DDR588595:DDR588684 CTV588595:CTV588684 CJZ588595:CJZ588684 CAD588595:CAD588684 BQH588595:BQH588684 BGL588595:BGL588684 AWP588595:AWP588684 AMT588595:AMT588684 ACX588595:ACX588684 TB588595:TB588684 JF588595:JF588684 J588604:J588693 WVR523059:WVR523148 WLV523059:WLV523148 WBZ523059:WBZ523148 VSD523059:VSD523148 VIH523059:VIH523148 UYL523059:UYL523148 UOP523059:UOP523148 UET523059:UET523148 TUX523059:TUX523148 TLB523059:TLB523148 TBF523059:TBF523148 SRJ523059:SRJ523148 SHN523059:SHN523148 RXR523059:RXR523148 RNV523059:RNV523148 RDZ523059:RDZ523148 QUD523059:QUD523148 QKH523059:QKH523148 QAL523059:QAL523148 PQP523059:PQP523148 PGT523059:PGT523148 OWX523059:OWX523148 ONB523059:ONB523148 ODF523059:ODF523148 NTJ523059:NTJ523148 NJN523059:NJN523148 MZR523059:MZR523148 MPV523059:MPV523148 MFZ523059:MFZ523148 LWD523059:LWD523148 LMH523059:LMH523148 LCL523059:LCL523148 KSP523059:KSP523148 KIT523059:KIT523148 JYX523059:JYX523148 JPB523059:JPB523148 JFF523059:JFF523148 IVJ523059:IVJ523148 ILN523059:ILN523148 IBR523059:IBR523148 HRV523059:HRV523148 HHZ523059:HHZ523148 GYD523059:GYD523148 GOH523059:GOH523148 GEL523059:GEL523148 FUP523059:FUP523148 FKT523059:FKT523148 FAX523059:FAX523148 ERB523059:ERB523148 EHF523059:EHF523148 DXJ523059:DXJ523148 DNN523059:DNN523148 DDR523059:DDR523148 CTV523059:CTV523148 CJZ523059:CJZ523148 CAD523059:CAD523148 BQH523059:BQH523148 BGL523059:BGL523148 AWP523059:AWP523148 AMT523059:AMT523148 ACX523059:ACX523148 TB523059:TB523148 JF523059:JF523148 J523068:J523157 WVR457523:WVR457612 WLV457523:WLV457612 WBZ457523:WBZ457612 VSD457523:VSD457612 VIH457523:VIH457612 UYL457523:UYL457612 UOP457523:UOP457612 UET457523:UET457612 TUX457523:TUX457612 TLB457523:TLB457612 TBF457523:TBF457612 SRJ457523:SRJ457612 SHN457523:SHN457612 RXR457523:RXR457612 RNV457523:RNV457612 RDZ457523:RDZ457612 QUD457523:QUD457612 QKH457523:QKH457612 QAL457523:QAL457612 PQP457523:PQP457612 PGT457523:PGT457612 OWX457523:OWX457612 ONB457523:ONB457612 ODF457523:ODF457612 NTJ457523:NTJ457612 NJN457523:NJN457612 MZR457523:MZR457612 MPV457523:MPV457612 MFZ457523:MFZ457612 LWD457523:LWD457612 LMH457523:LMH457612 LCL457523:LCL457612 KSP457523:KSP457612 KIT457523:KIT457612 JYX457523:JYX457612 JPB457523:JPB457612 JFF457523:JFF457612 IVJ457523:IVJ457612 ILN457523:ILN457612 IBR457523:IBR457612 HRV457523:HRV457612 HHZ457523:HHZ457612 GYD457523:GYD457612 GOH457523:GOH457612 GEL457523:GEL457612 FUP457523:FUP457612 FKT457523:FKT457612 FAX457523:FAX457612 ERB457523:ERB457612 EHF457523:EHF457612 DXJ457523:DXJ457612 DNN457523:DNN457612 DDR457523:DDR457612 CTV457523:CTV457612 CJZ457523:CJZ457612 CAD457523:CAD457612 BQH457523:BQH457612 BGL457523:BGL457612 AWP457523:AWP457612 AMT457523:AMT457612 ACX457523:ACX457612 TB457523:TB457612 JF457523:JF457612 J457532:J457621 WVR391987:WVR392076 WLV391987:WLV392076 WBZ391987:WBZ392076 VSD391987:VSD392076 VIH391987:VIH392076 UYL391987:UYL392076 UOP391987:UOP392076 UET391987:UET392076 TUX391987:TUX392076 TLB391987:TLB392076 TBF391987:TBF392076 SRJ391987:SRJ392076 SHN391987:SHN392076 RXR391987:RXR392076 RNV391987:RNV392076 RDZ391987:RDZ392076 QUD391987:QUD392076 QKH391987:QKH392076 QAL391987:QAL392076 PQP391987:PQP392076 PGT391987:PGT392076 OWX391987:OWX392076 ONB391987:ONB392076 ODF391987:ODF392076 NTJ391987:NTJ392076 NJN391987:NJN392076 MZR391987:MZR392076 MPV391987:MPV392076 MFZ391987:MFZ392076 LWD391987:LWD392076 LMH391987:LMH392076 LCL391987:LCL392076 KSP391987:KSP392076 KIT391987:KIT392076 JYX391987:JYX392076 JPB391987:JPB392076 JFF391987:JFF392076 IVJ391987:IVJ392076 ILN391987:ILN392076 IBR391987:IBR392076 HRV391987:HRV392076 HHZ391987:HHZ392076 GYD391987:GYD392076 GOH391987:GOH392076 GEL391987:GEL392076 FUP391987:FUP392076 FKT391987:FKT392076 FAX391987:FAX392076 ERB391987:ERB392076 EHF391987:EHF392076 DXJ391987:DXJ392076 DNN391987:DNN392076 DDR391987:DDR392076 CTV391987:CTV392076 CJZ391987:CJZ392076 CAD391987:CAD392076 BQH391987:BQH392076 BGL391987:BGL392076 AWP391987:AWP392076 AMT391987:AMT392076 ACX391987:ACX392076 TB391987:TB392076 JF391987:JF392076 J391996:J392085 WVR326451:WVR326540 WLV326451:WLV326540 WBZ326451:WBZ326540 VSD326451:VSD326540 VIH326451:VIH326540 UYL326451:UYL326540 UOP326451:UOP326540 UET326451:UET326540 TUX326451:TUX326540 TLB326451:TLB326540 TBF326451:TBF326540 SRJ326451:SRJ326540 SHN326451:SHN326540 RXR326451:RXR326540 RNV326451:RNV326540 RDZ326451:RDZ326540 QUD326451:QUD326540 QKH326451:QKH326540 QAL326451:QAL326540 PQP326451:PQP326540 PGT326451:PGT326540 OWX326451:OWX326540 ONB326451:ONB326540 ODF326451:ODF326540 NTJ326451:NTJ326540 NJN326451:NJN326540 MZR326451:MZR326540 MPV326451:MPV326540 MFZ326451:MFZ326540 LWD326451:LWD326540 LMH326451:LMH326540 LCL326451:LCL326540 KSP326451:KSP326540 KIT326451:KIT326540 JYX326451:JYX326540 JPB326451:JPB326540 JFF326451:JFF326540 IVJ326451:IVJ326540 ILN326451:ILN326540 IBR326451:IBR326540 HRV326451:HRV326540 HHZ326451:HHZ326540 GYD326451:GYD326540 GOH326451:GOH326540 GEL326451:GEL326540 FUP326451:FUP326540 FKT326451:FKT326540 FAX326451:FAX326540 ERB326451:ERB326540 EHF326451:EHF326540 DXJ326451:DXJ326540 DNN326451:DNN326540 DDR326451:DDR326540 CTV326451:CTV326540 CJZ326451:CJZ326540 CAD326451:CAD326540 BQH326451:BQH326540 BGL326451:BGL326540 AWP326451:AWP326540 AMT326451:AMT326540 ACX326451:ACX326540 TB326451:TB326540 JF326451:JF326540 J326460:J326549 WVR260915:WVR261004 WLV260915:WLV261004 WBZ260915:WBZ261004 VSD260915:VSD261004 VIH260915:VIH261004 UYL260915:UYL261004 UOP260915:UOP261004 UET260915:UET261004 TUX260915:TUX261004 TLB260915:TLB261004 TBF260915:TBF261004 SRJ260915:SRJ261004 SHN260915:SHN261004 RXR260915:RXR261004 RNV260915:RNV261004 RDZ260915:RDZ261004 QUD260915:QUD261004 QKH260915:QKH261004 QAL260915:QAL261004 PQP260915:PQP261004 PGT260915:PGT261004 OWX260915:OWX261004 ONB260915:ONB261004 ODF260915:ODF261004 NTJ260915:NTJ261004 NJN260915:NJN261004 MZR260915:MZR261004 MPV260915:MPV261004 MFZ260915:MFZ261004 LWD260915:LWD261004 LMH260915:LMH261004 LCL260915:LCL261004 KSP260915:KSP261004 KIT260915:KIT261004 JYX260915:JYX261004 JPB260915:JPB261004 JFF260915:JFF261004 IVJ260915:IVJ261004 ILN260915:ILN261004 IBR260915:IBR261004 HRV260915:HRV261004 HHZ260915:HHZ261004 GYD260915:GYD261004 GOH260915:GOH261004 GEL260915:GEL261004 FUP260915:FUP261004 FKT260915:FKT261004 FAX260915:FAX261004 ERB260915:ERB261004 EHF260915:EHF261004 DXJ260915:DXJ261004 DNN260915:DNN261004 DDR260915:DDR261004 CTV260915:CTV261004 CJZ260915:CJZ261004 CAD260915:CAD261004 BQH260915:BQH261004 BGL260915:BGL261004 AWP260915:AWP261004 AMT260915:AMT261004 ACX260915:ACX261004 TB260915:TB261004 JF260915:JF261004 J260924:J261013 WVR195379:WVR195468 WLV195379:WLV195468 WBZ195379:WBZ195468 VSD195379:VSD195468 VIH195379:VIH195468 UYL195379:UYL195468 UOP195379:UOP195468 UET195379:UET195468 TUX195379:TUX195468 TLB195379:TLB195468 TBF195379:TBF195468 SRJ195379:SRJ195468 SHN195379:SHN195468 RXR195379:RXR195468 RNV195379:RNV195468 RDZ195379:RDZ195468 QUD195379:QUD195468 QKH195379:QKH195468 QAL195379:QAL195468 PQP195379:PQP195468 PGT195379:PGT195468 OWX195379:OWX195468 ONB195379:ONB195468 ODF195379:ODF195468 NTJ195379:NTJ195468 NJN195379:NJN195468 MZR195379:MZR195468 MPV195379:MPV195468 MFZ195379:MFZ195468 LWD195379:LWD195468 LMH195379:LMH195468 LCL195379:LCL195468 KSP195379:KSP195468 KIT195379:KIT195468 JYX195379:JYX195468 JPB195379:JPB195468 JFF195379:JFF195468 IVJ195379:IVJ195468 ILN195379:ILN195468 IBR195379:IBR195468 HRV195379:HRV195468 HHZ195379:HHZ195468 GYD195379:GYD195468 GOH195379:GOH195468 GEL195379:GEL195468 FUP195379:FUP195468 FKT195379:FKT195468 FAX195379:FAX195468 ERB195379:ERB195468 EHF195379:EHF195468 DXJ195379:DXJ195468 DNN195379:DNN195468 DDR195379:DDR195468 CTV195379:CTV195468 CJZ195379:CJZ195468 CAD195379:CAD195468 BQH195379:BQH195468 BGL195379:BGL195468 AWP195379:AWP195468 AMT195379:AMT195468 ACX195379:ACX195468 TB195379:TB195468 JF195379:JF195468 J195388:J195477 WVR129843:WVR129932 WLV129843:WLV129932 WBZ129843:WBZ129932 VSD129843:VSD129932 VIH129843:VIH129932 UYL129843:UYL129932 UOP129843:UOP129932 UET129843:UET129932 TUX129843:TUX129932 TLB129843:TLB129932 TBF129843:TBF129932 SRJ129843:SRJ129932 SHN129843:SHN129932 RXR129843:RXR129932 RNV129843:RNV129932 RDZ129843:RDZ129932 QUD129843:QUD129932 QKH129843:QKH129932 QAL129843:QAL129932 PQP129843:PQP129932 PGT129843:PGT129932 OWX129843:OWX129932 ONB129843:ONB129932 ODF129843:ODF129932 NTJ129843:NTJ129932 NJN129843:NJN129932 MZR129843:MZR129932 MPV129843:MPV129932 MFZ129843:MFZ129932 LWD129843:LWD129932 LMH129843:LMH129932 LCL129843:LCL129932 KSP129843:KSP129932 KIT129843:KIT129932 JYX129843:JYX129932 JPB129843:JPB129932 JFF129843:JFF129932 IVJ129843:IVJ129932 ILN129843:ILN129932 IBR129843:IBR129932 HRV129843:HRV129932 HHZ129843:HHZ129932 GYD129843:GYD129932 GOH129843:GOH129932 GEL129843:GEL129932 FUP129843:FUP129932 FKT129843:FKT129932 FAX129843:FAX129932 ERB129843:ERB129932 EHF129843:EHF129932 DXJ129843:DXJ129932 DNN129843:DNN129932 DDR129843:DDR129932 CTV129843:CTV129932 CJZ129843:CJZ129932 CAD129843:CAD129932 BQH129843:BQH129932 BGL129843:BGL129932 AWP129843:AWP129932 AMT129843:AMT129932 ACX129843:ACX129932 TB129843:TB129932 JF129843:JF129932 J129852:J129941 WVR64307:WVR64396 WLV64307:WLV64396 WBZ64307:WBZ64396 VSD64307:VSD64396 VIH64307:VIH64396 UYL64307:UYL64396 UOP64307:UOP64396 UET64307:UET64396 TUX64307:TUX64396 TLB64307:TLB64396 TBF64307:TBF64396 SRJ64307:SRJ64396 SHN64307:SHN64396 RXR64307:RXR64396 RNV64307:RNV64396 RDZ64307:RDZ64396 QUD64307:QUD64396 QKH64307:QKH64396 QAL64307:QAL64396 PQP64307:PQP64396 PGT64307:PGT64396 OWX64307:OWX64396 ONB64307:ONB64396 ODF64307:ODF64396 NTJ64307:NTJ64396 NJN64307:NJN64396 MZR64307:MZR64396 MPV64307:MPV64396 MFZ64307:MFZ64396 LWD64307:LWD64396 LMH64307:LMH64396 LCL64307:LCL64396 KSP64307:KSP64396 KIT64307:KIT64396 JYX64307:JYX64396 JPB64307:JPB64396 JFF64307:JFF64396 IVJ64307:IVJ64396 ILN64307:ILN64396 IBR64307:IBR64396 HRV64307:HRV64396 HHZ64307:HHZ64396 GYD64307:GYD64396 GOH64307:GOH64396 GEL64307:GEL64396 FUP64307:FUP64396 FKT64307:FKT64396 FAX64307:FAX64396 ERB64307:ERB64396 EHF64307:EHF64396 DXJ64307:DXJ64396 DNN64307:DNN64396 DDR64307:DDR64396 CTV64307:CTV64396 CJZ64307:CJZ64396 CAD64307:CAD64396 BQH64307:BQH64396 BGL64307:BGL64396 AWP64307:AWP64396 AMT64307:AMT64396 ACX64307:ACX64396 TB64307:TB64396 JF64307:JF64396 J64316:J64405 WVR2:WVR79 WLV2:WLV79 WBZ2:WBZ79 VSD2:VSD79 VIH2:VIH79 UYL2:UYL79 UOP2:UOP79 UET2:UET79 TUX2:TUX79 TLB2:TLB79 TBF2:TBF79 SRJ2:SRJ79 SHN2:SHN79 RXR2:RXR79 RNV2:RNV79 RDZ2:RDZ79 QUD2:QUD79 QKH2:QKH79 QAL2:QAL79 PQP2:PQP79 PGT2:PGT79 OWX2:OWX79 ONB2:ONB79 ODF2:ODF79 NTJ2:NTJ79 NJN2:NJN79 MZR2:MZR79 MPV2:MPV79 MFZ2:MFZ79 LWD2:LWD79 LMH2:LMH79 LCL2:LCL79 KSP2:KSP79 KIT2:KIT79 JYX2:JYX79 JPB2:JPB79 JFF2:JFF79 IVJ2:IVJ79 ILN2:ILN79 IBR2:IBR79 HRV2:HRV79 HHZ2:HHZ79 GYD2:GYD79 GOH2:GOH79 GEL2:GEL79 FUP2:FUP79 FKT2:FKT79 FAX2:FAX79 ERB2:ERB79 EHF2:EHF79 DXJ2:DXJ79 DNN2:DNN79 DDR2:DDR79 CTV2:CTV79 CJZ2:CJZ79 CAD2:CAD79 BQH2:BQH79 BGL2:BGL79 AWP2:AWP79 AMT2:AMT79 ACX2:ACX79 TB2:TB79 JF2:JF79" xr:uid="{50AD467A-4009-458D-A40B-5F8AD21741F7}">
      <formula1>$AP$2:$AP$15</formula1>
    </dataValidation>
    <dataValidation type="list" allowBlank="1" showInputMessage="1" showErrorMessage="1" sqref="WVN981811:WVN981900 WLR981811:WLR981900 WBV981811:WBV981900 VRZ981811:VRZ981900 VID981811:VID981900 UYH981811:UYH981900 UOL981811:UOL981900 UEP981811:UEP981900 TUT981811:TUT981900 TKX981811:TKX981900 TBB981811:TBB981900 SRF981811:SRF981900 SHJ981811:SHJ981900 RXN981811:RXN981900 RNR981811:RNR981900 RDV981811:RDV981900 QTZ981811:QTZ981900 QKD981811:QKD981900 QAH981811:QAH981900 PQL981811:PQL981900 PGP981811:PGP981900 OWT981811:OWT981900 OMX981811:OMX981900 ODB981811:ODB981900 NTF981811:NTF981900 NJJ981811:NJJ981900 MZN981811:MZN981900 MPR981811:MPR981900 MFV981811:MFV981900 LVZ981811:LVZ981900 LMD981811:LMD981900 LCH981811:LCH981900 KSL981811:KSL981900 KIP981811:KIP981900 JYT981811:JYT981900 JOX981811:JOX981900 JFB981811:JFB981900 IVF981811:IVF981900 ILJ981811:ILJ981900 IBN981811:IBN981900 HRR981811:HRR981900 HHV981811:HHV981900 GXZ981811:GXZ981900 GOD981811:GOD981900 GEH981811:GEH981900 FUL981811:FUL981900 FKP981811:FKP981900 FAT981811:FAT981900 EQX981811:EQX981900 EHB981811:EHB981900 DXF981811:DXF981900 DNJ981811:DNJ981900 DDN981811:DDN981900 CTR981811:CTR981900 CJV981811:CJV981900 BZZ981811:BZZ981900 BQD981811:BQD981900 BGH981811:BGH981900 AWL981811:AWL981900 AMP981811:AMP981900 ACT981811:ACT981900 SX981811:SX981900 JB981811:JB981900 F981822:F981911 WVN916275:WVN916364 WLR916275:WLR916364 WBV916275:WBV916364 VRZ916275:VRZ916364 VID916275:VID916364 UYH916275:UYH916364 UOL916275:UOL916364 UEP916275:UEP916364 TUT916275:TUT916364 TKX916275:TKX916364 TBB916275:TBB916364 SRF916275:SRF916364 SHJ916275:SHJ916364 RXN916275:RXN916364 RNR916275:RNR916364 RDV916275:RDV916364 QTZ916275:QTZ916364 QKD916275:QKD916364 QAH916275:QAH916364 PQL916275:PQL916364 PGP916275:PGP916364 OWT916275:OWT916364 OMX916275:OMX916364 ODB916275:ODB916364 NTF916275:NTF916364 NJJ916275:NJJ916364 MZN916275:MZN916364 MPR916275:MPR916364 MFV916275:MFV916364 LVZ916275:LVZ916364 LMD916275:LMD916364 LCH916275:LCH916364 KSL916275:KSL916364 KIP916275:KIP916364 JYT916275:JYT916364 JOX916275:JOX916364 JFB916275:JFB916364 IVF916275:IVF916364 ILJ916275:ILJ916364 IBN916275:IBN916364 HRR916275:HRR916364 HHV916275:HHV916364 GXZ916275:GXZ916364 GOD916275:GOD916364 GEH916275:GEH916364 FUL916275:FUL916364 FKP916275:FKP916364 FAT916275:FAT916364 EQX916275:EQX916364 EHB916275:EHB916364 DXF916275:DXF916364 DNJ916275:DNJ916364 DDN916275:DDN916364 CTR916275:CTR916364 CJV916275:CJV916364 BZZ916275:BZZ916364 BQD916275:BQD916364 BGH916275:BGH916364 AWL916275:AWL916364 AMP916275:AMP916364 ACT916275:ACT916364 SX916275:SX916364 JB916275:JB916364 F916286:F916375 WVN850739:WVN850828 WLR850739:WLR850828 WBV850739:WBV850828 VRZ850739:VRZ850828 VID850739:VID850828 UYH850739:UYH850828 UOL850739:UOL850828 UEP850739:UEP850828 TUT850739:TUT850828 TKX850739:TKX850828 TBB850739:TBB850828 SRF850739:SRF850828 SHJ850739:SHJ850828 RXN850739:RXN850828 RNR850739:RNR850828 RDV850739:RDV850828 QTZ850739:QTZ850828 QKD850739:QKD850828 QAH850739:QAH850828 PQL850739:PQL850828 PGP850739:PGP850828 OWT850739:OWT850828 OMX850739:OMX850828 ODB850739:ODB850828 NTF850739:NTF850828 NJJ850739:NJJ850828 MZN850739:MZN850828 MPR850739:MPR850828 MFV850739:MFV850828 LVZ850739:LVZ850828 LMD850739:LMD850828 LCH850739:LCH850828 KSL850739:KSL850828 KIP850739:KIP850828 JYT850739:JYT850828 JOX850739:JOX850828 JFB850739:JFB850828 IVF850739:IVF850828 ILJ850739:ILJ850828 IBN850739:IBN850828 HRR850739:HRR850828 HHV850739:HHV850828 GXZ850739:GXZ850828 GOD850739:GOD850828 GEH850739:GEH850828 FUL850739:FUL850828 FKP850739:FKP850828 FAT850739:FAT850828 EQX850739:EQX850828 EHB850739:EHB850828 DXF850739:DXF850828 DNJ850739:DNJ850828 DDN850739:DDN850828 CTR850739:CTR850828 CJV850739:CJV850828 BZZ850739:BZZ850828 BQD850739:BQD850828 BGH850739:BGH850828 AWL850739:AWL850828 AMP850739:AMP850828 ACT850739:ACT850828 SX850739:SX850828 JB850739:JB850828 F850750:F850839 WVN785203:WVN785292 WLR785203:WLR785292 WBV785203:WBV785292 VRZ785203:VRZ785292 VID785203:VID785292 UYH785203:UYH785292 UOL785203:UOL785292 UEP785203:UEP785292 TUT785203:TUT785292 TKX785203:TKX785292 TBB785203:TBB785292 SRF785203:SRF785292 SHJ785203:SHJ785292 RXN785203:RXN785292 RNR785203:RNR785292 RDV785203:RDV785292 QTZ785203:QTZ785292 QKD785203:QKD785292 QAH785203:QAH785292 PQL785203:PQL785292 PGP785203:PGP785292 OWT785203:OWT785292 OMX785203:OMX785292 ODB785203:ODB785292 NTF785203:NTF785292 NJJ785203:NJJ785292 MZN785203:MZN785292 MPR785203:MPR785292 MFV785203:MFV785292 LVZ785203:LVZ785292 LMD785203:LMD785292 LCH785203:LCH785292 KSL785203:KSL785292 KIP785203:KIP785292 JYT785203:JYT785292 JOX785203:JOX785292 JFB785203:JFB785292 IVF785203:IVF785292 ILJ785203:ILJ785292 IBN785203:IBN785292 HRR785203:HRR785292 HHV785203:HHV785292 GXZ785203:GXZ785292 GOD785203:GOD785292 GEH785203:GEH785292 FUL785203:FUL785292 FKP785203:FKP785292 FAT785203:FAT785292 EQX785203:EQX785292 EHB785203:EHB785292 DXF785203:DXF785292 DNJ785203:DNJ785292 DDN785203:DDN785292 CTR785203:CTR785292 CJV785203:CJV785292 BZZ785203:BZZ785292 BQD785203:BQD785292 BGH785203:BGH785292 AWL785203:AWL785292 AMP785203:AMP785292 ACT785203:ACT785292 SX785203:SX785292 JB785203:JB785292 F785214:F785303 WVN719667:WVN719756 WLR719667:WLR719756 WBV719667:WBV719756 VRZ719667:VRZ719756 VID719667:VID719756 UYH719667:UYH719756 UOL719667:UOL719756 UEP719667:UEP719756 TUT719667:TUT719756 TKX719667:TKX719756 TBB719667:TBB719756 SRF719667:SRF719756 SHJ719667:SHJ719756 RXN719667:RXN719756 RNR719667:RNR719756 RDV719667:RDV719756 QTZ719667:QTZ719756 QKD719667:QKD719756 QAH719667:QAH719756 PQL719667:PQL719756 PGP719667:PGP719756 OWT719667:OWT719756 OMX719667:OMX719756 ODB719667:ODB719756 NTF719667:NTF719756 NJJ719667:NJJ719756 MZN719667:MZN719756 MPR719667:MPR719756 MFV719667:MFV719756 LVZ719667:LVZ719756 LMD719667:LMD719756 LCH719667:LCH719756 KSL719667:KSL719756 KIP719667:KIP719756 JYT719667:JYT719756 JOX719667:JOX719756 JFB719667:JFB719756 IVF719667:IVF719756 ILJ719667:ILJ719756 IBN719667:IBN719756 HRR719667:HRR719756 HHV719667:HHV719756 GXZ719667:GXZ719756 GOD719667:GOD719756 GEH719667:GEH719756 FUL719667:FUL719756 FKP719667:FKP719756 FAT719667:FAT719756 EQX719667:EQX719756 EHB719667:EHB719756 DXF719667:DXF719756 DNJ719667:DNJ719756 DDN719667:DDN719756 CTR719667:CTR719756 CJV719667:CJV719756 BZZ719667:BZZ719756 BQD719667:BQD719756 BGH719667:BGH719756 AWL719667:AWL719756 AMP719667:AMP719756 ACT719667:ACT719756 SX719667:SX719756 JB719667:JB719756 F719678:F719767 WVN654131:WVN654220 WLR654131:WLR654220 WBV654131:WBV654220 VRZ654131:VRZ654220 VID654131:VID654220 UYH654131:UYH654220 UOL654131:UOL654220 UEP654131:UEP654220 TUT654131:TUT654220 TKX654131:TKX654220 TBB654131:TBB654220 SRF654131:SRF654220 SHJ654131:SHJ654220 RXN654131:RXN654220 RNR654131:RNR654220 RDV654131:RDV654220 QTZ654131:QTZ654220 QKD654131:QKD654220 QAH654131:QAH654220 PQL654131:PQL654220 PGP654131:PGP654220 OWT654131:OWT654220 OMX654131:OMX654220 ODB654131:ODB654220 NTF654131:NTF654220 NJJ654131:NJJ654220 MZN654131:MZN654220 MPR654131:MPR654220 MFV654131:MFV654220 LVZ654131:LVZ654220 LMD654131:LMD654220 LCH654131:LCH654220 KSL654131:KSL654220 KIP654131:KIP654220 JYT654131:JYT654220 JOX654131:JOX654220 JFB654131:JFB654220 IVF654131:IVF654220 ILJ654131:ILJ654220 IBN654131:IBN654220 HRR654131:HRR654220 HHV654131:HHV654220 GXZ654131:GXZ654220 GOD654131:GOD654220 GEH654131:GEH654220 FUL654131:FUL654220 FKP654131:FKP654220 FAT654131:FAT654220 EQX654131:EQX654220 EHB654131:EHB654220 DXF654131:DXF654220 DNJ654131:DNJ654220 DDN654131:DDN654220 CTR654131:CTR654220 CJV654131:CJV654220 BZZ654131:BZZ654220 BQD654131:BQD654220 BGH654131:BGH654220 AWL654131:AWL654220 AMP654131:AMP654220 ACT654131:ACT654220 SX654131:SX654220 JB654131:JB654220 F654142:F654231 WVN588595:WVN588684 WLR588595:WLR588684 WBV588595:WBV588684 VRZ588595:VRZ588684 VID588595:VID588684 UYH588595:UYH588684 UOL588595:UOL588684 UEP588595:UEP588684 TUT588595:TUT588684 TKX588595:TKX588684 TBB588595:TBB588684 SRF588595:SRF588684 SHJ588595:SHJ588684 RXN588595:RXN588684 RNR588595:RNR588684 RDV588595:RDV588684 QTZ588595:QTZ588684 QKD588595:QKD588684 QAH588595:QAH588684 PQL588595:PQL588684 PGP588595:PGP588684 OWT588595:OWT588684 OMX588595:OMX588684 ODB588595:ODB588684 NTF588595:NTF588684 NJJ588595:NJJ588684 MZN588595:MZN588684 MPR588595:MPR588684 MFV588595:MFV588684 LVZ588595:LVZ588684 LMD588595:LMD588684 LCH588595:LCH588684 KSL588595:KSL588684 KIP588595:KIP588684 JYT588595:JYT588684 JOX588595:JOX588684 JFB588595:JFB588684 IVF588595:IVF588684 ILJ588595:ILJ588684 IBN588595:IBN588684 HRR588595:HRR588684 HHV588595:HHV588684 GXZ588595:GXZ588684 GOD588595:GOD588684 GEH588595:GEH588684 FUL588595:FUL588684 FKP588595:FKP588684 FAT588595:FAT588684 EQX588595:EQX588684 EHB588595:EHB588684 DXF588595:DXF588684 DNJ588595:DNJ588684 DDN588595:DDN588684 CTR588595:CTR588684 CJV588595:CJV588684 BZZ588595:BZZ588684 BQD588595:BQD588684 BGH588595:BGH588684 AWL588595:AWL588684 AMP588595:AMP588684 ACT588595:ACT588684 SX588595:SX588684 JB588595:JB588684 F588606:F588695 WVN523059:WVN523148 WLR523059:WLR523148 WBV523059:WBV523148 VRZ523059:VRZ523148 VID523059:VID523148 UYH523059:UYH523148 UOL523059:UOL523148 UEP523059:UEP523148 TUT523059:TUT523148 TKX523059:TKX523148 TBB523059:TBB523148 SRF523059:SRF523148 SHJ523059:SHJ523148 RXN523059:RXN523148 RNR523059:RNR523148 RDV523059:RDV523148 QTZ523059:QTZ523148 QKD523059:QKD523148 QAH523059:QAH523148 PQL523059:PQL523148 PGP523059:PGP523148 OWT523059:OWT523148 OMX523059:OMX523148 ODB523059:ODB523148 NTF523059:NTF523148 NJJ523059:NJJ523148 MZN523059:MZN523148 MPR523059:MPR523148 MFV523059:MFV523148 LVZ523059:LVZ523148 LMD523059:LMD523148 LCH523059:LCH523148 KSL523059:KSL523148 KIP523059:KIP523148 JYT523059:JYT523148 JOX523059:JOX523148 JFB523059:JFB523148 IVF523059:IVF523148 ILJ523059:ILJ523148 IBN523059:IBN523148 HRR523059:HRR523148 HHV523059:HHV523148 GXZ523059:GXZ523148 GOD523059:GOD523148 GEH523059:GEH523148 FUL523059:FUL523148 FKP523059:FKP523148 FAT523059:FAT523148 EQX523059:EQX523148 EHB523059:EHB523148 DXF523059:DXF523148 DNJ523059:DNJ523148 DDN523059:DDN523148 CTR523059:CTR523148 CJV523059:CJV523148 BZZ523059:BZZ523148 BQD523059:BQD523148 BGH523059:BGH523148 AWL523059:AWL523148 AMP523059:AMP523148 ACT523059:ACT523148 SX523059:SX523148 JB523059:JB523148 F523070:F523159 WVN457523:WVN457612 WLR457523:WLR457612 WBV457523:WBV457612 VRZ457523:VRZ457612 VID457523:VID457612 UYH457523:UYH457612 UOL457523:UOL457612 UEP457523:UEP457612 TUT457523:TUT457612 TKX457523:TKX457612 TBB457523:TBB457612 SRF457523:SRF457612 SHJ457523:SHJ457612 RXN457523:RXN457612 RNR457523:RNR457612 RDV457523:RDV457612 QTZ457523:QTZ457612 QKD457523:QKD457612 QAH457523:QAH457612 PQL457523:PQL457612 PGP457523:PGP457612 OWT457523:OWT457612 OMX457523:OMX457612 ODB457523:ODB457612 NTF457523:NTF457612 NJJ457523:NJJ457612 MZN457523:MZN457612 MPR457523:MPR457612 MFV457523:MFV457612 LVZ457523:LVZ457612 LMD457523:LMD457612 LCH457523:LCH457612 KSL457523:KSL457612 KIP457523:KIP457612 JYT457523:JYT457612 JOX457523:JOX457612 JFB457523:JFB457612 IVF457523:IVF457612 ILJ457523:ILJ457612 IBN457523:IBN457612 HRR457523:HRR457612 HHV457523:HHV457612 GXZ457523:GXZ457612 GOD457523:GOD457612 GEH457523:GEH457612 FUL457523:FUL457612 FKP457523:FKP457612 FAT457523:FAT457612 EQX457523:EQX457612 EHB457523:EHB457612 DXF457523:DXF457612 DNJ457523:DNJ457612 DDN457523:DDN457612 CTR457523:CTR457612 CJV457523:CJV457612 BZZ457523:BZZ457612 BQD457523:BQD457612 BGH457523:BGH457612 AWL457523:AWL457612 AMP457523:AMP457612 ACT457523:ACT457612 SX457523:SX457612 JB457523:JB457612 F457534:F457623 WVN391987:WVN392076 WLR391987:WLR392076 WBV391987:WBV392076 VRZ391987:VRZ392076 VID391987:VID392076 UYH391987:UYH392076 UOL391987:UOL392076 UEP391987:UEP392076 TUT391987:TUT392076 TKX391987:TKX392076 TBB391987:TBB392076 SRF391987:SRF392076 SHJ391987:SHJ392076 RXN391987:RXN392076 RNR391987:RNR392076 RDV391987:RDV392076 QTZ391987:QTZ392076 QKD391987:QKD392076 QAH391987:QAH392076 PQL391987:PQL392076 PGP391987:PGP392076 OWT391987:OWT392076 OMX391987:OMX392076 ODB391987:ODB392076 NTF391987:NTF392076 NJJ391987:NJJ392076 MZN391987:MZN392076 MPR391987:MPR392076 MFV391987:MFV392076 LVZ391987:LVZ392076 LMD391987:LMD392076 LCH391987:LCH392076 KSL391987:KSL392076 KIP391987:KIP392076 JYT391987:JYT392076 JOX391987:JOX392076 JFB391987:JFB392076 IVF391987:IVF392076 ILJ391987:ILJ392076 IBN391987:IBN392076 HRR391987:HRR392076 HHV391987:HHV392076 GXZ391987:GXZ392076 GOD391987:GOD392076 GEH391987:GEH392076 FUL391987:FUL392076 FKP391987:FKP392076 FAT391987:FAT392076 EQX391987:EQX392076 EHB391987:EHB392076 DXF391987:DXF392076 DNJ391987:DNJ392076 DDN391987:DDN392076 CTR391987:CTR392076 CJV391987:CJV392076 BZZ391987:BZZ392076 BQD391987:BQD392076 BGH391987:BGH392076 AWL391987:AWL392076 AMP391987:AMP392076 ACT391987:ACT392076 SX391987:SX392076 JB391987:JB392076 F391998:F392087 WVN326451:WVN326540 WLR326451:WLR326540 WBV326451:WBV326540 VRZ326451:VRZ326540 VID326451:VID326540 UYH326451:UYH326540 UOL326451:UOL326540 UEP326451:UEP326540 TUT326451:TUT326540 TKX326451:TKX326540 TBB326451:TBB326540 SRF326451:SRF326540 SHJ326451:SHJ326540 RXN326451:RXN326540 RNR326451:RNR326540 RDV326451:RDV326540 QTZ326451:QTZ326540 QKD326451:QKD326540 QAH326451:QAH326540 PQL326451:PQL326540 PGP326451:PGP326540 OWT326451:OWT326540 OMX326451:OMX326540 ODB326451:ODB326540 NTF326451:NTF326540 NJJ326451:NJJ326540 MZN326451:MZN326540 MPR326451:MPR326540 MFV326451:MFV326540 LVZ326451:LVZ326540 LMD326451:LMD326540 LCH326451:LCH326540 KSL326451:KSL326540 KIP326451:KIP326540 JYT326451:JYT326540 JOX326451:JOX326540 JFB326451:JFB326540 IVF326451:IVF326540 ILJ326451:ILJ326540 IBN326451:IBN326540 HRR326451:HRR326540 HHV326451:HHV326540 GXZ326451:GXZ326540 GOD326451:GOD326540 GEH326451:GEH326540 FUL326451:FUL326540 FKP326451:FKP326540 FAT326451:FAT326540 EQX326451:EQX326540 EHB326451:EHB326540 DXF326451:DXF326540 DNJ326451:DNJ326540 DDN326451:DDN326540 CTR326451:CTR326540 CJV326451:CJV326540 BZZ326451:BZZ326540 BQD326451:BQD326540 BGH326451:BGH326540 AWL326451:AWL326540 AMP326451:AMP326540 ACT326451:ACT326540 SX326451:SX326540 JB326451:JB326540 F326462:F326551 WVN260915:WVN261004 WLR260915:WLR261004 WBV260915:WBV261004 VRZ260915:VRZ261004 VID260915:VID261004 UYH260915:UYH261004 UOL260915:UOL261004 UEP260915:UEP261004 TUT260915:TUT261004 TKX260915:TKX261004 TBB260915:TBB261004 SRF260915:SRF261004 SHJ260915:SHJ261004 RXN260915:RXN261004 RNR260915:RNR261004 RDV260915:RDV261004 QTZ260915:QTZ261004 QKD260915:QKD261004 QAH260915:QAH261004 PQL260915:PQL261004 PGP260915:PGP261004 OWT260915:OWT261004 OMX260915:OMX261004 ODB260915:ODB261004 NTF260915:NTF261004 NJJ260915:NJJ261004 MZN260915:MZN261004 MPR260915:MPR261004 MFV260915:MFV261004 LVZ260915:LVZ261004 LMD260915:LMD261004 LCH260915:LCH261004 KSL260915:KSL261004 KIP260915:KIP261004 JYT260915:JYT261004 JOX260915:JOX261004 JFB260915:JFB261004 IVF260915:IVF261004 ILJ260915:ILJ261004 IBN260915:IBN261004 HRR260915:HRR261004 HHV260915:HHV261004 GXZ260915:GXZ261004 GOD260915:GOD261004 GEH260915:GEH261004 FUL260915:FUL261004 FKP260915:FKP261004 FAT260915:FAT261004 EQX260915:EQX261004 EHB260915:EHB261004 DXF260915:DXF261004 DNJ260915:DNJ261004 DDN260915:DDN261004 CTR260915:CTR261004 CJV260915:CJV261004 BZZ260915:BZZ261004 BQD260915:BQD261004 BGH260915:BGH261004 AWL260915:AWL261004 AMP260915:AMP261004 ACT260915:ACT261004 SX260915:SX261004 JB260915:JB261004 F260926:F261015 WVN195379:WVN195468 WLR195379:WLR195468 WBV195379:WBV195468 VRZ195379:VRZ195468 VID195379:VID195468 UYH195379:UYH195468 UOL195379:UOL195468 UEP195379:UEP195468 TUT195379:TUT195468 TKX195379:TKX195468 TBB195379:TBB195468 SRF195379:SRF195468 SHJ195379:SHJ195468 RXN195379:RXN195468 RNR195379:RNR195468 RDV195379:RDV195468 QTZ195379:QTZ195468 QKD195379:QKD195468 QAH195379:QAH195468 PQL195379:PQL195468 PGP195379:PGP195468 OWT195379:OWT195468 OMX195379:OMX195468 ODB195379:ODB195468 NTF195379:NTF195468 NJJ195379:NJJ195468 MZN195379:MZN195468 MPR195379:MPR195468 MFV195379:MFV195468 LVZ195379:LVZ195468 LMD195379:LMD195468 LCH195379:LCH195468 KSL195379:KSL195468 KIP195379:KIP195468 JYT195379:JYT195468 JOX195379:JOX195468 JFB195379:JFB195468 IVF195379:IVF195468 ILJ195379:ILJ195468 IBN195379:IBN195468 HRR195379:HRR195468 HHV195379:HHV195468 GXZ195379:GXZ195468 GOD195379:GOD195468 GEH195379:GEH195468 FUL195379:FUL195468 FKP195379:FKP195468 FAT195379:FAT195468 EQX195379:EQX195468 EHB195379:EHB195468 DXF195379:DXF195468 DNJ195379:DNJ195468 DDN195379:DDN195468 CTR195379:CTR195468 CJV195379:CJV195468 BZZ195379:BZZ195468 BQD195379:BQD195468 BGH195379:BGH195468 AWL195379:AWL195468 AMP195379:AMP195468 ACT195379:ACT195468 SX195379:SX195468 JB195379:JB195468 F195390:F195479 WVN129843:WVN129932 WLR129843:WLR129932 WBV129843:WBV129932 VRZ129843:VRZ129932 VID129843:VID129932 UYH129843:UYH129932 UOL129843:UOL129932 UEP129843:UEP129932 TUT129843:TUT129932 TKX129843:TKX129932 TBB129843:TBB129932 SRF129843:SRF129932 SHJ129843:SHJ129932 RXN129843:RXN129932 RNR129843:RNR129932 RDV129843:RDV129932 QTZ129843:QTZ129932 QKD129843:QKD129932 QAH129843:QAH129932 PQL129843:PQL129932 PGP129843:PGP129932 OWT129843:OWT129932 OMX129843:OMX129932 ODB129843:ODB129932 NTF129843:NTF129932 NJJ129843:NJJ129932 MZN129843:MZN129932 MPR129843:MPR129932 MFV129843:MFV129932 LVZ129843:LVZ129932 LMD129843:LMD129932 LCH129843:LCH129932 KSL129843:KSL129932 KIP129843:KIP129932 JYT129843:JYT129932 JOX129843:JOX129932 JFB129843:JFB129932 IVF129843:IVF129932 ILJ129843:ILJ129932 IBN129843:IBN129932 HRR129843:HRR129932 HHV129843:HHV129932 GXZ129843:GXZ129932 GOD129843:GOD129932 GEH129843:GEH129932 FUL129843:FUL129932 FKP129843:FKP129932 FAT129843:FAT129932 EQX129843:EQX129932 EHB129843:EHB129932 DXF129843:DXF129932 DNJ129843:DNJ129932 DDN129843:DDN129932 CTR129843:CTR129932 CJV129843:CJV129932 BZZ129843:BZZ129932 BQD129843:BQD129932 BGH129843:BGH129932 AWL129843:AWL129932 AMP129843:AMP129932 ACT129843:ACT129932 SX129843:SX129932 JB129843:JB129932 F129854:F129943 WVN64307:WVN64396 WLR64307:WLR64396 WBV64307:WBV64396 VRZ64307:VRZ64396 VID64307:VID64396 UYH64307:UYH64396 UOL64307:UOL64396 UEP64307:UEP64396 TUT64307:TUT64396 TKX64307:TKX64396 TBB64307:TBB64396 SRF64307:SRF64396 SHJ64307:SHJ64396 RXN64307:RXN64396 RNR64307:RNR64396 RDV64307:RDV64396 QTZ64307:QTZ64396 QKD64307:QKD64396 QAH64307:QAH64396 PQL64307:PQL64396 PGP64307:PGP64396 OWT64307:OWT64396 OMX64307:OMX64396 ODB64307:ODB64396 NTF64307:NTF64396 NJJ64307:NJJ64396 MZN64307:MZN64396 MPR64307:MPR64396 MFV64307:MFV64396 LVZ64307:LVZ64396 LMD64307:LMD64396 LCH64307:LCH64396 KSL64307:KSL64396 KIP64307:KIP64396 JYT64307:JYT64396 JOX64307:JOX64396 JFB64307:JFB64396 IVF64307:IVF64396 ILJ64307:ILJ64396 IBN64307:IBN64396 HRR64307:HRR64396 HHV64307:HHV64396 GXZ64307:GXZ64396 GOD64307:GOD64396 GEH64307:GEH64396 FUL64307:FUL64396 FKP64307:FKP64396 FAT64307:FAT64396 EQX64307:EQX64396 EHB64307:EHB64396 DXF64307:DXF64396 DNJ64307:DNJ64396 DDN64307:DDN64396 CTR64307:CTR64396 CJV64307:CJV64396 BZZ64307:BZZ64396 BQD64307:BQD64396 BGH64307:BGH64396 AWL64307:AWL64396 AMP64307:AMP64396 ACT64307:ACT64396 SX64307:SX64396 JB64307:JB64396 F64318:F64407 JB2:JB79 SX2:SX79 ACT2:ACT79 AMP2:AMP79 AWL2:AWL79 BGH2:BGH79 BQD2:BQD79 BZZ2:BZZ79 CJV2:CJV79 CTR2:CTR79 DDN2:DDN79 DNJ2:DNJ79 DXF2:DXF79 EHB2:EHB79 EQX2:EQX79 FAT2:FAT79 FKP2:FKP79 FUL2:FUL79 GEH2:GEH79 GOD2:GOD79 GXZ2:GXZ79 HHV2:HHV79 HRR2:HRR79 IBN2:IBN79 ILJ2:ILJ79 IVF2:IVF79 JFB2:JFB79 JOX2:JOX79 JYT2:JYT79 KIP2:KIP79 KSL2:KSL79 LCH2:LCH79 LMD2:LMD79 LVZ2:LVZ79 MFV2:MFV79 MPR2:MPR79 MZN2:MZN79 NJJ2:NJJ79 NTF2:NTF79 ODB2:ODB79 OMX2:OMX79 OWT2:OWT79 PGP2:PGP79 PQL2:PQL79 QAH2:QAH79 QKD2:QKD79 QTZ2:QTZ79 RDV2:RDV79 RNR2:RNR79 RXN2:RXN79 SHJ2:SHJ79 SRF2:SRF79 TBB2:TBB79 TKX2:TKX79 TUT2:TUT79 UEP2:UEP79 UOL2:UOL79 UYH2:UYH79 VID2:VID79 VRZ2:VRZ79 WBV2:WBV79 WLR2:WLR79 WVN2:WVN79" xr:uid="{201DDBAB-6897-47E0-8916-1DFD8226AA6B}">
      <formula1>$AH$2:$AH$13</formula1>
    </dataValidation>
    <dataValidation type="list" allowBlank="1" showInputMessage="1" showErrorMessage="1" sqref="WVM981811:WVM981900 WLQ981811:WLQ981900 WBU981811:WBU981900 VRY981811:VRY981900 VIC981811:VIC981900 UYG981811:UYG981900 UOK981811:UOK981900 UEO981811:UEO981900 TUS981811:TUS981900 TKW981811:TKW981900 TBA981811:TBA981900 SRE981811:SRE981900 SHI981811:SHI981900 RXM981811:RXM981900 RNQ981811:RNQ981900 RDU981811:RDU981900 QTY981811:QTY981900 QKC981811:QKC981900 QAG981811:QAG981900 PQK981811:PQK981900 PGO981811:PGO981900 OWS981811:OWS981900 OMW981811:OMW981900 ODA981811:ODA981900 NTE981811:NTE981900 NJI981811:NJI981900 MZM981811:MZM981900 MPQ981811:MPQ981900 MFU981811:MFU981900 LVY981811:LVY981900 LMC981811:LMC981900 LCG981811:LCG981900 KSK981811:KSK981900 KIO981811:KIO981900 JYS981811:JYS981900 JOW981811:JOW981900 JFA981811:JFA981900 IVE981811:IVE981900 ILI981811:ILI981900 IBM981811:IBM981900 HRQ981811:HRQ981900 HHU981811:HHU981900 GXY981811:GXY981900 GOC981811:GOC981900 GEG981811:GEG981900 FUK981811:FUK981900 FKO981811:FKO981900 FAS981811:FAS981900 EQW981811:EQW981900 EHA981811:EHA981900 DXE981811:DXE981900 DNI981811:DNI981900 DDM981811:DDM981900 CTQ981811:CTQ981900 CJU981811:CJU981900 BZY981811:BZY981900 BQC981811:BQC981900 BGG981811:BGG981900 AWK981811:AWK981900 AMO981811:AMO981900 ACS981811:ACS981900 SW981811:SW981900 JA981811:JA981900 E981822:E981911 WVM916275:WVM916364 WLQ916275:WLQ916364 WBU916275:WBU916364 VRY916275:VRY916364 VIC916275:VIC916364 UYG916275:UYG916364 UOK916275:UOK916364 UEO916275:UEO916364 TUS916275:TUS916364 TKW916275:TKW916364 TBA916275:TBA916364 SRE916275:SRE916364 SHI916275:SHI916364 RXM916275:RXM916364 RNQ916275:RNQ916364 RDU916275:RDU916364 QTY916275:QTY916364 QKC916275:QKC916364 QAG916275:QAG916364 PQK916275:PQK916364 PGO916275:PGO916364 OWS916275:OWS916364 OMW916275:OMW916364 ODA916275:ODA916364 NTE916275:NTE916364 NJI916275:NJI916364 MZM916275:MZM916364 MPQ916275:MPQ916364 MFU916275:MFU916364 LVY916275:LVY916364 LMC916275:LMC916364 LCG916275:LCG916364 KSK916275:KSK916364 KIO916275:KIO916364 JYS916275:JYS916364 JOW916275:JOW916364 JFA916275:JFA916364 IVE916275:IVE916364 ILI916275:ILI916364 IBM916275:IBM916364 HRQ916275:HRQ916364 HHU916275:HHU916364 GXY916275:GXY916364 GOC916275:GOC916364 GEG916275:GEG916364 FUK916275:FUK916364 FKO916275:FKO916364 FAS916275:FAS916364 EQW916275:EQW916364 EHA916275:EHA916364 DXE916275:DXE916364 DNI916275:DNI916364 DDM916275:DDM916364 CTQ916275:CTQ916364 CJU916275:CJU916364 BZY916275:BZY916364 BQC916275:BQC916364 BGG916275:BGG916364 AWK916275:AWK916364 AMO916275:AMO916364 ACS916275:ACS916364 SW916275:SW916364 JA916275:JA916364 E916286:E916375 WVM850739:WVM850828 WLQ850739:WLQ850828 WBU850739:WBU850828 VRY850739:VRY850828 VIC850739:VIC850828 UYG850739:UYG850828 UOK850739:UOK850828 UEO850739:UEO850828 TUS850739:TUS850828 TKW850739:TKW850828 TBA850739:TBA850828 SRE850739:SRE850828 SHI850739:SHI850828 RXM850739:RXM850828 RNQ850739:RNQ850828 RDU850739:RDU850828 QTY850739:QTY850828 QKC850739:QKC850828 QAG850739:QAG850828 PQK850739:PQK850828 PGO850739:PGO850828 OWS850739:OWS850828 OMW850739:OMW850828 ODA850739:ODA850828 NTE850739:NTE850828 NJI850739:NJI850828 MZM850739:MZM850828 MPQ850739:MPQ850828 MFU850739:MFU850828 LVY850739:LVY850828 LMC850739:LMC850828 LCG850739:LCG850828 KSK850739:KSK850828 KIO850739:KIO850828 JYS850739:JYS850828 JOW850739:JOW850828 JFA850739:JFA850828 IVE850739:IVE850828 ILI850739:ILI850828 IBM850739:IBM850828 HRQ850739:HRQ850828 HHU850739:HHU850828 GXY850739:GXY850828 GOC850739:GOC850828 GEG850739:GEG850828 FUK850739:FUK850828 FKO850739:FKO850828 FAS850739:FAS850828 EQW850739:EQW850828 EHA850739:EHA850828 DXE850739:DXE850828 DNI850739:DNI850828 DDM850739:DDM850828 CTQ850739:CTQ850828 CJU850739:CJU850828 BZY850739:BZY850828 BQC850739:BQC850828 BGG850739:BGG850828 AWK850739:AWK850828 AMO850739:AMO850828 ACS850739:ACS850828 SW850739:SW850828 JA850739:JA850828 E850750:E850839 WVM785203:WVM785292 WLQ785203:WLQ785292 WBU785203:WBU785292 VRY785203:VRY785292 VIC785203:VIC785292 UYG785203:UYG785292 UOK785203:UOK785292 UEO785203:UEO785292 TUS785203:TUS785292 TKW785203:TKW785292 TBA785203:TBA785292 SRE785203:SRE785292 SHI785203:SHI785292 RXM785203:RXM785292 RNQ785203:RNQ785292 RDU785203:RDU785292 QTY785203:QTY785292 QKC785203:QKC785292 QAG785203:QAG785292 PQK785203:PQK785292 PGO785203:PGO785292 OWS785203:OWS785292 OMW785203:OMW785292 ODA785203:ODA785292 NTE785203:NTE785292 NJI785203:NJI785292 MZM785203:MZM785292 MPQ785203:MPQ785292 MFU785203:MFU785292 LVY785203:LVY785292 LMC785203:LMC785292 LCG785203:LCG785292 KSK785203:KSK785292 KIO785203:KIO785292 JYS785203:JYS785292 JOW785203:JOW785292 JFA785203:JFA785292 IVE785203:IVE785292 ILI785203:ILI785292 IBM785203:IBM785292 HRQ785203:HRQ785292 HHU785203:HHU785292 GXY785203:GXY785292 GOC785203:GOC785292 GEG785203:GEG785292 FUK785203:FUK785292 FKO785203:FKO785292 FAS785203:FAS785292 EQW785203:EQW785292 EHA785203:EHA785292 DXE785203:DXE785292 DNI785203:DNI785292 DDM785203:DDM785292 CTQ785203:CTQ785292 CJU785203:CJU785292 BZY785203:BZY785292 BQC785203:BQC785292 BGG785203:BGG785292 AWK785203:AWK785292 AMO785203:AMO785292 ACS785203:ACS785292 SW785203:SW785292 JA785203:JA785292 E785214:E785303 WVM719667:WVM719756 WLQ719667:WLQ719756 WBU719667:WBU719756 VRY719667:VRY719756 VIC719667:VIC719756 UYG719667:UYG719756 UOK719667:UOK719756 UEO719667:UEO719756 TUS719667:TUS719756 TKW719667:TKW719756 TBA719667:TBA719756 SRE719667:SRE719756 SHI719667:SHI719756 RXM719667:RXM719756 RNQ719667:RNQ719756 RDU719667:RDU719756 QTY719667:QTY719756 QKC719667:QKC719756 QAG719667:QAG719756 PQK719667:PQK719756 PGO719667:PGO719756 OWS719667:OWS719756 OMW719667:OMW719756 ODA719667:ODA719756 NTE719667:NTE719756 NJI719667:NJI719756 MZM719667:MZM719756 MPQ719667:MPQ719756 MFU719667:MFU719756 LVY719667:LVY719756 LMC719667:LMC719756 LCG719667:LCG719756 KSK719667:KSK719756 KIO719667:KIO719756 JYS719667:JYS719756 JOW719667:JOW719756 JFA719667:JFA719756 IVE719667:IVE719756 ILI719667:ILI719756 IBM719667:IBM719756 HRQ719667:HRQ719756 HHU719667:HHU719756 GXY719667:GXY719756 GOC719667:GOC719756 GEG719667:GEG719756 FUK719667:FUK719756 FKO719667:FKO719756 FAS719667:FAS719756 EQW719667:EQW719756 EHA719667:EHA719756 DXE719667:DXE719756 DNI719667:DNI719756 DDM719667:DDM719756 CTQ719667:CTQ719756 CJU719667:CJU719756 BZY719667:BZY719756 BQC719667:BQC719756 BGG719667:BGG719756 AWK719667:AWK719756 AMO719667:AMO719756 ACS719667:ACS719756 SW719667:SW719756 JA719667:JA719756 E719678:E719767 WVM654131:WVM654220 WLQ654131:WLQ654220 WBU654131:WBU654220 VRY654131:VRY654220 VIC654131:VIC654220 UYG654131:UYG654220 UOK654131:UOK654220 UEO654131:UEO654220 TUS654131:TUS654220 TKW654131:TKW654220 TBA654131:TBA654220 SRE654131:SRE654220 SHI654131:SHI654220 RXM654131:RXM654220 RNQ654131:RNQ654220 RDU654131:RDU654220 QTY654131:QTY654220 QKC654131:QKC654220 QAG654131:QAG654220 PQK654131:PQK654220 PGO654131:PGO654220 OWS654131:OWS654220 OMW654131:OMW654220 ODA654131:ODA654220 NTE654131:NTE654220 NJI654131:NJI654220 MZM654131:MZM654220 MPQ654131:MPQ654220 MFU654131:MFU654220 LVY654131:LVY654220 LMC654131:LMC654220 LCG654131:LCG654220 KSK654131:KSK654220 KIO654131:KIO654220 JYS654131:JYS654220 JOW654131:JOW654220 JFA654131:JFA654220 IVE654131:IVE654220 ILI654131:ILI654220 IBM654131:IBM654220 HRQ654131:HRQ654220 HHU654131:HHU654220 GXY654131:GXY654220 GOC654131:GOC654220 GEG654131:GEG654220 FUK654131:FUK654220 FKO654131:FKO654220 FAS654131:FAS654220 EQW654131:EQW654220 EHA654131:EHA654220 DXE654131:DXE654220 DNI654131:DNI654220 DDM654131:DDM654220 CTQ654131:CTQ654220 CJU654131:CJU654220 BZY654131:BZY654220 BQC654131:BQC654220 BGG654131:BGG654220 AWK654131:AWK654220 AMO654131:AMO654220 ACS654131:ACS654220 SW654131:SW654220 JA654131:JA654220 E654142:E654231 WVM588595:WVM588684 WLQ588595:WLQ588684 WBU588595:WBU588684 VRY588595:VRY588684 VIC588595:VIC588684 UYG588595:UYG588684 UOK588595:UOK588684 UEO588595:UEO588684 TUS588595:TUS588684 TKW588595:TKW588684 TBA588595:TBA588684 SRE588595:SRE588684 SHI588595:SHI588684 RXM588595:RXM588684 RNQ588595:RNQ588684 RDU588595:RDU588684 QTY588595:QTY588684 QKC588595:QKC588684 QAG588595:QAG588684 PQK588595:PQK588684 PGO588595:PGO588684 OWS588595:OWS588684 OMW588595:OMW588684 ODA588595:ODA588684 NTE588595:NTE588684 NJI588595:NJI588684 MZM588595:MZM588684 MPQ588595:MPQ588684 MFU588595:MFU588684 LVY588595:LVY588684 LMC588595:LMC588684 LCG588595:LCG588684 KSK588595:KSK588684 KIO588595:KIO588684 JYS588595:JYS588684 JOW588595:JOW588684 JFA588595:JFA588684 IVE588595:IVE588684 ILI588595:ILI588684 IBM588595:IBM588684 HRQ588595:HRQ588684 HHU588595:HHU588684 GXY588595:GXY588684 GOC588595:GOC588684 GEG588595:GEG588684 FUK588595:FUK588684 FKO588595:FKO588684 FAS588595:FAS588684 EQW588595:EQW588684 EHA588595:EHA588684 DXE588595:DXE588684 DNI588595:DNI588684 DDM588595:DDM588684 CTQ588595:CTQ588684 CJU588595:CJU588684 BZY588595:BZY588684 BQC588595:BQC588684 BGG588595:BGG588684 AWK588595:AWK588684 AMO588595:AMO588684 ACS588595:ACS588684 SW588595:SW588684 JA588595:JA588684 E588606:E588695 WVM523059:WVM523148 WLQ523059:WLQ523148 WBU523059:WBU523148 VRY523059:VRY523148 VIC523059:VIC523148 UYG523059:UYG523148 UOK523059:UOK523148 UEO523059:UEO523148 TUS523059:TUS523148 TKW523059:TKW523148 TBA523059:TBA523148 SRE523059:SRE523148 SHI523059:SHI523148 RXM523059:RXM523148 RNQ523059:RNQ523148 RDU523059:RDU523148 QTY523059:QTY523148 QKC523059:QKC523148 QAG523059:QAG523148 PQK523059:PQK523148 PGO523059:PGO523148 OWS523059:OWS523148 OMW523059:OMW523148 ODA523059:ODA523148 NTE523059:NTE523148 NJI523059:NJI523148 MZM523059:MZM523148 MPQ523059:MPQ523148 MFU523059:MFU523148 LVY523059:LVY523148 LMC523059:LMC523148 LCG523059:LCG523148 KSK523059:KSK523148 KIO523059:KIO523148 JYS523059:JYS523148 JOW523059:JOW523148 JFA523059:JFA523148 IVE523059:IVE523148 ILI523059:ILI523148 IBM523059:IBM523148 HRQ523059:HRQ523148 HHU523059:HHU523148 GXY523059:GXY523148 GOC523059:GOC523148 GEG523059:GEG523148 FUK523059:FUK523148 FKO523059:FKO523148 FAS523059:FAS523148 EQW523059:EQW523148 EHA523059:EHA523148 DXE523059:DXE523148 DNI523059:DNI523148 DDM523059:DDM523148 CTQ523059:CTQ523148 CJU523059:CJU523148 BZY523059:BZY523148 BQC523059:BQC523148 BGG523059:BGG523148 AWK523059:AWK523148 AMO523059:AMO523148 ACS523059:ACS523148 SW523059:SW523148 JA523059:JA523148 E523070:E523159 WVM457523:WVM457612 WLQ457523:WLQ457612 WBU457523:WBU457612 VRY457523:VRY457612 VIC457523:VIC457612 UYG457523:UYG457612 UOK457523:UOK457612 UEO457523:UEO457612 TUS457523:TUS457612 TKW457523:TKW457612 TBA457523:TBA457612 SRE457523:SRE457612 SHI457523:SHI457612 RXM457523:RXM457612 RNQ457523:RNQ457612 RDU457523:RDU457612 QTY457523:QTY457612 QKC457523:QKC457612 QAG457523:QAG457612 PQK457523:PQK457612 PGO457523:PGO457612 OWS457523:OWS457612 OMW457523:OMW457612 ODA457523:ODA457612 NTE457523:NTE457612 NJI457523:NJI457612 MZM457523:MZM457612 MPQ457523:MPQ457612 MFU457523:MFU457612 LVY457523:LVY457612 LMC457523:LMC457612 LCG457523:LCG457612 KSK457523:KSK457612 KIO457523:KIO457612 JYS457523:JYS457612 JOW457523:JOW457612 JFA457523:JFA457612 IVE457523:IVE457612 ILI457523:ILI457612 IBM457523:IBM457612 HRQ457523:HRQ457612 HHU457523:HHU457612 GXY457523:GXY457612 GOC457523:GOC457612 GEG457523:GEG457612 FUK457523:FUK457612 FKO457523:FKO457612 FAS457523:FAS457612 EQW457523:EQW457612 EHA457523:EHA457612 DXE457523:DXE457612 DNI457523:DNI457612 DDM457523:DDM457612 CTQ457523:CTQ457612 CJU457523:CJU457612 BZY457523:BZY457612 BQC457523:BQC457612 BGG457523:BGG457612 AWK457523:AWK457612 AMO457523:AMO457612 ACS457523:ACS457612 SW457523:SW457612 JA457523:JA457612 E457534:E457623 WVM391987:WVM392076 WLQ391987:WLQ392076 WBU391987:WBU392076 VRY391987:VRY392076 VIC391987:VIC392076 UYG391987:UYG392076 UOK391987:UOK392076 UEO391987:UEO392076 TUS391987:TUS392076 TKW391987:TKW392076 TBA391987:TBA392076 SRE391987:SRE392076 SHI391987:SHI392076 RXM391987:RXM392076 RNQ391987:RNQ392076 RDU391987:RDU392076 QTY391987:QTY392076 QKC391987:QKC392076 QAG391987:QAG392076 PQK391987:PQK392076 PGO391987:PGO392076 OWS391987:OWS392076 OMW391987:OMW392076 ODA391987:ODA392076 NTE391987:NTE392076 NJI391987:NJI392076 MZM391987:MZM392076 MPQ391987:MPQ392076 MFU391987:MFU392076 LVY391987:LVY392076 LMC391987:LMC392076 LCG391987:LCG392076 KSK391987:KSK392076 KIO391987:KIO392076 JYS391987:JYS392076 JOW391987:JOW392076 JFA391987:JFA392076 IVE391987:IVE392076 ILI391987:ILI392076 IBM391987:IBM392076 HRQ391987:HRQ392076 HHU391987:HHU392076 GXY391987:GXY392076 GOC391987:GOC392076 GEG391987:GEG392076 FUK391987:FUK392076 FKO391987:FKO392076 FAS391987:FAS392076 EQW391987:EQW392076 EHA391987:EHA392076 DXE391987:DXE392076 DNI391987:DNI392076 DDM391987:DDM392076 CTQ391987:CTQ392076 CJU391987:CJU392076 BZY391987:BZY392076 BQC391987:BQC392076 BGG391987:BGG392076 AWK391987:AWK392076 AMO391987:AMO392076 ACS391987:ACS392076 SW391987:SW392076 JA391987:JA392076 E391998:E392087 WVM326451:WVM326540 WLQ326451:WLQ326540 WBU326451:WBU326540 VRY326451:VRY326540 VIC326451:VIC326540 UYG326451:UYG326540 UOK326451:UOK326540 UEO326451:UEO326540 TUS326451:TUS326540 TKW326451:TKW326540 TBA326451:TBA326540 SRE326451:SRE326540 SHI326451:SHI326540 RXM326451:RXM326540 RNQ326451:RNQ326540 RDU326451:RDU326540 QTY326451:QTY326540 QKC326451:QKC326540 QAG326451:QAG326540 PQK326451:PQK326540 PGO326451:PGO326540 OWS326451:OWS326540 OMW326451:OMW326540 ODA326451:ODA326540 NTE326451:NTE326540 NJI326451:NJI326540 MZM326451:MZM326540 MPQ326451:MPQ326540 MFU326451:MFU326540 LVY326451:LVY326540 LMC326451:LMC326540 LCG326451:LCG326540 KSK326451:KSK326540 KIO326451:KIO326540 JYS326451:JYS326540 JOW326451:JOW326540 JFA326451:JFA326540 IVE326451:IVE326540 ILI326451:ILI326540 IBM326451:IBM326540 HRQ326451:HRQ326540 HHU326451:HHU326540 GXY326451:GXY326540 GOC326451:GOC326540 GEG326451:GEG326540 FUK326451:FUK326540 FKO326451:FKO326540 FAS326451:FAS326540 EQW326451:EQW326540 EHA326451:EHA326540 DXE326451:DXE326540 DNI326451:DNI326540 DDM326451:DDM326540 CTQ326451:CTQ326540 CJU326451:CJU326540 BZY326451:BZY326540 BQC326451:BQC326540 BGG326451:BGG326540 AWK326451:AWK326540 AMO326451:AMO326540 ACS326451:ACS326540 SW326451:SW326540 JA326451:JA326540 E326462:E326551 WVM260915:WVM261004 WLQ260915:WLQ261004 WBU260915:WBU261004 VRY260915:VRY261004 VIC260915:VIC261004 UYG260915:UYG261004 UOK260915:UOK261004 UEO260915:UEO261004 TUS260915:TUS261004 TKW260915:TKW261004 TBA260915:TBA261004 SRE260915:SRE261004 SHI260915:SHI261004 RXM260915:RXM261004 RNQ260915:RNQ261004 RDU260915:RDU261004 QTY260915:QTY261004 QKC260915:QKC261004 QAG260915:QAG261004 PQK260915:PQK261004 PGO260915:PGO261004 OWS260915:OWS261004 OMW260915:OMW261004 ODA260915:ODA261004 NTE260915:NTE261004 NJI260915:NJI261004 MZM260915:MZM261004 MPQ260915:MPQ261004 MFU260915:MFU261004 LVY260915:LVY261004 LMC260915:LMC261004 LCG260915:LCG261004 KSK260915:KSK261004 KIO260915:KIO261004 JYS260915:JYS261004 JOW260915:JOW261004 JFA260915:JFA261004 IVE260915:IVE261004 ILI260915:ILI261004 IBM260915:IBM261004 HRQ260915:HRQ261004 HHU260915:HHU261004 GXY260915:GXY261004 GOC260915:GOC261004 GEG260915:GEG261004 FUK260915:FUK261004 FKO260915:FKO261004 FAS260915:FAS261004 EQW260915:EQW261004 EHA260915:EHA261004 DXE260915:DXE261004 DNI260915:DNI261004 DDM260915:DDM261004 CTQ260915:CTQ261004 CJU260915:CJU261004 BZY260915:BZY261004 BQC260915:BQC261004 BGG260915:BGG261004 AWK260915:AWK261004 AMO260915:AMO261004 ACS260915:ACS261004 SW260915:SW261004 JA260915:JA261004 E260926:E261015 WVM195379:WVM195468 WLQ195379:WLQ195468 WBU195379:WBU195468 VRY195379:VRY195468 VIC195379:VIC195468 UYG195379:UYG195468 UOK195379:UOK195468 UEO195379:UEO195468 TUS195379:TUS195468 TKW195379:TKW195468 TBA195379:TBA195468 SRE195379:SRE195468 SHI195379:SHI195468 RXM195379:RXM195468 RNQ195379:RNQ195468 RDU195379:RDU195468 QTY195379:QTY195468 QKC195379:QKC195468 QAG195379:QAG195468 PQK195379:PQK195468 PGO195379:PGO195468 OWS195379:OWS195468 OMW195379:OMW195468 ODA195379:ODA195468 NTE195379:NTE195468 NJI195379:NJI195468 MZM195379:MZM195468 MPQ195379:MPQ195468 MFU195379:MFU195468 LVY195379:LVY195468 LMC195379:LMC195468 LCG195379:LCG195468 KSK195379:KSK195468 KIO195379:KIO195468 JYS195379:JYS195468 JOW195379:JOW195468 JFA195379:JFA195468 IVE195379:IVE195468 ILI195379:ILI195468 IBM195379:IBM195468 HRQ195379:HRQ195468 HHU195379:HHU195468 GXY195379:GXY195468 GOC195379:GOC195468 GEG195379:GEG195468 FUK195379:FUK195468 FKO195379:FKO195468 FAS195379:FAS195468 EQW195379:EQW195468 EHA195379:EHA195468 DXE195379:DXE195468 DNI195379:DNI195468 DDM195379:DDM195468 CTQ195379:CTQ195468 CJU195379:CJU195468 BZY195379:BZY195468 BQC195379:BQC195468 BGG195379:BGG195468 AWK195379:AWK195468 AMO195379:AMO195468 ACS195379:ACS195468 SW195379:SW195468 JA195379:JA195468 E195390:E195479 WVM129843:WVM129932 WLQ129843:WLQ129932 WBU129843:WBU129932 VRY129843:VRY129932 VIC129843:VIC129932 UYG129843:UYG129932 UOK129843:UOK129932 UEO129843:UEO129932 TUS129843:TUS129932 TKW129843:TKW129932 TBA129843:TBA129932 SRE129843:SRE129932 SHI129843:SHI129932 RXM129843:RXM129932 RNQ129843:RNQ129932 RDU129843:RDU129932 QTY129843:QTY129932 QKC129843:QKC129932 QAG129843:QAG129932 PQK129843:PQK129932 PGO129843:PGO129932 OWS129843:OWS129932 OMW129843:OMW129932 ODA129843:ODA129932 NTE129843:NTE129932 NJI129843:NJI129932 MZM129843:MZM129932 MPQ129843:MPQ129932 MFU129843:MFU129932 LVY129843:LVY129932 LMC129843:LMC129932 LCG129843:LCG129932 KSK129843:KSK129932 KIO129843:KIO129932 JYS129843:JYS129932 JOW129843:JOW129932 JFA129843:JFA129932 IVE129843:IVE129932 ILI129843:ILI129932 IBM129843:IBM129932 HRQ129843:HRQ129932 HHU129843:HHU129932 GXY129843:GXY129932 GOC129843:GOC129932 GEG129843:GEG129932 FUK129843:FUK129932 FKO129843:FKO129932 FAS129843:FAS129932 EQW129843:EQW129932 EHA129843:EHA129932 DXE129843:DXE129932 DNI129843:DNI129932 DDM129843:DDM129932 CTQ129843:CTQ129932 CJU129843:CJU129932 BZY129843:BZY129932 BQC129843:BQC129932 BGG129843:BGG129932 AWK129843:AWK129932 AMO129843:AMO129932 ACS129843:ACS129932 SW129843:SW129932 JA129843:JA129932 E129854:E129943 WVM64307:WVM64396 WLQ64307:WLQ64396 WBU64307:WBU64396 VRY64307:VRY64396 VIC64307:VIC64396 UYG64307:UYG64396 UOK64307:UOK64396 UEO64307:UEO64396 TUS64307:TUS64396 TKW64307:TKW64396 TBA64307:TBA64396 SRE64307:SRE64396 SHI64307:SHI64396 RXM64307:RXM64396 RNQ64307:RNQ64396 RDU64307:RDU64396 QTY64307:QTY64396 QKC64307:QKC64396 QAG64307:QAG64396 PQK64307:PQK64396 PGO64307:PGO64396 OWS64307:OWS64396 OMW64307:OMW64396 ODA64307:ODA64396 NTE64307:NTE64396 NJI64307:NJI64396 MZM64307:MZM64396 MPQ64307:MPQ64396 MFU64307:MFU64396 LVY64307:LVY64396 LMC64307:LMC64396 LCG64307:LCG64396 KSK64307:KSK64396 KIO64307:KIO64396 JYS64307:JYS64396 JOW64307:JOW64396 JFA64307:JFA64396 IVE64307:IVE64396 ILI64307:ILI64396 IBM64307:IBM64396 HRQ64307:HRQ64396 HHU64307:HHU64396 GXY64307:GXY64396 GOC64307:GOC64396 GEG64307:GEG64396 FUK64307:FUK64396 FKO64307:FKO64396 FAS64307:FAS64396 EQW64307:EQW64396 EHA64307:EHA64396 DXE64307:DXE64396 DNI64307:DNI64396 DDM64307:DDM64396 CTQ64307:CTQ64396 CJU64307:CJU64396 BZY64307:BZY64396 BQC64307:BQC64396 BGG64307:BGG64396 AWK64307:AWK64396 AMO64307:AMO64396 ACS64307:ACS64396 SW64307:SW64396 JA64307:JA64396 E64318:E64407 JA2:JA79 SW2:SW79 ACS2:ACS79 AMO2:AMO79 AWK2:AWK79 BGG2:BGG79 BQC2:BQC79 BZY2:BZY79 CJU2:CJU79 CTQ2:CTQ79 DDM2:DDM79 DNI2:DNI79 DXE2:DXE79 EHA2:EHA79 EQW2:EQW79 FAS2:FAS79 FKO2:FKO79 FUK2:FUK79 GEG2:GEG79 GOC2:GOC79 GXY2:GXY79 HHU2:HHU79 HRQ2:HRQ79 IBM2:IBM79 ILI2:ILI79 IVE2:IVE79 JFA2:JFA79 JOW2:JOW79 JYS2:JYS79 KIO2:KIO79 KSK2:KSK79 LCG2:LCG79 LMC2:LMC79 LVY2:LVY79 MFU2:MFU79 MPQ2:MPQ79 MZM2:MZM79 NJI2:NJI79 NTE2:NTE79 ODA2:ODA79 OMW2:OMW79 OWS2:OWS79 PGO2:PGO79 PQK2:PQK79 QAG2:QAG79 QKC2:QKC79 QTY2:QTY79 RDU2:RDU79 RNQ2:RNQ79 RXM2:RXM79 SHI2:SHI79 SRE2:SRE79 TBA2:TBA79 TKW2:TKW79 TUS2:TUS79 UEO2:UEO79 UOK2:UOK79 UYG2:UYG79 VIC2:VIC79 VRY2:VRY79 WBU2:WBU79 WLQ2:WLQ79 WVM2:WVM79" xr:uid="{4340F0C1-1EC6-4339-8A72-F79D1F8A655E}">
      <formula1>$AG$2:$AG$13</formula1>
    </dataValidation>
    <dataValidation type="list" allowBlank="1" showInputMessage="1" showErrorMessage="1" sqref="WWF981811:WWF981894 WMJ981811:WMJ981894 WCN981811:WCN981894 VSR981811:VSR981894 VIV981811:VIV981894 UYZ981811:UYZ981894 UPD981811:UPD981894 UFH981811:UFH981894 TVL981811:TVL981894 TLP981811:TLP981894 TBT981811:TBT981894 SRX981811:SRX981894 SIB981811:SIB981894 RYF981811:RYF981894 ROJ981811:ROJ981894 REN981811:REN981894 QUR981811:QUR981894 QKV981811:QKV981894 QAZ981811:QAZ981894 PRD981811:PRD981894 PHH981811:PHH981894 OXL981811:OXL981894 ONP981811:ONP981894 ODT981811:ODT981894 NTX981811:NTX981894 NKB981811:NKB981894 NAF981811:NAF981894 MQJ981811:MQJ981894 MGN981811:MGN981894 LWR981811:LWR981894 LMV981811:LMV981894 LCZ981811:LCZ981894 KTD981811:KTD981894 KJH981811:KJH981894 JZL981811:JZL981894 JPP981811:JPP981894 JFT981811:JFT981894 IVX981811:IVX981894 IMB981811:IMB981894 ICF981811:ICF981894 HSJ981811:HSJ981894 HIN981811:HIN981894 GYR981811:GYR981894 GOV981811:GOV981894 GEZ981811:GEZ981894 FVD981811:FVD981894 FLH981811:FLH981894 FBL981811:FBL981894 ERP981811:ERP981894 EHT981811:EHT981894 DXX981811:DXX981894 DOB981811:DOB981894 DEF981811:DEF981894 CUJ981811:CUJ981894 CKN981811:CKN981894 CAR981811:CAR981894 BQV981811:BQV981894 BGZ981811:BGZ981894 AXD981811:AXD981894 ANH981811:ANH981894 ADL981811:ADL981894 TP981811:TP981894 JT981811:JT981894 X981811:X981894 WWF916275:WWF916358 WMJ916275:WMJ916358 WCN916275:WCN916358 VSR916275:VSR916358 VIV916275:VIV916358 UYZ916275:UYZ916358 UPD916275:UPD916358 UFH916275:UFH916358 TVL916275:TVL916358 TLP916275:TLP916358 TBT916275:TBT916358 SRX916275:SRX916358 SIB916275:SIB916358 RYF916275:RYF916358 ROJ916275:ROJ916358 REN916275:REN916358 QUR916275:QUR916358 QKV916275:QKV916358 QAZ916275:QAZ916358 PRD916275:PRD916358 PHH916275:PHH916358 OXL916275:OXL916358 ONP916275:ONP916358 ODT916275:ODT916358 NTX916275:NTX916358 NKB916275:NKB916358 NAF916275:NAF916358 MQJ916275:MQJ916358 MGN916275:MGN916358 LWR916275:LWR916358 LMV916275:LMV916358 LCZ916275:LCZ916358 KTD916275:KTD916358 KJH916275:KJH916358 JZL916275:JZL916358 JPP916275:JPP916358 JFT916275:JFT916358 IVX916275:IVX916358 IMB916275:IMB916358 ICF916275:ICF916358 HSJ916275:HSJ916358 HIN916275:HIN916358 GYR916275:GYR916358 GOV916275:GOV916358 GEZ916275:GEZ916358 FVD916275:FVD916358 FLH916275:FLH916358 FBL916275:FBL916358 ERP916275:ERP916358 EHT916275:EHT916358 DXX916275:DXX916358 DOB916275:DOB916358 DEF916275:DEF916358 CUJ916275:CUJ916358 CKN916275:CKN916358 CAR916275:CAR916358 BQV916275:BQV916358 BGZ916275:BGZ916358 AXD916275:AXD916358 ANH916275:ANH916358 ADL916275:ADL916358 TP916275:TP916358 JT916275:JT916358 X916275:X916358 WWF850739:WWF850822 WMJ850739:WMJ850822 WCN850739:WCN850822 VSR850739:VSR850822 VIV850739:VIV850822 UYZ850739:UYZ850822 UPD850739:UPD850822 UFH850739:UFH850822 TVL850739:TVL850822 TLP850739:TLP850822 TBT850739:TBT850822 SRX850739:SRX850822 SIB850739:SIB850822 RYF850739:RYF850822 ROJ850739:ROJ850822 REN850739:REN850822 QUR850739:QUR850822 QKV850739:QKV850822 QAZ850739:QAZ850822 PRD850739:PRD850822 PHH850739:PHH850822 OXL850739:OXL850822 ONP850739:ONP850822 ODT850739:ODT850822 NTX850739:NTX850822 NKB850739:NKB850822 NAF850739:NAF850822 MQJ850739:MQJ850822 MGN850739:MGN850822 LWR850739:LWR850822 LMV850739:LMV850822 LCZ850739:LCZ850822 KTD850739:KTD850822 KJH850739:KJH850822 JZL850739:JZL850822 JPP850739:JPP850822 JFT850739:JFT850822 IVX850739:IVX850822 IMB850739:IMB850822 ICF850739:ICF850822 HSJ850739:HSJ850822 HIN850739:HIN850822 GYR850739:GYR850822 GOV850739:GOV850822 GEZ850739:GEZ850822 FVD850739:FVD850822 FLH850739:FLH850822 FBL850739:FBL850822 ERP850739:ERP850822 EHT850739:EHT850822 DXX850739:DXX850822 DOB850739:DOB850822 DEF850739:DEF850822 CUJ850739:CUJ850822 CKN850739:CKN850822 CAR850739:CAR850822 BQV850739:BQV850822 BGZ850739:BGZ850822 AXD850739:AXD850822 ANH850739:ANH850822 ADL850739:ADL850822 TP850739:TP850822 JT850739:JT850822 X850739:X850822 WWF785203:WWF785286 WMJ785203:WMJ785286 WCN785203:WCN785286 VSR785203:VSR785286 VIV785203:VIV785286 UYZ785203:UYZ785286 UPD785203:UPD785286 UFH785203:UFH785286 TVL785203:TVL785286 TLP785203:TLP785286 TBT785203:TBT785286 SRX785203:SRX785286 SIB785203:SIB785286 RYF785203:RYF785286 ROJ785203:ROJ785286 REN785203:REN785286 QUR785203:QUR785286 QKV785203:QKV785286 QAZ785203:QAZ785286 PRD785203:PRD785286 PHH785203:PHH785286 OXL785203:OXL785286 ONP785203:ONP785286 ODT785203:ODT785286 NTX785203:NTX785286 NKB785203:NKB785286 NAF785203:NAF785286 MQJ785203:MQJ785286 MGN785203:MGN785286 LWR785203:LWR785286 LMV785203:LMV785286 LCZ785203:LCZ785286 KTD785203:KTD785286 KJH785203:KJH785286 JZL785203:JZL785286 JPP785203:JPP785286 JFT785203:JFT785286 IVX785203:IVX785286 IMB785203:IMB785286 ICF785203:ICF785286 HSJ785203:HSJ785286 HIN785203:HIN785286 GYR785203:GYR785286 GOV785203:GOV785286 GEZ785203:GEZ785286 FVD785203:FVD785286 FLH785203:FLH785286 FBL785203:FBL785286 ERP785203:ERP785286 EHT785203:EHT785286 DXX785203:DXX785286 DOB785203:DOB785286 DEF785203:DEF785286 CUJ785203:CUJ785286 CKN785203:CKN785286 CAR785203:CAR785286 BQV785203:BQV785286 BGZ785203:BGZ785286 AXD785203:AXD785286 ANH785203:ANH785286 ADL785203:ADL785286 TP785203:TP785286 JT785203:JT785286 X785203:X785286 WWF719667:WWF719750 WMJ719667:WMJ719750 WCN719667:WCN719750 VSR719667:VSR719750 VIV719667:VIV719750 UYZ719667:UYZ719750 UPD719667:UPD719750 UFH719667:UFH719750 TVL719667:TVL719750 TLP719667:TLP719750 TBT719667:TBT719750 SRX719667:SRX719750 SIB719667:SIB719750 RYF719667:RYF719750 ROJ719667:ROJ719750 REN719667:REN719750 QUR719667:QUR719750 QKV719667:QKV719750 QAZ719667:QAZ719750 PRD719667:PRD719750 PHH719667:PHH719750 OXL719667:OXL719750 ONP719667:ONP719750 ODT719667:ODT719750 NTX719667:NTX719750 NKB719667:NKB719750 NAF719667:NAF719750 MQJ719667:MQJ719750 MGN719667:MGN719750 LWR719667:LWR719750 LMV719667:LMV719750 LCZ719667:LCZ719750 KTD719667:KTD719750 KJH719667:KJH719750 JZL719667:JZL719750 JPP719667:JPP719750 JFT719667:JFT719750 IVX719667:IVX719750 IMB719667:IMB719750 ICF719667:ICF719750 HSJ719667:HSJ719750 HIN719667:HIN719750 GYR719667:GYR719750 GOV719667:GOV719750 GEZ719667:GEZ719750 FVD719667:FVD719750 FLH719667:FLH719750 FBL719667:FBL719750 ERP719667:ERP719750 EHT719667:EHT719750 DXX719667:DXX719750 DOB719667:DOB719750 DEF719667:DEF719750 CUJ719667:CUJ719750 CKN719667:CKN719750 CAR719667:CAR719750 BQV719667:BQV719750 BGZ719667:BGZ719750 AXD719667:AXD719750 ANH719667:ANH719750 ADL719667:ADL719750 TP719667:TP719750 JT719667:JT719750 X719667:X719750 WWF654131:WWF654214 WMJ654131:WMJ654214 WCN654131:WCN654214 VSR654131:VSR654214 VIV654131:VIV654214 UYZ654131:UYZ654214 UPD654131:UPD654214 UFH654131:UFH654214 TVL654131:TVL654214 TLP654131:TLP654214 TBT654131:TBT654214 SRX654131:SRX654214 SIB654131:SIB654214 RYF654131:RYF654214 ROJ654131:ROJ654214 REN654131:REN654214 QUR654131:QUR654214 QKV654131:QKV654214 QAZ654131:QAZ654214 PRD654131:PRD654214 PHH654131:PHH654214 OXL654131:OXL654214 ONP654131:ONP654214 ODT654131:ODT654214 NTX654131:NTX654214 NKB654131:NKB654214 NAF654131:NAF654214 MQJ654131:MQJ654214 MGN654131:MGN654214 LWR654131:LWR654214 LMV654131:LMV654214 LCZ654131:LCZ654214 KTD654131:KTD654214 KJH654131:KJH654214 JZL654131:JZL654214 JPP654131:JPP654214 JFT654131:JFT654214 IVX654131:IVX654214 IMB654131:IMB654214 ICF654131:ICF654214 HSJ654131:HSJ654214 HIN654131:HIN654214 GYR654131:GYR654214 GOV654131:GOV654214 GEZ654131:GEZ654214 FVD654131:FVD654214 FLH654131:FLH654214 FBL654131:FBL654214 ERP654131:ERP654214 EHT654131:EHT654214 DXX654131:DXX654214 DOB654131:DOB654214 DEF654131:DEF654214 CUJ654131:CUJ654214 CKN654131:CKN654214 CAR654131:CAR654214 BQV654131:BQV654214 BGZ654131:BGZ654214 AXD654131:AXD654214 ANH654131:ANH654214 ADL654131:ADL654214 TP654131:TP654214 JT654131:JT654214 X654131:X654214 WWF588595:WWF588678 WMJ588595:WMJ588678 WCN588595:WCN588678 VSR588595:VSR588678 VIV588595:VIV588678 UYZ588595:UYZ588678 UPD588595:UPD588678 UFH588595:UFH588678 TVL588595:TVL588678 TLP588595:TLP588678 TBT588595:TBT588678 SRX588595:SRX588678 SIB588595:SIB588678 RYF588595:RYF588678 ROJ588595:ROJ588678 REN588595:REN588678 QUR588595:QUR588678 QKV588595:QKV588678 QAZ588595:QAZ588678 PRD588595:PRD588678 PHH588595:PHH588678 OXL588595:OXL588678 ONP588595:ONP588678 ODT588595:ODT588678 NTX588595:NTX588678 NKB588595:NKB588678 NAF588595:NAF588678 MQJ588595:MQJ588678 MGN588595:MGN588678 LWR588595:LWR588678 LMV588595:LMV588678 LCZ588595:LCZ588678 KTD588595:KTD588678 KJH588595:KJH588678 JZL588595:JZL588678 JPP588595:JPP588678 JFT588595:JFT588678 IVX588595:IVX588678 IMB588595:IMB588678 ICF588595:ICF588678 HSJ588595:HSJ588678 HIN588595:HIN588678 GYR588595:GYR588678 GOV588595:GOV588678 GEZ588595:GEZ588678 FVD588595:FVD588678 FLH588595:FLH588678 FBL588595:FBL588678 ERP588595:ERP588678 EHT588595:EHT588678 DXX588595:DXX588678 DOB588595:DOB588678 DEF588595:DEF588678 CUJ588595:CUJ588678 CKN588595:CKN588678 CAR588595:CAR588678 BQV588595:BQV588678 BGZ588595:BGZ588678 AXD588595:AXD588678 ANH588595:ANH588678 ADL588595:ADL588678 TP588595:TP588678 JT588595:JT588678 X588595:X588678 WWF523059:WWF523142 WMJ523059:WMJ523142 WCN523059:WCN523142 VSR523059:VSR523142 VIV523059:VIV523142 UYZ523059:UYZ523142 UPD523059:UPD523142 UFH523059:UFH523142 TVL523059:TVL523142 TLP523059:TLP523142 TBT523059:TBT523142 SRX523059:SRX523142 SIB523059:SIB523142 RYF523059:RYF523142 ROJ523059:ROJ523142 REN523059:REN523142 QUR523059:QUR523142 QKV523059:QKV523142 QAZ523059:QAZ523142 PRD523059:PRD523142 PHH523059:PHH523142 OXL523059:OXL523142 ONP523059:ONP523142 ODT523059:ODT523142 NTX523059:NTX523142 NKB523059:NKB523142 NAF523059:NAF523142 MQJ523059:MQJ523142 MGN523059:MGN523142 LWR523059:LWR523142 LMV523059:LMV523142 LCZ523059:LCZ523142 KTD523059:KTD523142 KJH523059:KJH523142 JZL523059:JZL523142 JPP523059:JPP523142 JFT523059:JFT523142 IVX523059:IVX523142 IMB523059:IMB523142 ICF523059:ICF523142 HSJ523059:HSJ523142 HIN523059:HIN523142 GYR523059:GYR523142 GOV523059:GOV523142 GEZ523059:GEZ523142 FVD523059:FVD523142 FLH523059:FLH523142 FBL523059:FBL523142 ERP523059:ERP523142 EHT523059:EHT523142 DXX523059:DXX523142 DOB523059:DOB523142 DEF523059:DEF523142 CUJ523059:CUJ523142 CKN523059:CKN523142 CAR523059:CAR523142 BQV523059:BQV523142 BGZ523059:BGZ523142 AXD523059:AXD523142 ANH523059:ANH523142 ADL523059:ADL523142 TP523059:TP523142 JT523059:JT523142 X523059:X523142 WWF457523:WWF457606 WMJ457523:WMJ457606 WCN457523:WCN457606 VSR457523:VSR457606 VIV457523:VIV457606 UYZ457523:UYZ457606 UPD457523:UPD457606 UFH457523:UFH457606 TVL457523:TVL457606 TLP457523:TLP457606 TBT457523:TBT457606 SRX457523:SRX457606 SIB457523:SIB457606 RYF457523:RYF457606 ROJ457523:ROJ457606 REN457523:REN457606 QUR457523:QUR457606 QKV457523:QKV457606 QAZ457523:QAZ457606 PRD457523:PRD457606 PHH457523:PHH457606 OXL457523:OXL457606 ONP457523:ONP457606 ODT457523:ODT457606 NTX457523:NTX457606 NKB457523:NKB457606 NAF457523:NAF457606 MQJ457523:MQJ457606 MGN457523:MGN457606 LWR457523:LWR457606 LMV457523:LMV457606 LCZ457523:LCZ457606 KTD457523:KTD457606 KJH457523:KJH457606 JZL457523:JZL457606 JPP457523:JPP457606 JFT457523:JFT457606 IVX457523:IVX457606 IMB457523:IMB457606 ICF457523:ICF457606 HSJ457523:HSJ457606 HIN457523:HIN457606 GYR457523:GYR457606 GOV457523:GOV457606 GEZ457523:GEZ457606 FVD457523:FVD457606 FLH457523:FLH457606 FBL457523:FBL457606 ERP457523:ERP457606 EHT457523:EHT457606 DXX457523:DXX457606 DOB457523:DOB457606 DEF457523:DEF457606 CUJ457523:CUJ457606 CKN457523:CKN457606 CAR457523:CAR457606 BQV457523:BQV457606 BGZ457523:BGZ457606 AXD457523:AXD457606 ANH457523:ANH457606 ADL457523:ADL457606 TP457523:TP457606 JT457523:JT457606 X457523:X457606 WWF391987:WWF392070 WMJ391987:WMJ392070 WCN391987:WCN392070 VSR391987:VSR392070 VIV391987:VIV392070 UYZ391987:UYZ392070 UPD391987:UPD392070 UFH391987:UFH392070 TVL391987:TVL392070 TLP391987:TLP392070 TBT391987:TBT392070 SRX391987:SRX392070 SIB391987:SIB392070 RYF391987:RYF392070 ROJ391987:ROJ392070 REN391987:REN392070 QUR391987:QUR392070 QKV391987:QKV392070 QAZ391987:QAZ392070 PRD391987:PRD392070 PHH391987:PHH392070 OXL391987:OXL392070 ONP391987:ONP392070 ODT391987:ODT392070 NTX391987:NTX392070 NKB391987:NKB392070 NAF391987:NAF392070 MQJ391987:MQJ392070 MGN391987:MGN392070 LWR391987:LWR392070 LMV391987:LMV392070 LCZ391987:LCZ392070 KTD391987:KTD392070 KJH391987:KJH392070 JZL391987:JZL392070 JPP391987:JPP392070 JFT391987:JFT392070 IVX391987:IVX392070 IMB391987:IMB392070 ICF391987:ICF392070 HSJ391987:HSJ392070 HIN391987:HIN392070 GYR391987:GYR392070 GOV391987:GOV392070 GEZ391987:GEZ392070 FVD391987:FVD392070 FLH391987:FLH392070 FBL391987:FBL392070 ERP391987:ERP392070 EHT391987:EHT392070 DXX391987:DXX392070 DOB391987:DOB392070 DEF391987:DEF392070 CUJ391987:CUJ392070 CKN391987:CKN392070 CAR391987:CAR392070 BQV391987:BQV392070 BGZ391987:BGZ392070 AXD391987:AXD392070 ANH391987:ANH392070 ADL391987:ADL392070 TP391987:TP392070 JT391987:JT392070 X391987:X392070 WWF326451:WWF326534 WMJ326451:WMJ326534 WCN326451:WCN326534 VSR326451:VSR326534 VIV326451:VIV326534 UYZ326451:UYZ326534 UPD326451:UPD326534 UFH326451:UFH326534 TVL326451:TVL326534 TLP326451:TLP326534 TBT326451:TBT326534 SRX326451:SRX326534 SIB326451:SIB326534 RYF326451:RYF326534 ROJ326451:ROJ326534 REN326451:REN326534 QUR326451:QUR326534 QKV326451:QKV326534 QAZ326451:QAZ326534 PRD326451:PRD326534 PHH326451:PHH326534 OXL326451:OXL326534 ONP326451:ONP326534 ODT326451:ODT326534 NTX326451:NTX326534 NKB326451:NKB326534 NAF326451:NAF326534 MQJ326451:MQJ326534 MGN326451:MGN326534 LWR326451:LWR326534 LMV326451:LMV326534 LCZ326451:LCZ326534 KTD326451:KTD326534 KJH326451:KJH326534 JZL326451:JZL326534 JPP326451:JPP326534 JFT326451:JFT326534 IVX326451:IVX326534 IMB326451:IMB326534 ICF326451:ICF326534 HSJ326451:HSJ326534 HIN326451:HIN326534 GYR326451:GYR326534 GOV326451:GOV326534 GEZ326451:GEZ326534 FVD326451:FVD326534 FLH326451:FLH326534 FBL326451:FBL326534 ERP326451:ERP326534 EHT326451:EHT326534 DXX326451:DXX326534 DOB326451:DOB326534 DEF326451:DEF326534 CUJ326451:CUJ326534 CKN326451:CKN326534 CAR326451:CAR326534 BQV326451:BQV326534 BGZ326451:BGZ326534 AXD326451:AXD326534 ANH326451:ANH326534 ADL326451:ADL326534 TP326451:TP326534 JT326451:JT326534 X326451:X326534 WWF260915:WWF260998 WMJ260915:WMJ260998 WCN260915:WCN260998 VSR260915:VSR260998 VIV260915:VIV260998 UYZ260915:UYZ260998 UPD260915:UPD260998 UFH260915:UFH260998 TVL260915:TVL260998 TLP260915:TLP260998 TBT260915:TBT260998 SRX260915:SRX260998 SIB260915:SIB260998 RYF260915:RYF260998 ROJ260915:ROJ260998 REN260915:REN260998 QUR260915:QUR260998 QKV260915:QKV260998 QAZ260915:QAZ260998 PRD260915:PRD260998 PHH260915:PHH260998 OXL260915:OXL260998 ONP260915:ONP260998 ODT260915:ODT260998 NTX260915:NTX260998 NKB260915:NKB260998 NAF260915:NAF260998 MQJ260915:MQJ260998 MGN260915:MGN260998 LWR260915:LWR260998 LMV260915:LMV260998 LCZ260915:LCZ260998 KTD260915:KTD260998 KJH260915:KJH260998 JZL260915:JZL260998 JPP260915:JPP260998 JFT260915:JFT260998 IVX260915:IVX260998 IMB260915:IMB260998 ICF260915:ICF260998 HSJ260915:HSJ260998 HIN260915:HIN260998 GYR260915:GYR260998 GOV260915:GOV260998 GEZ260915:GEZ260998 FVD260915:FVD260998 FLH260915:FLH260998 FBL260915:FBL260998 ERP260915:ERP260998 EHT260915:EHT260998 DXX260915:DXX260998 DOB260915:DOB260998 DEF260915:DEF260998 CUJ260915:CUJ260998 CKN260915:CKN260998 CAR260915:CAR260998 BQV260915:BQV260998 BGZ260915:BGZ260998 AXD260915:AXD260998 ANH260915:ANH260998 ADL260915:ADL260998 TP260915:TP260998 JT260915:JT260998 X260915:X260998 WWF195379:WWF195462 WMJ195379:WMJ195462 WCN195379:WCN195462 VSR195379:VSR195462 VIV195379:VIV195462 UYZ195379:UYZ195462 UPD195379:UPD195462 UFH195379:UFH195462 TVL195379:TVL195462 TLP195379:TLP195462 TBT195379:TBT195462 SRX195379:SRX195462 SIB195379:SIB195462 RYF195379:RYF195462 ROJ195379:ROJ195462 REN195379:REN195462 QUR195379:QUR195462 QKV195379:QKV195462 QAZ195379:QAZ195462 PRD195379:PRD195462 PHH195379:PHH195462 OXL195379:OXL195462 ONP195379:ONP195462 ODT195379:ODT195462 NTX195379:NTX195462 NKB195379:NKB195462 NAF195379:NAF195462 MQJ195379:MQJ195462 MGN195379:MGN195462 LWR195379:LWR195462 LMV195379:LMV195462 LCZ195379:LCZ195462 KTD195379:KTD195462 KJH195379:KJH195462 JZL195379:JZL195462 JPP195379:JPP195462 JFT195379:JFT195462 IVX195379:IVX195462 IMB195379:IMB195462 ICF195379:ICF195462 HSJ195379:HSJ195462 HIN195379:HIN195462 GYR195379:GYR195462 GOV195379:GOV195462 GEZ195379:GEZ195462 FVD195379:FVD195462 FLH195379:FLH195462 FBL195379:FBL195462 ERP195379:ERP195462 EHT195379:EHT195462 DXX195379:DXX195462 DOB195379:DOB195462 DEF195379:DEF195462 CUJ195379:CUJ195462 CKN195379:CKN195462 CAR195379:CAR195462 BQV195379:BQV195462 BGZ195379:BGZ195462 AXD195379:AXD195462 ANH195379:ANH195462 ADL195379:ADL195462 TP195379:TP195462 JT195379:JT195462 X195379:X195462 WWF129843:WWF129926 WMJ129843:WMJ129926 WCN129843:WCN129926 VSR129843:VSR129926 VIV129843:VIV129926 UYZ129843:UYZ129926 UPD129843:UPD129926 UFH129843:UFH129926 TVL129843:TVL129926 TLP129843:TLP129926 TBT129843:TBT129926 SRX129843:SRX129926 SIB129843:SIB129926 RYF129843:RYF129926 ROJ129843:ROJ129926 REN129843:REN129926 QUR129843:QUR129926 QKV129843:QKV129926 QAZ129843:QAZ129926 PRD129843:PRD129926 PHH129843:PHH129926 OXL129843:OXL129926 ONP129843:ONP129926 ODT129843:ODT129926 NTX129843:NTX129926 NKB129843:NKB129926 NAF129843:NAF129926 MQJ129843:MQJ129926 MGN129843:MGN129926 LWR129843:LWR129926 LMV129843:LMV129926 LCZ129843:LCZ129926 KTD129843:KTD129926 KJH129843:KJH129926 JZL129843:JZL129926 JPP129843:JPP129926 JFT129843:JFT129926 IVX129843:IVX129926 IMB129843:IMB129926 ICF129843:ICF129926 HSJ129843:HSJ129926 HIN129843:HIN129926 GYR129843:GYR129926 GOV129843:GOV129926 GEZ129843:GEZ129926 FVD129843:FVD129926 FLH129843:FLH129926 FBL129843:FBL129926 ERP129843:ERP129926 EHT129843:EHT129926 DXX129843:DXX129926 DOB129843:DOB129926 DEF129843:DEF129926 CUJ129843:CUJ129926 CKN129843:CKN129926 CAR129843:CAR129926 BQV129843:BQV129926 BGZ129843:BGZ129926 AXD129843:AXD129926 ANH129843:ANH129926 ADL129843:ADL129926 TP129843:TP129926 JT129843:JT129926 X129843:X129926 WWF64307:WWF64390 WMJ64307:WMJ64390 WCN64307:WCN64390 VSR64307:VSR64390 VIV64307:VIV64390 UYZ64307:UYZ64390 UPD64307:UPD64390 UFH64307:UFH64390 TVL64307:TVL64390 TLP64307:TLP64390 TBT64307:TBT64390 SRX64307:SRX64390 SIB64307:SIB64390 RYF64307:RYF64390 ROJ64307:ROJ64390 REN64307:REN64390 QUR64307:QUR64390 QKV64307:QKV64390 QAZ64307:QAZ64390 PRD64307:PRD64390 PHH64307:PHH64390 OXL64307:OXL64390 ONP64307:ONP64390 ODT64307:ODT64390 NTX64307:NTX64390 NKB64307:NKB64390 NAF64307:NAF64390 MQJ64307:MQJ64390 MGN64307:MGN64390 LWR64307:LWR64390 LMV64307:LMV64390 LCZ64307:LCZ64390 KTD64307:KTD64390 KJH64307:KJH64390 JZL64307:JZL64390 JPP64307:JPP64390 JFT64307:JFT64390 IVX64307:IVX64390 IMB64307:IMB64390 ICF64307:ICF64390 HSJ64307:HSJ64390 HIN64307:HIN64390 GYR64307:GYR64390 GOV64307:GOV64390 GEZ64307:GEZ64390 FVD64307:FVD64390 FLH64307:FLH64390 FBL64307:FBL64390 ERP64307:ERP64390 EHT64307:EHT64390 DXX64307:DXX64390 DOB64307:DOB64390 DEF64307:DEF64390 CUJ64307:CUJ64390 CKN64307:CKN64390 CAR64307:CAR64390 BQV64307:BQV64390 BGZ64307:BGZ64390 AXD64307:AXD64390 ANH64307:ANH64390 ADL64307:ADL64390 TP64307:TP64390 JT64307:JT64390 X64307:X64390 X102:X506 X2:X100 WWF2:WWF79 WMJ2:WMJ79 WCN2:WCN79 VSR2:VSR79 VIV2:VIV79 UYZ2:UYZ79 UPD2:UPD79 UFH2:UFH79 TVL2:TVL79 TLP2:TLP79 TBT2:TBT79 SRX2:SRX79 SIB2:SIB79 RYF2:RYF79 ROJ2:ROJ79 REN2:REN79 QUR2:QUR79 QKV2:QKV79 QAZ2:QAZ79 PRD2:PRD79 PHH2:PHH79 OXL2:OXL79 ONP2:ONP79 ODT2:ODT79 NTX2:NTX79 NKB2:NKB79 NAF2:NAF79 MQJ2:MQJ79 MGN2:MGN79 LWR2:LWR79 LMV2:LMV79 LCZ2:LCZ79 KTD2:KTD79 KJH2:KJH79 JZL2:JZL79 JPP2:JPP79 JFT2:JFT79 IVX2:IVX79 IMB2:IMB79 ICF2:ICF79 HSJ2:HSJ79 HIN2:HIN79 GYR2:GYR79 GOV2:GOV79 GEZ2:GEZ79 FVD2:FVD79 FLH2:FLH79 FBL2:FBL79 ERP2:ERP79 EHT2:EHT79 DXX2:DXX79 DOB2:DOB79 DEF2:DEF79 CUJ2:CUJ79 CKN2:CKN79 CAR2:CAR79 BQV2:BQV79 BGZ2:BGZ79 AXD2:AXD79 ANH2:ANH79 ADL2:ADL79 TP2:TP79 JT2:JT79" xr:uid="{2172F1F6-8AB4-4994-9BC7-D07B022CFAA3}">
      <formula1>$AT$2:$AT$3</formula1>
    </dataValidation>
    <dataValidation operator="equal" allowBlank="1" showInputMessage="1" showErrorMessage="1" sqref="WVJ981811:WVJ981900 WLN981811:WLN981900 WBR981811:WBR981900 VRV981811:VRV981900 VHZ981811:VHZ981900 UYD981811:UYD981900 UOH981811:UOH981900 UEL981811:UEL981900 TUP981811:TUP981900 TKT981811:TKT981900 TAX981811:TAX981900 SRB981811:SRB981900 SHF981811:SHF981900 RXJ981811:RXJ981900 RNN981811:RNN981900 RDR981811:RDR981900 QTV981811:QTV981900 QJZ981811:QJZ981900 QAD981811:QAD981900 PQH981811:PQH981900 PGL981811:PGL981900 OWP981811:OWP981900 OMT981811:OMT981900 OCX981811:OCX981900 NTB981811:NTB981900 NJF981811:NJF981900 MZJ981811:MZJ981900 MPN981811:MPN981900 MFR981811:MFR981900 LVV981811:LVV981900 LLZ981811:LLZ981900 LCD981811:LCD981900 KSH981811:KSH981900 KIL981811:KIL981900 JYP981811:JYP981900 JOT981811:JOT981900 JEX981811:JEX981900 IVB981811:IVB981900 ILF981811:ILF981900 IBJ981811:IBJ981900 HRN981811:HRN981900 HHR981811:HHR981900 GXV981811:GXV981900 GNZ981811:GNZ981900 GED981811:GED981900 FUH981811:FUH981900 FKL981811:FKL981900 FAP981811:FAP981900 EQT981811:EQT981900 EGX981811:EGX981900 DXB981811:DXB981900 DNF981811:DNF981900 DDJ981811:DDJ981900 CTN981811:CTN981900 CJR981811:CJR981900 BZV981811:BZV981900 BPZ981811:BPZ981900 BGD981811:BGD981900 AWH981811:AWH981900 AML981811:AML981900 ACP981811:ACP981900 ST981811:ST981900 IX981811:IX981900 B981817:B981906 WVJ916275:WVJ916364 WLN916275:WLN916364 WBR916275:WBR916364 VRV916275:VRV916364 VHZ916275:VHZ916364 UYD916275:UYD916364 UOH916275:UOH916364 UEL916275:UEL916364 TUP916275:TUP916364 TKT916275:TKT916364 TAX916275:TAX916364 SRB916275:SRB916364 SHF916275:SHF916364 RXJ916275:RXJ916364 RNN916275:RNN916364 RDR916275:RDR916364 QTV916275:QTV916364 QJZ916275:QJZ916364 QAD916275:QAD916364 PQH916275:PQH916364 PGL916275:PGL916364 OWP916275:OWP916364 OMT916275:OMT916364 OCX916275:OCX916364 NTB916275:NTB916364 NJF916275:NJF916364 MZJ916275:MZJ916364 MPN916275:MPN916364 MFR916275:MFR916364 LVV916275:LVV916364 LLZ916275:LLZ916364 LCD916275:LCD916364 KSH916275:KSH916364 KIL916275:KIL916364 JYP916275:JYP916364 JOT916275:JOT916364 JEX916275:JEX916364 IVB916275:IVB916364 ILF916275:ILF916364 IBJ916275:IBJ916364 HRN916275:HRN916364 HHR916275:HHR916364 GXV916275:GXV916364 GNZ916275:GNZ916364 GED916275:GED916364 FUH916275:FUH916364 FKL916275:FKL916364 FAP916275:FAP916364 EQT916275:EQT916364 EGX916275:EGX916364 DXB916275:DXB916364 DNF916275:DNF916364 DDJ916275:DDJ916364 CTN916275:CTN916364 CJR916275:CJR916364 BZV916275:BZV916364 BPZ916275:BPZ916364 BGD916275:BGD916364 AWH916275:AWH916364 AML916275:AML916364 ACP916275:ACP916364 ST916275:ST916364 IX916275:IX916364 B916281:B916370 WVJ850739:WVJ850828 WLN850739:WLN850828 WBR850739:WBR850828 VRV850739:VRV850828 VHZ850739:VHZ850828 UYD850739:UYD850828 UOH850739:UOH850828 UEL850739:UEL850828 TUP850739:TUP850828 TKT850739:TKT850828 TAX850739:TAX850828 SRB850739:SRB850828 SHF850739:SHF850828 RXJ850739:RXJ850828 RNN850739:RNN850828 RDR850739:RDR850828 QTV850739:QTV850828 QJZ850739:QJZ850828 QAD850739:QAD850828 PQH850739:PQH850828 PGL850739:PGL850828 OWP850739:OWP850828 OMT850739:OMT850828 OCX850739:OCX850828 NTB850739:NTB850828 NJF850739:NJF850828 MZJ850739:MZJ850828 MPN850739:MPN850828 MFR850739:MFR850828 LVV850739:LVV850828 LLZ850739:LLZ850828 LCD850739:LCD850828 KSH850739:KSH850828 KIL850739:KIL850828 JYP850739:JYP850828 JOT850739:JOT850828 JEX850739:JEX850828 IVB850739:IVB850828 ILF850739:ILF850828 IBJ850739:IBJ850828 HRN850739:HRN850828 HHR850739:HHR850828 GXV850739:GXV850828 GNZ850739:GNZ850828 GED850739:GED850828 FUH850739:FUH850828 FKL850739:FKL850828 FAP850739:FAP850828 EQT850739:EQT850828 EGX850739:EGX850828 DXB850739:DXB850828 DNF850739:DNF850828 DDJ850739:DDJ850828 CTN850739:CTN850828 CJR850739:CJR850828 BZV850739:BZV850828 BPZ850739:BPZ850828 BGD850739:BGD850828 AWH850739:AWH850828 AML850739:AML850828 ACP850739:ACP850828 ST850739:ST850828 IX850739:IX850828 B850745:B850834 WVJ785203:WVJ785292 WLN785203:WLN785292 WBR785203:WBR785292 VRV785203:VRV785292 VHZ785203:VHZ785292 UYD785203:UYD785292 UOH785203:UOH785292 UEL785203:UEL785292 TUP785203:TUP785292 TKT785203:TKT785292 TAX785203:TAX785292 SRB785203:SRB785292 SHF785203:SHF785292 RXJ785203:RXJ785292 RNN785203:RNN785292 RDR785203:RDR785292 QTV785203:QTV785292 QJZ785203:QJZ785292 QAD785203:QAD785292 PQH785203:PQH785292 PGL785203:PGL785292 OWP785203:OWP785292 OMT785203:OMT785292 OCX785203:OCX785292 NTB785203:NTB785292 NJF785203:NJF785292 MZJ785203:MZJ785292 MPN785203:MPN785292 MFR785203:MFR785292 LVV785203:LVV785292 LLZ785203:LLZ785292 LCD785203:LCD785292 KSH785203:KSH785292 KIL785203:KIL785292 JYP785203:JYP785292 JOT785203:JOT785292 JEX785203:JEX785292 IVB785203:IVB785292 ILF785203:ILF785292 IBJ785203:IBJ785292 HRN785203:HRN785292 HHR785203:HHR785292 GXV785203:GXV785292 GNZ785203:GNZ785292 GED785203:GED785292 FUH785203:FUH785292 FKL785203:FKL785292 FAP785203:FAP785292 EQT785203:EQT785292 EGX785203:EGX785292 DXB785203:DXB785292 DNF785203:DNF785292 DDJ785203:DDJ785292 CTN785203:CTN785292 CJR785203:CJR785292 BZV785203:BZV785292 BPZ785203:BPZ785292 BGD785203:BGD785292 AWH785203:AWH785292 AML785203:AML785292 ACP785203:ACP785292 ST785203:ST785292 IX785203:IX785292 B785209:B785298 WVJ719667:WVJ719756 WLN719667:WLN719756 WBR719667:WBR719756 VRV719667:VRV719756 VHZ719667:VHZ719756 UYD719667:UYD719756 UOH719667:UOH719756 UEL719667:UEL719756 TUP719667:TUP719756 TKT719667:TKT719756 TAX719667:TAX719756 SRB719667:SRB719756 SHF719667:SHF719756 RXJ719667:RXJ719756 RNN719667:RNN719756 RDR719667:RDR719756 QTV719667:QTV719756 QJZ719667:QJZ719756 QAD719667:QAD719756 PQH719667:PQH719756 PGL719667:PGL719756 OWP719667:OWP719756 OMT719667:OMT719756 OCX719667:OCX719756 NTB719667:NTB719756 NJF719667:NJF719756 MZJ719667:MZJ719756 MPN719667:MPN719756 MFR719667:MFR719756 LVV719667:LVV719756 LLZ719667:LLZ719756 LCD719667:LCD719756 KSH719667:KSH719756 KIL719667:KIL719756 JYP719667:JYP719756 JOT719667:JOT719756 JEX719667:JEX719756 IVB719667:IVB719756 ILF719667:ILF719756 IBJ719667:IBJ719756 HRN719667:HRN719756 HHR719667:HHR719756 GXV719667:GXV719756 GNZ719667:GNZ719756 GED719667:GED719756 FUH719667:FUH719756 FKL719667:FKL719756 FAP719667:FAP719756 EQT719667:EQT719756 EGX719667:EGX719756 DXB719667:DXB719756 DNF719667:DNF719756 DDJ719667:DDJ719756 CTN719667:CTN719756 CJR719667:CJR719756 BZV719667:BZV719756 BPZ719667:BPZ719756 BGD719667:BGD719756 AWH719667:AWH719756 AML719667:AML719756 ACP719667:ACP719756 ST719667:ST719756 IX719667:IX719756 B719673:B719762 WVJ654131:WVJ654220 WLN654131:WLN654220 WBR654131:WBR654220 VRV654131:VRV654220 VHZ654131:VHZ654220 UYD654131:UYD654220 UOH654131:UOH654220 UEL654131:UEL654220 TUP654131:TUP654220 TKT654131:TKT654220 TAX654131:TAX654220 SRB654131:SRB654220 SHF654131:SHF654220 RXJ654131:RXJ654220 RNN654131:RNN654220 RDR654131:RDR654220 QTV654131:QTV654220 QJZ654131:QJZ654220 QAD654131:QAD654220 PQH654131:PQH654220 PGL654131:PGL654220 OWP654131:OWP654220 OMT654131:OMT654220 OCX654131:OCX654220 NTB654131:NTB654220 NJF654131:NJF654220 MZJ654131:MZJ654220 MPN654131:MPN654220 MFR654131:MFR654220 LVV654131:LVV654220 LLZ654131:LLZ654220 LCD654131:LCD654220 KSH654131:KSH654220 KIL654131:KIL654220 JYP654131:JYP654220 JOT654131:JOT654220 JEX654131:JEX654220 IVB654131:IVB654220 ILF654131:ILF654220 IBJ654131:IBJ654220 HRN654131:HRN654220 HHR654131:HHR654220 GXV654131:GXV654220 GNZ654131:GNZ654220 GED654131:GED654220 FUH654131:FUH654220 FKL654131:FKL654220 FAP654131:FAP654220 EQT654131:EQT654220 EGX654131:EGX654220 DXB654131:DXB654220 DNF654131:DNF654220 DDJ654131:DDJ654220 CTN654131:CTN654220 CJR654131:CJR654220 BZV654131:BZV654220 BPZ654131:BPZ654220 BGD654131:BGD654220 AWH654131:AWH654220 AML654131:AML654220 ACP654131:ACP654220 ST654131:ST654220 IX654131:IX654220 B654137:B654226 WVJ588595:WVJ588684 WLN588595:WLN588684 WBR588595:WBR588684 VRV588595:VRV588684 VHZ588595:VHZ588684 UYD588595:UYD588684 UOH588595:UOH588684 UEL588595:UEL588684 TUP588595:TUP588684 TKT588595:TKT588684 TAX588595:TAX588684 SRB588595:SRB588684 SHF588595:SHF588684 RXJ588595:RXJ588684 RNN588595:RNN588684 RDR588595:RDR588684 QTV588595:QTV588684 QJZ588595:QJZ588684 QAD588595:QAD588684 PQH588595:PQH588684 PGL588595:PGL588684 OWP588595:OWP588684 OMT588595:OMT588684 OCX588595:OCX588684 NTB588595:NTB588684 NJF588595:NJF588684 MZJ588595:MZJ588684 MPN588595:MPN588684 MFR588595:MFR588684 LVV588595:LVV588684 LLZ588595:LLZ588684 LCD588595:LCD588684 KSH588595:KSH588684 KIL588595:KIL588684 JYP588595:JYP588684 JOT588595:JOT588684 JEX588595:JEX588684 IVB588595:IVB588684 ILF588595:ILF588684 IBJ588595:IBJ588684 HRN588595:HRN588684 HHR588595:HHR588684 GXV588595:GXV588684 GNZ588595:GNZ588684 GED588595:GED588684 FUH588595:FUH588684 FKL588595:FKL588684 FAP588595:FAP588684 EQT588595:EQT588684 EGX588595:EGX588684 DXB588595:DXB588684 DNF588595:DNF588684 DDJ588595:DDJ588684 CTN588595:CTN588684 CJR588595:CJR588684 BZV588595:BZV588684 BPZ588595:BPZ588684 BGD588595:BGD588684 AWH588595:AWH588684 AML588595:AML588684 ACP588595:ACP588684 ST588595:ST588684 IX588595:IX588684 B588601:B588690 WVJ523059:WVJ523148 WLN523059:WLN523148 WBR523059:WBR523148 VRV523059:VRV523148 VHZ523059:VHZ523148 UYD523059:UYD523148 UOH523059:UOH523148 UEL523059:UEL523148 TUP523059:TUP523148 TKT523059:TKT523148 TAX523059:TAX523148 SRB523059:SRB523148 SHF523059:SHF523148 RXJ523059:RXJ523148 RNN523059:RNN523148 RDR523059:RDR523148 QTV523059:QTV523148 QJZ523059:QJZ523148 QAD523059:QAD523148 PQH523059:PQH523148 PGL523059:PGL523148 OWP523059:OWP523148 OMT523059:OMT523148 OCX523059:OCX523148 NTB523059:NTB523148 NJF523059:NJF523148 MZJ523059:MZJ523148 MPN523059:MPN523148 MFR523059:MFR523148 LVV523059:LVV523148 LLZ523059:LLZ523148 LCD523059:LCD523148 KSH523059:KSH523148 KIL523059:KIL523148 JYP523059:JYP523148 JOT523059:JOT523148 JEX523059:JEX523148 IVB523059:IVB523148 ILF523059:ILF523148 IBJ523059:IBJ523148 HRN523059:HRN523148 HHR523059:HHR523148 GXV523059:GXV523148 GNZ523059:GNZ523148 GED523059:GED523148 FUH523059:FUH523148 FKL523059:FKL523148 FAP523059:FAP523148 EQT523059:EQT523148 EGX523059:EGX523148 DXB523059:DXB523148 DNF523059:DNF523148 DDJ523059:DDJ523148 CTN523059:CTN523148 CJR523059:CJR523148 BZV523059:BZV523148 BPZ523059:BPZ523148 BGD523059:BGD523148 AWH523059:AWH523148 AML523059:AML523148 ACP523059:ACP523148 ST523059:ST523148 IX523059:IX523148 B523065:B523154 WVJ457523:WVJ457612 WLN457523:WLN457612 WBR457523:WBR457612 VRV457523:VRV457612 VHZ457523:VHZ457612 UYD457523:UYD457612 UOH457523:UOH457612 UEL457523:UEL457612 TUP457523:TUP457612 TKT457523:TKT457612 TAX457523:TAX457612 SRB457523:SRB457612 SHF457523:SHF457612 RXJ457523:RXJ457612 RNN457523:RNN457612 RDR457523:RDR457612 QTV457523:QTV457612 QJZ457523:QJZ457612 QAD457523:QAD457612 PQH457523:PQH457612 PGL457523:PGL457612 OWP457523:OWP457612 OMT457523:OMT457612 OCX457523:OCX457612 NTB457523:NTB457612 NJF457523:NJF457612 MZJ457523:MZJ457612 MPN457523:MPN457612 MFR457523:MFR457612 LVV457523:LVV457612 LLZ457523:LLZ457612 LCD457523:LCD457612 KSH457523:KSH457612 KIL457523:KIL457612 JYP457523:JYP457612 JOT457523:JOT457612 JEX457523:JEX457612 IVB457523:IVB457612 ILF457523:ILF457612 IBJ457523:IBJ457612 HRN457523:HRN457612 HHR457523:HHR457612 GXV457523:GXV457612 GNZ457523:GNZ457612 GED457523:GED457612 FUH457523:FUH457612 FKL457523:FKL457612 FAP457523:FAP457612 EQT457523:EQT457612 EGX457523:EGX457612 DXB457523:DXB457612 DNF457523:DNF457612 DDJ457523:DDJ457612 CTN457523:CTN457612 CJR457523:CJR457612 BZV457523:BZV457612 BPZ457523:BPZ457612 BGD457523:BGD457612 AWH457523:AWH457612 AML457523:AML457612 ACP457523:ACP457612 ST457523:ST457612 IX457523:IX457612 B457529:B457618 WVJ391987:WVJ392076 WLN391987:WLN392076 WBR391987:WBR392076 VRV391987:VRV392076 VHZ391987:VHZ392076 UYD391987:UYD392076 UOH391987:UOH392076 UEL391987:UEL392076 TUP391987:TUP392076 TKT391987:TKT392076 TAX391987:TAX392076 SRB391987:SRB392076 SHF391987:SHF392076 RXJ391987:RXJ392076 RNN391987:RNN392076 RDR391987:RDR392076 QTV391987:QTV392076 QJZ391987:QJZ392076 QAD391987:QAD392076 PQH391987:PQH392076 PGL391987:PGL392076 OWP391987:OWP392076 OMT391987:OMT392076 OCX391987:OCX392076 NTB391987:NTB392076 NJF391987:NJF392076 MZJ391987:MZJ392076 MPN391987:MPN392076 MFR391987:MFR392076 LVV391987:LVV392076 LLZ391987:LLZ392076 LCD391987:LCD392076 KSH391987:KSH392076 KIL391987:KIL392076 JYP391987:JYP392076 JOT391987:JOT392076 JEX391987:JEX392076 IVB391987:IVB392076 ILF391987:ILF392076 IBJ391987:IBJ392076 HRN391987:HRN392076 HHR391987:HHR392076 GXV391987:GXV392076 GNZ391987:GNZ392076 GED391987:GED392076 FUH391987:FUH392076 FKL391987:FKL392076 FAP391987:FAP392076 EQT391987:EQT392076 EGX391987:EGX392076 DXB391987:DXB392076 DNF391987:DNF392076 DDJ391987:DDJ392076 CTN391987:CTN392076 CJR391987:CJR392076 BZV391987:BZV392076 BPZ391987:BPZ392076 BGD391987:BGD392076 AWH391987:AWH392076 AML391987:AML392076 ACP391987:ACP392076 ST391987:ST392076 IX391987:IX392076 B391993:B392082 WVJ326451:WVJ326540 WLN326451:WLN326540 WBR326451:WBR326540 VRV326451:VRV326540 VHZ326451:VHZ326540 UYD326451:UYD326540 UOH326451:UOH326540 UEL326451:UEL326540 TUP326451:TUP326540 TKT326451:TKT326540 TAX326451:TAX326540 SRB326451:SRB326540 SHF326451:SHF326540 RXJ326451:RXJ326540 RNN326451:RNN326540 RDR326451:RDR326540 QTV326451:QTV326540 QJZ326451:QJZ326540 QAD326451:QAD326540 PQH326451:PQH326540 PGL326451:PGL326540 OWP326451:OWP326540 OMT326451:OMT326540 OCX326451:OCX326540 NTB326451:NTB326540 NJF326451:NJF326540 MZJ326451:MZJ326540 MPN326451:MPN326540 MFR326451:MFR326540 LVV326451:LVV326540 LLZ326451:LLZ326540 LCD326451:LCD326540 KSH326451:KSH326540 KIL326451:KIL326540 JYP326451:JYP326540 JOT326451:JOT326540 JEX326451:JEX326540 IVB326451:IVB326540 ILF326451:ILF326540 IBJ326451:IBJ326540 HRN326451:HRN326540 HHR326451:HHR326540 GXV326451:GXV326540 GNZ326451:GNZ326540 GED326451:GED326540 FUH326451:FUH326540 FKL326451:FKL326540 FAP326451:FAP326540 EQT326451:EQT326540 EGX326451:EGX326540 DXB326451:DXB326540 DNF326451:DNF326540 DDJ326451:DDJ326540 CTN326451:CTN326540 CJR326451:CJR326540 BZV326451:BZV326540 BPZ326451:BPZ326540 BGD326451:BGD326540 AWH326451:AWH326540 AML326451:AML326540 ACP326451:ACP326540 ST326451:ST326540 IX326451:IX326540 B326457:B326546 WVJ260915:WVJ261004 WLN260915:WLN261004 WBR260915:WBR261004 VRV260915:VRV261004 VHZ260915:VHZ261004 UYD260915:UYD261004 UOH260915:UOH261004 UEL260915:UEL261004 TUP260915:TUP261004 TKT260915:TKT261004 TAX260915:TAX261004 SRB260915:SRB261004 SHF260915:SHF261004 RXJ260915:RXJ261004 RNN260915:RNN261004 RDR260915:RDR261004 QTV260915:QTV261004 QJZ260915:QJZ261004 QAD260915:QAD261004 PQH260915:PQH261004 PGL260915:PGL261004 OWP260915:OWP261004 OMT260915:OMT261004 OCX260915:OCX261004 NTB260915:NTB261004 NJF260915:NJF261004 MZJ260915:MZJ261004 MPN260915:MPN261004 MFR260915:MFR261004 LVV260915:LVV261004 LLZ260915:LLZ261004 LCD260915:LCD261004 KSH260915:KSH261004 KIL260915:KIL261004 JYP260915:JYP261004 JOT260915:JOT261004 JEX260915:JEX261004 IVB260915:IVB261004 ILF260915:ILF261004 IBJ260915:IBJ261004 HRN260915:HRN261004 HHR260915:HHR261004 GXV260915:GXV261004 GNZ260915:GNZ261004 GED260915:GED261004 FUH260915:FUH261004 FKL260915:FKL261004 FAP260915:FAP261004 EQT260915:EQT261004 EGX260915:EGX261004 DXB260915:DXB261004 DNF260915:DNF261004 DDJ260915:DDJ261004 CTN260915:CTN261004 CJR260915:CJR261004 BZV260915:BZV261004 BPZ260915:BPZ261004 BGD260915:BGD261004 AWH260915:AWH261004 AML260915:AML261004 ACP260915:ACP261004 ST260915:ST261004 IX260915:IX261004 B260921:B261010 WVJ195379:WVJ195468 WLN195379:WLN195468 WBR195379:WBR195468 VRV195379:VRV195468 VHZ195379:VHZ195468 UYD195379:UYD195468 UOH195379:UOH195468 UEL195379:UEL195468 TUP195379:TUP195468 TKT195379:TKT195468 TAX195379:TAX195468 SRB195379:SRB195468 SHF195379:SHF195468 RXJ195379:RXJ195468 RNN195379:RNN195468 RDR195379:RDR195468 QTV195379:QTV195468 QJZ195379:QJZ195468 QAD195379:QAD195468 PQH195379:PQH195468 PGL195379:PGL195468 OWP195379:OWP195468 OMT195379:OMT195468 OCX195379:OCX195468 NTB195379:NTB195468 NJF195379:NJF195468 MZJ195379:MZJ195468 MPN195379:MPN195468 MFR195379:MFR195468 LVV195379:LVV195468 LLZ195379:LLZ195468 LCD195379:LCD195468 KSH195379:KSH195468 KIL195379:KIL195468 JYP195379:JYP195468 JOT195379:JOT195468 JEX195379:JEX195468 IVB195379:IVB195468 ILF195379:ILF195468 IBJ195379:IBJ195468 HRN195379:HRN195468 HHR195379:HHR195468 GXV195379:GXV195468 GNZ195379:GNZ195468 GED195379:GED195468 FUH195379:FUH195468 FKL195379:FKL195468 FAP195379:FAP195468 EQT195379:EQT195468 EGX195379:EGX195468 DXB195379:DXB195468 DNF195379:DNF195468 DDJ195379:DDJ195468 CTN195379:CTN195468 CJR195379:CJR195468 BZV195379:BZV195468 BPZ195379:BPZ195468 BGD195379:BGD195468 AWH195379:AWH195468 AML195379:AML195468 ACP195379:ACP195468 ST195379:ST195468 IX195379:IX195468 B195385:B195474 WVJ129843:WVJ129932 WLN129843:WLN129932 WBR129843:WBR129932 VRV129843:VRV129932 VHZ129843:VHZ129932 UYD129843:UYD129932 UOH129843:UOH129932 UEL129843:UEL129932 TUP129843:TUP129932 TKT129843:TKT129932 TAX129843:TAX129932 SRB129843:SRB129932 SHF129843:SHF129932 RXJ129843:RXJ129932 RNN129843:RNN129932 RDR129843:RDR129932 QTV129843:QTV129932 QJZ129843:QJZ129932 QAD129843:QAD129932 PQH129843:PQH129932 PGL129843:PGL129932 OWP129843:OWP129932 OMT129843:OMT129932 OCX129843:OCX129932 NTB129843:NTB129932 NJF129843:NJF129932 MZJ129843:MZJ129932 MPN129843:MPN129932 MFR129843:MFR129932 LVV129843:LVV129932 LLZ129843:LLZ129932 LCD129843:LCD129932 KSH129843:KSH129932 KIL129843:KIL129932 JYP129843:JYP129932 JOT129843:JOT129932 JEX129843:JEX129932 IVB129843:IVB129932 ILF129843:ILF129932 IBJ129843:IBJ129932 HRN129843:HRN129932 HHR129843:HHR129932 GXV129843:GXV129932 GNZ129843:GNZ129932 GED129843:GED129932 FUH129843:FUH129932 FKL129843:FKL129932 FAP129843:FAP129932 EQT129843:EQT129932 EGX129843:EGX129932 DXB129843:DXB129932 DNF129843:DNF129932 DDJ129843:DDJ129932 CTN129843:CTN129932 CJR129843:CJR129932 BZV129843:BZV129932 BPZ129843:BPZ129932 BGD129843:BGD129932 AWH129843:AWH129932 AML129843:AML129932 ACP129843:ACP129932 ST129843:ST129932 IX129843:IX129932 B129849:B129938 WVJ64307:WVJ64396 WLN64307:WLN64396 WBR64307:WBR64396 VRV64307:VRV64396 VHZ64307:VHZ64396 UYD64307:UYD64396 UOH64307:UOH64396 UEL64307:UEL64396 TUP64307:TUP64396 TKT64307:TKT64396 TAX64307:TAX64396 SRB64307:SRB64396 SHF64307:SHF64396 RXJ64307:RXJ64396 RNN64307:RNN64396 RDR64307:RDR64396 QTV64307:QTV64396 QJZ64307:QJZ64396 QAD64307:QAD64396 PQH64307:PQH64396 PGL64307:PGL64396 OWP64307:OWP64396 OMT64307:OMT64396 OCX64307:OCX64396 NTB64307:NTB64396 NJF64307:NJF64396 MZJ64307:MZJ64396 MPN64307:MPN64396 MFR64307:MFR64396 LVV64307:LVV64396 LLZ64307:LLZ64396 LCD64307:LCD64396 KSH64307:KSH64396 KIL64307:KIL64396 JYP64307:JYP64396 JOT64307:JOT64396 JEX64307:JEX64396 IVB64307:IVB64396 ILF64307:ILF64396 IBJ64307:IBJ64396 HRN64307:HRN64396 HHR64307:HHR64396 GXV64307:GXV64396 GNZ64307:GNZ64396 GED64307:GED64396 FUH64307:FUH64396 FKL64307:FKL64396 FAP64307:FAP64396 EQT64307:EQT64396 EGX64307:EGX64396 DXB64307:DXB64396 DNF64307:DNF64396 DDJ64307:DDJ64396 CTN64307:CTN64396 CJR64307:CJR64396 BZV64307:BZV64396 BPZ64307:BPZ64396 BGD64307:BGD64396 AWH64307:AWH64396 AML64307:AML64396 ACP64307:ACP64396 ST64307:ST64396 IX64307:IX64396 B64313:B64402 B102:B118 IX2:IX79 WVJ2:WVJ79 WLN2:WLN79 WBR2:WBR79 VRV2:VRV79 VHZ2:VHZ79 UYD2:UYD79 UOH2:UOH79 UEL2:UEL79 TUP2:TUP79 TKT2:TKT79 TAX2:TAX79 SRB2:SRB79 SHF2:SHF79 RXJ2:RXJ79 RNN2:RNN79 RDR2:RDR79 QTV2:QTV79 QJZ2:QJZ79 QAD2:QAD79 PQH2:PQH79 PGL2:PGL79 OWP2:OWP79 OMT2:OMT79 OCX2:OCX79 NTB2:NTB79 NJF2:NJF79 MZJ2:MZJ79 MPN2:MPN79 MFR2:MFR79 LVV2:LVV79 LLZ2:LLZ79 LCD2:LCD79 KSH2:KSH79 KIL2:KIL79 JYP2:JYP79 JOT2:JOT79 JEX2:JEX79 IVB2:IVB79 ILF2:ILF79 IBJ2:IBJ79 HRN2:HRN79 HHR2:HHR79 GXV2:GXV79 GNZ2:GNZ79 GED2:GED79 FUH2:FUH79 FKL2:FKL79 FAP2:FAP79 EQT2:EQT79 EGX2:EGX79 DXB2:DXB79 DNF2:DNF79 DDJ2:DDJ79 CTN2:CTN79 CJR2:CJR79 BZV2:BZV79 BPZ2:BPZ79 BGD2:BGD79 AWH2:AWH79 AML2:AML79 ACP2:ACP79 ST2:ST79 B2:B100" xr:uid="{000F7B55-817E-4609-B7EA-A981B4A9081C}"/>
    <dataValidation type="list" allowBlank="1" showInputMessage="1" showErrorMessage="1" sqref="WVI981811:WVI981900 WLM981811:WLM981900 WBQ981811:WBQ981900 VRU981811:VRU981900 VHY981811:VHY981900 UYC981811:UYC981900 UOG981811:UOG981900 UEK981811:UEK981900 TUO981811:TUO981900 TKS981811:TKS981900 TAW981811:TAW981900 SRA981811:SRA981900 SHE981811:SHE981900 RXI981811:RXI981900 RNM981811:RNM981900 RDQ981811:RDQ981900 QTU981811:QTU981900 QJY981811:QJY981900 QAC981811:QAC981900 PQG981811:PQG981900 PGK981811:PGK981900 OWO981811:OWO981900 OMS981811:OMS981900 OCW981811:OCW981900 NTA981811:NTA981900 NJE981811:NJE981900 MZI981811:MZI981900 MPM981811:MPM981900 MFQ981811:MFQ981900 LVU981811:LVU981900 LLY981811:LLY981900 LCC981811:LCC981900 KSG981811:KSG981900 KIK981811:KIK981900 JYO981811:JYO981900 JOS981811:JOS981900 JEW981811:JEW981900 IVA981811:IVA981900 ILE981811:ILE981900 IBI981811:IBI981900 HRM981811:HRM981900 HHQ981811:HHQ981900 GXU981811:GXU981900 GNY981811:GNY981900 GEC981811:GEC981900 FUG981811:FUG981900 FKK981811:FKK981900 FAO981811:FAO981900 EQS981811:EQS981900 EGW981811:EGW981900 DXA981811:DXA981900 DNE981811:DNE981900 DDI981811:DDI981900 CTM981811:CTM981900 CJQ981811:CJQ981900 BZU981811:BZU981900 BPY981811:BPY981900 BGC981811:BGC981900 AWG981811:AWG981900 AMK981811:AMK981900 ACO981811:ACO981900 SS981811:SS981900 IW981811:IW981900 A981817:A981906 WVI916275:WVI916364 WLM916275:WLM916364 WBQ916275:WBQ916364 VRU916275:VRU916364 VHY916275:VHY916364 UYC916275:UYC916364 UOG916275:UOG916364 UEK916275:UEK916364 TUO916275:TUO916364 TKS916275:TKS916364 TAW916275:TAW916364 SRA916275:SRA916364 SHE916275:SHE916364 RXI916275:RXI916364 RNM916275:RNM916364 RDQ916275:RDQ916364 QTU916275:QTU916364 QJY916275:QJY916364 QAC916275:QAC916364 PQG916275:PQG916364 PGK916275:PGK916364 OWO916275:OWO916364 OMS916275:OMS916364 OCW916275:OCW916364 NTA916275:NTA916364 NJE916275:NJE916364 MZI916275:MZI916364 MPM916275:MPM916364 MFQ916275:MFQ916364 LVU916275:LVU916364 LLY916275:LLY916364 LCC916275:LCC916364 KSG916275:KSG916364 KIK916275:KIK916364 JYO916275:JYO916364 JOS916275:JOS916364 JEW916275:JEW916364 IVA916275:IVA916364 ILE916275:ILE916364 IBI916275:IBI916364 HRM916275:HRM916364 HHQ916275:HHQ916364 GXU916275:GXU916364 GNY916275:GNY916364 GEC916275:GEC916364 FUG916275:FUG916364 FKK916275:FKK916364 FAO916275:FAO916364 EQS916275:EQS916364 EGW916275:EGW916364 DXA916275:DXA916364 DNE916275:DNE916364 DDI916275:DDI916364 CTM916275:CTM916364 CJQ916275:CJQ916364 BZU916275:BZU916364 BPY916275:BPY916364 BGC916275:BGC916364 AWG916275:AWG916364 AMK916275:AMK916364 ACO916275:ACO916364 SS916275:SS916364 IW916275:IW916364 A916281:A916370 WVI850739:WVI850828 WLM850739:WLM850828 WBQ850739:WBQ850828 VRU850739:VRU850828 VHY850739:VHY850828 UYC850739:UYC850828 UOG850739:UOG850828 UEK850739:UEK850828 TUO850739:TUO850828 TKS850739:TKS850828 TAW850739:TAW850828 SRA850739:SRA850828 SHE850739:SHE850828 RXI850739:RXI850828 RNM850739:RNM850828 RDQ850739:RDQ850828 QTU850739:QTU850828 QJY850739:QJY850828 QAC850739:QAC850828 PQG850739:PQG850828 PGK850739:PGK850828 OWO850739:OWO850828 OMS850739:OMS850828 OCW850739:OCW850828 NTA850739:NTA850828 NJE850739:NJE850828 MZI850739:MZI850828 MPM850739:MPM850828 MFQ850739:MFQ850828 LVU850739:LVU850828 LLY850739:LLY850828 LCC850739:LCC850828 KSG850739:KSG850828 KIK850739:KIK850828 JYO850739:JYO850828 JOS850739:JOS850828 JEW850739:JEW850828 IVA850739:IVA850828 ILE850739:ILE850828 IBI850739:IBI850828 HRM850739:HRM850828 HHQ850739:HHQ850828 GXU850739:GXU850828 GNY850739:GNY850828 GEC850739:GEC850828 FUG850739:FUG850828 FKK850739:FKK850828 FAO850739:FAO850828 EQS850739:EQS850828 EGW850739:EGW850828 DXA850739:DXA850828 DNE850739:DNE850828 DDI850739:DDI850828 CTM850739:CTM850828 CJQ850739:CJQ850828 BZU850739:BZU850828 BPY850739:BPY850828 BGC850739:BGC850828 AWG850739:AWG850828 AMK850739:AMK850828 ACO850739:ACO850828 SS850739:SS850828 IW850739:IW850828 A850745:A850834 WVI785203:WVI785292 WLM785203:WLM785292 WBQ785203:WBQ785292 VRU785203:VRU785292 VHY785203:VHY785292 UYC785203:UYC785292 UOG785203:UOG785292 UEK785203:UEK785292 TUO785203:TUO785292 TKS785203:TKS785292 TAW785203:TAW785292 SRA785203:SRA785292 SHE785203:SHE785292 RXI785203:RXI785292 RNM785203:RNM785292 RDQ785203:RDQ785292 QTU785203:QTU785292 QJY785203:QJY785292 QAC785203:QAC785292 PQG785203:PQG785292 PGK785203:PGK785292 OWO785203:OWO785292 OMS785203:OMS785292 OCW785203:OCW785292 NTA785203:NTA785292 NJE785203:NJE785292 MZI785203:MZI785292 MPM785203:MPM785292 MFQ785203:MFQ785292 LVU785203:LVU785292 LLY785203:LLY785292 LCC785203:LCC785292 KSG785203:KSG785292 KIK785203:KIK785292 JYO785203:JYO785292 JOS785203:JOS785292 JEW785203:JEW785292 IVA785203:IVA785292 ILE785203:ILE785292 IBI785203:IBI785292 HRM785203:HRM785292 HHQ785203:HHQ785292 GXU785203:GXU785292 GNY785203:GNY785292 GEC785203:GEC785292 FUG785203:FUG785292 FKK785203:FKK785292 FAO785203:FAO785292 EQS785203:EQS785292 EGW785203:EGW785292 DXA785203:DXA785292 DNE785203:DNE785292 DDI785203:DDI785292 CTM785203:CTM785292 CJQ785203:CJQ785292 BZU785203:BZU785292 BPY785203:BPY785292 BGC785203:BGC785292 AWG785203:AWG785292 AMK785203:AMK785292 ACO785203:ACO785292 SS785203:SS785292 IW785203:IW785292 A785209:A785298 WVI719667:WVI719756 WLM719667:WLM719756 WBQ719667:WBQ719756 VRU719667:VRU719756 VHY719667:VHY719756 UYC719667:UYC719756 UOG719667:UOG719756 UEK719667:UEK719756 TUO719667:TUO719756 TKS719667:TKS719756 TAW719667:TAW719756 SRA719667:SRA719756 SHE719667:SHE719756 RXI719667:RXI719756 RNM719667:RNM719756 RDQ719667:RDQ719756 QTU719667:QTU719756 QJY719667:QJY719756 QAC719667:QAC719756 PQG719667:PQG719756 PGK719667:PGK719756 OWO719667:OWO719756 OMS719667:OMS719756 OCW719667:OCW719756 NTA719667:NTA719756 NJE719667:NJE719756 MZI719667:MZI719756 MPM719667:MPM719756 MFQ719667:MFQ719756 LVU719667:LVU719756 LLY719667:LLY719756 LCC719667:LCC719756 KSG719667:KSG719756 KIK719667:KIK719756 JYO719667:JYO719756 JOS719667:JOS719756 JEW719667:JEW719756 IVA719667:IVA719756 ILE719667:ILE719756 IBI719667:IBI719756 HRM719667:HRM719756 HHQ719667:HHQ719756 GXU719667:GXU719756 GNY719667:GNY719756 GEC719667:GEC719756 FUG719667:FUG719756 FKK719667:FKK719756 FAO719667:FAO719756 EQS719667:EQS719756 EGW719667:EGW719756 DXA719667:DXA719756 DNE719667:DNE719756 DDI719667:DDI719756 CTM719667:CTM719756 CJQ719667:CJQ719756 BZU719667:BZU719756 BPY719667:BPY719756 BGC719667:BGC719756 AWG719667:AWG719756 AMK719667:AMK719756 ACO719667:ACO719756 SS719667:SS719756 IW719667:IW719756 A719673:A719762 WVI654131:WVI654220 WLM654131:WLM654220 WBQ654131:WBQ654220 VRU654131:VRU654220 VHY654131:VHY654220 UYC654131:UYC654220 UOG654131:UOG654220 UEK654131:UEK654220 TUO654131:TUO654220 TKS654131:TKS654220 TAW654131:TAW654220 SRA654131:SRA654220 SHE654131:SHE654220 RXI654131:RXI654220 RNM654131:RNM654220 RDQ654131:RDQ654220 QTU654131:QTU654220 QJY654131:QJY654220 QAC654131:QAC654220 PQG654131:PQG654220 PGK654131:PGK654220 OWO654131:OWO654220 OMS654131:OMS654220 OCW654131:OCW654220 NTA654131:NTA654220 NJE654131:NJE654220 MZI654131:MZI654220 MPM654131:MPM654220 MFQ654131:MFQ654220 LVU654131:LVU654220 LLY654131:LLY654220 LCC654131:LCC654220 KSG654131:KSG654220 KIK654131:KIK654220 JYO654131:JYO654220 JOS654131:JOS654220 JEW654131:JEW654220 IVA654131:IVA654220 ILE654131:ILE654220 IBI654131:IBI654220 HRM654131:HRM654220 HHQ654131:HHQ654220 GXU654131:GXU654220 GNY654131:GNY654220 GEC654131:GEC654220 FUG654131:FUG654220 FKK654131:FKK654220 FAO654131:FAO654220 EQS654131:EQS654220 EGW654131:EGW654220 DXA654131:DXA654220 DNE654131:DNE654220 DDI654131:DDI654220 CTM654131:CTM654220 CJQ654131:CJQ654220 BZU654131:BZU654220 BPY654131:BPY654220 BGC654131:BGC654220 AWG654131:AWG654220 AMK654131:AMK654220 ACO654131:ACO654220 SS654131:SS654220 IW654131:IW654220 A654137:A654226 WVI588595:WVI588684 WLM588595:WLM588684 WBQ588595:WBQ588684 VRU588595:VRU588684 VHY588595:VHY588684 UYC588595:UYC588684 UOG588595:UOG588684 UEK588595:UEK588684 TUO588595:TUO588684 TKS588595:TKS588684 TAW588595:TAW588684 SRA588595:SRA588684 SHE588595:SHE588684 RXI588595:RXI588684 RNM588595:RNM588684 RDQ588595:RDQ588684 QTU588595:QTU588684 QJY588595:QJY588684 QAC588595:QAC588684 PQG588595:PQG588684 PGK588595:PGK588684 OWO588595:OWO588684 OMS588595:OMS588684 OCW588595:OCW588684 NTA588595:NTA588684 NJE588595:NJE588684 MZI588595:MZI588684 MPM588595:MPM588684 MFQ588595:MFQ588684 LVU588595:LVU588684 LLY588595:LLY588684 LCC588595:LCC588684 KSG588595:KSG588684 KIK588595:KIK588684 JYO588595:JYO588684 JOS588595:JOS588684 JEW588595:JEW588684 IVA588595:IVA588684 ILE588595:ILE588684 IBI588595:IBI588684 HRM588595:HRM588684 HHQ588595:HHQ588684 GXU588595:GXU588684 GNY588595:GNY588684 GEC588595:GEC588684 FUG588595:FUG588684 FKK588595:FKK588684 FAO588595:FAO588684 EQS588595:EQS588684 EGW588595:EGW588684 DXA588595:DXA588684 DNE588595:DNE588684 DDI588595:DDI588684 CTM588595:CTM588684 CJQ588595:CJQ588684 BZU588595:BZU588684 BPY588595:BPY588684 BGC588595:BGC588684 AWG588595:AWG588684 AMK588595:AMK588684 ACO588595:ACO588684 SS588595:SS588684 IW588595:IW588684 A588601:A588690 WVI523059:WVI523148 WLM523059:WLM523148 WBQ523059:WBQ523148 VRU523059:VRU523148 VHY523059:VHY523148 UYC523059:UYC523148 UOG523059:UOG523148 UEK523059:UEK523148 TUO523059:TUO523148 TKS523059:TKS523148 TAW523059:TAW523148 SRA523059:SRA523148 SHE523059:SHE523148 RXI523059:RXI523148 RNM523059:RNM523148 RDQ523059:RDQ523148 QTU523059:QTU523148 QJY523059:QJY523148 QAC523059:QAC523148 PQG523059:PQG523148 PGK523059:PGK523148 OWO523059:OWO523148 OMS523059:OMS523148 OCW523059:OCW523148 NTA523059:NTA523148 NJE523059:NJE523148 MZI523059:MZI523148 MPM523059:MPM523148 MFQ523059:MFQ523148 LVU523059:LVU523148 LLY523059:LLY523148 LCC523059:LCC523148 KSG523059:KSG523148 KIK523059:KIK523148 JYO523059:JYO523148 JOS523059:JOS523148 JEW523059:JEW523148 IVA523059:IVA523148 ILE523059:ILE523148 IBI523059:IBI523148 HRM523059:HRM523148 HHQ523059:HHQ523148 GXU523059:GXU523148 GNY523059:GNY523148 GEC523059:GEC523148 FUG523059:FUG523148 FKK523059:FKK523148 FAO523059:FAO523148 EQS523059:EQS523148 EGW523059:EGW523148 DXA523059:DXA523148 DNE523059:DNE523148 DDI523059:DDI523148 CTM523059:CTM523148 CJQ523059:CJQ523148 BZU523059:BZU523148 BPY523059:BPY523148 BGC523059:BGC523148 AWG523059:AWG523148 AMK523059:AMK523148 ACO523059:ACO523148 SS523059:SS523148 IW523059:IW523148 A523065:A523154 WVI457523:WVI457612 WLM457523:WLM457612 WBQ457523:WBQ457612 VRU457523:VRU457612 VHY457523:VHY457612 UYC457523:UYC457612 UOG457523:UOG457612 UEK457523:UEK457612 TUO457523:TUO457612 TKS457523:TKS457612 TAW457523:TAW457612 SRA457523:SRA457612 SHE457523:SHE457612 RXI457523:RXI457612 RNM457523:RNM457612 RDQ457523:RDQ457612 QTU457523:QTU457612 QJY457523:QJY457612 QAC457523:QAC457612 PQG457523:PQG457612 PGK457523:PGK457612 OWO457523:OWO457612 OMS457523:OMS457612 OCW457523:OCW457612 NTA457523:NTA457612 NJE457523:NJE457612 MZI457523:MZI457612 MPM457523:MPM457612 MFQ457523:MFQ457612 LVU457523:LVU457612 LLY457523:LLY457612 LCC457523:LCC457612 KSG457523:KSG457612 KIK457523:KIK457612 JYO457523:JYO457612 JOS457523:JOS457612 JEW457523:JEW457612 IVA457523:IVA457612 ILE457523:ILE457612 IBI457523:IBI457612 HRM457523:HRM457612 HHQ457523:HHQ457612 GXU457523:GXU457612 GNY457523:GNY457612 GEC457523:GEC457612 FUG457523:FUG457612 FKK457523:FKK457612 FAO457523:FAO457612 EQS457523:EQS457612 EGW457523:EGW457612 DXA457523:DXA457612 DNE457523:DNE457612 DDI457523:DDI457612 CTM457523:CTM457612 CJQ457523:CJQ457612 BZU457523:BZU457612 BPY457523:BPY457612 BGC457523:BGC457612 AWG457523:AWG457612 AMK457523:AMK457612 ACO457523:ACO457612 SS457523:SS457612 IW457523:IW457612 A457529:A457618 WVI391987:WVI392076 WLM391987:WLM392076 WBQ391987:WBQ392076 VRU391987:VRU392076 VHY391987:VHY392076 UYC391987:UYC392076 UOG391987:UOG392076 UEK391987:UEK392076 TUO391987:TUO392076 TKS391987:TKS392076 TAW391987:TAW392076 SRA391987:SRA392076 SHE391987:SHE392076 RXI391987:RXI392076 RNM391987:RNM392076 RDQ391987:RDQ392076 QTU391987:QTU392076 QJY391987:QJY392076 QAC391987:QAC392076 PQG391987:PQG392076 PGK391987:PGK392076 OWO391987:OWO392076 OMS391987:OMS392076 OCW391987:OCW392076 NTA391987:NTA392076 NJE391987:NJE392076 MZI391987:MZI392076 MPM391987:MPM392076 MFQ391987:MFQ392076 LVU391987:LVU392076 LLY391987:LLY392076 LCC391987:LCC392076 KSG391987:KSG392076 KIK391987:KIK392076 JYO391987:JYO392076 JOS391987:JOS392076 JEW391987:JEW392076 IVA391987:IVA392076 ILE391987:ILE392076 IBI391987:IBI392076 HRM391987:HRM392076 HHQ391987:HHQ392076 GXU391987:GXU392076 GNY391987:GNY392076 GEC391987:GEC392076 FUG391987:FUG392076 FKK391987:FKK392076 FAO391987:FAO392076 EQS391987:EQS392076 EGW391987:EGW392076 DXA391987:DXA392076 DNE391987:DNE392076 DDI391987:DDI392076 CTM391987:CTM392076 CJQ391987:CJQ392076 BZU391987:BZU392076 BPY391987:BPY392076 BGC391987:BGC392076 AWG391987:AWG392076 AMK391987:AMK392076 ACO391987:ACO392076 SS391987:SS392076 IW391987:IW392076 A391993:A392082 WVI326451:WVI326540 WLM326451:WLM326540 WBQ326451:WBQ326540 VRU326451:VRU326540 VHY326451:VHY326540 UYC326451:UYC326540 UOG326451:UOG326540 UEK326451:UEK326540 TUO326451:TUO326540 TKS326451:TKS326540 TAW326451:TAW326540 SRA326451:SRA326540 SHE326451:SHE326540 RXI326451:RXI326540 RNM326451:RNM326540 RDQ326451:RDQ326540 QTU326451:QTU326540 QJY326451:QJY326540 QAC326451:QAC326540 PQG326451:PQG326540 PGK326451:PGK326540 OWO326451:OWO326540 OMS326451:OMS326540 OCW326451:OCW326540 NTA326451:NTA326540 NJE326451:NJE326540 MZI326451:MZI326540 MPM326451:MPM326540 MFQ326451:MFQ326540 LVU326451:LVU326540 LLY326451:LLY326540 LCC326451:LCC326540 KSG326451:KSG326540 KIK326451:KIK326540 JYO326451:JYO326540 JOS326451:JOS326540 JEW326451:JEW326540 IVA326451:IVA326540 ILE326451:ILE326540 IBI326451:IBI326540 HRM326451:HRM326540 HHQ326451:HHQ326540 GXU326451:GXU326540 GNY326451:GNY326540 GEC326451:GEC326540 FUG326451:FUG326540 FKK326451:FKK326540 FAO326451:FAO326540 EQS326451:EQS326540 EGW326451:EGW326540 DXA326451:DXA326540 DNE326451:DNE326540 DDI326451:DDI326540 CTM326451:CTM326540 CJQ326451:CJQ326540 BZU326451:BZU326540 BPY326451:BPY326540 BGC326451:BGC326540 AWG326451:AWG326540 AMK326451:AMK326540 ACO326451:ACO326540 SS326451:SS326540 IW326451:IW326540 A326457:A326546 WVI260915:WVI261004 WLM260915:WLM261004 WBQ260915:WBQ261004 VRU260915:VRU261004 VHY260915:VHY261004 UYC260915:UYC261004 UOG260915:UOG261004 UEK260915:UEK261004 TUO260915:TUO261004 TKS260915:TKS261004 TAW260915:TAW261004 SRA260915:SRA261004 SHE260915:SHE261004 RXI260915:RXI261004 RNM260915:RNM261004 RDQ260915:RDQ261004 QTU260915:QTU261004 QJY260915:QJY261004 QAC260915:QAC261004 PQG260915:PQG261004 PGK260915:PGK261004 OWO260915:OWO261004 OMS260915:OMS261004 OCW260915:OCW261004 NTA260915:NTA261004 NJE260915:NJE261004 MZI260915:MZI261004 MPM260915:MPM261004 MFQ260915:MFQ261004 LVU260915:LVU261004 LLY260915:LLY261004 LCC260915:LCC261004 KSG260915:KSG261004 KIK260915:KIK261004 JYO260915:JYO261004 JOS260915:JOS261004 JEW260915:JEW261004 IVA260915:IVA261004 ILE260915:ILE261004 IBI260915:IBI261004 HRM260915:HRM261004 HHQ260915:HHQ261004 GXU260915:GXU261004 GNY260915:GNY261004 GEC260915:GEC261004 FUG260915:FUG261004 FKK260915:FKK261004 FAO260915:FAO261004 EQS260915:EQS261004 EGW260915:EGW261004 DXA260915:DXA261004 DNE260915:DNE261004 DDI260915:DDI261004 CTM260915:CTM261004 CJQ260915:CJQ261004 BZU260915:BZU261004 BPY260915:BPY261004 BGC260915:BGC261004 AWG260915:AWG261004 AMK260915:AMK261004 ACO260915:ACO261004 SS260915:SS261004 IW260915:IW261004 A260921:A261010 WVI195379:WVI195468 WLM195379:WLM195468 WBQ195379:WBQ195468 VRU195379:VRU195468 VHY195379:VHY195468 UYC195379:UYC195468 UOG195379:UOG195468 UEK195379:UEK195468 TUO195379:TUO195468 TKS195379:TKS195468 TAW195379:TAW195468 SRA195379:SRA195468 SHE195379:SHE195468 RXI195379:RXI195468 RNM195379:RNM195468 RDQ195379:RDQ195468 QTU195379:QTU195468 QJY195379:QJY195468 QAC195379:QAC195468 PQG195379:PQG195468 PGK195379:PGK195468 OWO195379:OWO195468 OMS195379:OMS195468 OCW195379:OCW195468 NTA195379:NTA195468 NJE195379:NJE195468 MZI195379:MZI195468 MPM195379:MPM195468 MFQ195379:MFQ195468 LVU195379:LVU195468 LLY195379:LLY195468 LCC195379:LCC195468 KSG195379:KSG195468 KIK195379:KIK195468 JYO195379:JYO195468 JOS195379:JOS195468 JEW195379:JEW195468 IVA195379:IVA195468 ILE195379:ILE195468 IBI195379:IBI195468 HRM195379:HRM195468 HHQ195379:HHQ195468 GXU195379:GXU195468 GNY195379:GNY195468 GEC195379:GEC195468 FUG195379:FUG195468 FKK195379:FKK195468 FAO195379:FAO195468 EQS195379:EQS195468 EGW195379:EGW195468 DXA195379:DXA195468 DNE195379:DNE195468 DDI195379:DDI195468 CTM195379:CTM195468 CJQ195379:CJQ195468 BZU195379:BZU195468 BPY195379:BPY195468 BGC195379:BGC195468 AWG195379:AWG195468 AMK195379:AMK195468 ACO195379:ACO195468 SS195379:SS195468 IW195379:IW195468 A195385:A195474 WVI129843:WVI129932 WLM129843:WLM129932 WBQ129843:WBQ129932 VRU129843:VRU129932 VHY129843:VHY129932 UYC129843:UYC129932 UOG129843:UOG129932 UEK129843:UEK129932 TUO129843:TUO129932 TKS129843:TKS129932 TAW129843:TAW129932 SRA129843:SRA129932 SHE129843:SHE129932 RXI129843:RXI129932 RNM129843:RNM129932 RDQ129843:RDQ129932 QTU129843:QTU129932 QJY129843:QJY129932 QAC129843:QAC129932 PQG129843:PQG129932 PGK129843:PGK129932 OWO129843:OWO129932 OMS129843:OMS129932 OCW129843:OCW129932 NTA129843:NTA129932 NJE129843:NJE129932 MZI129843:MZI129932 MPM129843:MPM129932 MFQ129843:MFQ129932 LVU129843:LVU129932 LLY129843:LLY129932 LCC129843:LCC129932 KSG129843:KSG129932 KIK129843:KIK129932 JYO129843:JYO129932 JOS129843:JOS129932 JEW129843:JEW129932 IVA129843:IVA129932 ILE129843:ILE129932 IBI129843:IBI129932 HRM129843:HRM129932 HHQ129843:HHQ129932 GXU129843:GXU129932 GNY129843:GNY129932 GEC129843:GEC129932 FUG129843:FUG129932 FKK129843:FKK129932 FAO129843:FAO129932 EQS129843:EQS129932 EGW129843:EGW129932 DXA129843:DXA129932 DNE129843:DNE129932 DDI129843:DDI129932 CTM129843:CTM129932 CJQ129843:CJQ129932 BZU129843:BZU129932 BPY129843:BPY129932 BGC129843:BGC129932 AWG129843:AWG129932 AMK129843:AMK129932 ACO129843:ACO129932 SS129843:SS129932 IW129843:IW129932 A129849:A129938 WVI64307:WVI64396 WLM64307:WLM64396 WBQ64307:WBQ64396 VRU64307:VRU64396 VHY64307:VHY64396 UYC64307:UYC64396 UOG64307:UOG64396 UEK64307:UEK64396 TUO64307:TUO64396 TKS64307:TKS64396 TAW64307:TAW64396 SRA64307:SRA64396 SHE64307:SHE64396 RXI64307:RXI64396 RNM64307:RNM64396 RDQ64307:RDQ64396 QTU64307:QTU64396 QJY64307:QJY64396 QAC64307:QAC64396 PQG64307:PQG64396 PGK64307:PGK64396 OWO64307:OWO64396 OMS64307:OMS64396 OCW64307:OCW64396 NTA64307:NTA64396 NJE64307:NJE64396 MZI64307:MZI64396 MPM64307:MPM64396 MFQ64307:MFQ64396 LVU64307:LVU64396 LLY64307:LLY64396 LCC64307:LCC64396 KSG64307:KSG64396 KIK64307:KIK64396 JYO64307:JYO64396 JOS64307:JOS64396 JEW64307:JEW64396 IVA64307:IVA64396 ILE64307:ILE64396 IBI64307:IBI64396 HRM64307:HRM64396 HHQ64307:HHQ64396 GXU64307:GXU64396 GNY64307:GNY64396 GEC64307:GEC64396 FUG64307:FUG64396 FKK64307:FKK64396 FAO64307:FAO64396 EQS64307:EQS64396 EGW64307:EGW64396 DXA64307:DXA64396 DNE64307:DNE64396 DDI64307:DDI64396 CTM64307:CTM64396 CJQ64307:CJQ64396 BZU64307:BZU64396 BPY64307:BPY64396 BGC64307:BGC64396 AWG64307:AWG64396 AMK64307:AMK64396 ACO64307:ACO64396 SS64307:SS64396 IW64307:IW64396 A64313:A64402 WVI2:WVI79 WLM2:WLM79 WBQ2:WBQ79 VRU2:VRU79 VHY2:VHY79 UYC2:UYC79 UOG2:UOG79 UEK2:UEK79 TUO2:TUO79 TKS2:TKS79 TAW2:TAW79 SRA2:SRA79 SHE2:SHE79 RXI2:RXI79 RNM2:RNM79 RDQ2:RDQ79 QTU2:QTU79 QJY2:QJY79 QAC2:QAC79 PQG2:PQG79 PGK2:PGK79 OWO2:OWO79 OMS2:OMS79 OCW2:OCW79 NTA2:NTA79 NJE2:NJE79 MZI2:MZI79 MPM2:MPM79 MFQ2:MFQ79 LVU2:LVU79 LLY2:LLY79 LCC2:LCC79 KSG2:KSG79 KIK2:KIK79 JYO2:JYO79 JOS2:JOS79 JEW2:JEW79 IVA2:IVA79 ILE2:ILE79 IBI2:IBI79 HRM2:HRM79 HHQ2:HHQ79 GXU2:GXU79 GNY2:GNY79 GEC2:GEC79 FUG2:FUG79 FKK2:FKK79 FAO2:FAO79 EQS2:EQS79 EGW2:EGW79 DXA2:DXA79 DNE2:DNE79 DDI2:DDI79 CTM2:CTM79 CJQ2:CJQ79 BZU2:BZU79 BPY2:BPY79 BGC2:BGC79 AWG2:AWG79 AMK2:AMK79 ACO2:ACO79 SS2:SS79 IW2:IW79" xr:uid="{29AFE3B9-30F8-451C-B6D8-75B3D7D36657}">
      <formula1>$AE$2:$AE$22</formula1>
    </dataValidation>
    <dataValidation type="list" allowBlank="1" showInputMessage="1" showErrorMessage="1" sqref="WVO981811:WVO981900 WLS981811:WLS981900 WBW981811:WBW981900 VSA981811:VSA981900 VIE981811:VIE981900 UYI981811:UYI981900 UOM981811:UOM981900 UEQ981811:UEQ981900 TUU981811:TUU981900 TKY981811:TKY981900 TBC981811:TBC981900 SRG981811:SRG981900 SHK981811:SHK981900 RXO981811:RXO981900 RNS981811:RNS981900 RDW981811:RDW981900 QUA981811:QUA981900 QKE981811:QKE981900 QAI981811:QAI981900 PQM981811:PQM981900 PGQ981811:PGQ981900 OWU981811:OWU981900 OMY981811:OMY981900 ODC981811:ODC981900 NTG981811:NTG981900 NJK981811:NJK981900 MZO981811:MZO981900 MPS981811:MPS981900 MFW981811:MFW981900 LWA981811:LWA981900 LME981811:LME981900 LCI981811:LCI981900 KSM981811:KSM981900 KIQ981811:KIQ981900 JYU981811:JYU981900 JOY981811:JOY981900 JFC981811:JFC981900 IVG981811:IVG981900 ILK981811:ILK981900 IBO981811:IBO981900 HRS981811:HRS981900 HHW981811:HHW981900 GYA981811:GYA981900 GOE981811:GOE981900 GEI981811:GEI981900 FUM981811:FUM981900 FKQ981811:FKQ981900 FAU981811:FAU981900 EQY981811:EQY981900 EHC981811:EHC981900 DXG981811:DXG981900 DNK981811:DNK981900 DDO981811:DDO981900 CTS981811:CTS981900 CJW981811:CJW981900 CAA981811:CAA981900 BQE981811:BQE981900 BGI981811:BGI981900 AWM981811:AWM981900 AMQ981811:AMQ981900 ACU981811:ACU981900 SY981811:SY981900 JC981811:JC981900 G981820:G981909 WVO916275:WVO916364 WLS916275:WLS916364 WBW916275:WBW916364 VSA916275:VSA916364 VIE916275:VIE916364 UYI916275:UYI916364 UOM916275:UOM916364 UEQ916275:UEQ916364 TUU916275:TUU916364 TKY916275:TKY916364 TBC916275:TBC916364 SRG916275:SRG916364 SHK916275:SHK916364 RXO916275:RXO916364 RNS916275:RNS916364 RDW916275:RDW916364 QUA916275:QUA916364 QKE916275:QKE916364 QAI916275:QAI916364 PQM916275:PQM916364 PGQ916275:PGQ916364 OWU916275:OWU916364 OMY916275:OMY916364 ODC916275:ODC916364 NTG916275:NTG916364 NJK916275:NJK916364 MZO916275:MZO916364 MPS916275:MPS916364 MFW916275:MFW916364 LWA916275:LWA916364 LME916275:LME916364 LCI916275:LCI916364 KSM916275:KSM916364 KIQ916275:KIQ916364 JYU916275:JYU916364 JOY916275:JOY916364 JFC916275:JFC916364 IVG916275:IVG916364 ILK916275:ILK916364 IBO916275:IBO916364 HRS916275:HRS916364 HHW916275:HHW916364 GYA916275:GYA916364 GOE916275:GOE916364 GEI916275:GEI916364 FUM916275:FUM916364 FKQ916275:FKQ916364 FAU916275:FAU916364 EQY916275:EQY916364 EHC916275:EHC916364 DXG916275:DXG916364 DNK916275:DNK916364 DDO916275:DDO916364 CTS916275:CTS916364 CJW916275:CJW916364 CAA916275:CAA916364 BQE916275:BQE916364 BGI916275:BGI916364 AWM916275:AWM916364 AMQ916275:AMQ916364 ACU916275:ACU916364 SY916275:SY916364 JC916275:JC916364 G916284:G916373 WVO850739:WVO850828 WLS850739:WLS850828 WBW850739:WBW850828 VSA850739:VSA850828 VIE850739:VIE850828 UYI850739:UYI850828 UOM850739:UOM850828 UEQ850739:UEQ850828 TUU850739:TUU850828 TKY850739:TKY850828 TBC850739:TBC850828 SRG850739:SRG850828 SHK850739:SHK850828 RXO850739:RXO850828 RNS850739:RNS850828 RDW850739:RDW850828 QUA850739:QUA850828 QKE850739:QKE850828 QAI850739:QAI850828 PQM850739:PQM850828 PGQ850739:PGQ850828 OWU850739:OWU850828 OMY850739:OMY850828 ODC850739:ODC850828 NTG850739:NTG850828 NJK850739:NJK850828 MZO850739:MZO850828 MPS850739:MPS850828 MFW850739:MFW850828 LWA850739:LWA850828 LME850739:LME850828 LCI850739:LCI850828 KSM850739:KSM850828 KIQ850739:KIQ850828 JYU850739:JYU850828 JOY850739:JOY850828 JFC850739:JFC850828 IVG850739:IVG850828 ILK850739:ILK850828 IBO850739:IBO850828 HRS850739:HRS850828 HHW850739:HHW850828 GYA850739:GYA850828 GOE850739:GOE850828 GEI850739:GEI850828 FUM850739:FUM850828 FKQ850739:FKQ850828 FAU850739:FAU850828 EQY850739:EQY850828 EHC850739:EHC850828 DXG850739:DXG850828 DNK850739:DNK850828 DDO850739:DDO850828 CTS850739:CTS850828 CJW850739:CJW850828 CAA850739:CAA850828 BQE850739:BQE850828 BGI850739:BGI850828 AWM850739:AWM850828 AMQ850739:AMQ850828 ACU850739:ACU850828 SY850739:SY850828 JC850739:JC850828 G850748:G850837 WVO785203:WVO785292 WLS785203:WLS785292 WBW785203:WBW785292 VSA785203:VSA785292 VIE785203:VIE785292 UYI785203:UYI785292 UOM785203:UOM785292 UEQ785203:UEQ785292 TUU785203:TUU785292 TKY785203:TKY785292 TBC785203:TBC785292 SRG785203:SRG785292 SHK785203:SHK785292 RXO785203:RXO785292 RNS785203:RNS785292 RDW785203:RDW785292 QUA785203:QUA785292 QKE785203:QKE785292 QAI785203:QAI785292 PQM785203:PQM785292 PGQ785203:PGQ785292 OWU785203:OWU785292 OMY785203:OMY785292 ODC785203:ODC785292 NTG785203:NTG785292 NJK785203:NJK785292 MZO785203:MZO785292 MPS785203:MPS785292 MFW785203:MFW785292 LWA785203:LWA785292 LME785203:LME785292 LCI785203:LCI785292 KSM785203:KSM785292 KIQ785203:KIQ785292 JYU785203:JYU785292 JOY785203:JOY785292 JFC785203:JFC785292 IVG785203:IVG785292 ILK785203:ILK785292 IBO785203:IBO785292 HRS785203:HRS785292 HHW785203:HHW785292 GYA785203:GYA785292 GOE785203:GOE785292 GEI785203:GEI785292 FUM785203:FUM785292 FKQ785203:FKQ785292 FAU785203:FAU785292 EQY785203:EQY785292 EHC785203:EHC785292 DXG785203:DXG785292 DNK785203:DNK785292 DDO785203:DDO785292 CTS785203:CTS785292 CJW785203:CJW785292 CAA785203:CAA785292 BQE785203:BQE785292 BGI785203:BGI785292 AWM785203:AWM785292 AMQ785203:AMQ785292 ACU785203:ACU785292 SY785203:SY785292 JC785203:JC785292 G785212:G785301 WVO719667:WVO719756 WLS719667:WLS719756 WBW719667:WBW719756 VSA719667:VSA719756 VIE719667:VIE719756 UYI719667:UYI719756 UOM719667:UOM719756 UEQ719667:UEQ719756 TUU719667:TUU719756 TKY719667:TKY719756 TBC719667:TBC719756 SRG719667:SRG719756 SHK719667:SHK719756 RXO719667:RXO719756 RNS719667:RNS719756 RDW719667:RDW719756 QUA719667:QUA719756 QKE719667:QKE719756 QAI719667:QAI719756 PQM719667:PQM719756 PGQ719667:PGQ719756 OWU719667:OWU719756 OMY719667:OMY719756 ODC719667:ODC719756 NTG719667:NTG719756 NJK719667:NJK719756 MZO719667:MZO719756 MPS719667:MPS719756 MFW719667:MFW719756 LWA719667:LWA719756 LME719667:LME719756 LCI719667:LCI719756 KSM719667:KSM719756 KIQ719667:KIQ719756 JYU719667:JYU719756 JOY719667:JOY719756 JFC719667:JFC719756 IVG719667:IVG719756 ILK719667:ILK719756 IBO719667:IBO719756 HRS719667:HRS719756 HHW719667:HHW719756 GYA719667:GYA719756 GOE719667:GOE719756 GEI719667:GEI719756 FUM719667:FUM719756 FKQ719667:FKQ719756 FAU719667:FAU719756 EQY719667:EQY719756 EHC719667:EHC719756 DXG719667:DXG719756 DNK719667:DNK719756 DDO719667:DDO719756 CTS719667:CTS719756 CJW719667:CJW719756 CAA719667:CAA719756 BQE719667:BQE719756 BGI719667:BGI719756 AWM719667:AWM719756 AMQ719667:AMQ719756 ACU719667:ACU719756 SY719667:SY719756 JC719667:JC719756 G719676:G719765 WVO654131:WVO654220 WLS654131:WLS654220 WBW654131:WBW654220 VSA654131:VSA654220 VIE654131:VIE654220 UYI654131:UYI654220 UOM654131:UOM654220 UEQ654131:UEQ654220 TUU654131:TUU654220 TKY654131:TKY654220 TBC654131:TBC654220 SRG654131:SRG654220 SHK654131:SHK654220 RXO654131:RXO654220 RNS654131:RNS654220 RDW654131:RDW654220 QUA654131:QUA654220 QKE654131:QKE654220 QAI654131:QAI654220 PQM654131:PQM654220 PGQ654131:PGQ654220 OWU654131:OWU654220 OMY654131:OMY654220 ODC654131:ODC654220 NTG654131:NTG654220 NJK654131:NJK654220 MZO654131:MZO654220 MPS654131:MPS654220 MFW654131:MFW654220 LWA654131:LWA654220 LME654131:LME654220 LCI654131:LCI654220 KSM654131:KSM654220 KIQ654131:KIQ654220 JYU654131:JYU654220 JOY654131:JOY654220 JFC654131:JFC654220 IVG654131:IVG654220 ILK654131:ILK654220 IBO654131:IBO654220 HRS654131:HRS654220 HHW654131:HHW654220 GYA654131:GYA654220 GOE654131:GOE654220 GEI654131:GEI654220 FUM654131:FUM654220 FKQ654131:FKQ654220 FAU654131:FAU654220 EQY654131:EQY654220 EHC654131:EHC654220 DXG654131:DXG654220 DNK654131:DNK654220 DDO654131:DDO654220 CTS654131:CTS654220 CJW654131:CJW654220 CAA654131:CAA654220 BQE654131:BQE654220 BGI654131:BGI654220 AWM654131:AWM654220 AMQ654131:AMQ654220 ACU654131:ACU654220 SY654131:SY654220 JC654131:JC654220 G654140:G654229 WVO588595:WVO588684 WLS588595:WLS588684 WBW588595:WBW588684 VSA588595:VSA588684 VIE588595:VIE588684 UYI588595:UYI588684 UOM588595:UOM588684 UEQ588595:UEQ588684 TUU588595:TUU588684 TKY588595:TKY588684 TBC588595:TBC588684 SRG588595:SRG588684 SHK588595:SHK588684 RXO588595:RXO588684 RNS588595:RNS588684 RDW588595:RDW588684 QUA588595:QUA588684 QKE588595:QKE588684 QAI588595:QAI588684 PQM588595:PQM588684 PGQ588595:PGQ588684 OWU588595:OWU588684 OMY588595:OMY588684 ODC588595:ODC588684 NTG588595:NTG588684 NJK588595:NJK588684 MZO588595:MZO588684 MPS588595:MPS588684 MFW588595:MFW588684 LWA588595:LWA588684 LME588595:LME588684 LCI588595:LCI588684 KSM588595:KSM588684 KIQ588595:KIQ588684 JYU588595:JYU588684 JOY588595:JOY588684 JFC588595:JFC588684 IVG588595:IVG588684 ILK588595:ILK588684 IBO588595:IBO588684 HRS588595:HRS588684 HHW588595:HHW588684 GYA588595:GYA588684 GOE588595:GOE588684 GEI588595:GEI588684 FUM588595:FUM588684 FKQ588595:FKQ588684 FAU588595:FAU588684 EQY588595:EQY588684 EHC588595:EHC588684 DXG588595:DXG588684 DNK588595:DNK588684 DDO588595:DDO588684 CTS588595:CTS588684 CJW588595:CJW588684 CAA588595:CAA588684 BQE588595:BQE588684 BGI588595:BGI588684 AWM588595:AWM588684 AMQ588595:AMQ588684 ACU588595:ACU588684 SY588595:SY588684 JC588595:JC588684 G588604:G588693 WVO523059:WVO523148 WLS523059:WLS523148 WBW523059:WBW523148 VSA523059:VSA523148 VIE523059:VIE523148 UYI523059:UYI523148 UOM523059:UOM523148 UEQ523059:UEQ523148 TUU523059:TUU523148 TKY523059:TKY523148 TBC523059:TBC523148 SRG523059:SRG523148 SHK523059:SHK523148 RXO523059:RXO523148 RNS523059:RNS523148 RDW523059:RDW523148 QUA523059:QUA523148 QKE523059:QKE523148 QAI523059:QAI523148 PQM523059:PQM523148 PGQ523059:PGQ523148 OWU523059:OWU523148 OMY523059:OMY523148 ODC523059:ODC523148 NTG523059:NTG523148 NJK523059:NJK523148 MZO523059:MZO523148 MPS523059:MPS523148 MFW523059:MFW523148 LWA523059:LWA523148 LME523059:LME523148 LCI523059:LCI523148 KSM523059:KSM523148 KIQ523059:KIQ523148 JYU523059:JYU523148 JOY523059:JOY523148 JFC523059:JFC523148 IVG523059:IVG523148 ILK523059:ILK523148 IBO523059:IBO523148 HRS523059:HRS523148 HHW523059:HHW523148 GYA523059:GYA523148 GOE523059:GOE523148 GEI523059:GEI523148 FUM523059:FUM523148 FKQ523059:FKQ523148 FAU523059:FAU523148 EQY523059:EQY523148 EHC523059:EHC523148 DXG523059:DXG523148 DNK523059:DNK523148 DDO523059:DDO523148 CTS523059:CTS523148 CJW523059:CJW523148 CAA523059:CAA523148 BQE523059:BQE523148 BGI523059:BGI523148 AWM523059:AWM523148 AMQ523059:AMQ523148 ACU523059:ACU523148 SY523059:SY523148 JC523059:JC523148 G523068:G523157 WVO457523:WVO457612 WLS457523:WLS457612 WBW457523:WBW457612 VSA457523:VSA457612 VIE457523:VIE457612 UYI457523:UYI457612 UOM457523:UOM457612 UEQ457523:UEQ457612 TUU457523:TUU457612 TKY457523:TKY457612 TBC457523:TBC457612 SRG457523:SRG457612 SHK457523:SHK457612 RXO457523:RXO457612 RNS457523:RNS457612 RDW457523:RDW457612 QUA457523:QUA457612 QKE457523:QKE457612 QAI457523:QAI457612 PQM457523:PQM457612 PGQ457523:PGQ457612 OWU457523:OWU457612 OMY457523:OMY457612 ODC457523:ODC457612 NTG457523:NTG457612 NJK457523:NJK457612 MZO457523:MZO457612 MPS457523:MPS457612 MFW457523:MFW457612 LWA457523:LWA457612 LME457523:LME457612 LCI457523:LCI457612 KSM457523:KSM457612 KIQ457523:KIQ457612 JYU457523:JYU457612 JOY457523:JOY457612 JFC457523:JFC457612 IVG457523:IVG457612 ILK457523:ILK457612 IBO457523:IBO457612 HRS457523:HRS457612 HHW457523:HHW457612 GYA457523:GYA457612 GOE457523:GOE457612 GEI457523:GEI457612 FUM457523:FUM457612 FKQ457523:FKQ457612 FAU457523:FAU457612 EQY457523:EQY457612 EHC457523:EHC457612 DXG457523:DXG457612 DNK457523:DNK457612 DDO457523:DDO457612 CTS457523:CTS457612 CJW457523:CJW457612 CAA457523:CAA457612 BQE457523:BQE457612 BGI457523:BGI457612 AWM457523:AWM457612 AMQ457523:AMQ457612 ACU457523:ACU457612 SY457523:SY457612 JC457523:JC457612 G457532:G457621 WVO391987:WVO392076 WLS391987:WLS392076 WBW391987:WBW392076 VSA391987:VSA392076 VIE391987:VIE392076 UYI391987:UYI392076 UOM391987:UOM392076 UEQ391987:UEQ392076 TUU391987:TUU392076 TKY391987:TKY392076 TBC391987:TBC392076 SRG391987:SRG392076 SHK391987:SHK392076 RXO391987:RXO392076 RNS391987:RNS392076 RDW391987:RDW392076 QUA391987:QUA392076 QKE391987:QKE392076 QAI391987:QAI392076 PQM391987:PQM392076 PGQ391987:PGQ392076 OWU391987:OWU392076 OMY391987:OMY392076 ODC391987:ODC392076 NTG391987:NTG392076 NJK391987:NJK392076 MZO391987:MZO392076 MPS391987:MPS392076 MFW391987:MFW392076 LWA391987:LWA392076 LME391987:LME392076 LCI391987:LCI392076 KSM391987:KSM392076 KIQ391987:KIQ392076 JYU391987:JYU392076 JOY391987:JOY392076 JFC391987:JFC392076 IVG391987:IVG392076 ILK391987:ILK392076 IBO391987:IBO392076 HRS391987:HRS392076 HHW391987:HHW392076 GYA391987:GYA392076 GOE391987:GOE392076 GEI391987:GEI392076 FUM391987:FUM392076 FKQ391987:FKQ392076 FAU391987:FAU392076 EQY391987:EQY392076 EHC391987:EHC392076 DXG391987:DXG392076 DNK391987:DNK392076 DDO391987:DDO392076 CTS391987:CTS392076 CJW391987:CJW392076 CAA391987:CAA392076 BQE391987:BQE392076 BGI391987:BGI392076 AWM391987:AWM392076 AMQ391987:AMQ392076 ACU391987:ACU392076 SY391987:SY392076 JC391987:JC392076 G391996:G392085 WVO326451:WVO326540 WLS326451:WLS326540 WBW326451:WBW326540 VSA326451:VSA326540 VIE326451:VIE326540 UYI326451:UYI326540 UOM326451:UOM326540 UEQ326451:UEQ326540 TUU326451:TUU326540 TKY326451:TKY326540 TBC326451:TBC326540 SRG326451:SRG326540 SHK326451:SHK326540 RXO326451:RXO326540 RNS326451:RNS326540 RDW326451:RDW326540 QUA326451:QUA326540 QKE326451:QKE326540 QAI326451:QAI326540 PQM326451:PQM326540 PGQ326451:PGQ326540 OWU326451:OWU326540 OMY326451:OMY326540 ODC326451:ODC326540 NTG326451:NTG326540 NJK326451:NJK326540 MZO326451:MZO326540 MPS326451:MPS326540 MFW326451:MFW326540 LWA326451:LWA326540 LME326451:LME326540 LCI326451:LCI326540 KSM326451:KSM326540 KIQ326451:KIQ326540 JYU326451:JYU326540 JOY326451:JOY326540 JFC326451:JFC326540 IVG326451:IVG326540 ILK326451:ILK326540 IBO326451:IBO326540 HRS326451:HRS326540 HHW326451:HHW326540 GYA326451:GYA326540 GOE326451:GOE326540 GEI326451:GEI326540 FUM326451:FUM326540 FKQ326451:FKQ326540 FAU326451:FAU326540 EQY326451:EQY326540 EHC326451:EHC326540 DXG326451:DXG326540 DNK326451:DNK326540 DDO326451:DDO326540 CTS326451:CTS326540 CJW326451:CJW326540 CAA326451:CAA326540 BQE326451:BQE326540 BGI326451:BGI326540 AWM326451:AWM326540 AMQ326451:AMQ326540 ACU326451:ACU326540 SY326451:SY326540 JC326451:JC326540 G326460:G326549 WVO260915:WVO261004 WLS260915:WLS261004 WBW260915:WBW261004 VSA260915:VSA261004 VIE260915:VIE261004 UYI260915:UYI261004 UOM260915:UOM261004 UEQ260915:UEQ261004 TUU260915:TUU261004 TKY260915:TKY261004 TBC260915:TBC261004 SRG260915:SRG261004 SHK260915:SHK261004 RXO260915:RXO261004 RNS260915:RNS261004 RDW260915:RDW261004 QUA260915:QUA261004 QKE260915:QKE261004 QAI260915:QAI261004 PQM260915:PQM261004 PGQ260915:PGQ261004 OWU260915:OWU261004 OMY260915:OMY261004 ODC260915:ODC261004 NTG260915:NTG261004 NJK260915:NJK261004 MZO260915:MZO261004 MPS260915:MPS261004 MFW260915:MFW261004 LWA260915:LWA261004 LME260915:LME261004 LCI260915:LCI261004 KSM260915:KSM261004 KIQ260915:KIQ261004 JYU260915:JYU261004 JOY260915:JOY261004 JFC260915:JFC261004 IVG260915:IVG261004 ILK260915:ILK261004 IBO260915:IBO261004 HRS260915:HRS261004 HHW260915:HHW261004 GYA260915:GYA261004 GOE260915:GOE261004 GEI260915:GEI261004 FUM260915:FUM261004 FKQ260915:FKQ261004 FAU260915:FAU261004 EQY260915:EQY261004 EHC260915:EHC261004 DXG260915:DXG261004 DNK260915:DNK261004 DDO260915:DDO261004 CTS260915:CTS261004 CJW260915:CJW261004 CAA260915:CAA261004 BQE260915:BQE261004 BGI260915:BGI261004 AWM260915:AWM261004 AMQ260915:AMQ261004 ACU260915:ACU261004 SY260915:SY261004 JC260915:JC261004 G260924:G261013 WVO195379:WVO195468 WLS195379:WLS195468 WBW195379:WBW195468 VSA195379:VSA195468 VIE195379:VIE195468 UYI195379:UYI195468 UOM195379:UOM195468 UEQ195379:UEQ195468 TUU195379:TUU195468 TKY195379:TKY195468 TBC195379:TBC195468 SRG195379:SRG195468 SHK195379:SHK195468 RXO195379:RXO195468 RNS195379:RNS195468 RDW195379:RDW195468 QUA195379:QUA195468 QKE195379:QKE195468 QAI195379:QAI195468 PQM195379:PQM195468 PGQ195379:PGQ195468 OWU195379:OWU195468 OMY195379:OMY195468 ODC195379:ODC195468 NTG195379:NTG195468 NJK195379:NJK195468 MZO195379:MZO195468 MPS195379:MPS195468 MFW195379:MFW195468 LWA195379:LWA195468 LME195379:LME195468 LCI195379:LCI195468 KSM195379:KSM195468 KIQ195379:KIQ195468 JYU195379:JYU195468 JOY195379:JOY195468 JFC195379:JFC195468 IVG195379:IVG195468 ILK195379:ILK195468 IBO195379:IBO195468 HRS195379:HRS195468 HHW195379:HHW195468 GYA195379:GYA195468 GOE195379:GOE195468 GEI195379:GEI195468 FUM195379:FUM195468 FKQ195379:FKQ195468 FAU195379:FAU195468 EQY195379:EQY195468 EHC195379:EHC195468 DXG195379:DXG195468 DNK195379:DNK195468 DDO195379:DDO195468 CTS195379:CTS195468 CJW195379:CJW195468 CAA195379:CAA195468 BQE195379:BQE195468 BGI195379:BGI195468 AWM195379:AWM195468 AMQ195379:AMQ195468 ACU195379:ACU195468 SY195379:SY195468 JC195379:JC195468 G195388:G195477 WVO129843:WVO129932 WLS129843:WLS129932 WBW129843:WBW129932 VSA129843:VSA129932 VIE129843:VIE129932 UYI129843:UYI129932 UOM129843:UOM129932 UEQ129843:UEQ129932 TUU129843:TUU129932 TKY129843:TKY129932 TBC129843:TBC129932 SRG129843:SRG129932 SHK129843:SHK129932 RXO129843:RXO129932 RNS129843:RNS129932 RDW129843:RDW129932 QUA129843:QUA129932 QKE129843:QKE129932 QAI129843:QAI129932 PQM129843:PQM129932 PGQ129843:PGQ129932 OWU129843:OWU129932 OMY129843:OMY129932 ODC129843:ODC129932 NTG129843:NTG129932 NJK129843:NJK129932 MZO129843:MZO129932 MPS129843:MPS129932 MFW129843:MFW129932 LWA129843:LWA129932 LME129843:LME129932 LCI129843:LCI129932 KSM129843:KSM129932 KIQ129843:KIQ129932 JYU129843:JYU129932 JOY129843:JOY129932 JFC129843:JFC129932 IVG129843:IVG129932 ILK129843:ILK129932 IBO129843:IBO129932 HRS129843:HRS129932 HHW129843:HHW129932 GYA129843:GYA129932 GOE129843:GOE129932 GEI129843:GEI129932 FUM129843:FUM129932 FKQ129843:FKQ129932 FAU129843:FAU129932 EQY129843:EQY129932 EHC129843:EHC129932 DXG129843:DXG129932 DNK129843:DNK129932 DDO129843:DDO129932 CTS129843:CTS129932 CJW129843:CJW129932 CAA129843:CAA129932 BQE129843:BQE129932 BGI129843:BGI129932 AWM129843:AWM129932 AMQ129843:AMQ129932 ACU129843:ACU129932 SY129843:SY129932 JC129843:JC129932 G129852:G129941 WVO64307:WVO64396 WLS64307:WLS64396 WBW64307:WBW64396 VSA64307:VSA64396 VIE64307:VIE64396 UYI64307:UYI64396 UOM64307:UOM64396 UEQ64307:UEQ64396 TUU64307:TUU64396 TKY64307:TKY64396 TBC64307:TBC64396 SRG64307:SRG64396 SHK64307:SHK64396 RXO64307:RXO64396 RNS64307:RNS64396 RDW64307:RDW64396 QUA64307:QUA64396 QKE64307:QKE64396 QAI64307:QAI64396 PQM64307:PQM64396 PGQ64307:PGQ64396 OWU64307:OWU64396 OMY64307:OMY64396 ODC64307:ODC64396 NTG64307:NTG64396 NJK64307:NJK64396 MZO64307:MZO64396 MPS64307:MPS64396 MFW64307:MFW64396 LWA64307:LWA64396 LME64307:LME64396 LCI64307:LCI64396 KSM64307:KSM64396 KIQ64307:KIQ64396 JYU64307:JYU64396 JOY64307:JOY64396 JFC64307:JFC64396 IVG64307:IVG64396 ILK64307:ILK64396 IBO64307:IBO64396 HRS64307:HRS64396 HHW64307:HHW64396 GYA64307:GYA64396 GOE64307:GOE64396 GEI64307:GEI64396 FUM64307:FUM64396 FKQ64307:FKQ64396 FAU64307:FAU64396 EQY64307:EQY64396 EHC64307:EHC64396 DXG64307:DXG64396 DNK64307:DNK64396 DDO64307:DDO64396 CTS64307:CTS64396 CJW64307:CJW64396 CAA64307:CAA64396 BQE64307:BQE64396 BGI64307:BGI64396 AWM64307:AWM64396 AMQ64307:AMQ64396 ACU64307:ACU64396 SY64307:SY64396 JC64307:JC64396 G64316:G64405 G102:G506 JC2:JC79 WVO2:WVO79 WLS2:WLS79 WBW2:WBW79 VSA2:VSA79 VIE2:VIE79 UYI2:UYI79 UOM2:UOM79 UEQ2:UEQ79 TUU2:TUU79 TKY2:TKY79 TBC2:TBC79 SRG2:SRG79 SHK2:SHK79 RXO2:RXO79 RNS2:RNS79 RDW2:RDW79 QUA2:QUA79 QKE2:QKE79 QAI2:QAI79 PQM2:PQM79 PGQ2:PGQ79 OWU2:OWU79 OMY2:OMY79 ODC2:ODC79 NTG2:NTG79 NJK2:NJK79 MZO2:MZO79 MPS2:MPS79 MFW2:MFW79 LWA2:LWA79 LME2:LME79 LCI2:LCI79 KSM2:KSM79 KIQ2:KIQ79 JYU2:JYU79 JOY2:JOY79 JFC2:JFC79 IVG2:IVG79 ILK2:ILK79 IBO2:IBO79 HRS2:HRS79 HHW2:HHW79 GYA2:GYA79 GOE2:GOE79 GEI2:GEI79 FUM2:FUM79 FKQ2:FKQ79 FAU2:FAU79 EQY2:EQY79 EHC2:EHC79 DXG2:DXG79 DNK2:DNK79 DDO2:DDO79 CTS2:CTS79 CJW2:CJW79 CAA2:CAA79 BQE2:BQE79 BGI2:BGI79 AWM2:AWM79 AMQ2:AMQ79 ACU2:ACU79 SY2:SY79 G2:G100" xr:uid="{57C33BFA-9547-421D-8E1F-4192C3559526}">
      <formula1>$AJ$2:$AJ$4</formula1>
    </dataValidation>
    <dataValidation type="list" allowBlank="1" showInputMessage="1" showErrorMessage="1" sqref="WVP981811:WVP981900 WLT981811:WLT981900 WBX981811:WBX981900 VSB981811:VSB981900 VIF981811:VIF981900 UYJ981811:UYJ981900 UON981811:UON981900 UER981811:UER981900 TUV981811:TUV981900 TKZ981811:TKZ981900 TBD981811:TBD981900 SRH981811:SRH981900 SHL981811:SHL981900 RXP981811:RXP981900 RNT981811:RNT981900 RDX981811:RDX981900 QUB981811:QUB981900 QKF981811:QKF981900 QAJ981811:QAJ981900 PQN981811:PQN981900 PGR981811:PGR981900 OWV981811:OWV981900 OMZ981811:OMZ981900 ODD981811:ODD981900 NTH981811:NTH981900 NJL981811:NJL981900 MZP981811:MZP981900 MPT981811:MPT981900 MFX981811:MFX981900 LWB981811:LWB981900 LMF981811:LMF981900 LCJ981811:LCJ981900 KSN981811:KSN981900 KIR981811:KIR981900 JYV981811:JYV981900 JOZ981811:JOZ981900 JFD981811:JFD981900 IVH981811:IVH981900 ILL981811:ILL981900 IBP981811:IBP981900 HRT981811:HRT981900 HHX981811:HHX981900 GYB981811:GYB981900 GOF981811:GOF981900 GEJ981811:GEJ981900 FUN981811:FUN981900 FKR981811:FKR981900 FAV981811:FAV981900 EQZ981811:EQZ981900 EHD981811:EHD981900 DXH981811:DXH981900 DNL981811:DNL981900 DDP981811:DDP981900 CTT981811:CTT981900 CJX981811:CJX981900 CAB981811:CAB981900 BQF981811:BQF981900 BGJ981811:BGJ981900 AWN981811:AWN981900 AMR981811:AMR981900 ACV981811:ACV981900 SZ981811:SZ981900 JD981811:JD981900 H981832:H981921 WVP916275:WVP916364 WLT916275:WLT916364 WBX916275:WBX916364 VSB916275:VSB916364 VIF916275:VIF916364 UYJ916275:UYJ916364 UON916275:UON916364 UER916275:UER916364 TUV916275:TUV916364 TKZ916275:TKZ916364 TBD916275:TBD916364 SRH916275:SRH916364 SHL916275:SHL916364 RXP916275:RXP916364 RNT916275:RNT916364 RDX916275:RDX916364 QUB916275:QUB916364 QKF916275:QKF916364 QAJ916275:QAJ916364 PQN916275:PQN916364 PGR916275:PGR916364 OWV916275:OWV916364 OMZ916275:OMZ916364 ODD916275:ODD916364 NTH916275:NTH916364 NJL916275:NJL916364 MZP916275:MZP916364 MPT916275:MPT916364 MFX916275:MFX916364 LWB916275:LWB916364 LMF916275:LMF916364 LCJ916275:LCJ916364 KSN916275:KSN916364 KIR916275:KIR916364 JYV916275:JYV916364 JOZ916275:JOZ916364 JFD916275:JFD916364 IVH916275:IVH916364 ILL916275:ILL916364 IBP916275:IBP916364 HRT916275:HRT916364 HHX916275:HHX916364 GYB916275:GYB916364 GOF916275:GOF916364 GEJ916275:GEJ916364 FUN916275:FUN916364 FKR916275:FKR916364 FAV916275:FAV916364 EQZ916275:EQZ916364 EHD916275:EHD916364 DXH916275:DXH916364 DNL916275:DNL916364 DDP916275:DDP916364 CTT916275:CTT916364 CJX916275:CJX916364 CAB916275:CAB916364 BQF916275:BQF916364 BGJ916275:BGJ916364 AWN916275:AWN916364 AMR916275:AMR916364 ACV916275:ACV916364 SZ916275:SZ916364 JD916275:JD916364 H916296:H916385 WVP850739:WVP850828 WLT850739:WLT850828 WBX850739:WBX850828 VSB850739:VSB850828 VIF850739:VIF850828 UYJ850739:UYJ850828 UON850739:UON850828 UER850739:UER850828 TUV850739:TUV850828 TKZ850739:TKZ850828 TBD850739:TBD850828 SRH850739:SRH850828 SHL850739:SHL850828 RXP850739:RXP850828 RNT850739:RNT850828 RDX850739:RDX850828 QUB850739:QUB850828 QKF850739:QKF850828 QAJ850739:QAJ850828 PQN850739:PQN850828 PGR850739:PGR850828 OWV850739:OWV850828 OMZ850739:OMZ850828 ODD850739:ODD850828 NTH850739:NTH850828 NJL850739:NJL850828 MZP850739:MZP850828 MPT850739:MPT850828 MFX850739:MFX850828 LWB850739:LWB850828 LMF850739:LMF850828 LCJ850739:LCJ850828 KSN850739:KSN850828 KIR850739:KIR850828 JYV850739:JYV850828 JOZ850739:JOZ850828 JFD850739:JFD850828 IVH850739:IVH850828 ILL850739:ILL850828 IBP850739:IBP850828 HRT850739:HRT850828 HHX850739:HHX850828 GYB850739:GYB850828 GOF850739:GOF850828 GEJ850739:GEJ850828 FUN850739:FUN850828 FKR850739:FKR850828 FAV850739:FAV850828 EQZ850739:EQZ850828 EHD850739:EHD850828 DXH850739:DXH850828 DNL850739:DNL850828 DDP850739:DDP850828 CTT850739:CTT850828 CJX850739:CJX850828 CAB850739:CAB850828 BQF850739:BQF850828 BGJ850739:BGJ850828 AWN850739:AWN850828 AMR850739:AMR850828 ACV850739:ACV850828 SZ850739:SZ850828 JD850739:JD850828 H850760:H850849 WVP785203:WVP785292 WLT785203:WLT785292 WBX785203:WBX785292 VSB785203:VSB785292 VIF785203:VIF785292 UYJ785203:UYJ785292 UON785203:UON785292 UER785203:UER785292 TUV785203:TUV785292 TKZ785203:TKZ785292 TBD785203:TBD785292 SRH785203:SRH785292 SHL785203:SHL785292 RXP785203:RXP785292 RNT785203:RNT785292 RDX785203:RDX785292 QUB785203:QUB785292 QKF785203:QKF785292 QAJ785203:QAJ785292 PQN785203:PQN785292 PGR785203:PGR785292 OWV785203:OWV785292 OMZ785203:OMZ785292 ODD785203:ODD785292 NTH785203:NTH785292 NJL785203:NJL785292 MZP785203:MZP785292 MPT785203:MPT785292 MFX785203:MFX785292 LWB785203:LWB785292 LMF785203:LMF785292 LCJ785203:LCJ785292 KSN785203:KSN785292 KIR785203:KIR785292 JYV785203:JYV785292 JOZ785203:JOZ785292 JFD785203:JFD785292 IVH785203:IVH785292 ILL785203:ILL785292 IBP785203:IBP785292 HRT785203:HRT785292 HHX785203:HHX785292 GYB785203:GYB785292 GOF785203:GOF785292 GEJ785203:GEJ785292 FUN785203:FUN785292 FKR785203:FKR785292 FAV785203:FAV785292 EQZ785203:EQZ785292 EHD785203:EHD785292 DXH785203:DXH785292 DNL785203:DNL785292 DDP785203:DDP785292 CTT785203:CTT785292 CJX785203:CJX785292 CAB785203:CAB785292 BQF785203:BQF785292 BGJ785203:BGJ785292 AWN785203:AWN785292 AMR785203:AMR785292 ACV785203:ACV785292 SZ785203:SZ785292 JD785203:JD785292 H785224:H785313 WVP719667:WVP719756 WLT719667:WLT719756 WBX719667:WBX719756 VSB719667:VSB719756 VIF719667:VIF719756 UYJ719667:UYJ719756 UON719667:UON719756 UER719667:UER719756 TUV719667:TUV719756 TKZ719667:TKZ719756 TBD719667:TBD719756 SRH719667:SRH719756 SHL719667:SHL719756 RXP719667:RXP719756 RNT719667:RNT719756 RDX719667:RDX719756 QUB719667:QUB719756 QKF719667:QKF719756 QAJ719667:QAJ719756 PQN719667:PQN719756 PGR719667:PGR719756 OWV719667:OWV719756 OMZ719667:OMZ719756 ODD719667:ODD719756 NTH719667:NTH719756 NJL719667:NJL719756 MZP719667:MZP719756 MPT719667:MPT719756 MFX719667:MFX719756 LWB719667:LWB719756 LMF719667:LMF719756 LCJ719667:LCJ719756 KSN719667:KSN719756 KIR719667:KIR719756 JYV719667:JYV719756 JOZ719667:JOZ719756 JFD719667:JFD719756 IVH719667:IVH719756 ILL719667:ILL719756 IBP719667:IBP719756 HRT719667:HRT719756 HHX719667:HHX719756 GYB719667:GYB719756 GOF719667:GOF719756 GEJ719667:GEJ719756 FUN719667:FUN719756 FKR719667:FKR719756 FAV719667:FAV719756 EQZ719667:EQZ719756 EHD719667:EHD719756 DXH719667:DXH719756 DNL719667:DNL719756 DDP719667:DDP719756 CTT719667:CTT719756 CJX719667:CJX719756 CAB719667:CAB719756 BQF719667:BQF719756 BGJ719667:BGJ719756 AWN719667:AWN719756 AMR719667:AMR719756 ACV719667:ACV719756 SZ719667:SZ719756 JD719667:JD719756 H719688:H719777 WVP654131:WVP654220 WLT654131:WLT654220 WBX654131:WBX654220 VSB654131:VSB654220 VIF654131:VIF654220 UYJ654131:UYJ654220 UON654131:UON654220 UER654131:UER654220 TUV654131:TUV654220 TKZ654131:TKZ654220 TBD654131:TBD654220 SRH654131:SRH654220 SHL654131:SHL654220 RXP654131:RXP654220 RNT654131:RNT654220 RDX654131:RDX654220 QUB654131:QUB654220 QKF654131:QKF654220 QAJ654131:QAJ654220 PQN654131:PQN654220 PGR654131:PGR654220 OWV654131:OWV654220 OMZ654131:OMZ654220 ODD654131:ODD654220 NTH654131:NTH654220 NJL654131:NJL654220 MZP654131:MZP654220 MPT654131:MPT654220 MFX654131:MFX654220 LWB654131:LWB654220 LMF654131:LMF654220 LCJ654131:LCJ654220 KSN654131:KSN654220 KIR654131:KIR654220 JYV654131:JYV654220 JOZ654131:JOZ654220 JFD654131:JFD654220 IVH654131:IVH654220 ILL654131:ILL654220 IBP654131:IBP654220 HRT654131:HRT654220 HHX654131:HHX654220 GYB654131:GYB654220 GOF654131:GOF654220 GEJ654131:GEJ654220 FUN654131:FUN654220 FKR654131:FKR654220 FAV654131:FAV654220 EQZ654131:EQZ654220 EHD654131:EHD654220 DXH654131:DXH654220 DNL654131:DNL654220 DDP654131:DDP654220 CTT654131:CTT654220 CJX654131:CJX654220 CAB654131:CAB654220 BQF654131:BQF654220 BGJ654131:BGJ654220 AWN654131:AWN654220 AMR654131:AMR654220 ACV654131:ACV654220 SZ654131:SZ654220 JD654131:JD654220 H654152:H654241 WVP588595:WVP588684 WLT588595:WLT588684 WBX588595:WBX588684 VSB588595:VSB588684 VIF588595:VIF588684 UYJ588595:UYJ588684 UON588595:UON588684 UER588595:UER588684 TUV588595:TUV588684 TKZ588595:TKZ588684 TBD588595:TBD588684 SRH588595:SRH588684 SHL588595:SHL588684 RXP588595:RXP588684 RNT588595:RNT588684 RDX588595:RDX588684 QUB588595:QUB588684 QKF588595:QKF588684 QAJ588595:QAJ588684 PQN588595:PQN588684 PGR588595:PGR588684 OWV588595:OWV588684 OMZ588595:OMZ588684 ODD588595:ODD588684 NTH588595:NTH588684 NJL588595:NJL588684 MZP588595:MZP588684 MPT588595:MPT588684 MFX588595:MFX588684 LWB588595:LWB588684 LMF588595:LMF588684 LCJ588595:LCJ588684 KSN588595:KSN588684 KIR588595:KIR588684 JYV588595:JYV588684 JOZ588595:JOZ588684 JFD588595:JFD588684 IVH588595:IVH588684 ILL588595:ILL588684 IBP588595:IBP588684 HRT588595:HRT588684 HHX588595:HHX588684 GYB588595:GYB588684 GOF588595:GOF588684 GEJ588595:GEJ588684 FUN588595:FUN588684 FKR588595:FKR588684 FAV588595:FAV588684 EQZ588595:EQZ588684 EHD588595:EHD588684 DXH588595:DXH588684 DNL588595:DNL588684 DDP588595:DDP588684 CTT588595:CTT588684 CJX588595:CJX588684 CAB588595:CAB588684 BQF588595:BQF588684 BGJ588595:BGJ588684 AWN588595:AWN588684 AMR588595:AMR588684 ACV588595:ACV588684 SZ588595:SZ588684 JD588595:JD588684 H588616:H588705 WVP523059:WVP523148 WLT523059:WLT523148 WBX523059:WBX523148 VSB523059:VSB523148 VIF523059:VIF523148 UYJ523059:UYJ523148 UON523059:UON523148 UER523059:UER523148 TUV523059:TUV523148 TKZ523059:TKZ523148 TBD523059:TBD523148 SRH523059:SRH523148 SHL523059:SHL523148 RXP523059:RXP523148 RNT523059:RNT523148 RDX523059:RDX523148 QUB523059:QUB523148 QKF523059:QKF523148 QAJ523059:QAJ523148 PQN523059:PQN523148 PGR523059:PGR523148 OWV523059:OWV523148 OMZ523059:OMZ523148 ODD523059:ODD523148 NTH523059:NTH523148 NJL523059:NJL523148 MZP523059:MZP523148 MPT523059:MPT523148 MFX523059:MFX523148 LWB523059:LWB523148 LMF523059:LMF523148 LCJ523059:LCJ523148 KSN523059:KSN523148 KIR523059:KIR523148 JYV523059:JYV523148 JOZ523059:JOZ523148 JFD523059:JFD523148 IVH523059:IVH523148 ILL523059:ILL523148 IBP523059:IBP523148 HRT523059:HRT523148 HHX523059:HHX523148 GYB523059:GYB523148 GOF523059:GOF523148 GEJ523059:GEJ523148 FUN523059:FUN523148 FKR523059:FKR523148 FAV523059:FAV523148 EQZ523059:EQZ523148 EHD523059:EHD523148 DXH523059:DXH523148 DNL523059:DNL523148 DDP523059:DDP523148 CTT523059:CTT523148 CJX523059:CJX523148 CAB523059:CAB523148 BQF523059:BQF523148 BGJ523059:BGJ523148 AWN523059:AWN523148 AMR523059:AMR523148 ACV523059:ACV523148 SZ523059:SZ523148 JD523059:JD523148 H523080:H523169 WVP457523:WVP457612 WLT457523:WLT457612 WBX457523:WBX457612 VSB457523:VSB457612 VIF457523:VIF457612 UYJ457523:UYJ457612 UON457523:UON457612 UER457523:UER457612 TUV457523:TUV457612 TKZ457523:TKZ457612 TBD457523:TBD457612 SRH457523:SRH457612 SHL457523:SHL457612 RXP457523:RXP457612 RNT457523:RNT457612 RDX457523:RDX457612 QUB457523:QUB457612 QKF457523:QKF457612 QAJ457523:QAJ457612 PQN457523:PQN457612 PGR457523:PGR457612 OWV457523:OWV457612 OMZ457523:OMZ457612 ODD457523:ODD457612 NTH457523:NTH457612 NJL457523:NJL457612 MZP457523:MZP457612 MPT457523:MPT457612 MFX457523:MFX457612 LWB457523:LWB457612 LMF457523:LMF457612 LCJ457523:LCJ457612 KSN457523:KSN457612 KIR457523:KIR457612 JYV457523:JYV457612 JOZ457523:JOZ457612 JFD457523:JFD457612 IVH457523:IVH457612 ILL457523:ILL457612 IBP457523:IBP457612 HRT457523:HRT457612 HHX457523:HHX457612 GYB457523:GYB457612 GOF457523:GOF457612 GEJ457523:GEJ457612 FUN457523:FUN457612 FKR457523:FKR457612 FAV457523:FAV457612 EQZ457523:EQZ457612 EHD457523:EHD457612 DXH457523:DXH457612 DNL457523:DNL457612 DDP457523:DDP457612 CTT457523:CTT457612 CJX457523:CJX457612 CAB457523:CAB457612 BQF457523:BQF457612 BGJ457523:BGJ457612 AWN457523:AWN457612 AMR457523:AMR457612 ACV457523:ACV457612 SZ457523:SZ457612 JD457523:JD457612 H457544:H457633 WVP391987:WVP392076 WLT391987:WLT392076 WBX391987:WBX392076 VSB391987:VSB392076 VIF391987:VIF392076 UYJ391987:UYJ392076 UON391987:UON392076 UER391987:UER392076 TUV391987:TUV392076 TKZ391987:TKZ392076 TBD391987:TBD392076 SRH391987:SRH392076 SHL391987:SHL392076 RXP391987:RXP392076 RNT391987:RNT392076 RDX391987:RDX392076 QUB391987:QUB392076 QKF391987:QKF392076 QAJ391987:QAJ392076 PQN391987:PQN392076 PGR391987:PGR392076 OWV391987:OWV392076 OMZ391987:OMZ392076 ODD391987:ODD392076 NTH391987:NTH392076 NJL391987:NJL392076 MZP391987:MZP392076 MPT391987:MPT392076 MFX391987:MFX392076 LWB391987:LWB392076 LMF391987:LMF392076 LCJ391987:LCJ392076 KSN391987:KSN392076 KIR391987:KIR392076 JYV391987:JYV392076 JOZ391987:JOZ392076 JFD391987:JFD392076 IVH391987:IVH392076 ILL391987:ILL392076 IBP391987:IBP392076 HRT391987:HRT392076 HHX391987:HHX392076 GYB391987:GYB392076 GOF391987:GOF392076 GEJ391987:GEJ392076 FUN391987:FUN392076 FKR391987:FKR392076 FAV391987:FAV392076 EQZ391987:EQZ392076 EHD391987:EHD392076 DXH391987:DXH392076 DNL391987:DNL392076 DDP391987:DDP392076 CTT391987:CTT392076 CJX391987:CJX392076 CAB391987:CAB392076 BQF391987:BQF392076 BGJ391987:BGJ392076 AWN391987:AWN392076 AMR391987:AMR392076 ACV391987:ACV392076 SZ391987:SZ392076 JD391987:JD392076 H392008:H392097 WVP326451:WVP326540 WLT326451:WLT326540 WBX326451:WBX326540 VSB326451:VSB326540 VIF326451:VIF326540 UYJ326451:UYJ326540 UON326451:UON326540 UER326451:UER326540 TUV326451:TUV326540 TKZ326451:TKZ326540 TBD326451:TBD326540 SRH326451:SRH326540 SHL326451:SHL326540 RXP326451:RXP326540 RNT326451:RNT326540 RDX326451:RDX326540 QUB326451:QUB326540 QKF326451:QKF326540 QAJ326451:QAJ326540 PQN326451:PQN326540 PGR326451:PGR326540 OWV326451:OWV326540 OMZ326451:OMZ326540 ODD326451:ODD326540 NTH326451:NTH326540 NJL326451:NJL326540 MZP326451:MZP326540 MPT326451:MPT326540 MFX326451:MFX326540 LWB326451:LWB326540 LMF326451:LMF326540 LCJ326451:LCJ326540 KSN326451:KSN326540 KIR326451:KIR326540 JYV326451:JYV326540 JOZ326451:JOZ326540 JFD326451:JFD326540 IVH326451:IVH326540 ILL326451:ILL326540 IBP326451:IBP326540 HRT326451:HRT326540 HHX326451:HHX326540 GYB326451:GYB326540 GOF326451:GOF326540 GEJ326451:GEJ326540 FUN326451:FUN326540 FKR326451:FKR326540 FAV326451:FAV326540 EQZ326451:EQZ326540 EHD326451:EHD326540 DXH326451:DXH326540 DNL326451:DNL326540 DDP326451:DDP326540 CTT326451:CTT326540 CJX326451:CJX326540 CAB326451:CAB326540 BQF326451:BQF326540 BGJ326451:BGJ326540 AWN326451:AWN326540 AMR326451:AMR326540 ACV326451:ACV326540 SZ326451:SZ326540 JD326451:JD326540 H326472:H326561 WVP260915:WVP261004 WLT260915:WLT261004 WBX260915:WBX261004 VSB260915:VSB261004 VIF260915:VIF261004 UYJ260915:UYJ261004 UON260915:UON261004 UER260915:UER261004 TUV260915:TUV261004 TKZ260915:TKZ261004 TBD260915:TBD261004 SRH260915:SRH261004 SHL260915:SHL261004 RXP260915:RXP261004 RNT260915:RNT261004 RDX260915:RDX261004 QUB260915:QUB261004 QKF260915:QKF261004 QAJ260915:QAJ261004 PQN260915:PQN261004 PGR260915:PGR261004 OWV260915:OWV261004 OMZ260915:OMZ261004 ODD260915:ODD261004 NTH260915:NTH261004 NJL260915:NJL261004 MZP260915:MZP261004 MPT260915:MPT261004 MFX260915:MFX261004 LWB260915:LWB261004 LMF260915:LMF261004 LCJ260915:LCJ261004 KSN260915:KSN261004 KIR260915:KIR261004 JYV260915:JYV261004 JOZ260915:JOZ261004 JFD260915:JFD261004 IVH260915:IVH261004 ILL260915:ILL261004 IBP260915:IBP261004 HRT260915:HRT261004 HHX260915:HHX261004 GYB260915:GYB261004 GOF260915:GOF261004 GEJ260915:GEJ261004 FUN260915:FUN261004 FKR260915:FKR261004 FAV260915:FAV261004 EQZ260915:EQZ261004 EHD260915:EHD261004 DXH260915:DXH261004 DNL260915:DNL261004 DDP260915:DDP261004 CTT260915:CTT261004 CJX260915:CJX261004 CAB260915:CAB261004 BQF260915:BQF261004 BGJ260915:BGJ261004 AWN260915:AWN261004 AMR260915:AMR261004 ACV260915:ACV261004 SZ260915:SZ261004 JD260915:JD261004 H260936:H261025 WVP195379:WVP195468 WLT195379:WLT195468 WBX195379:WBX195468 VSB195379:VSB195468 VIF195379:VIF195468 UYJ195379:UYJ195468 UON195379:UON195468 UER195379:UER195468 TUV195379:TUV195468 TKZ195379:TKZ195468 TBD195379:TBD195468 SRH195379:SRH195468 SHL195379:SHL195468 RXP195379:RXP195468 RNT195379:RNT195468 RDX195379:RDX195468 QUB195379:QUB195468 QKF195379:QKF195468 QAJ195379:QAJ195468 PQN195379:PQN195468 PGR195379:PGR195468 OWV195379:OWV195468 OMZ195379:OMZ195468 ODD195379:ODD195468 NTH195379:NTH195468 NJL195379:NJL195468 MZP195379:MZP195468 MPT195379:MPT195468 MFX195379:MFX195468 LWB195379:LWB195468 LMF195379:LMF195468 LCJ195379:LCJ195468 KSN195379:KSN195468 KIR195379:KIR195468 JYV195379:JYV195468 JOZ195379:JOZ195468 JFD195379:JFD195468 IVH195379:IVH195468 ILL195379:ILL195468 IBP195379:IBP195468 HRT195379:HRT195468 HHX195379:HHX195468 GYB195379:GYB195468 GOF195379:GOF195468 GEJ195379:GEJ195468 FUN195379:FUN195468 FKR195379:FKR195468 FAV195379:FAV195468 EQZ195379:EQZ195468 EHD195379:EHD195468 DXH195379:DXH195468 DNL195379:DNL195468 DDP195379:DDP195468 CTT195379:CTT195468 CJX195379:CJX195468 CAB195379:CAB195468 BQF195379:BQF195468 BGJ195379:BGJ195468 AWN195379:AWN195468 AMR195379:AMR195468 ACV195379:ACV195468 SZ195379:SZ195468 JD195379:JD195468 H195400:H195489 WVP129843:WVP129932 WLT129843:WLT129932 WBX129843:WBX129932 VSB129843:VSB129932 VIF129843:VIF129932 UYJ129843:UYJ129932 UON129843:UON129932 UER129843:UER129932 TUV129843:TUV129932 TKZ129843:TKZ129932 TBD129843:TBD129932 SRH129843:SRH129932 SHL129843:SHL129932 RXP129843:RXP129932 RNT129843:RNT129932 RDX129843:RDX129932 QUB129843:QUB129932 QKF129843:QKF129932 QAJ129843:QAJ129932 PQN129843:PQN129932 PGR129843:PGR129932 OWV129843:OWV129932 OMZ129843:OMZ129932 ODD129843:ODD129932 NTH129843:NTH129932 NJL129843:NJL129932 MZP129843:MZP129932 MPT129843:MPT129932 MFX129843:MFX129932 LWB129843:LWB129932 LMF129843:LMF129932 LCJ129843:LCJ129932 KSN129843:KSN129932 KIR129843:KIR129932 JYV129843:JYV129932 JOZ129843:JOZ129932 JFD129843:JFD129932 IVH129843:IVH129932 ILL129843:ILL129932 IBP129843:IBP129932 HRT129843:HRT129932 HHX129843:HHX129932 GYB129843:GYB129932 GOF129843:GOF129932 GEJ129843:GEJ129932 FUN129843:FUN129932 FKR129843:FKR129932 FAV129843:FAV129932 EQZ129843:EQZ129932 EHD129843:EHD129932 DXH129843:DXH129932 DNL129843:DNL129932 DDP129843:DDP129932 CTT129843:CTT129932 CJX129843:CJX129932 CAB129843:CAB129932 BQF129843:BQF129932 BGJ129843:BGJ129932 AWN129843:AWN129932 AMR129843:AMR129932 ACV129843:ACV129932 SZ129843:SZ129932 JD129843:JD129932 H129864:H129953 WVP64307:WVP64396 WLT64307:WLT64396 WBX64307:WBX64396 VSB64307:VSB64396 VIF64307:VIF64396 UYJ64307:UYJ64396 UON64307:UON64396 UER64307:UER64396 TUV64307:TUV64396 TKZ64307:TKZ64396 TBD64307:TBD64396 SRH64307:SRH64396 SHL64307:SHL64396 RXP64307:RXP64396 RNT64307:RNT64396 RDX64307:RDX64396 QUB64307:QUB64396 QKF64307:QKF64396 QAJ64307:QAJ64396 PQN64307:PQN64396 PGR64307:PGR64396 OWV64307:OWV64396 OMZ64307:OMZ64396 ODD64307:ODD64396 NTH64307:NTH64396 NJL64307:NJL64396 MZP64307:MZP64396 MPT64307:MPT64396 MFX64307:MFX64396 LWB64307:LWB64396 LMF64307:LMF64396 LCJ64307:LCJ64396 KSN64307:KSN64396 KIR64307:KIR64396 JYV64307:JYV64396 JOZ64307:JOZ64396 JFD64307:JFD64396 IVH64307:IVH64396 ILL64307:ILL64396 IBP64307:IBP64396 HRT64307:HRT64396 HHX64307:HHX64396 GYB64307:GYB64396 GOF64307:GOF64396 GEJ64307:GEJ64396 FUN64307:FUN64396 FKR64307:FKR64396 FAV64307:FAV64396 EQZ64307:EQZ64396 EHD64307:EHD64396 DXH64307:DXH64396 DNL64307:DNL64396 DDP64307:DDP64396 CTT64307:CTT64396 CJX64307:CJX64396 CAB64307:CAB64396 BQF64307:BQF64396 BGJ64307:BGJ64396 AWN64307:AWN64396 AMR64307:AMR64396 ACV64307:ACV64396 SZ64307:SZ64396 JD64307:JD64396 H64328:H64417 JD2:JD79 SZ2:SZ79 ACV2:ACV79 AMR2:AMR79 AWN2:AWN79 BGJ2:BGJ79 BQF2:BQF79 CAB2:CAB79 CJX2:CJX79 CTT2:CTT79 DDP2:DDP79 DNL2:DNL79 DXH2:DXH79 EHD2:EHD79 EQZ2:EQZ79 FAV2:FAV79 FKR2:FKR79 FUN2:FUN79 GEJ2:GEJ79 GOF2:GOF79 GYB2:GYB79 HHX2:HHX79 HRT2:HRT79 IBP2:IBP79 ILL2:ILL79 IVH2:IVH79 JFD2:JFD79 JOZ2:JOZ79 JYV2:JYV79 KIR2:KIR79 KSN2:KSN79 LCJ2:LCJ79 LMF2:LMF79 LWB2:LWB79 MFX2:MFX79 MPT2:MPT79 MZP2:MZP79 NJL2:NJL79 NTH2:NTH79 ODD2:ODD79 OMZ2:OMZ79 OWV2:OWV79 PGR2:PGR79 PQN2:PQN79 QAJ2:QAJ79 QKF2:QKF79 QUB2:QUB79 RDX2:RDX79 RNT2:RNT79 RXP2:RXP79 SHL2:SHL79 SRH2:SRH79 TBD2:TBD79 TKZ2:TKZ79 TUV2:TUV79 UER2:UER79 UON2:UON79 UYJ2:UYJ79 VIF2:VIF79 VSB2:VSB79 WBX2:WBX79 WLT2:WLT79 WVP2:WVP79" xr:uid="{2D596E87-B96A-4372-AE06-257E7DED3378}">
      <formula1>$AL$8:$AL$13</formula1>
    </dataValidation>
    <dataValidation type="list" allowBlank="1" showInputMessage="1" showErrorMessage="1" sqref="WVQ981811:WVQ981894 WLU981811:WLU981894 I102:I506 I64328:I64411 JE64307:JE64390 TA64307:TA64390 ACW64307:ACW64390 AMS64307:AMS64390 AWO64307:AWO64390 BGK64307:BGK64390 BQG64307:BQG64390 CAC64307:CAC64390 CJY64307:CJY64390 CTU64307:CTU64390 DDQ64307:DDQ64390 DNM64307:DNM64390 DXI64307:DXI64390 EHE64307:EHE64390 ERA64307:ERA64390 FAW64307:FAW64390 FKS64307:FKS64390 FUO64307:FUO64390 GEK64307:GEK64390 GOG64307:GOG64390 GYC64307:GYC64390 HHY64307:HHY64390 HRU64307:HRU64390 IBQ64307:IBQ64390 ILM64307:ILM64390 IVI64307:IVI64390 JFE64307:JFE64390 JPA64307:JPA64390 JYW64307:JYW64390 KIS64307:KIS64390 KSO64307:KSO64390 LCK64307:LCK64390 LMG64307:LMG64390 LWC64307:LWC64390 MFY64307:MFY64390 MPU64307:MPU64390 MZQ64307:MZQ64390 NJM64307:NJM64390 NTI64307:NTI64390 ODE64307:ODE64390 ONA64307:ONA64390 OWW64307:OWW64390 PGS64307:PGS64390 PQO64307:PQO64390 QAK64307:QAK64390 QKG64307:QKG64390 QUC64307:QUC64390 RDY64307:RDY64390 RNU64307:RNU64390 RXQ64307:RXQ64390 SHM64307:SHM64390 SRI64307:SRI64390 TBE64307:TBE64390 TLA64307:TLA64390 TUW64307:TUW64390 UES64307:UES64390 UOO64307:UOO64390 UYK64307:UYK64390 VIG64307:VIG64390 VSC64307:VSC64390 WBY64307:WBY64390 WLU64307:WLU64390 WVQ64307:WVQ64390 I129864:I129947 JE129843:JE129926 TA129843:TA129926 ACW129843:ACW129926 AMS129843:AMS129926 AWO129843:AWO129926 BGK129843:BGK129926 BQG129843:BQG129926 CAC129843:CAC129926 CJY129843:CJY129926 CTU129843:CTU129926 DDQ129843:DDQ129926 DNM129843:DNM129926 DXI129843:DXI129926 EHE129843:EHE129926 ERA129843:ERA129926 FAW129843:FAW129926 FKS129843:FKS129926 FUO129843:FUO129926 GEK129843:GEK129926 GOG129843:GOG129926 GYC129843:GYC129926 HHY129843:HHY129926 HRU129843:HRU129926 IBQ129843:IBQ129926 ILM129843:ILM129926 IVI129843:IVI129926 JFE129843:JFE129926 JPA129843:JPA129926 JYW129843:JYW129926 KIS129843:KIS129926 KSO129843:KSO129926 LCK129843:LCK129926 LMG129843:LMG129926 LWC129843:LWC129926 MFY129843:MFY129926 MPU129843:MPU129926 MZQ129843:MZQ129926 NJM129843:NJM129926 NTI129843:NTI129926 ODE129843:ODE129926 ONA129843:ONA129926 OWW129843:OWW129926 PGS129843:PGS129926 PQO129843:PQO129926 QAK129843:QAK129926 QKG129843:QKG129926 QUC129843:QUC129926 RDY129843:RDY129926 RNU129843:RNU129926 RXQ129843:RXQ129926 SHM129843:SHM129926 SRI129843:SRI129926 TBE129843:TBE129926 TLA129843:TLA129926 TUW129843:TUW129926 UES129843:UES129926 UOO129843:UOO129926 UYK129843:UYK129926 VIG129843:VIG129926 VSC129843:VSC129926 WBY129843:WBY129926 WLU129843:WLU129926 WVQ129843:WVQ129926 I195400:I195483 JE195379:JE195462 TA195379:TA195462 ACW195379:ACW195462 AMS195379:AMS195462 AWO195379:AWO195462 BGK195379:BGK195462 BQG195379:BQG195462 CAC195379:CAC195462 CJY195379:CJY195462 CTU195379:CTU195462 DDQ195379:DDQ195462 DNM195379:DNM195462 DXI195379:DXI195462 EHE195379:EHE195462 ERA195379:ERA195462 FAW195379:FAW195462 FKS195379:FKS195462 FUO195379:FUO195462 GEK195379:GEK195462 GOG195379:GOG195462 GYC195379:GYC195462 HHY195379:HHY195462 HRU195379:HRU195462 IBQ195379:IBQ195462 ILM195379:ILM195462 IVI195379:IVI195462 JFE195379:JFE195462 JPA195379:JPA195462 JYW195379:JYW195462 KIS195379:KIS195462 KSO195379:KSO195462 LCK195379:LCK195462 LMG195379:LMG195462 LWC195379:LWC195462 MFY195379:MFY195462 MPU195379:MPU195462 MZQ195379:MZQ195462 NJM195379:NJM195462 NTI195379:NTI195462 ODE195379:ODE195462 ONA195379:ONA195462 OWW195379:OWW195462 PGS195379:PGS195462 PQO195379:PQO195462 QAK195379:QAK195462 QKG195379:QKG195462 QUC195379:QUC195462 RDY195379:RDY195462 RNU195379:RNU195462 RXQ195379:RXQ195462 SHM195379:SHM195462 SRI195379:SRI195462 TBE195379:TBE195462 TLA195379:TLA195462 TUW195379:TUW195462 UES195379:UES195462 UOO195379:UOO195462 UYK195379:UYK195462 VIG195379:VIG195462 VSC195379:VSC195462 WBY195379:WBY195462 WLU195379:WLU195462 WVQ195379:WVQ195462 I260936:I261019 JE260915:JE260998 TA260915:TA260998 ACW260915:ACW260998 AMS260915:AMS260998 AWO260915:AWO260998 BGK260915:BGK260998 BQG260915:BQG260998 CAC260915:CAC260998 CJY260915:CJY260998 CTU260915:CTU260998 DDQ260915:DDQ260998 DNM260915:DNM260998 DXI260915:DXI260998 EHE260915:EHE260998 ERA260915:ERA260998 FAW260915:FAW260998 FKS260915:FKS260998 FUO260915:FUO260998 GEK260915:GEK260998 GOG260915:GOG260998 GYC260915:GYC260998 HHY260915:HHY260998 HRU260915:HRU260998 IBQ260915:IBQ260998 ILM260915:ILM260998 IVI260915:IVI260998 JFE260915:JFE260998 JPA260915:JPA260998 JYW260915:JYW260998 KIS260915:KIS260998 KSO260915:KSO260998 LCK260915:LCK260998 LMG260915:LMG260998 LWC260915:LWC260998 MFY260915:MFY260998 MPU260915:MPU260998 MZQ260915:MZQ260998 NJM260915:NJM260998 NTI260915:NTI260998 ODE260915:ODE260998 ONA260915:ONA260998 OWW260915:OWW260998 PGS260915:PGS260998 PQO260915:PQO260998 QAK260915:QAK260998 QKG260915:QKG260998 QUC260915:QUC260998 RDY260915:RDY260998 RNU260915:RNU260998 RXQ260915:RXQ260998 SHM260915:SHM260998 SRI260915:SRI260998 TBE260915:TBE260998 TLA260915:TLA260998 TUW260915:TUW260998 UES260915:UES260998 UOO260915:UOO260998 UYK260915:UYK260998 VIG260915:VIG260998 VSC260915:VSC260998 WBY260915:WBY260998 WLU260915:WLU260998 WVQ260915:WVQ260998 I326472:I326555 JE326451:JE326534 TA326451:TA326534 ACW326451:ACW326534 AMS326451:AMS326534 AWO326451:AWO326534 BGK326451:BGK326534 BQG326451:BQG326534 CAC326451:CAC326534 CJY326451:CJY326534 CTU326451:CTU326534 DDQ326451:DDQ326534 DNM326451:DNM326534 DXI326451:DXI326534 EHE326451:EHE326534 ERA326451:ERA326534 FAW326451:FAW326534 FKS326451:FKS326534 FUO326451:FUO326534 GEK326451:GEK326534 GOG326451:GOG326534 GYC326451:GYC326534 HHY326451:HHY326534 HRU326451:HRU326534 IBQ326451:IBQ326534 ILM326451:ILM326534 IVI326451:IVI326534 JFE326451:JFE326534 JPA326451:JPA326534 JYW326451:JYW326534 KIS326451:KIS326534 KSO326451:KSO326534 LCK326451:LCK326534 LMG326451:LMG326534 LWC326451:LWC326534 MFY326451:MFY326534 MPU326451:MPU326534 MZQ326451:MZQ326534 NJM326451:NJM326534 NTI326451:NTI326534 ODE326451:ODE326534 ONA326451:ONA326534 OWW326451:OWW326534 PGS326451:PGS326534 PQO326451:PQO326534 QAK326451:QAK326534 QKG326451:QKG326534 QUC326451:QUC326534 RDY326451:RDY326534 RNU326451:RNU326534 RXQ326451:RXQ326534 SHM326451:SHM326534 SRI326451:SRI326534 TBE326451:TBE326534 TLA326451:TLA326534 TUW326451:TUW326534 UES326451:UES326534 UOO326451:UOO326534 UYK326451:UYK326534 VIG326451:VIG326534 VSC326451:VSC326534 WBY326451:WBY326534 WLU326451:WLU326534 WVQ326451:WVQ326534 I392008:I392091 JE391987:JE392070 TA391987:TA392070 ACW391987:ACW392070 AMS391987:AMS392070 AWO391987:AWO392070 BGK391987:BGK392070 BQG391987:BQG392070 CAC391987:CAC392070 CJY391987:CJY392070 CTU391987:CTU392070 DDQ391987:DDQ392070 DNM391987:DNM392070 DXI391987:DXI392070 EHE391987:EHE392070 ERA391987:ERA392070 FAW391987:FAW392070 FKS391987:FKS392070 FUO391987:FUO392070 GEK391987:GEK392070 GOG391987:GOG392070 GYC391987:GYC392070 HHY391987:HHY392070 HRU391987:HRU392070 IBQ391987:IBQ392070 ILM391987:ILM392070 IVI391987:IVI392070 JFE391987:JFE392070 JPA391987:JPA392070 JYW391987:JYW392070 KIS391987:KIS392070 KSO391987:KSO392070 LCK391987:LCK392070 LMG391987:LMG392070 LWC391987:LWC392070 MFY391987:MFY392070 MPU391987:MPU392070 MZQ391987:MZQ392070 NJM391987:NJM392070 NTI391987:NTI392070 ODE391987:ODE392070 ONA391987:ONA392070 OWW391987:OWW392070 PGS391987:PGS392070 PQO391987:PQO392070 QAK391987:QAK392070 QKG391987:QKG392070 QUC391987:QUC392070 RDY391987:RDY392070 RNU391987:RNU392070 RXQ391987:RXQ392070 SHM391987:SHM392070 SRI391987:SRI392070 TBE391987:TBE392070 TLA391987:TLA392070 TUW391987:TUW392070 UES391987:UES392070 UOO391987:UOO392070 UYK391987:UYK392070 VIG391987:VIG392070 VSC391987:VSC392070 WBY391987:WBY392070 WLU391987:WLU392070 WVQ391987:WVQ392070 I457544:I457627 JE457523:JE457606 TA457523:TA457606 ACW457523:ACW457606 AMS457523:AMS457606 AWO457523:AWO457606 BGK457523:BGK457606 BQG457523:BQG457606 CAC457523:CAC457606 CJY457523:CJY457606 CTU457523:CTU457606 DDQ457523:DDQ457606 DNM457523:DNM457606 DXI457523:DXI457606 EHE457523:EHE457606 ERA457523:ERA457606 FAW457523:FAW457606 FKS457523:FKS457606 FUO457523:FUO457606 GEK457523:GEK457606 GOG457523:GOG457606 GYC457523:GYC457606 HHY457523:HHY457606 HRU457523:HRU457606 IBQ457523:IBQ457606 ILM457523:ILM457606 IVI457523:IVI457606 JFE457523:JFE457606 JPA457523:JPA457606 JYW457523:JYW457606 KIS457523:KIS457606 KSO457523:KSO457606 LCK457523:LCK457606 LMG457523:LMG457606 LWC457523:LWC457606 MFY457523:MFY457606 MPU457523:MPU457606 MZQ457523:MZQ457606 NJM457523:NJM457606 NTI457523:NTI457606 ODE457523:ODE457606 ONA457523:ONA457606 OWW457523:OWW457606 PGS457523:PGS457606 PQO457523:PQO457606 QAK457523:QAK457606 QKG457523:QKG457606 QUC457523:QUC457606 RDY457523:RDY457606 RNU457523:RNU457606 RXQ457523:RXQ457606 SHM457523:SHM457606 SRI457523:SRI457606 TBE457523:TBE457606 TLA457523:TLA457606 TUW457523:TUW457606 UES457523:UES457606 UOO457523:UOO457606 UYK457523:UYK457606 VIG457523:VIG457606 VSC457523:VSC457606 WBY457523:WBY457606 WLU457523:WLU457606 WVQ457523:WVQ457606 I523080:I523163 JE523059:JE523142 TA523059:TA523142 ACW523059:ACW523142 AMS523059:AMS523142 AWO523059:AWO523142 BGK523059:BGK523142 BQG523059:BQG523142 CAC523059:CAC523142 CJY523059:CJY523142 CTU523059:CTU523142 DDQ523059:DDQ523142 DNM523059:DNM523142 DXI523059:DXI523142 EHE523059:EHE523142 ERA523059:ERA523142 FAW523059:FAW523142 FKS523059:FKS523142 FUO523059:FUO523142 GEK523059:GEK523142 GOG523059:GOG523142 GYC523059:GYC523142 HHY523059:HHY523142 HRU523059:HRU523142 IBQ523059:IBQ523142 ILM523059:ILM523142 IVI523059:IVI523142 JFE523059:JFE523142 JPA523059:JPA523142 JYW523059:JYW523142 KIS523059:KIS523142 KSO523059:KSO523142 LCK523059:LCK523142 LMG523059:LMG523142 LWC523059:LWC523142 MFY523059:MFY523142 MPU523059:MPU523142 MZQ523059:MZQ523142 NJM523059:NJM523142 NTI523059:NTI523142 ODE523059:ODE523142 ONA523059:ONA523142 OWW523059:OWW523142 PGS523059:PGS523142 PQO523059:PQO523142 QAK523059:QAK523142 QKG523059:QKG523142 QUC523059:QUC523142 RDY523059:RDY523142 RNU523059:RNU523142 RXQ523059:RXQ523142 SHM523059:SHM523142 SRI523059:SRI523142 TBE523059:TBE523142 TLA523059:TLA523142 TUW523059:TUW523142 UES523059:UES523142 UOO523059:UOO523142 UYK523059:UYK523142 VIG523059:VIG523142 VSC523059:VSC523142 WBY523059:WBY523142 WLU523059:WLU523142 WVQ523059:WVQ523142 I588616:I588699 JE588595:JE588678 TA588595:TA588678 ACW588595:ACW588678 AMS588595:AMS588678 AWO588595:AWO588678 BGK588595:BGK588678 BQG588595:BQG588678 CAC588595:CAC588678 CJY588595:CJY588678 CTU588595:CTU588678 DDQ588595:DDQ588678 DNM588595:DNM588678 DXI588595:DXI588678 EHE588595:EHE588678 ERA588595:ERA588678 FAW588595:FAW588678 FKS588595:FKS588678 FUO588595:FUO588678 GEK588595:GEK588678 GOG588595:GOG588678 GYC588595:GYC588678 HHY588595:HHY588678 HRU588595:HRU588678 IBQ588595:IBQ588678 ILM588595:ILM588678 IVI588595:IVI588678 JFE588595:JFE588678 JPA588595:JPA588678 JYW588595:JYW588678 KIS588595:KIS588678 KSO588595:KSO588678 LCK588595:LCK588678 LMG588595:LMG588678 LWC588595:LWC588678 MFY588595:MFY588678 MPU588595:MPU588678 MZQ588595:MZQ588678 NJM588595:NJM588678 NTI588595:NTI588678 ODE588595:ODE588678 ONA588595:ONA588678 OWW588595:OWW588678 PGS588595:PGS588678 PQO588595:PQO588678 QAK588595:QAK588678 QKG588595:QKG588678 QUC588595:QUC588678 RDY588595:RDY588678 RNU588595:RNU588678 RXQ588595:RXQ588678 SHM588595:SHM588678 SRI588595:SRI588678 TBE588595:TBE588678 TLA588595:TLA588678 TUW588595:TUW588678 UES588595:UES588678 UOO588595:UOO588678 UYK588595:UYK588678 VIG588595:VIG588678 VSC588595:VSC588678 WBY588595:WBY588678 WLU588595:WLU588678 WVQ588595:WVQ588678 I654152:I654235 JE654131:JE654214 TA654131:TA654214 ACW654131:ACW654214 AMS654131:AMS654214 AWO654131:AWO654214 BGK654131:BGK654214 BQG654131:BQG654214 CAC654131:CAC654214 CJY654131:CJY654214 CTU654131:CTU654214 DDQ654131:DDQ654214 DNM654131:DNM654214 DXI654131:DXI654214 EHE654131:EHE654214 ERA654131:ERA654214 FAW654131:FAW654214 FKS654131:FKS654214 FUO654131:FUO654214 GEK654131:GEK654214 GOG654131:GOG654214 GYC654131:GYC654214 HHY654131:HHY654214 HRU654131:HRU654214 IBQ654131:IBQ654214 ILM654131:ILM654214 IVI654131:IVI654214 JFE654131:JFE654214 JPA654131:JPA654214 JYW654131:JYW654214 KIS654131:KIS654214 KSO654131:KSO654214 LCK654131:LCK654214 LMG654131:LMG654214 LWC654131:LWC654214 MFY654131:MFY654214 MPU654131:MPU654214 MZQ654131:MZQ654214 NJM654131:NJM654214 NTI654131:NTI654214 ODE654131:ODE654214 ONA654131:ONA654214 OWW654131:OWW654214 PGS654131:PGS654214 PQO654131:PQO654214 QAK654131:QAK654214 QKG654131:QKG654214 QUC654131:QUC654214 RDY654131:RDY654214 RNU654131:RNU654214 RXQ654131:RXQ654214 SHM654131:SHM654214 SRI654131:SRI654214 TBE654131:TBE654214 TLA654131:TLA654214 TUW654131:TUW654214 UES654131:UES654214 UOO654131:UOO654214 UYK654131:UYK654214 VIG654131:VIG654214 VSC654131:VSC654214 WBY654131:WBY654214 WLU654131:WLU654214 WVQ654131:WVQ654214 I719688:I719771 JE719667:JE719750 TA719667:TA719750 ACW719667:ACW719750 AMS719667:AMS719750 AWO719667:AWO719750 BGK719667:BGK719750 BQG719667:BQG719750 CAC719667:CAC719750 CJY719667:CJY719750 CTU719667:CTU719750 DDQ719667:DDQ719750 DNM719667:DNM719750 DXI719667:DXI719750 EHE719667:EHE719750 ERA719667:ERA719750 FAW719667:FAW719750 FKS719667:FKS719750 FUO719667:FUO719750 GEK719667:GEK719750 GOG719667:GOG719750 GYC719667:GYC719750 HHY719667:HHY719750 HRU719667:HRU719750 IBQ719667:IBQ719750 ILM719667:ILM719750 IVI719667:IVI719750 JFE719667:JFE719750 JPA719667:JPA719750 JYW719667:JYW719750 KIS719667:KIS719750 KSO719667:KSO719750 LCK719667:LCK719750 LMG719667:LMG719750 LWC719667:LWC719750 MFY719667:MFY719750 MPU719667:MPU719750 MZQ719667:MZQ719750 NJM719667:NJM719750 NTI719667:NTI719750 ODE719667:ODE719750 ONA719667:ONA719750 OWW719667:OWW719750 PGS719667:PGS719750 PQO719667:PQO719750 QAK719667:QAK719750 QKG719667:QKG719750 QUC719667:QUC719750 RDY719667:RDY719750 RNU719667:RNU719750 RXQ719667:RXQ719750 SHM719667:SHM719750 SRI719667:SRI719750 TBE719667:TBE719750 TLA719667:TLA719750 TUW719667:TUW719750 UES719667:UES719750 UOO719667:UOO719750 UYK719667:UYK719750 VIG719667:VIG719750 VSC719667:VSC719750 WBY719667:WBY719750 WLU719667:WLU719750 WVQ719667:WVQ719750 I785224:I785307 JE785203:JE785286 TA785203:TA785286 ACW785203:ACW785286 AMS785203:AMS785286 AWO785203:AWO785286 BGK785203:BGK785286 BQG785203:BQG785286 CAC785203:CAC785286 CJY785203:CJY785286 CTU785203:CTU785286 DDQ785203:DDQ785286 DNM785203:DNM785286 DXI785203:DXI785286 EHE785203:EHE785286 ERA785203:ERA785286 FAW785203:FAW785286 FKS785203:FKS785286 FUO785203:FUO785286 GEK785203:GEK785286 GOG785203:GOG785286 GYC785203:GYC785286 HHY785203:HHY785286 HRU785203:HRU785286 IBQ785203:IBQ785286 ILM785203:ILM785286 IVI785203:IVI785286 JFE785203:JFE785286 JPA785203:JPA785286 JYW785203:JYW785286 KIS785203:KIS785286 KSO785203:KSO785286 LCK785203:LCK785286 LMG785203:LMG785286 LWC785203:LWC785286 MFY785203:MFY785286 MPU785203:MPU785286 MZQ785203:MZQ785286 NJM785203:NJM785286 NTI785203:NTI785286 ODE785203:ODE785286 ONA785203:ONA785286 OWW785203:OWW785286 PGS785203:PGS785286 PQO785203:PQO785286 QAK785203:QAK785286 QKG785203:QKG785286 QUC785203:QUC785286 RDY785203:RDY785286 RNU785203:RNU785286 RXQ785203:RXQ785286 SHM785203:SHM785286 SRI785203:SRI785286 TBE785203:TBE785286 TLA785203:TLA785286 TUW785203:TUW785286 UES785203:UES785286 UOO785203:UOO785286 UYK785203:UYK785286 VIG785203:VIG785286 VSC785203:VSC785286 WBY785203:WBY785286 WLU785203:WLU785286 WVQ785203:WVQ785286 I850760:I850843 JE850739:JE850822 TA850739:TA850822 ACW850739:ACW850822 AMS850739:AMS850822 AWO850739:AWO850822 BGK850739:BGK850822 BQG850739:BQG850822 CAC850739:CAC850822 CJY850739:CJY850822 CTU850739:CTU850822 DDQ850739:DDQ850822 DNM850739:DNM850822 DXI850739:DXI850822 EHE850739:EHE850822 ERA850739:ERA850822 FAW850739:FAW850822 FKS850739:FKS850822 FUO850739:FUO850822 GEK850739:GEK850822 GOG850739:GOG850822 GYC850739:GYC850822 HHY850739:HHY850822 HRU850739:HRU850822 IBQ850739:IBQ850822 ILM850739:ILM850822 IVI850739:IVI850822 JFE850739:JFE850822 JPA850739:JPA850822 JYW850739:JYW850822 KIS850739:KIS850822 KSO850739:KSO850822 LCK850739:LCK850822 LMG850739:LMG850822 LWC850739:LWC850822 MFY850739:MFY850822 MPU850739:MPU850822 MZQ850739:MZQ850822 NJM850739:NJM850822 NTI850739:NTI850822 ODE850739:ODE850822 ONA850739:ONA850822 OWW850739:OWW850822 PGS850739:PGS850822 PQO850739:PQO850822 QAK850739:QAK850822 QKG850739:QKG850822 QUC850739:QUC850822 RDY850739:RDY850822 RNU850739:RNU850822 RXQ850739:RXQ850822 SHM850739:SHM850822 SRI850739:SRI850822 TBE850739:TBE850822 TLA850739:TLA850822 TUW850739:TUW850822 UES850739:UES850822 UOO850739:UOO850822 UYK850739:UYK850822 VIG850739:VIG850822 VSC850739:VSC850822 WBY850739:WBY850822 WLU850739:WLU850822 WVQ850739:WVQ850822 I916296:I916379 JE916275:JE916358 TA916275:TA916358 ACW916275:ACW916358 AMS916275:AMS916358 AWO916275:AWO916358 BGK916275:BGK916358 BQG916275:BQG916358 CAC916275:CAC916358 CJY916275:CJY916358 CTU916275:CTU916358 DDQ916275:DDQ916358 DNM916275:DNM916358 DXI916275:DXI916358 EHE916275:EHE916358 ERA916275:ERA916358 FAW916275:FAW916358 FKS916275:FKS916358 FUO916275:FUO916358 GEK916275:GEK916358 GOG916275:GOG916358 GYC916275:GYC916358 HHY916275:HHY916358 HRU916275:HRU916358 IBQ916275:IBQ916358 ILM916275:ILM916358 IVI916275:IVI916358 JFE916275:JFE916358 JPA916275:JPA916358 JYW916275:JYW916358 KIS916275:KIS916358 KSO916275:KSO916358 LCK916275:LCK916358 LMG916275:LMG916358 LWC916275:LWC916358 MFY916275:MFY916358 MPU916275:MPU916358 MZQ916275:MZQ916358 NJM916275:NJM916358 NTI916275:NTI916358 ODE916275:ODE916358 ONA916275:ONA916358 OWW916275:OWW916358 PGS916275:PGS916358 PQO916275:PQO916358 QAK916275:QAK916358 QKG916275:QKG916358 QUC916275:QUC916358 RDY916275:RDY916358 RNU916275:RNU916358 RXQ916275:RXQ916358 SHM916275:SHM916358 SRI916275:SRI916358 TBE916275:TBE916358 TLA916275:TLA916358 TUW916275:TUW916358 UES916275:UES916358 UOO916275:UOO916358 UYK916275:UYK916358 VIG916275:VIG916358 VSC916275:VSC916358 WBY916275:WBY916358 WLU916275:WLU916358 WVQ916275:WVQ916358 I981832:I981915 JE981811:JE981894 TA981811:TA981894 ACW981811:ACW981894 AMS981811:AMS981894 AWO981811:AWO981894 BGK981811:BGK981894 BQG981811:BQG981894 CAC981811:CAC981894 CJY981811:CJY981894 CTU981811:CTU981894 DDQ981811:DDQ981894 DNM981811:DNM981894 DXI981811:DXI981894 EHE981811:EHE981894 ERA981811:ERA981894 FAW981811:FAW981894 FKS981811:FKS981894 FUO981811:FUO981894 GEK981811:GEK981894 GOG981811:GOG981894 GYC981811:GYC981894 HHY981811:HHY981894 HRU981811:HRU981894 IBQ981811:IBQ981894 ILM981811:ILM981894 IVI981811:IVI981894 JFE981811:JFE981894 JPA981811:JPA981894 JYW981811:JYW981894 KIS981811:KIS981894 KSO981811:KSO981894 LCK981811:LCK981894 LMG981811:LMG981894 LWC981811:LWC981894 MFY981811:MFY981894 MPU981811:MPU981894 MZQ981811:MZQ981894 NJM981811:NJM981894 NTI981811:NTI981894 ODE981811:ODE981894 ONA981811:ONA981894 OWW981811:OWW981894 PGS981811:PGS981894 PQO981811:PQO981894 QAK981811:QAK981894 QKG981811:QKG981894 QUC981811:QUC981894 RDY981811:RDY981894 RNU981811:RNU981894 RXQ981811:RXQ981894 SHM981811:SHM981894 SRI981811:SRI981894 TBE981811:TBE981894 TLA981811:TLA981894 TUW981811:TUW981894 UES981811:UES981894 UOO981811:UOO981894 UYK981811:UYK981894 VIG981811:VIG981894 VSC981811:VSC981894 WBY981811:WBY981894 JE2:JE79 WVQ2:WVQ79 WLU2:WLU79 WBY2:WBY79 VSC2:VSC79 VIG2:VIG79 UYK2:UYK79 UOO2:UOO79 UES2:UES79 TUW2:TUW79 TLA2:TLA79 TBE2:TBE79 SRI2:SRI79 SHM2:SHM79 RXQ2:RXQ79 RNU2:RNU79 RDY2:RDY79 QUC2:QUC79 QKG2:QKG79 QAK2:QAK79 PQO2:PQO79 PGS2:PGS79 OWW2:OWW79 ONA2:ONA79 ODE2:ODE79 NTI2:NTI79 NJM2:NJM79 MZQ2:MZQ79 MPU2:MPU79 MFY2:MFY79 LWC2:LWC79 LMG2:LMG79 LCK2:LCK79 KSO2:KSO79 KIS2:KIS79 JYW2:JYW79 JPA2:JPA79 JFE2:JFE79 IVI2:IVI79 ILM2:ILM79 IBQ2:IBQ79 HRU2:HRU79 HHY2:HHY79 GYC2:GYC79 GOG2:GOG79 GEK2:GEK79 FUO2:FUO79 FKS2:FKS79 FAW2:FAW79 ERA2:ERA79 EHE2:EHE79 DXI2:DXI79 DNM2:DNM79 DDQ2:DDQ79 CTU2:CTU79 CJY2:CJY79 CAC2:CAC79 BQG2:BQG79 BGK2:BGK79 AWO2:AWO79 AMS2:AMS79 ACW2:ACW79 TA2:TA79 I2:I100" xr:uid="{24B12F0D-E639-4012-B55F-6B2D39390139}">
      <formula1>#REF!</formula1>
    </dataValidation>
    <dataValidation type="list" allowBlank="1" showInputMessage="1" showErrorMessage="1" sqref="WWG981811:WWI981894 WCO981811:WCQ981894 WMK981811:WMM981894 Y64307:AA64390 JU64307:JW64390 TQ64307:TS64390 ADM64307:ADO64390 ANI64307:ANK64390 AXE64307:AXG64390 BHA64307:BHC64390 BQW64307:BQY64390 CAS64307:CAU64390 CKO64307:CKQ64390 CUK64307:CUM64390 DEG64307:DEI64390 DOC64307:DOE64390 DXY64307:DYA64390 EHU64307:EHW64390 ERQ64307:ERS64390 FBM64307:FBO64390 FLI64307:FLK64390 FVE64307:FVG64390 GFA64307:GFC64390 GOW64307:GOY64390 GYS64307:GYU64390 HIO64307:HIQ64390 HSK64307:HSM64390 ICG64307:ICI64390 IMC64307:IME64390 IVY64307:IWA64390 JFU64307:JFW64390 JPQ64307:JPS64390 JZM64307:JZO64390 KJI64307:KJK64390 KTE64307:KTG64390 LDA64307:LDC64390 LMW64307:LMY64390 LWS64307:LWU64390 MGO64307:MGQ64390 MQK64307:MQM64390 NAG64307:NAI64390 NKC64307:NKE64390 NTY64307:NUA64390 ODU64307:ODW64390 ONQ64307:ONS64390 OXM64307:OXO64390 PHI64307:PHK64390 PRE64307:PRG64390 QBA64307:QBC64390 QKW64307:QKY64390 QUS64307:QUU64390 REO64307:REQ64390 ROK64307:ROM64390 RYG64307:RYI64390 SIC64307:SIE64390 SRY64307:SSA64390 TBU64307:TBW64390 TLQ64307:TLS64390 TVM64307:TVO64390 UFI64307:UFK64390 UPE64307:UPG64390 UZA64307:UZC64390 VIW64307:VIY64390 VSS64307:VSU64390 WCO64307:WCQ64390 WMK64307:WMM64390 WWG64307:WWI64390 Y129843:AA129926 JU129843:JW129926 TQ129843:TS129926 ADM129843:ADO129926 ANI129843:ANK129926 AXE129843:AXG129926 BHA129843:BHC129926 BQW129843:BQY129926 CAS129843:CAU129926 CKO129843:CKQ129926 CUK129843:CUM129926 DEG129843:DEI129926 DOC129843:DOE129926 DXY129843:DYA129926 EHU129843:EHW129926 ERQ129843:ERS129926 FBM129843:FBO129926 FLI129843:FLK129926 FVE129843:FVG129926 GFA129843:GFC129926 GOW129843:GOY129926 GYS129843:GYU129926 HIO129843:HIQ129926 HSK129843:HSM129926 ICG129843:ICI129926 IMC129843:IME129926 IVY129843:IWA129926 JFU129843:JFW129926 JPQ129843:JPS129926 JZM129843:JZO129926 KJI129843:KJK129926 KTE129843:KTG129926 LDA129843:LDC129926 LMW129843:LMY129926 LWS129843:LWU129926 MGO129843:MGQ129926 MQK129843:MQM129926 NAG129843:NAI129926 NKC129843:NKE129926 NTY129843:NUA129926 ODU129843:ODW129926 ONQ129843:ONS129926 OXM129843:OXO129926 PHI129843:PHK129926 PRE129843:PRG129926 QBA129843:QBC129926 QKW129843:QKY129926 QUS129843:QUU129926 REO129843:REQ129926 ROK129843:ROM129926 RYG129843:RYI129926 SIC129843:SIE129926 SRY129843:SSA129926 TBU129843:TBW129926 TLQ129843:TLS129926 TVM129843:TVO129926 UFI129843:UFK129926 UPE129843:UPG129926 UZA129843:UZC129926 VIW129843:VIY129926 VSS129843:VSU129926 WCO129843:WCQ129926 WMK129843:WMM129926 WWG129843:WWI129926 Y195379:AA195462 JU195379:JW195462 TQ195379:TS195462 ADM195379:ADO195462 ANI195379:ANK195462 AXE195379:AXG195462 BHA195379:BHC195462 BQW195379:BQY195462 CAS195379:CAU195462 CKO195379:CKQ195462 CUK195379:CUM195462 DEG195379:DEI195462 DOC195379:DOE195462 DXY195379:DYA195462 EHU195379:EHW195462 ERQ195379:ERS195462 FBM195379:FBO195462 FLI195379:FLK195462 FVE195379:FVG195462 GFA195379:GFC195462 GOW195379:GOY195462 GYS195379:GYU195462 HIO195379:HIQ195462 HSK195379:HSM195462 ICG195379:ICI195462 IMC195379:IME195462 IVY195379:IWA195462 JFU195379:JFW195462 JPQ195379:JPS195462 JZM195379:JZO195462 KJI195379:KJK195462 KTE195379:KTG195462 LDA195379:LDC195462 LMW195379:LMY195462 LWS195379:LWU195462 MGO195379:MGQ195462 MQK195379:MQM195462 NAG195379:NAI195462 NKC195379:NKE195462 NTY195379:NUA195462 ODU195379:ODW195462 ONQ195379:ONS195462 OXM195379:OXO195462 PHI195379:PHK195462 PRE195379:PRG195462 QBA195379:QBC195462 QKW195379:QKY195462 QUS195379:QUU195462 REO195379:REQ195462 ROK195379:ROM195462 RYG195379:RYI195462 SIC195379:SIE195462 SRY195379:SSA195462 TBU195379:TBW195462 TLQ195379:TLS195462 TVM195379:TVO195462 UFI195379:UFK195462 UPE195379:UPG195462 UZA195379:UZC195462 VIW195379:VIY195462 VSS195379:VSU195462 WCO195379:WCQ195462 WMK195379:WMM195462 WWG195379:WWI195462 Y260915:AA260998 JU260915:JW260998 TQ260915:TS260998 ADM260915:ADO260998 ANI260915:ANK260998 AXE260915:AXG260998 BHA260915:BHC260998 BQW260915:BQY260998 CAS260915:CAU260998 CKO260915:CKQ260998 CUK260915:CUM260998 DEG260915:DEI260998 DOC260915:DOE260998 DXY260915:DYA260998 EHU260915:EHW260998 ERQ260915:ERS260998 FBM260915:FBO260998 FLI260915:FLK260998 FVE260915:FVG260998 GFA260915:GFC260998 GOW260915:GOY260998 GYS260915:GYU260998 HIO260915:HIQ260998 HSK260915:HSM260998 ICG260915:ICI260998 IMC260915:IME260998 IVY260915:IWA260998 JFU260915:JFW260998 JPQ260915:JPS260998 JZM260915:JZO260998 KJI260915:KJK260998 KTE260915:KTG260998 LDA260915:LDC260998 LMW260915:LMY260998 LWS260915:LWU260998 MGO260915:MGQ260998 MQK260915:MQM260998 NAG260915:NAI260998 NKC260915:NKE260998 NTY260915:NUA260998 ODU260915:ODW260998 ONQ260915:ONS260998 OXM260915:OXO260998 PHI260915:PHK260998 PRE260915:PRG260998 QBA260915:QBC260998 QKW260915:QKY260998 QUS260915:QUU260998 REO260915:REQ260998 ROK260915:ROM260998 RYG260915:RYI260998 SIC260915:SIE260998 SRY260915:SSA260998 TBU260915:TBW260998 TLQ260915:TLS260998 TVM260915:TVO260998 UFI260915:UFK260998 UPE260915:UPG260998 UZA260915:UZC260998 VIW260915:VIY260998 VSS260915:VSU260998 WCO260915:WCQ260998 WMK260915:WMM260998 WWG260915:WWI260998 Y326451:AA326534 JU326451:JW326534 TQ326451:TS326534 ADM326451:ADO326534 ANI326451:ANK326534 AXE326451:AXG326534 BHA326451:BHC326534 BQW326451:BQY326534 CAS326451:CAU326534 CKO326451:CKQ326534 CUK326451:CUM326534 DEG326451:DEI326534 DOC326451:DOE326534 DXY326451:DYA326534 EHU326451:EHW326534 ERQ326451:ERS326534 FBM326451:FBO326534 FLI326451:FLK326534 FVE326451:FVG326534 GFA326451:GFC326534 GOW326451:GOY326534 GYS326451:GYU326534 HIO326451:HIQ326534 HSK326451:HSM326534 ICG326451:ICI326534 IMC326451:IME326534 IVY326451:IWA326534 JFU326451:JFW326534 JPQ326451:JPS326534 JZM326451:JZO326534 KJI326451:KJK326534 KTE326451:KTG326534 LDA326451:LDC326534 LMW326451:LMY326534 LWS326451:LWU326534 MGO326451:MGQ326534 MQK326451:MQM326534 NAG326451:NAI326534 NKC326451:NKE326534 NTY326451:NUA326534 ODU326451:ODW326534 ONQ326451:ONS326534 OXM326451:OXO326534 PHI326451:PHK326534 PRE326451:PRG326534 QBA326451:QBC326534 QKW326451:QKY326534 QUS326451:QUU326534 REO326451:REQ326534 ROK326451:ROM326534 RYG326451:RYI326534 SIC326451:SIE326534 SRY326451:SSA326534 TBU326451:TBW326534 TLQ326451:TLS326534 TVM326451:TVO326534 UFI326451:UFK326534 UPE326451:UPG326534 UZA326451:UZC326534 VIW326451:VIY326534 VSS326451:VSU326534 WCO326451:WCQ326534 WMK326451:WMM326534 WWG326451:WWI326534 Y391987:AA392070 JU391987:JW392070 TQ391987:TS392070 ADM391987:ADO392070 ANI391987:ANK392070 AXE391987:AXG392070 BHA391987:BHC392070 BQW391987:BQY392070 CAS391987:CAU392070 CKO391987:CKQ392070 CUK391987:CUM392070 DEG391987:DEI392070 DOC391987:DOE392070 DXY391987:DYA392070 EHU391987:EHW392070 ERQ391987:ERS392070 FBM391987:FBO392070 FLI391987:FLK392070 FVE391987:FVG392070 GFA391987:GFC392070 GOW391987:GOY392070 GYS391987:GYU392070 HIO391987:HIQ392070 HSK391987:HSM392070 ICG391987:ICI392070 IMC391987:IME392070 IVY391987:IWA392070 JFU391987:JFW392070 JPQ391987:JPS392070 JZM391987:JZO392070 KJI391987:KJK392070 KTE391987:KTG392070 LDA391987:LDC392070 LMW391987:LMY392070 LWS391987:LWU392070 MGO391987:MGQ392070 MQK391987:MQM392070 NAG391987:NAI392070 NKC391987:NKE392070 NTY391987:NUA392070 ODU391987:ODW392070 ONQ391987:ONS392070 OXM391987:OXO392070 PHI391987:PHK392070 PRE391987:PRG392070 QBA391987:QBC392070 QKW391987:QKY392070 QUS391987:QUU392070 REO391987:REQ392070 ROK391987:ROM392070 RYG391987:RYI392070 SIC391987:SIE392070 SRY391987:SSA392070 TBU391987:TBW392070 TLQ391987:TLS392070 TVM391987:TVO392070 UFI391987:UFK392070 UPE391987:UPG392070 UZA391987:UZC392070 VIW391987:VIY392070 VSS391987:VSU392070 WCO391987:WCQ392070 WMK391987:WMM392070 WWG391987:WWI392070 Y457523:AA457606 JU457523:JW457606 TQ457523:TS457606 ADM457523:ADO457606 ANI457523:ANK457606 AXE457523:AXG457606 BHA457523:BHC457606 BQW457523:BQY457606 CAS457523:CAU457606 CKO457523:CKQ457606 CUK457523:CUM457606 DEG457523:DEI457606 DOC457523:DOE457606 DXY457523:DYA457606 EHU457523:EHW457606 ERQ457523:ERS457606 FBM457523:FBO457606 FLI457523:FLK457606 FVE457523:FVG457606 GFA457523:GFC457606 GOW457523:GOY457606 GYS457523:GYU457606 HIO457523:HIQ457606 HSK457523:HSM457606 ICG457523:ICI457606 IMC457523:IME457606 IVY457523:IWA457606 JFU457523:JFW457606 JPQ457523:JPS457606 JZM457523:JZO457606 KJI457523:KJK457606 KTE457523:KTG457606 LDA457523:LDC457606 LMW457523:LMY457606 LWS457523:LWU457606 MGO457523:MGQ457606 MQK457523:MQM457606 NAG457523:NAI457606 NKC457523:NKE457606 NTY457523:NUA457606 ODU457523:ODW457606 ONQ457523:ONS457606 OXM457523:OXO457606 PHI457523:PHK457606 PRE457523:PRG457606 QBA457523:QBC457606 QKW457523:QKY457606 QUS457523:QUU457606 REO457523:REQ457606 ROK457523:ROM457606 RYG457523:RYI457606 SIC457523:SIE457606 SRY457523:SSA457606 TBU457523:TBW457606 TLQ457523:TLS457606 TVM457523:TVO457606 UFI457523:UFK457606 UPE457523:UPG457606 UZA457523:UZC457606 VIW457523:VIY457606 VSS457523:VSU457606 WCO457523:WCQ457606 WMK457523:WMM457606 WWG457523:WWI457606 Y523059:AA523142 JU523059:JW523142 TQ523059:TS523142 ADM523059:ADO523142 ANI523059:ANK523142 AXE523059:AXG523142 BHA523059:BHC523142 BQW523059:BQY523142 CAS523059:CAU523142 CKO523059:CKQ523142 CUK523059:CUM523142 DEG523059:DEI523142 DOC523059:DOE523142 DXY523059:DYA523142 EHU523059:EHW523142 ERQ523059:ERS523142 FBM523059:FBO523142 FLI523059:FLK523142 FVE523059:FVG523142 GFA523059:GFC523142 GOW523059:GOY523142 GYS523059:GYU523142 HIO523059:HIQ523142 HSK523059:HSM523142 ICG523059:ICI523142 IMC523059:IME523142 IVY523059:IWA523142 JFU523059:JFW523142 JPQ523059:JPS523142 JZM523059:JZO523142 KJI523059:KJK523142 KTE523059:KTG523142 LDA523059:LDC523142 LMW523059:LMY523142 LWS523059:LWU523142 MGO523059:MGQ523142 MQK523059:MQM523142 NAG523059:NAI523142 NKC523059:NKE523142 NTY523059:NUA523142 ODU523059:ODW523142 ONQ523059:ONS523142 OXM523059:OXO523142 PHI523059:PHK523142 PRE523059:PRG523142 QBA523059:QBC523142 QKW523059:QKY523142 QUS523059:QUU523142 REO523059:REQ523142 ROK523059:ROM523142 RYG523059:RYI523142 SIC523059:SIE523142 SRY523059:SSA523142 TBU523059:TBW523142 TLQ523059:TLS523142 TVM523059:TVO523142 UFI523059:UFK523142 UPE523059:UPG523142 UZA523059:UZC523142 VIW523059:VIY523142 VSS523059:VSU523142 WCO523059:WCQ523142 WMK523059:WMM523142 WWG523059:WWI523142 Y588595:AA588678 JU588595:JW588678 TQ588595:TS588678 ADM588595:ADO588678 ANI588595:ANK588678 AXE588595:AXG588678 BHA588595:BHC588678 BQW588595:BQY588678 CAS588595:CAU588678 CKO588595:CKQ588678 CUK588595:CUM588678 DEG588595:DEI588678 DOC588595:DOE588678 DXY588595:DYA588678 EHU588595:EHW588678 ERQ588595:ERS588678 FBM588595:FBO588678 FLI588595:FLK588678 FVE588595:FVG588678 GFA588595:GFC588678 GOW588595:GOY588678 GYS588595:GYU588678 HIO588595:HIQ588678 HSK588595:HSM588678 ICG588595:ICI588678 IMC588595:IME588678 IVY588595:IWA588678 JFU588595:JFW588678 JPQ588595:JPS588678 JZM588595:JZO588678 KJI588595:KJK588678 KTE588595:KTG588678 LDA588595:LDC588678 LMW588595:LMY588678 LWS588595:LWU588678 MGO588595:MGQ588678 MQK588595:MQM588678 NAG588595:NAI588678 NKC588595:NKE588678 NTY588595:NUA588678 ODU588595:ODW588678 ONQ588595:ONS588678 OXM588595:OXO588678 PHI588595:PHK588678 PRE588595:PRG588678 QBA588595:QBC588678 QKW588595:QKY588678 QUS588595:QUU588678 REO588595:REQ588678 ROK588595:ROM588678 RYG588595:RYI588678 SIC588595:SIE588678 SRY588595:SSA588678 TBU588595:TBW588678 TLQ588595:TLS588678 TVM588595:TVO588678 UFI588595:UFK588678 UPE588595:UPG588678 UZA588595:UZC588678 VIW588595:VIY588678 VSS588595:VSU588678 WCO588595:WCQ588678 WMK588595:WMM588678 WWG588595:WWI588678 Y654131:AA654214 JU654131:JW654214 TQ654131:TS654214 ADM654131:ADO654214 ANI654131:ANK654214 AXE654131:AXG654214 BHA654131:BHC654214 BQW654131:BQY654214 CAS654131:CAU654214 CKO654131:CKQ654214 CUK654131:CUM654214 DEG654131:DEI654214 DOC654131:DOE654214 DXY654131:DYA654214 EHU654131:EHW654214 ERQ654131:ERS654214 FBM654131:FBO654214 FLI654131:FLK654214 FVE654131:FVG654214 GFA654131:GFC654214 GOW654131:GOY654214 GYS654131:GYU654214 HIO654131:HIQ654214 HSK654131:HSM654214 ICG654131:ICI654214 IMC654131:IME654214 IVY654131:IWA654214 JFU654131:JFW654214 JPQ654131:JPS654214 JZM654131:JZO654214 KJI654131:KJK654214 KTE654131:KTG654214 LDA654131:LDC654214 LMW654131:LMY654214 LWS654131:LWU654214 MGO654131:MGQ654214 MQK654131:MQM654214 NAG654131:NAI654214 NKC654131:NKE654214 NTY654131:NUA654214 ODU654131:ODW654214 ONQ654131:ONS654214 OXM654131:OXO654214 PHI654131:PHK654214 PRE654131:PRG654214 QBA654131:QBC654214 QKW654131:QKY654214 QUS654131:QUU654214 REO654131:REQ654214 ROK654131:ROM654214 RYG654131:RYI654214 SIC654131:SIE654214 SRY654131:SSA654214 TBU654131:TBW654214 TLQ654131:TLS654214 TVM654131:TVO654214 UFI654131:UFK654214 UPE654131:UPG654214 UZA654131:UZC654214 VIW654131:VIY654214 VSS654131:VSU654214 WCO654131:WCQ654214 WMK654131:WMM654214 WWG654131:WWI654214 Y719667:AA719750 JU719667:JW719750 TQ719667:TS719750 ADM719667:ADO719750 ANI719667:ANK719750 AXE719667:AXG719750 BHA719667:BHC719750 BQW719667:BQY719750 CAS719667:CAU719750 CKO719667:CKQ719750 CUK719667:CUM719750 DEG719667:DEI719750 DOC719667:DOE719750 DXY719667:DYA719750 EHU719667:EHW719750 ERQ719667:ERS719750 FBM719667:FBO719750 FLI719667:FLK719750 FVE719667:FVG719750 GFA719667:GFC719750 GOW719667:GOY719750 GYS719667:GYU719750 HIO719667:HIQ719750 HSK719667:HSM719750 ICG719667:ICI719750 IMC719667:IME719750 IVY719667:IWA719750 JFU719667:JFW719750 JPQ719667:JPS719750 JZM719667:JZO719750 KJI719667:KJK719750 KTE719667:KTG719750 LDA719667:LDC719750 LMW719667:LMY719750 LWS719667:LWU719750 MGO719667:MGQ719750 MQK719667:MQM719750 NAG719667:NAI719750 NKC719667:NKE719750 NTY719667:NUA719750 ODU719667:ODW719750 ONQ719667:ONS719750 OXM719667:OXO719750 PHI719667:PHK719750 PRE719667:PRG719750 QBA719667:QBC719750 QKW719667:QKY719750 QUS719667:QUU719750 REO719667:REQ719750 ROK719667:ROM719750 RYG719667:RYI719750 SIC719667:SIE719750 SRY719667:SSA719750 TBU719667:TBW719750 TLQ719667:TLS719750 TVM719667:TVO719750 UFI719667:UFK719750 UPE719667:UPG719750 UZA719667:UZC719750 VIW719667:VIY719750 VSS719667:VSU719750 WCO719667:WCQ719750 WMK719667:WMM719750 WWG719667:WWI719750 Y785203:AA785286 JU785203:JW785286 TQ785203:TS785286 ADM785203:ADO785286 ANI785203:ANK785286 AXE785203:AXG785286 BHA785203:BHC785286 BQW785203:BQY785286 CAS785203:CAU785286 CKO785203:CKQ785286 CUK785203:CUM785286 DEG785203:DEI785286 DOC785203:DOE785286 DXY785203:DYA785286 EHU785203:EHW785286 ERQ785203:ERS785286 FBM785203:FBO785286 FLI785203:FLK785286 FVE785203:FVG785286 GFA785203:GFC785286 GOW785203:GOY785286 GYS785203:GYU785286 HIO785203:HIQ785286 HSK785203:HSM785286 ICG785203:ICI785286 IMC785203:IME785286 IVY785203:IWA785286 JFU785203:JFW785286 JPQ785203:JPS785286 JZM785203:JZO785286 KJI785203:KJK785286 KTE785203:KTG785286 LDA785203:LDC785286 LMW785203:LMY785286 LWS785203:LWU785286 MGO785203:MGQ785286 MQK785203:MQM785286 NAG785203:NAI785286 NKC785203:NKE785286 NTY785203:NUA785286 ODU785203:ODW785286 ONQ785203:ONS785286 OXM785203:OXO785286 PHI785203:PHK785286 PRE785203:PRG785286 QBA785203:QBC785286 QKW785203:QKY785286 QUS785203:QUU785286 REO785203:REQ785286 ROK785203:ROM785286 RYG785203:RYI785286 SIC785203:SIE785286 SRY785203:SSA785286 TBU785203:TBW785286 TLQ785203:TLS785286 TVM785203:TVO785286 UFI785203:UFK785286 UPE785203:UPG785286 UZA785203:UZC785286 VIW785203:VIY785286 VSS785203:VSU785286 WCO785203:WCQ785286 WMK785203:WMM785286 WWG785203:WWI785286 Y850739:AA850822 JU850739:JW850822 TQ850739:TS850822 ADM850739:ADO850822 ANI850739:ANK850822 AXE850739:AXG850822 BHA850739:BHC850822 BQW850739:BQY850822 CAS850739:CAU850822 CKO850739:CKQ850822 CUK850739:CUM850822 DEG850739:DEI850822 DOC850739:DOE850822 DXY850739:DYA850822 EHU850739:EHW850822 ERQ850739:ERS850822 FBM850739:FBO850822 FLI850739:FLK850822 FVE850739:FVG850822 GFA850739:GFC850822 GOW850739:GOY850822 GYS850739:GYU850822 HIO850739:HIQ850822 HSK850739:HSM850822 ICG850739:ICI850822 IMC850739:IME850822 IVY850739:IWA850822 JFU850739:JFW850822 JPQ850739:JPS850822 JZM850739:JZO850822 KJI850739:KJK850822 KTE850739:KTG850822 LDA850739:LDC850822 LMW850739:LMY850822 LWS850739:LWU850822 MGO850739:MGQ850822 MQK850739:MQM850822 NAG850739:NAI850822 NKC850739:NKE850822 NTY850739:NUA850822 ODU850739:ODW850822 ONQ850739:ONS850822 OXM850739:OXO850822 PHI850739:PHK850822 PRE850739:PRG850822 QBA850739:QBC850822 QKW850739:QKY850822 QUS850739:QUU850822 REO850739:REQ850822 ROK850739:ROM850822 RYG850739:RYI850822 SIC850739:SIE850822 SRY850739:SSA850822 TBU850739:TBW850822 TLQ850739:TLS850822 TVM850739:TVO850822 UFI850739:UFK850822 UPE850739:UPG850822 UZA850739:UZC850822 VIW850739:VIY850822 VSS850739:VSU850822 WCO850739:WCQ850822 WMK850739:WMM850822 WWG850739:WWI850822 Y916275:AA916358 JU916275:JW916358 TQ916275:TS916358 ADM916275:ADO916358 ANI916275:ANK916358 AXE916275:AXG916358 BHA916275:BHC916358 BQW916275:BQY916358 CAS916275:CAU916358 CKO916275:CKQ916358 CUK916275:CUM916358 DEG916275:DEI916358 DOC916275:DOE916358 DXY916275:DYA916358 EHU916275:EHW916358 ERQ916275:ERS916358 FBM916275:FBO916358 FLI916275:FLK916358 FVE916275:FVG916358 GFA916275:GFC916358 GOW916275:GOY916358 GYS916275:GYU916358 HIO916275:HIQ916358 HSK916275:HSM916358 ICG916275:ICI916358 IMC916275:IME916358 IVY916275:IWA916358 JFU916275:JFW916358 JPQ916275:JPS916358 JZM916275:JZO916358 KJI916275:KJK916358 KTE916275:KTG916358 LDA916275:LDC916358 LMW916275:LMY916358 LWS916275:LWU916358 MGO916275:MGQ916358 MQK916275:MQM916358 NAG916275:NAI916358 NKC916275:NKE916358 NTY916275:NUA916358 ODU916275:ODW916358 ONQ916275:ONS916358 OXM916275:OXO916358 PHI916275:PHK916358 PRE916275:PRG916358 QBA916275:QBC916358 QKW916275:QKY916358 QUS916275:QUU916358 REO916275:REQ916358 ROK916275:ROM916358 RYG916275:RYI916358 SIC916275:SIE916358 SRY916275:SSA916358 TBU916275:TBW916358 TLQ916275:TLS916358 TVM916275:TVO916358 UFI916275:UFK916358 UPE916275:UPG916358 UZA916275:UZC916358 VIW916275:VIY916358 VSS916275:VSU916358 WCO916275:WCQ916358 WMK916275:WMM916358 WWG916275:WWI916358 Y981811:AA981894 JU981811:JW981894 TQ981811:TS981894 ADM981811:ADO981894 ANI981811:ANK981894 AXE981811:AXG981894 BHA981811:BHC981894 BQW981811:BQY981894 CAS981811:CAU981894 CKO981811:CKQ981894 CUK981811:CUM981894 DEG981811:DEI981894 DOC981811:DOE981894 DXY981811:DYA981894 EHU981811:EHW981894 ERQ981811:ERS981894 FBM981811:FBO981894 FLI981811:FLK981894 FVE981811:FVG981894 GFA981811:GFC981894 GOW981811:GOY981894 GYS981811:GYU981894 HIO981811:HIQ981894 HSK981811:HSM981894 ICG981811:ICI981894 IMC981811:IME981894 IVY981811:IWA981894 JFU981811:JFW981894 JPQ981811:JPS981894 JZM981811:JZO981894 KJI981811:KJK981894 KTE981811:KTG981894 LDA981811:LDC981894 LMW981811:LMY981894 LWS981811:LWU981894 MGO981811:MGQ981894 MQK981811:MQM981894 NAG981811:NAI981894 NKC981811:NKE981894 NTY981811:NUA981894 ODU981811:ODW981894 ONQ981811:ONS981894 OXM981811:OXO981894 PHI981811:PHK981894 PRE981811:PRG981894 QBA981811:QBC981894 QKW981811:QKY981894 QUS981811:QUU981894 REO981811:REQ981894 ROK981811:ROM981894 RYG981811:RYI981894 SIC981811:SIE981894 SRY981811:SSA981894 TBU981811:TBW981894 TLQ981811:TLS981894 TVM981811:TVO981894 UFI981811:UFK981894 UPE981811:UPG981894 UZA981811:UZC981894 VIW981811:VIY981894 VSS981811:VSU981894 JU2:JW79 TQ2:TS79 ADM2:ADO79 ANI2:ANK79 AXE2:AXG79 BHA2:BHC79 BQW2:BQY79 CAS2:CAU79 CKO2:CKQ79 CUK2:CUM79 DEG2:DEI79 DOC2:DOE79 DXY2:DYA79 EHU2:EHW79 ERQ2:ERS79 FBM2:FBO79 FLI2:FLK79 FVE2:FVG79 GFA2:GFC79 GOW2:GOY79 GYS2:GYU79 HIO2:HIQ79 HSK2:HSM79 ICG2:ICI79 IMC2:IME79 IVY2:IWA79 JFU2:JFW79 JPQ2:JPS79 JZM2:JZO79 KJI2:KJK79 KTE2:KTG79 LDA2:LDC79 LMW2:LMY79 LWS2:LWU79 MGO2:MGQ79 MQK2:MQM79 NAG2:NAI79 NKC2:NKE79 NTY2:NUA79 ODU2:ODW79 ONQ2:ONS79 OXM2:OXO79 PHI2:PHK79 PRE2:PRG79 QBA2:QBC79 QKW2:QKY79 QUS2:QUU79 REO2:REQ79 ROK2:ROM79 RYG2:RYI79 SIC2:SIE79 SRY2:SSA79 TBU2:TBW79 TLQ2:TLS79 TVM2:TVO79 UFI2:UFK79 UPE2:UPG79 UZA2:UZC79 VIW2:VIY79 VSS2:VSU79 WCO2:WCQ79 WMK2:WMM79 WWG2:WWI79" xr:uid="{6BA0F269-4AA0-4089-BE88-F378FF1B97F1}">
      <formula1>$AV$2:$AV$22</formula1>
    </dataValidation>
    <dataValidation type="list" allowBlank="1" showInputMessage="1" showErrorMessage="1" sqref="F104:F508 F2:F102" xr:uid="{9956B98B-3E39-40D0-9144-6EE5CD9719DE}">
      <formula1>$AH$2:$AH$10</formula1>
    </dataValidation>
    <dataValidation type="list" allowBlank="1" showInputMessage="1" showErrorMessage="1" sqref="E104:E508 E2:E102" xr:uid="{2FD52357-C406-485B-AED1-BEB586DC4907}">
      <formula1>$AG$2:$AG$11</formula1>
    </dataValidation>
    <dataValidation type="list" allowBlank="1" showInputMessage="1" showErrorMessage="1" sqref="A102:A506 A2:A100" xr:uid="{73BD57EA-D43C-485A-B09E-303B5A78D137}">
      <formula1>$AE$2:$AE$19</formula1>
    </dataValidation>
    <dataValidation type="list" allowBlank="1" showInputMessage="1" showErrorMessage="1" sqref="H102:H506 H2:H100" xr:uid="{4A1E123F-BB9A-4AD0-8BE9-F133F1BB5F73}">
      <formula1>$AL$2:$AL$8</formula1>
    </dataValidation>
    <dataValidation type="list" allowBlank="1" showInputMessage="1" showErrorMessage="1" sqref="Y102:AA506 Y2:AA100" xr:uid="{9F11507E-AD6E-48A9-9A8A-45B31DEC0F42}">
      <formula1>$AV$2:$AV$21</formula1>
    </dataValidation>
    <dataValidation type="decimal" allowBlank="1" showInputMessage="1" showErrorMessage="1" error="硬度を正しく入力して下さい。" sqref="O102:P506 O18:P19 P15 P13 O32:P34 O77:P100 O23:P25 O38:P46" xr:uid="{A4B28EA9-F283-4EF8-9294-55519252BD36}">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A8B0-0CBB-44FD-A3D0-5C62387CC3B6}">
  <dimension ref="A1:BA130"/>
  <sheetViews>
    <sheetView zoomScale="70" zoomScaleNormal="70" workbookViewId="0">
      <selection activeCell="K34" sqref="K34"/>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313</v>
      </c>
      <c r="O1" s="56" t="s">
        <v>14</v>
      </c>
      <c r="P1" s="56" t="s">
        <v>15</v>
      </c>
      <c r="Q1" s="3" t="s">
        <v>16</v>
      </c>
      <c r="R1" s="56" t="s">
        <v>17</v>
      </c>
      <c r="S1" s="56" t="s">
        <v>18</v>
      </c>
      <c r="T1" s="3" t="s">
        <v>19</v>
      </c>
      <c r="U1" s="58" t="s">
        <v>314</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315</v>
      </c>
      <c r="E2" s="53" t="s">
        <v>316</v>
      </c>
      <c r="F2" s="53" t="s">
        <v>317</v>
      </c>
      <c r="G2" s="53" t="s">
        <v>36</v>
      </c>
      <c r="H2" s="53" t="s">
        <v>164</v>
      </c>
      <c r="I2" s="53" t="s">
        <v>159</v>
      </c>
      <c r="J2" s="53" t="s">
        <v>38</v>
      </c>
      <c r="K2" s="53" t="s">
        <v>161</v>
      </c>
      <c r="L2" s="53">
        <v>1</v>
      </c>
      <c r="N2" s="53">
        <v>5</v>
      </c>
      <c r="O2" s="53">
        <v>0.53</v>
      </c>
      <c r="P2" s="53">
        <v>0.61</v>
      </c>
      <c r="Q2" s="75">
        <f>IF(OR(O2="",P2=""),"",AVERAGE(O2,P2))</f>
        <v>0.57000000000000006</v>
      </c>
      <c r="R2" s="53">
        <v>13.7</v>
      </c>
      <c r="S2" s="53">
        <v>98</v>
      </c>
      <c r="T2" s="16">
        <f t="shared" ref="T2:T52" si="0">IF(H2="","",IF(OR(H2="GREEN",H2="GK"),IF(S2&gt;=$AX$2,VLOOKUP(S2,$AX$2:$AY$12,2,1),""),IF(S2&gt;=$AZ$2,VLOOKUP(S2,$AZ$2:$BA$12,2,1),"")))</f>
        <v>36</v>
      </c>
      <c r="U2" s="53">
        <v>348</v>
      </c>
      <c r="V2" s="16">
        <f t="shared" ref="V2:V52" si="1">IF(J2="","",IF(OR(J2="GREEN",J2="GK"),IF(U2&gt;=$AX$2,VLOOKUP(U2,$AX$2:$AY$12,2,1),""),IF(U2&gt;=$AZ$2,VLOOKUP(U2,$AZ$2:$BA$12,2,1),"")))</f>
        <v>16</v>
      </c>
      <c r="W2" s="53">
        <v>2</v>
      </c>
      <c r="X2" s="53" t="s">
        <v>46</v>
      </c>
      <c r="Y2" s="53" t="s">
        <v>90</v>
      </c>
      <c r="Z2" s="53" t="s">
        <v>318</v>
      </c>
      <c r="AA2" s="53" t="s">
        <v>84</v>
      </c>
      <c r="AB2" s="53" t="s">
        <v>319</v>
      </c>
      <c r="AE2" s="64" t="s">
        <v>35</v>
      </c>
      <c r="AG2" s="138" t="s">
        <v>320</v>
      </c>
      <c r="AH2" s="139" t="s">
        <v>321</v>
      </c>
      <c r="AJ2" s="67" t="s">
        <v>36</v>
      </c>
      <c r="AL2" s="67" t="s">
        <v>127</v>
      </c>
      <c r="AN2" s="67" t="s">
        <v>322</v>
      </c>
      <c r="AP2" s="67" t="s">
        <v>38</v>
      </c>
      <c r="AR2" s="67" t="s">
        <v>120</v>
      </c>
      <c r="AT2" s="67" t="s">
        <v>39</v>
      </c>
      <c r="AV2" s="23" t="s">
        <v>55</v>
      </c>
      <c r="AX2" s="68">
        <v>1</v>
      </c>
      <c r="AY2" s="69">
        <v>50</v>
      </c>
      <c r="AZ2" s="69">
        <v>1</v>
      </c>
      <c r="BA2" s="70">
        <v>50</v>
      </c>
    </row>
    <row r="3" spans="1:53" x14ac:dyDescent="0.15">
      <c r="A3" s="53" t="s">
        <v>59</v>
      </c>
      <c r="B3" s="53" t="s">
        <v>233</v>
      </c>
      <c r="C3" s="62">
        <v>2019</v>
      </c>
      <c r="D3" s="137" t="s">
        <v>315</v>
      </c>
      <c r="E3" s="53" t="s">
        <v>316</v>
      </c>
      <c r="F3" s="53" t="s">
        <v>317</v>
      </c>
      <c r="G3" s="53" t="s">
        <v>36</v>
      </c>
      <c r="H3" s="53" t="s">
        <v>164</v>
      </c>
      <c r="I3" s="53" t="s">
        <v>159</v>
      </c>
      <c r="J3" s="53" t="s">
        <v>38</v>
      </c>
      <c r="K3" s="53" t="s">
        <v>161</v>
      </c>
      <c r="L3" s="53">
        <v>2</v>
      </c>
      <c r="N3" s="53">
        <v>5</v>
      </c>
      <c r="O3" s="53">
        <v>0.54</v>
      </c>
      <c r="P3" s="53">
        <v>0.46</v>
      </c>
      <c r="Q3" s="75">
        <f t="shared" ref="Q3:Q52" si="2">IF(OR(O3="",P3=""),"",AVERAGE(O3,P3))</f>
        <v>0.5</v>
      </c>
      <c r="R3" s="53">
        <v>15.2</v>
      </c>
      <c r="S3" s="53">
        <v>104</v>
      </c>
      <c r="T3" s="16">
        <f t="shared" si="0"/>
        <v>33</v>
      </c>
      <c r="U3" s="53">
        <v>348</v>
      </c>
      <c r="V3" s="16">
        <f t="shared" si="1"/>
        <v>16</v>
      </c>
      <c r="W3" s="53">
        <v>2</v>
      </c>
      <c r="X3" s="53" t="s">
        <v>46</v>
      </c>
      <c r="Y3" s="53" t="s">
        <v>90</v>
      </c>
      <c r="Z3" s="53" t="s">
        <v>318</v>
      </c>
      <c r="AA3" s="53" t="s">
        <v>84</v>
      </c>
      <c r="AB3" s="53" t="s">
        <v>319</v>
      </c>
      <c r="AE3" s="22" t="s">
        <v>41</v>
      </c>
      <c r="AG3" s="138" t="s">
        <v>323</v>
      </c>
      <c r="AH3" s="139" t="s">
        <v>317</v>
      </c>
      <c r="AJ3" s="23" t="s">
        <v>42</v>
      </c>
      <c r="AL3" s="23" t="s">
        <v>128</v>
      </c>
      <c r="AN3" s="23" t="s">
        <v>43</v>
      </c>
      <c r="AP3" s="23" t="s">
        <v>44</v>
      </c>
      <c r="AR3" s="23" t="s">
        <v>45</v>
      </c>
      <c r="AT3" s="23" t="s">
        <v>46</v>
      </c>
      <c r="AV3" s="23" t="s">
        <v>324</v>
      </c>
      <c r="AX3" s="24">
        <v>72</v>
      </c>
      <c r="AY3" s="25">
        <v>46</v>
      </c>
      <c r="AZ3" s="25">
        <v>71</v>
      </c>
      <c r="BA3" s="26">
        <v>42</v>
      </c>
    </row>
    <row r="4" spans="1:53" x14ac:dyDescent="0.15">
      <c r="A4" s="53" t="s">
        <v>59</v>
      </c>
      <c r="B4" s="53" t="s">
        <v>233</v>
      </c>
      <c r="C4" s="62">
        <v>2019</v>
      </c>
      <c r="D4" s="137" t="s">
        <v>315</v>
      </c>
      <c r="E4" s="53" t="s">
        <v>316</v>
      </c>
      <c r="F4" s="53" t="s">
        <v>317</v>
      </c>
      <c r="G4" s="53" t="s">
        <v>36</v>
      </c>
      <c r="H4" s="53" t="s">
        <v>164</v>
      </c>
      <c r="I4" s="53" t="s">
        <v>325</v>
      </c>
      <c r="J4" s="53" t="s">
        <v>38</v>
      </c>
      <c r="K4" s="53" t="s">
        <v>161</v>
      </c>
      <c r="L4" s="53">
        <v>3</v>
      </c>
      <c r="N4" s="53">
        <v>5</v>
      </c>
      <c r="O4" s="53">
        <v>0.53</v>
      </c>
      <c r="P4" s="53">
        <v>0.5</v>
      </c>
      <c r="Q4" s="75">
        <f t="shared" si="2"/>
        <v>0.51500000000000001</v>
      </c>
      <c r="R4" s="53">
        <v>15.2</v>
      </c>
      <c r="S4" s="53">
        <v>94</v>
      </c>
      <c r="T4" s="16">
        <f t="shared" si="0"/>
        <v>36</v>
      </c>
      <c r="U4" s="53">
        <v>348</v>
      </c>
      <c r="V4" s="16">
        <f t="shared" si="1"/>
        <v>16</v>
      </c>
      <c r="W4" s="53">
        <v>2</v>
      </c>
      <c r="X4" s="53" t="s">
        <v>46</v>
      </c>
      <c r="Y4" s="53" t="s">
        <v>90</v>
      </c>
      <c r="Z4" s="53" t="s">
        <v>318</v>
      </c>
      <c r="AA4" s="53" t="s">
        <v>84</v>
      </c>
      <c r="AB4" s="53" t="s">
        <v>319</v>
      </c>
      <c r="AE4" s="22" t="s">
        <v>34</v>
      </c>
      <c r="AG4" s="138" t="s">
        <v>326</v>
      </c>
      <c r="AH4" s="139" t="s">
        <v>327</v>
      </c>
      <c r="AJ4" s="27" t="s">
        <v>48</v>
      </c>
      <c r="AL4" s="27" t="s">
        <v>129</v>
      </c>
      <c r="AN4" s="28" t="s">
        <v>49</v>
      </c>
      <c r="AP4" s="23" t="s">
        <v>93</v>
      </c>
      <c r="AR4" s="23" t="s">
        <v>328</v>
      </c>
      <c r="AT4" s="28"/>
      <c r="AV4" s="23" t="s">
        <v>308</v>
      </c>
      <c r="AX4" s="24">
        <v>75</v>
      </c>
      <c r="AY4" s="25">
        <v>42</v>
      </c>
      <c r="AZ4" s="25">
        <v>76</v>
      </c>
      <c r="BA4" s="26">
        <v>39</v>
      </c>
    </row>
    <row r="5" spans="1:53" x14ac:dyDescent="0.15">
      <c r="A5" s="53" t="s">
        <v>59</v>
      </c>
      <c r="B5" s="53" t="s">
        <v>233</v>
      </c>
      <c r="C5" s="62">
        <v>2019</v>
      </c>
      <c r="D5" s="137" t="s">
        <v>315</v>
      </c>
      <c r="E5" s="53" t="s">
        <v>320</v>
      </c>
      <c r="F5" s="53" t="s">
        <v>321</v>
      </c>
      <c r="G5" s="53" t="s">
        <v>36</v>
      </c>
      <c r="H5" s="53" t="s">
        <v>164</v>
      </c>
      <c r="I5" s="53" t="s">
        <v>159</v>
      </c>
      <c r="J5" s="53" t="s">
        <v>38</v>
      </c>
      <c r="K5" s="53" t="s">
        <v>161</v>
      </c>
      <c r="L5" s="53">
        <v>1</v>
      </c>
      <c r="N5" s="53">
        <v>4</v>
      </c>
      <c r="O5" s="53">
        <v>0.42</v>
      </c>
      <c r="P5" s="53">
        <v>0.41</v>
      </c>
      <c r="Q5" s="75">
        <f t="shared" si="2"/>
        <v>0.41499999999999998</v>
      </c>
      <c r="R5" s="53">
        <v>13.5</v>
      </c>
      <c r="S5" s="53">
        <v>86</v>
      </c>
      <c r="T5" s="16">
        <f t="shared" si="0"/>
        <v>36</v>
      </c>
      <c r="U5" s="53">
        <v>297</v>
      </c>
      <c r="V5" s="16">
        <f t="shared" si="1"/>
        <v>16</v>
      </c>
      <c r="W5" s="53">
        <v>6</v>
      </c>
      <c r="X5" s="53" t="s">
        <v>46</v>
      </c>
      <c r="Y5" s="53" t="s">
        <v>90</v>
      </c>
      <c r="Z5" s="53" t="s">
        <v>84</v>
      </c>
      <c r="AA5" s="53" t="s">
        <v>318</v>
      </c>
      <c r="AB5" s="53" t="s">
        <v>319</v>
      </c>
      <c r="AE5" s="22" t="s">
        <v>51</v>
      </c>
      <c r="AG5" s="138" t="s">
        <v>329</v>
      </c>
      <c r="AH5" s="139" t="s">
        <v>330</v>
      </c>
      <c r="AJ5" s="28"/>
      <c r="AL5" s="73" t="s">
        <v>66</v>
      </c>
      <c r="AN5" s="73" t="s">
        <v>52</v>
      </c>
      <c r="AP5" s="23" t="s">
        <v>247</v>
      </c>
      <c r="AR5" s="23" t="s">
        <v>54</v>
      </c>
      <c r="AV5" s="23" t="s">
        <v>331</v>
      </c>
      <c r="AX5" s="24">
        <v>84</v>
      </c>
      <c r="AY5" s="25">
        <v>39</v>
      </c>
      <c r="AZ5" s="25">
        <v>84</v>
      </c>
      <c r="BA5" s="26">
        <v>36</v>
      </c>
    </row>
    <row r="6" spans="1:53" x14ac:dyDescent="0.15">
      <c r="A6" s="53" t="s">
        <v>59</v>
      </c>
      <c r="B6" s="53" t="s">
        <v>233</v>
      </c>
      <c r="C6" s="62">
        <v>2019</v>
      </c>
      <c r="D6" s="137" t="s">
        <v>315</v>
      </c>
      <c r="E6" s="53" t="s">
        <v>320</v>
      </c>
      <c r="F6" s="53" t="s">
        <v>321</v>
      </c>
      <c r="G6" s="53" t="s">
        <v>36</v>
      </c>
      <c r="H6" s="53" t="s">
        <v>164</v>
      </c>
      <c r="I6" s="53" t="s">
        <v>159</v>
      </c>
      <c r="J6" s="53" t="s">
        <v>38</v>
      </c>
      <c r="K6" s="53" t="s">
        <v>161</v>
      </c>
      <c r="L6" s="53">
        <v>2</v>
      </c>
      <c r="N6" s="53">
        <v>4</v>
      </c>
      <c r="O6" s="53">
        <v>0.3</v>
      </c>
      <c r="P6" s="53">
        <v>0.28999999999999998</v>
      </c>
      <c r="Q6" s="75">
        <f t="shared" si="2"/>
        <v>0.29499999999999998</v>
      </c>
      <c r="R6" s="53">
        <v>14.5</v>
      </c>
      <c r="S6" s="53">
        <v>90</v>
      </c>
      <c r="T6" s="16">
        <f t="shared" si="0"/>
        <v>36</v>
      </c>
      <c r="U6" s="53">
        <v>297</v>
      </c>
      <c r="V6" s="16">
        <f t="shared" si="1"/>
        <v>16</v>
      </c>
      <c r="W6" s="53">
        <v>6</v>
      </c>
      <c r="X6" s="53" t="s">
        <v>46</v>
      </c>
      <c r="Y6" s="53" t="s">
        <v>90</v>
      </c>
      <c r="Z6" s="53" t="s">
        <v>84</v>
      </c>
      <c r="AA6" s="53" t="s">
        <v>318</v>
      </c>
      <c r="AB6" s="53" t="s">
        <v>319</v>
      </c>
      <c r="AE6" s="22" t="s">
        <v>56</v>
      </c>
      <c r="AG6" s="138" t="s">
        <v>332</v>
      </c>
      <c r="AH6" s="139" t="s">
        <v>333</v>
      </c>
      <c r="AL6" s="73" t="s">
        <v>99</v>
      </c>
      <c r="AN6" s="73" t="s">
        <v>57</v>
      </c>
      <c r="AP6" s="23" t="s">
        <v>53</v>
      </c>
      <c r="AR6" s="23" t="s">
        <v>334</v>
      </c>
      <c r="AV6" s="23" t="s">
        <v>60</v>
      </c>
      <c r="AX6" s="24">
        <v>97</v>
      </c>
      <c r="AY6" s="25">
        <v>36</v>
      </c>
      <c r="AZ6" s="25">
        <v>99</v>
      </c>
      <c r="BA6" s="26">
        <v>33</v>
      </c>
    </row>
    <row r="7" spans="1:53" x14ac:dyDescent="0.15">
      <c r="A7" s="53" t="s">
        <v>59</v>
      </c>
      <c r="B7" s="53" t="s">
        <v>233</v>
      </c>
      <c r="C7" s="62">
        <v>2019</v>
      </c>
      <c r="D7" s="137" t="s">
        <v>315</v>
      </c>
      <c r="E7" s="53" t="s">
        <v>320</v>
      </c>
      <c r="F7" s="53" t="s">
        <v>321</v>
      </c>
      <c r="G7" s="53" t="s">
        <v>36</v>
      </c>
      <c r="H7" s="53" t="s">
        <v>164</v>
      </c>
      <c r="I7" s="53" t="s">
        <v>159</v>
      </c>
      <c r="J7" s="53" t="s">
        <v>38</v>
      </c>
      <c r="K7" s="53" t="s">
        <v>161</v>
      </c>
      <c r="L7" s="53">
        <v>3</v>
      </c>
      <c r="N7" s="53">
        <v>4</v>
      </c>
      <c r="O7" s="53">
        <v>0.43</v>
      </c>
      <c r="P7" s="53">
        <v>0.39</v>
      </c>
      <c r="Q7" s="75">
        <f t="shared" si="2"/>
        <v>0.41000000000000003</v>
      </c>
      <c r="R7" s="53">
        <v>14.6</v>
      </c>
      <c r="S7" s="53">
        <v>100</v>
      </c>
      <c r="T7" s="16">
        <f t="shared" si="0"/>
        <v>33</v>
      </c>
      <c r="U7" s="53">
        <v>297</v>
      </c>
      <c r="V7" s="16">
        <f t="shared" si="1"/>
        <v>16</v>
      </c>
      <c r="W7" s="53">
        <v>6</v>
      </c>
      <c r="X7" s="53" t="s">
        <v>46</v>
      </c>
      <c r="Y7" s="53" t="s">
        <v>90</v>
      </c>
      <c r="Z7" s="53" t="s">
        <v>84</v>
      </c>
      <c r="AA7" s="53" t="s">
        <v>318</v>
      </c>
      <c r="AB7" s="53" t="s">
        <v>319</v>
      </c>
      <c r="AE7" s="22" t="s">
        <v>61</v>
      </c>
      <c r="AG7" s="138" t="s">
        <v>335</v>
      </c>
      <c r="AH7" s="139" t="s">
        <v>336</v>
      </c>
      <c r="AL7" s="34" t="s">
        <v>109</v>
      </c>
      <c r="AP7" s="23" t="s">
        <v>58</v>
      </c>
      <c r="AR7" s="23" t="s">
        <v>337</v>
      </c>
      <c r="AV7" s="23" t="s">
        <v>64</v>
      </c>
      <c r="AX7" s="24">
        <v>109</v>
      </c>
      <c r="AY7" s="25">
        <v>33</v>
      </c>
      <c r="AZ7" s="25">
        <v>113</v>
      </c>
      <c r="BA7" s="26">
        <v>30</v>
      </c>
    </row>
    <row r="8" spans="1:53" x14ac:dyDescent="0.15">
      <c r="A8" s="53" t="s">
        <v>59</v>
      </c>
      <c r="B8" s="53" t="s">
        <v>233</v>
      </c>
      <c r="C8" s="62">
        <v>2019</v>
      </c>
      <c r="D8" s="137" t="s">
        <v>315</v>
      </c>
      <c r="E8" s="53" t="s">
        <v>320</v>
      </c>
      <c r="F8" s="53" t="s">
        <v>321</v>
      </c>
      <c r="G8" s="53" t="s">
        <v>36</v>
      </c>
      <c r="H8" s="53" t="s">
        <v>128</v>
      </c>
      <c r="I8" s="53" t="s">
        <v>159</v>
      </c>
      <c r="J8" s="53" t="s">
        <v>338</v>
      </c>
      <c r="K8" s="53" t="s">
        <v>328</v>
      </c>
      <c r="L8" s="53">
        <v>1</v>
      </c>
      <c r="N8" s="53">
        <v>6</v>
      </c>
      <c r="O8" s="53">
        <v>0.23</v>
      </c>
      <c r="P8" s="53">
        <v>0.22</v>
      </c>
      <c r="Q8" s="75">
        <f t="shared" si="2"/>
        <v>0.22500000000000001</v>
      </c>
      <c r="R8" s="53">
        <v>15.2</v>
      </c>
      <c r="S8" s="53">
        <v>72</v>
      </c>
      <c r="T8" s="16">
        <f t="shared" si="0"/>
        <v>42</v>
      </c>
      <c r="U8" s="53">
        <v>297</v>
      </c>
      <c r="V8" s="16">
        <f t="shared" si="1"/>
        <v>16</v>
      </c>
      <c r="W8" s="53">
        <v>1</v>
      </c>
      <c r="X8" s="53" t="s">
        <v>39</v>
      </c>
      <c r="Y8" s="53" t="s">
        <v>90</v>
      </c>
      <c r="Z8" s="53" t="s">
        <v>84</v>
      </c>
      <c r="AA8" s="53" t="s">
        <v>318</v>
      </c>
      <c r="AB8" s="53" t="s">
        <v>319</v>
      </c>
      <c r="AE8" s="22" t="s">
        <v>59</v>
      </c>
      <c r="AG8" s="140" t="s">
        <v>162</v>
      </c>
      <c r="AH8" s="139" t="s">
        <v>339</v>
      </c>
      <c r="AL8" s="34" t="s">
        <v>134</v>
      </c>
      <c r="AP8" s="23" t="s">
        <v>62</v>
      </c>
      <c r="AR8" s="23" t="s">
        <v>81</v>
      </c>
      <c r="AV8" s="23" t="s">
        <v>97</v>
      </c>
      <c r="AX8" s="24">
        <v>119</v>
      </c>
      <c r="AY8" s="25">
        <v>30</v>
      </c>
      <c r="AZ8" s="25">
        <v>121</v>
      </c>
      <c r="BA8" s="26">
        <v>27</v>
      </c>
    </row>
    <row r="9" spans="1:53" x14ac:dyDescent="0.15">
      <c r="A9" s="53" t="s">
        <v>59</v>
      </c>
      <c r="B9" s="53" t="s">
        <v>233</v>
      </c>
      <c r="C9" s="62">
        <v>2019</v>
      </c>
      <c r="D9" s="137" t="s">
        <v>315</v>
      </c>
      <c r="E9" s="53" t="s">
        <v>320</v>
      </c>
      <c r="F9" s="53" t="s">
        <v>321</v>
      </c>
      <c r="G9" s="53" t="s">
        <v>36</v>
      </c>
      <c r="H9" s="53" t="s">
        <v>128</v>
      </c>
      <c r="I9" s="53" t="s">
        <v>159</v>
      </c>
      <c r="J9" s="53" t="s">
        <v>338</v>
      </c>
      <c r="K9" s="53" t="s">
        <v>328</v>
      </c>
      <c r="L9" s="53">
        <v>2</v>
      </c>
      <c r="N9" s="53">
        <v>6</v>
      </c>
      <c r="O9" s="53">
        <v>0.24</v>
      </c>
      <c r="P9" s="53">
        <v>0.22</v>
      </c>
      <c r="Q9" s="75">
        <f t="shared" si="2"/>
        <v>0.22999999999999998</v>
      </c>
      <c r="R9" s="53">
        <v>15.3</v>
      </c>
      <c r="S9" s="53">
        <v>71</v>
      </c>
      <c r="T9" s="16">
        <f t="shared" si="0"/>
        <v>42</v>
      </c>
      <c r="U9" s="53">
        <v>297</v>
      </c>
      <c r="V9" s="16">
        <f t="shared" si="1"/>
        <v>16</v>
      </c>
      <c r="W9" s="53">
        <v>1</v>
      </c>
      <c r="X9" s="53" t="s">
        <v>39</v>
      </c>
      <c r="Y9" s="53" t="s">
        <v>90</v>
      </c>
      <c r="Z9" s="53" t="s">
        <v>84</v>
      </c>
      <c r="AA9" s="53" t="s">
        <v>318</v>
      </c>
      <c r="AB9" s="53" t="s">
        <v>319</v>
      </c>
      <c r="AE9" s="22" t="s">
        <v>98</v>
      </c>
      <c r="AG9" s="140" t="s">
        <v>340</v>
      </c>
      <c r="AH9" s="139" t="s">
        <v>339</v>
      </c>
      <c r="AL9" s="73"/>
      <c r="AP9" s="23" t="s">
        <v>341</v>
      </c>
      <c r="AR9" s="23" t="s">
        <v>89</v>
      </c>
      <c r="AV9" s="23" t="s">
        <v>102</v>
      </c>
      <c r="AX9" s="24">
        <v>128</v>
      </c>
      <c r="AY9" s="25">
        <v>27</v>
      </c>
      <c r="AZ9" s="25">
        <v>129</v>
      </c>
      <c r="BA9" s="26">
        <v>25</v>
      </c>
    </row>
    <row r="10" spans="1:53" x14ac:dyDescent="0.15">
      <c r="A10" s="53" t="s">
        <v>59</v>
      </c>
      <c r="B10" s="53" t="s">
        <v>233</v>
      </c>
      <c r="C10" s="62">
        <v>2019</v>
      </c>
      <c r="D10" s="137" t="s">
        <v>315</v>
      </c>
      <c r="E10" s="53" t="s">
        <v>320</v>
      </c>
      <c r="F10" s="53" t="s">
        <v>321</v>
      </c>
      <c r="G10" s="53" t="s">
        <v>36</v>
      </c>
      <c r="H10" s="53" t="s">
        <v>128</v>
      </c>
      <c r="I10" s="53" t="s">
        <v>159</v>
      </c>
      <c r="J10" s="53" t="s">
        <v>338</v>
      </c>
      <c r="K10" s="53" t="s">
        <v>328</v>
      </c>
      <c r="L10" s="53">
        <v>3</v>
      </c>
      <c r="N10" s="53">
        <v>6</v>
      </c>
      <c r="O10" s="53">
        <v>0.27</v>
      </c>
      <c r="P10" s="53">
        <v>0.26</v>
      </c>
      <c r="Q10" s="75">
        <f t="shared" si="2"/>
        <v>0.26500000000000001</v>
      </c>
      <c r="R10" s="53">
        <v>15.3</v>
      </c>
      <c r="S10" s="53">
        <v>80</v>
      </c>
      <c r="T10" s="16">
        <f t="shared" si="0"/>
        <v>39</v>
      </c>
      <c r="U10" s="53">
        <v>297</v>
      </c>
      <c r="V10" s="16">
        <f t="shared" si="1"/>
        <v>16</v>
      </c>
      <c r="W10" s="53">
        <v>1</v>
      </c>
      <c r="X10" s="53" t="s">
        <v>39</v>
      </c>
      <c r="Y10" s="53" t="s">
        <v>90</v>
      </c>
      <c r="Z10" s="53" t="s">
        <v>84</v>
      </c>
      <c r="AA10" s="53" t="s">
        <v>318</v>
      </c>
      <c r="AB10" s="53" t="s">
        <v>319</v>
      </c>
      <c r="AE10" s="22" t="s">
        <v>103</v>
      </c>
      <c r="AG10" s="138" t="s">
        <v>342</v>
      </c>
      <c r="AH10" s="139" t="s">
        <v>330</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315</v>
      </c>
      <c r="E11" s="53" t="s">
        <v>329</v>
      </c>
      <c r="F11" s="53" t="s">
        <v>330</v>
      </c>
      <c r="G11" s="53" t="s">
        <v>36</v>
      </c>
      <c r="H11" s="53" t="s">
        <v>164</v>
      </c>
      <c r="I11" s="53" t="s">
        <v>159</v>
      </c>
      <c r="J11" s="53" t="s">
        <v>38</v>
      </c>
      <c r="K11" s="53" t="s">
        <v>161</v>
      </c>
      <c r="L11" s="53">
        <v>1</v>
      </c>
      <c r="N11" s="53">
        <v>4</v>
      </c>
      <c r="O11" s="53">
        <v>0.39</v>
      </c>
      <c r="P11" s="53">
        <v>0.36</v>
      </c>
      <c r="Q11" s="75">
        <f t="shared" si="2"/>
        <v>0.375</v>
      </c>
      <c r="R11" s="53">
        <v>14.3</v>
      </c>
      <c r="S11" s="53">
        <v>96</v>
      </c>
      <c r="T11" s="16">
        <f t="shared" si="0"/>
        <v>36</v>
      </c>
      <c r="U11" s="53">
        <v>399</v>
      </c>
      <c r="V11" s="16">
        <f t="shared" si="1"/>
        <v>16</v>
      </c>
      <c r="W11" s="53">
        <v>6</v>
      </c>
      <c r="X11" s="53" t="s">
        <v>39</v>
      </c>
      <c r="Y11" s="53" t="s">
        <v>84</v>
      </c>
      <c r="Z11" s="53" t="s">
        <v>90</v>
      </c>
      <c r="AA11" s="53" t="s">
        <v>47</v>
      </c>
      <c r="AB11" s="53" t="s">
        <v>319</v>
      </c>
      <c r="AE11" s="22" t="s">
        <v>65</v>
      </c>
      <c r="AG11" s="140" t="s">
        <v>343</v>
      </c>
      <c r="AH11" s="139" t="s">
        <v>344</v>
      </c>
      <c r="AL11" s="83"/>
      <c r="AP11" s="23" t="s">
        <v>345</v>
      </c>
      <c r="AR11" s="23" t="s">
        <v>346</v>
      </c>
      <c r="AV11" s="23" t="s">
        <v>347</v>
      </c>
      <c r="AX11" s="24">
        <v>151</v>
      </c>
      <c r="AY11" s="25">
        <v>22</v>
      </c>
      <c r="AZ11" s="25">
        <v>152</v>
      </c>
      <c r="BA11" s="26">
        <v>18</v>
      </c>
    </row>
    <row r="12" spans="1:53" x14ac:dyDescent="0.15">
      <c r="A12" s="53" t="s">
        <v>59</v>
      </c>
      <c r="B12" s="53" t="s">
        <v>233</v>
      </c>
      <c r="C12" s="62">
        <v>2019</v>
      </c>
      <c r="D12" s="137" t="s">
        <v>315</v>
      </c>
      <c r="E12" s="53" t="s">
        <v>329</v>
      </c>
      <c r="F12" s="53" t="s">
        <v>330</v>
      </c>
      <c r="G12" s="53" t="s">
        <v>36</v>
      </c>
      <c r="H12" s="53" t="s">
        <v>164</v>
      </c>
      <c r="I12" s="53" t="s">
        <v>159</v>
      </c>
      <c r="J12" s="53" t="s">
        <v>38</v>
      </c>
      <c r="K12" s="53" t="s">
        <v>161</v>
      </c>
      <c r="L12" s="53">
        <v>2</v>
      </c>
      <c r="N12" s="53">
        <v>4</v>
      </c>
      <c r="O12" s="53">
        <v>0.57999999999999996</v>
      </c>
      <c r="P12" s="53">
        <v>0.64</v>
      </c>
      <c r="Q12" s="75">
        <f t="shared" si="2"/>
        <v>0.61</v>
      </c>
      <c r="R12" s="53">
        <v>13</v>
      </c>
      <c r="S12" s="53">
        <v>104</v>
      </c>
      <c r="T12" s="16">
        <f t="shared" si="0"/>
        <v>33</v>
      </c>
      <c r="U12" s="53">
        <v>399</v>
      </c>
      <c r="V12" s="16">
        <f t="shared" si="1"/>
        <v>16</v>
      </c>
      <c r="W12" s="53">
        <v>6</v>
      </c>
      <c r="X12" s="53" t="s">
        <v>39</v>
      </c>
      <c r="Y12" s="53" t="s">
        <v>84</v>
      </c>
      <c r="Z12" s="53" t="s">
        <v>90</v>
      </c>
      <c r="AA12" s="53" t="s">
        <v>47</v>
      </c>
      <c r="AB12" s="53" t="s">
        <v>319</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315</v>
      </c>
      <c r="E13" s="53" t="s">
        <v>329</v>
      </c>
      <c r="F13" s="53" t="s">
        <v>330</v>
      </c>
      <c r="G13" s="53" t="s">
        <v>36</v>
      </c>
      <c r="H13" s="53" t="s">
        <v>164</v>
      </c>
      <c r="I13" s="53" t="s">
        <v>159</v>
      </c>
      <c r="J13" s="53" t="s">
        <v>38</v>
      </c>
      <c r="K13" s="53" t="s">
        <v>161</v>
      </c>
      <c r="L13" s="53">
        <v>3</v>
      </c>
      <c r="N13" s="53">
        <v>4</v>
      </c>
      <c r="O13" s="53">
        <v>0.54</v>
      </c>
      <c r="P13" s="53">
        <v>0.61</v>
      </c>
      <c r="Q13" s="75">
        <f t="shared" si="2"/>
        <v>0.57499999999999996</v>
      </c>
      <c r="R13" s="53">
        <v>13.3</v>
      </c>
      <c r="S13" s="53">
        <v>95</v>
      </c>
      <c r="T13" s="16">
        <f t="shared" si="0"/>
        <v>36</v>
      </c>
      <c r="U13" s="53">
        <v>399</v>
      </c>
      <c r="V13" s="16">
        <f t="shared" si="1"/>
        <v>16</v>
      </c>
      <c r="W13" s="53">
        <v>6</v>
      </c>
      <c r="X13" s="53" t="s">
        <v>39</v>
      </c>
      <c r="Y13" s="53" t="s">
        <v>84</v>
      </c>
      <c r="Z13" s="53" t="s">
        <v>90</v>
      </c>
      <c r="AA13" s="53" t="s">
        <v>47</v>
      </c>
      <c r="AB13" s="53" t="s">
        <v>319</v>
      </c>
      <c r="AE13" s="22" t="s">
        <v>73</v>
      </c>
      <c r="AG13" s="23"/>
      <c r="AH13" s="23"/>
      <c r="AP13" s="23" t="s">
        <v>71</v>
      </c>
      <c r="AR13" s="23" t="s">
        <v>103</v>
      </c>
      <c r="AV13" s="23" t="s">
        <v>75</v>
      </c>
    </row>
    <row r="14" spans="1:53" x14ac:dyDescent="0.15">
      <c r="A14" s="53" t="s">
        <v>59</v>
      </c>
      <c r="B14" s="53" t="s">
        <v>233</v>
      </c>
      <c r="C14" s="62">
        <v>2019</v>
      </c>
      <c r="D14" s="137" t="s">
        <v>315</v>
      </c>
      <c r="E14" s="53" t="s">
        <v>329</v>
      </c>
      <c r="F14" s="53" t="s">
        <v>330</v>
      </c>
      <c r="G14" s="53" t="s">
        <v>36</v>
      </c>
      <c r="H14" s="53" t="s">
        <v>128</v>
      </c>
      <c r="I14" s="53" t="s">
        <v>159</v>
      </c>
      <c r="J14" s="53" t="s">
        <v>80</v>
      </c>
      <c r="K14" s="53" t="s">
        <v>328</v>
      </c>
      <c r="L14" s="53">
        <v>1</v>
      </c>
      <c r="N14" s="53">
        <v>3</v>
      </c>
      <c r="O14" s="53">
        <v>0.45</v>
      </c>
      <c r="P14" s="53">
        <v>0.46</v>
      </c>
      <c r="Q14" s="75">
        <f t="shared" si="2"/>
        <v>0.45500000000000002</v>
      </c>
      <c r="R14" s="53">
        <v>14.6</v>
      </c>
      <c r="S14" s="53">
        <v>109</v>
      </c>
      <c r="T14" s="16">
        <f t="shared" si="0"/>
        <v>33</v>
      </c>
      <c r="U14" s="53">
        <v>399</v>
      </c>
      <c r="V14" s="16">
        <f t="shared" si="1"/>
        <v>16</v>
      </c>
      <c r="W14" s="53">
        <v>1</v>
      </c>
      <c r="X14" s="53" t="s">
        <v>39</v>
      </c>
      <c r="Y14" s="53" t="s">
        <v>84</v>
      </c>
      <c r="Z14" s="53" t="s">
        <v>90</v>
      </c>
      <c r="AA14" s="53" t="s">
        <v>47</v>
      </c>
      <c r="AB14" s="53" t="s">
        <v>319</v>
      </c>
      <c r="AE14" s="22" t="s">
        <v>76</v>
      </c>
      <c r="AG14" s="23"/>
      <c r="AH14" s="23"/>
      <c r="AP14" s="23" t="s">
        <v>348</v>
      </c>
      <c r="AR14" s="23" t="s">
        <v>125</v>
      </c>
      <c r="AV14" s="23" t="s">
        <v>78</v>
      </c>
    </row>
    <row r="15" spans="1:53" x14ac:dyDescent="0.15">
      <c r="A15" s="53" t="s">
        <v>59</v>
      </c>
      <c r="B15" s="53" t="s">
        <v>233</v>
      </c>
      <c r="C15" s="62">
        <v>2019</v>
      </c>
      <c r="D15" s="137" t="s">
        <v>315</v>
      </c>
      <c r="E15" s="53" t="s">
        <v>329</v>
      </c>
      <c r="F15" s="53" t="s">
        <v>330</v>
      </c>
      <c r="G15" s="53" t="s">
        <v>36</v>
      </c>
      <c r="H15" s="53" t="s">
        <v>128</v>
      </c>
      <c r="I15" s="53" t="s">
        <v>159</v>
      </c>
      <c r="J15" s="53" t="s">
        <v>80</v>
      </c>
      <c r="K15" s="53" t="s">
        <v>328</v>
      </c>
      <c r="L15" s="53">
        <v>2</v>
      </c>
      <c r="N15" s="53">
        <v>3</v>
      </c>
      <c r="O15" s="53">
        <v>0.68</v>
      </c>
      <c r="P15" s="53">
        <v>0.63</v>
      </c>
      <c r="Q15" s="75">
        <f t="shared" si="2"/>
        <v>0.65500000000000003</v>
      </c>
      <c r="R15" s="53">
        <v>13.6</v>
      </c>
      <c r="S15" s="53">
        <v>102</v>
      </c>
      <c r="T15" s="16">
        <f t="shared" si="0"/>
        <v>33</v>
      </c>
      <c r="U15" s="53">
        <v>399</v>
      </c>
      <c r="V15" s="16">
        <f t="shared" si="1"/>
        <v>16</v>
      </c>
      <c r="W15" s="53">
        <v>1</v>
      </c>
      <c r="X15" s="53" t="s">
        <v>39</v>
      </c>
      <c r="Y15" s="53" t="s">
        <v>84</v>
      </c>
      <c r="Z15" s="53" t="s">
        <v>90</v>
      </c>
      <c r="AA15" s="53" t="s">
        <v>47</v>
      </c>
      <c r="AB15" s="53" t="s">
        <v>319</v>
      </c>
      <c r="AE15" s="22" t="s">
        <v>79</v>
      </c>
      <c r="AG15" s="23"/>
      <c r="AH15" s="23"/>
      <c r="AP15" s="23" t="s">
        <v>349</v>
      </c>
      <c r="AR15" s="23" t="s">
        <v>94</v>
      </c>
      <c r="AV15" s="23" t="s">
        <v>107</v>
      </c>
    </row>
    <row r="16" spans="1:53" x14ac:dyDescent="0.15">
      <c r="A16" s="53" t="s">
        <v>59</v>
      </c>
      <c r="B16" s="53" t="s">
        <v>233</v>
      </c>
      <c r="C16" s="62">
        <v>2019</v>
      </c>
      <c r="D16" s="137" t="s">
        <v>315</v>
      </c>
      <c r="E16" s="53" t="s">
        <v>329</v>
      </c>
      <c r="F16" s="53" t="s">
        <v>330</v>
      </c>
      <c r="G16" s="53" t="s">
        <v>36</v>
      </c>
      <c r="H16" s="53" t="s">
        <v>128</v>
      </c>
      <c r="I16" s="53" t="s">
        <v>159</v>
      </c>
      <c r="J16" s="53" t="s">
        <v>80</v>
      </c>
      <c r="K16" s="53" t="s">
        <v>328</v>
      </c>
      <c r="L16" s="53">
        <v>3</v>
      </c>
      <c r="N16" s="53">
        <v>3</v>
      </c>
      <c r="O16" s="53">
        <v>0.52</v>
      </c>
      <c r="P16" s="53">
        <v>0.48</v>
      </c>
      <c r="Q16" s="75">
        <f t="shared" si="2"/>
        <v>0.5</v>
      </c>
      <c r="R16" s="53">
        <v>14.2</v>
      </c>
      <c r="S16" s="53">
        <v>117</v>
      </c>
      <c r="T16" s="16">
        <f t="shared" si="0"/>
        <v>30</v>
      </c>
      <c r="U16" s="53">
        <v>399</v>
      </c>
      <c r="V16" s="16">
        <f t="shared" si="1"/>
        <v>16</v>
      </c>
      <c r="W16" s="53">
        <v>1</v>
      </c>
      <c r="X16" s="53" t="s">
        <v>39</v>
      </c>
      <c r="Y16" s="53" t="s">
        <v>84</v>
      </c>
      <c r="Z16" s="53" t="s">
        <v>90</v>
      </c>
      <c r="AA16" s="53" t="s">
        <v>47</v>
      </c>
      <c r="AB16" s="53" t="s">
        <v>319</v>
      </c>
      <c r="AE16" s="22" t="s">
        <v>82</v>
      </c>
      <c r="AG16" s="28"/>
      <c r="AH16" s="28"/>
      <c r="AP16" s="23" t="s">
        <v>80</v>
      </c>
      <c r="AR16" s="23" t="s">
        <v>63</v>
      </c>
      <c r="AV16" s="23" t="s">
        <v>84</v>
      </c>
    </row>
    <row r="17" spans="1:48" x14ac:dyDescent="0.15">
      <c r="A17" s="53" t="s">
        <v>59</v>
      </c>
      <c r="B17" s="53" t="s">
        <v>233</v>
      </c>
      <c r="C17" s="62">
        <v>2019</v>
      </c>
      <c r="D17" s="137" t="s">
        <v>315</v>
      </c>
      <c r="E17" s="53" t="s">
        <v>342</v>
      </c>
      <c r="F17" s="53" t="s">
        <v>330</v>
      </c>
      <c r="G17" s="53" t="s">
        <v>36</v>
      </c>
      <c r="H17" s="53" t="s">
        <v>164</v>
      </c>
      <c r="I17" s="53" t="s">
        <v>159</v>
      </c>
      <c r="J17" s="53" t="s">
        <v>38</v>
      </c>
      <c r="K17" s="53" t="s">
        <v>161</v>
      </c>
      <c r="L17" s="53">
        <v>1</v>
      </c>
      <c r="N17" s="53">
        <v>4</v>
      </c>
      <c r="O17" s="53">
        <v>0.36</v>
      </c>
      <c r="P17" s="53">
        <v>0.32</v>
      </c>
      <c r="Q17" s="75">
        <f t="shared" si="2"/>
        <v>0.33999999999999997</v>
      </c>
      <c r="R17" s="53">
        <v>16</v>
      </c>
      <c r="S17" s="53">
        <v>96</v>
      </c>
      <c r="T17" s="16">
        <f t="shared" si="0"/>
        <v>36</v>
      </c>
      <c r="U17" s="53">
        <v>429</v>
      </c>
      <c r="V17" s="16">
        <f t="shared" si="1"/>
        <v>16</v>
      </c>
      <c r="W17" s="53">
        <v>2</v>
      </c>
      <c r="X17" s="53" t="s">
        <v>46</v>
      </c>
      <c r="Y17" s="53" t="s">
        <v>84</v>
      </c>
      <c r="Z17" s="53" t="s">
        <v>90</v>
      </c>
      <c r="AA17" s="53" t="s">
        <v>78</v>
      </c>
      <c r="AB17" s="53" t="s">
        <v>319</v>
      </c>
      <c r="AE17" s="22" t="s">
        <v>85</v>
      </c>
      <c r="AP17" s="27" t="s">
        <v>110</v>
      </c>
      <c r="AR17" s="23" t="s">
        <v>96</v>
      </c>
      <c r="AV17" s="23" t="s">
        <v>86</v>
      </c>
    </row>
    <row r="18" spans="1:48" x14ac:dyDescent="0.15">
      <c r="A18" s="53" t="s">
        <v>59</v>
      </c>
      <c r="B18" s="53" t="s">
        <v>233</v>
      </c>
      <c r="C18" s="62">
        <v>2019</v>
      </c>
      <c r="D18" s="137" t="s">
        <v>315</v>
      </c>
      <c r="E18" s="53" t="s">
        <v>342</v>
      </c>
      <c r="F18" s="53" t="s">
        <v>330</v>
      </c>
      <c r="G18" s="53" t="s">
        <v>36</v>
      </c>
      <c r="H18" s="53" t="s">
        <v>164</v>
      </c>
      <c r="I18" s="53" t="s">
        <v>159</v>
      </c>
      <c r="J18" s="53" t="s">
        <v>38</v>
      </c>
      <c r="K18" s="53" t="s">
        <v>161</v>
      </c>
      <c r="L18" s="53">
        <v>2</v>
      </c>
      <c r="N18" s="53">
        <v>4</v>
      </c>
      <c r="O18" s="53">
        <v>0.56000000000000005</v>
      </c>
      <c r="P18" s="53">
        <v>0.59</v>
      </c>
      <c r="Q18" s="75">
        <f t="shared" si="2"/>
        <v>0.57499999999999996</v>
      </c>
      <c r="R18" s="53">
        <v>15.3</v>
      </c>
      <c r="S18" s="53">
        <v>99</v>
      </c>
      <c r="T18" s="16">
        <f t="shared" si="0"/>
        <v>33</v>
      </c>
      <c r="U18" s="53">
        <v>429</v>
      </c>
      <c r="V18" s="16">
        <f t="shared" si="1"/>
        <v>16</v>
      </c>
      <c r="W18" s="53">
        <v>2</v>
      </c>
      <c r="X18" s="53" t="s">
        <v>46</v>
      </c>
      <c r="Y18" s="53" t="s">
        <v>84</v>
      </c>
      <c r="Z18" s="53" t="s">
        <v>90</v>
      </c>
      <c r="AA18" s="53" t="s">
        <v>78</v>
      </c>
      <c r="AB18" s="53" t="s">
        <v>319</v>
      </c>
      <c r="AE18" s="22" t="s">
        <v>87</v>
      </c>
      <c r="AP18" s="27" t="s">
        <v>338</v>
      </c>
      <c r="AR18" s="23" t="s">
        <v>101</v>
      </c>
      <c r="AV18" s="23" t="s">
        <v>88</v>
      </c>
    </row>
    <row r="19" spans="1:48" x14ac:dyDescent="0.15">
      <c r="A19" s="53" t="s">
        <v>59</v>
      </c>
      <c r="B19" s="53" t="s">
        <v>233</v>
      </c>
      <c r="C19" s="62">
        <v>2019</v>
      </c>
      <c r="D19" s="137" t="s">
        <v>315</v>
      </c>
      <c r="E19" s="53" t="s">
        <v>342</v>
      </c>
      <c r="F19" s="53" t="s">
        <v>330</v>
      </c>
      <c r="G19" s="53" t="s">
        <v>36</v>
      </c>
      <c r="H19" s="53" t="s">
        <v>164</v>
      </c>
      <c r="I19" s="53" t="s">
        <v>159</v>
      </c>
      <c r="J19" s="53" t="s">
        <v>38</v>
      </c>
      <c r="K19" s="53" t="s">
        <v>161</v>
      </c>
      <c r="L19" s="53">
        <v>3</v>
      </c>
      <c r="N19" s="53">
        <v>4</v>
      </c>
      <c r="O19" s="53">
        <v>0.51</v>
      </c>
      <c r="P19" s="53">
        <v>0.55000000000000004</v>
      </c>
      <c r="Q19" s="75">
        <f t="shared" si="2"/>
        <v>0.53</v>
      </c>
      <c r="R19" s="53">
        <v>15.8</v>
      </c>
      <c r="S19" s="53">
        <v>98</v>
      </c>
      <c r="T19" s="16">
        <f t="shared" si="0"/>
        <v>36</v>
      </c>
      <c r="U19" s="53">
        <v>429</v>
      </c>
      <c r="V19" s="16">
        <f t="shared" si="1"/>
        <v>16</v>
      </c>
      <c r="W19" s="53">
        <v>2</v>
      </c>
      <c r="X19" s="53" t="s">
        <v>46</v>
      </c>
      <c r="Y19" s="53" t="s">
        <v>84</v>
      </c>
      <c r="Z19" s="53" t="s">
        <v>90</v>
      </c>
      <c r="AA19" s="53" t="s">
        <v>78</v>
      </c>
      <c r="AB19" s="53" t="s">
        <v>319</v>
      </c>
      <c r="AE19" s="35" t="s">
        <v>89</v>
      </c>
      <c r="AP19" s="27" t="s">
        <v>112</v>
      </c>
      <c r="AR19" s="23" t="s">
        <v>126</v>
      </c>
      <c r="AV19" s="23" t="s">
        <v>318</v>
      </c>
    </row>
    <row r="20" spans="1:48" x14ac:dyDescent="0.15">
      <c r="A20" s="53" t="s">
        <v>59</v>
      </c>
      <c r="B20" s="53" t="s">
        <v>233</v>
      </c>
      <c r="C20" s="62">
        <v>2019</v>
      </c>
      <c r="D20" s="137" t="s">
        <v>350</v>
      </c>
      <c r="E20" s="53" t="s">
        <v>340</v>
      </c>
      <c r="F20" s="53" t="s">
        <v>339</v>
      </c>
      <c r="G20" s="53" t="s">
        <v>36</v>
      </c>
      <c r="H20" s="53" t="s">
        <v>164</v>
      </c>
      <c r="I20" s="53" t="s">
        <v>159</v>
      </c>
      <c r="J20" s="53" t="s">
        <v>38</v>
      </c>
      <c r="K20" s="53" t="s">
        <v>161</v>
      </c>
      <c r="L20" s="53">
        <v>1</v>
      </c>
      <c r="N20" s="53">
        <v>1</v>
      </c>
      <c r="O20" s="53">
        <v>0.51</v>
      </c>
      <c r="P20" s="53">
        <v>0.47</v>
      </c>
      <c r="Q20" s="75">
        <f t="shared" si="2"/>
        <v>0.49</v>
      </c>
      <c r="R20" s="53">
        <v>16.100000000000001</v>
      </c>
      <c r="S20" s="53">
        <v>135</v>
      </c>
      <c r="T20" s="16">
        <f t="shared" si="0"/>
        <v>25</v>
      </c>
      <c r="U20" s="53">
        <v>138</v>
      </c>
      <c r="V20" s="16">
        <f t="shared" si="1"/>
        <v>22</v>
      </c>
      <c r="W20" s="53">
        <v>4</v>
      </c>
      <c r="X20" s="53" t="s">
        <v>39</v>
      </c>
      <c r="Y20" s="53" t="s">
        <v>84</v>
      </c>
      <c r="Z20" s="53" t="s">
        <v>90</v>
      </c>
      <c r="AA20" s="53" t="s">
        <v>318</v>
      </c>
      <c r="AB20" s="53" t="s">
        <v>319</v>
      </c>
      <c r="AE20" s="35"/>
      <c r="AP20" s="27" t="s">
        <v>113</v>
      </c>
      <c r="AR20" s="23" t="s">
        <v>105</v>
      </c>
      <c r="AV20" s="27" t="s">
        <v>135</v>
      </c>
    </row>
    <row r="21" spans="1:48" x14ac:dyDescent="0.15">
      <c r="A21" s="53" t="s">
        <v>59</v>
      </c>
      <c r="B21" s="53" t="s">
        <v>233</v>
      </c>
      <c r="C21" s="62">
        <v>2019</v>
      </c>
      <c r="D21" s="137" t="s">
        <v>350</v>
      </c>
      <c r="E21" s="53" t="s">
        <v>340</v>
      </c>
      <c r="F21" s="53" t="s">
        <v>339</v>
      </c>
      <c r="G21" s="53" t="s">
        <v>36</v>
      </c>
      <c r="H21" s="53" t="s">
        <v>164</v>
      </c>
      <c r="I21" s="53" t="s">
        <v>159</v>
      </c>
      <c r="J21" s="53" t="s">
        <v>38</v>
      </c>
      <c r="K21" s="53" t="s">
        <v>161</v>
      </c>
      <c r="L21" s="53">
        <v>2</v>
      </c>
      <c r="N21" s="53">
        <v>1</v>
      </c>
      <c r="O21" s="53">
        <v>0.49</v>
      </c>
      <c r="P21" s="53">
        <v>0.55000000000000004</v>
      </c>
      <c r="Q21" s="75">
        <f t="shared" si="2"/>
        <v>0.52</v>
      </c>
      <c r="R21" s="53">
        <v>15.9</v>
      </c>
      <c r="S21" s="53">
        <v>129</v>
      </c>
      <c r="T21" s="16">
        <f t="shared" si="0"/>
        <v>25</v>
      </c>
      <c r="U21" s="53">
        <v>138</v>
      </c>
      <c r="V21" s="16">
        <f t="shared" si="1"/>
        <v>22</v>
      </c>
      <c r="W21" s="53">
        <v>4</v>
      </c>
      <c r="X21" s="53" t="s">
        <v>39</v>
      </c>
      <c r="Y21" s="53" t="s">
        <v>84</v>
      </c>
      <c r="Z21" s="53" t="s">
        <v>90</v>
      </c>
      <c r="AA21" s="53" t="s">
        <v>318</v>
      </c>
      <c r="AB21" s="53" t="s">
        <v>319</v>
      </c>
      <c r="AE21" s="28"/>
      <c r="AP21" s="27" t="s">
        <v>351</v>
      </c>
      <c r="AR21" s="23" t="s">
        <v>68</v>
      </c>
      <c r="AV21" s="27" t="s">
        <v>136</v>
      </c>
    </row>
    <row r="22" spans="1:48" x14ac:dyDescent="0.15">
      <c r="A22" s="53" t="s">
        <v>59</v>
      </c>
      <c r="B22" s="53" t="s">
        <v>233</v>
      </c>
      <c r="C22" s="62">
        <v>2019</v>
      </c>
      <c r="D22" s="137" t="s">
        <v>350</v>
      </c>
      <c r="E22" s="53" t="s">
        <v>340</v>
      </c>
      <c r="F22" s="53" t="s">
        <v>339</v>
      </c>
      <c r="G22" s="53" t="s">
        <v>36</v>
      </c>
      <c r="H22" s="53" t="s">
        <v>164</v>
      </c>
      <c r="I22" s="53" t="s">
        <v>159</v>
      </c>
      <c r="J22" s="53" t="s">
        <v>38</v>
      </c>
      <c r="K22" s="53" t="s">
        <v>161</v>
      </c>
      <c r="L22" s="53">
        <v>3</v>
      </c>
      <c r="N22" s="53">
        <v>1</v>
      </c>
      <c r="O22" s="53">
        <v>0.62</v>
      </c>
      <c r="P22" s="53">
        <v>0.56000000000000005</v>
      </c>
      <c r="Q22" s="75">
        <f t="shared" si="2"/>
        <v>0.59000000000000008</v>
      </c>
      <c r="R22" s="53">
        <v>15.4</v>
      </c>
      <c r="S22" s="53">
        <v>134</v>
      </c>
      <c r="T22" s="16">
        <f t="shared" si="0"/>
        <v>25</v>
      </c>
      <c r="U22" s="53">
        <v>138</v>
      </c>
      <c r="V22" s="16">
        <f t="shared" si="1"/>
        <v>22</v>
      </c>
      <c r="W22" s="53">
        <v>4</v>
      </c>
      <c r="X22" s="53" t="s">
        <v>39</v>
      </c>
      <c r="Y22" s="53" t="s">
        <v>84</v>
      </c>
      <c r="Z22" s="53" t="s">
        <v>90</v>
      </c>
      <c r="AA22" s="53" t="s">
        <v>318</v>
      </c>
      <c r="AB22" s="53" t="s">
        <v>319</v>
      </c>
      <c r="AP22" s="27" t="s">
        <v>352</v>
      </c>
      <c r="AR22" s="23" t="s">
        <v>83</v>
      </c>
      <c r="AV22" s="27" t="s">
        <v>353</v>
      </c>
    </row>
    <row r="23" spans="1:48" x14ac:dyDescent="0.15">
      <c r="A23" s="53" t="s">
        <v>59</v>
      </c>
      <c r="B23" s="53" t="s">
        <v>233</v>
      </c>
      <c r="C23" s="62">
        <v>2019</v>
      </c>
      <c r="D23" s="137" t="s">
        <v>315</v>
      </c>
      <c r="E23" s="53" t="s">
        <v>162</v>
      </c>
      <c r="F23" s="53" t="s">
        <v>339</v>
      </c>
      <c r="G23" s="53" t="s">
        <v>36</v>
      </c>
      <c r="H23" s="53" t="s">
        <v>164</v>
      </c>
      <c r="I23" s="53" t="s">
        <v>159</v>
      </c>
      <c r="J23" s="53" t="s">
        <v>38</v>
      </c>
      <c r="K23" s="53" t="s">
        <v>161</v>
      </c>
      <c r="L23" s="53">
        <v>1</v>
      </c>
      <c r="N23" s="53">
        <v>4</v>
      </c>
      <c r="O23" s="53">
        <v>0.24</v>
      </c>
      <c r="P23" s="53">
        <v>0.26</v>
      </c>
      <c r="Q23" s="75">
        <f t="shared" si="2"/>
        <v>0.25</v>
      </c>
      <c r="R23" s="53">
        <v>15.8</v>
      </c>
      <c r="S23" s="53">
        <v>104</v>
      </c>
      <c r="T23" s="16">
        <f t="shared" si="0"/>
        <v>33</v>
      </c>
      <c r="U23" s="53">
        <v>398</v>
      </c>
      <c r="V23" s="16">
        <f t="shared" si="1"/>
        <v>16</v>
      </c>
      <c r="W23" s="53">
        <v>4</v>
      </c>
      <c r="X23" s="53" t="s">
        <v>46</v>
      </c>
      <c r="Y23" s="53" t="s">
        <v>84</v>
      </c>
      <c r="Z23" s="53" t="s">
        <v>90</v>
      </c>
      <c r="AA23" s="53" t="s">
        <v>318</v>
      </c>
      <c r="AB23" s="53" t="s">
        <v>319</v>
      </c>
      <c r="AP23" s="27" t="s">
        <v>137</v>
      </c>
      <c r="AR23" s="23" t="s">
        <v>61</v>
      </c>
      <c r="AV23" s="27" t="s">
        <v>354</v>
      </c>
    </row>
    <row r="24" spans="1:48" x14ac:dyDescent="0.15">
      <c r="A24" s="53" t="s">
        <v>59</v>
      </c>
      <c r="B24" s="53" t="s">
        <v>233</v>
      </c>
      <c r="C24" s="62">
        <v>2019</v>
      </c>
      <c r="D24" s="137" t="s">
        <v>315</v>
      </c>
      <c r="E24" s="53" t="s">
        <v>162</v>
      </c>
      <c r="F24" s="53" t="s">
        <v>339</v>
      </c>
      <c r="G24" s="53" t="s">
        <v>36</v>
      </c>
      <c r="H24" s="53" t="s">
        <v>164</v>
      </c>
      <c r="I24" s="53" t="s">
        <v>159</v>
      </c>
      <c r="J24" s="53" t="s">
        <v>38</v>
      </c>
      <c r="K24" s="53" t="s">
        <v>161</v>
      </c>
      <c r="L24" s="53">
        <v>2</v>
      </c>
      <c r="N24" s="53">
        <v>4</v>
      </c>
      <c r="O24" s="53">
        <v>0.37</v>
      </c>
      <c r="P24" s="53">
        <v>0.35</v>
      </c>
      <c r="Q24" s="75">
        <f t="shared" si="2"/>
        <v>0.36</v>
      </c>
      <c r="R24" s="53">
        <v>14.2</v>
      </c>
      <c r="S24" s="53">
        <v>94</v>
      </c>
      <c r="T24" s="16">
        <f t="shared" si="0"/>
        <v>36</v>
      </c>
      <c r="U24" s="53">
        <v>398</v>
      </c>
      <c r="V24" s="16">
        <f t="shared" si="1"/>
        <v>16</v>
      </c>
      <c r="W24" s="53">
        <v>4</v>
      </c>
      <c r="X24" s="53" t="s">
        <v>46</v>
      </c>
      <c r="Y24" s="53" t="s">
        <v>84</v>
      </c>
      <c r="Z24" s="53" t="s">
        <v>90</v>
      </c>
      <c r="AA24" s="53" t="s">
        <v>318</v>
      </c>
      <c r="AB24" s="53" t="s">
        <v>319</v>
      </c>
      <c r="AP24" s="27" t="s">
        <v>138</v>
      </c>
      <c r="AR24" s="23" t="s">
        <v>91</v>
      </c>
      <c r="AV24" s="27" t="s">
        <v>355</v>
      </c>
    </row>
    <row r="25" spans="1:48" x14ac:dyDescent="0.15">
      <c r="A25" s="53" t="s">
        <v>59</v>
      </c>
      <c r="B25" s="53" t="s">
        <v>233</v>
      </c>
      <c r="C25" s="62">
        <v>2019</v>
      </c>
      <c r="D25" s="137" t="s">
        <v>315</v>
      </c>
      <c r="E25" s="53" t="s">
        <v>162</v>
      </c>
      <c r="F25" s="53" t="s">
        <v>339</v>
      </c>
      <c r="G25" s="53" t="s">
        <v>36</v>
      </c>
      <c r="H25" s="53" t="s">
        <v>164</v>
      </c>
      <c r="I25" s="53" t="s">
        <v>159</v>
      </c>
      <c r="J25" s="53" t="s">
        <v>38</v>
      </c>
      <c r="K25" s="53" t="s">
        <v>161</v>
      </c>
      <c r="L25" s="53">
        <v>3</v>
      </c>
      <c r="N25" s="53">
        <v>4</v>
      </c>
      <c r="O25" s="53">
        <v>0.35</v>
      </c>
      <c r="P25" s="53">
        <v>0.33</v>
      </c>
      <c r="Q25" s="75">
        <f t="shared" si="2"/>
        <v>0.33999999999999997</v>
      </c>
      <c r="R25" s="53">
        <v>15.1</v>
      </c>
      <c r="S25" s="53">
        <v>94</v>
      </c>
      <c r="T25" s="16">
        <f t="shared" si="0"/>
        <v>36</v>
      </c>
      <c r="U25" s="53">
        <v>398</v>
      </c>
      <c r="V25" s="16">
        <f t="shared" si="1"/>
        <v>16</v>
      </c>
      <c r="W25" s="53">
        <v>4</v>
      </c>
      <c r="X25" s="53" t="s">
        <v>46</v>
      </c>
      <c r="Y25" s="53" t="s">
        <v>84</v>
      </c>
      <c r="Z25" s="53" t="s">
        <v>90</v>
      </c>
      <c r="AA25" s="53" t="s">
        <v>318</v>
      </c>
      <c r="AB25" s="53" t="s">
        <v>319</v>
      </c>
      <c r="AP25" s="27" t="s">
        <v>116</v>
      </c>
      <c r="AR25" s="27" t="s">
        <v>92</v>
      </c>
      <c r="AV25" s="27" t="s">
        <v>356</v>
      </c>
    </row>
    <row r="26" spans="1:48" x14ac:dyDescent="0.15">
      <c r="A26" s="53" t="s">
        <v>59</v>
      </c>
      <c r="B26" s="53" t="s">
        <v>233</v>
      </c>
      <c r="C26" s="62">
        <v>2019</v>
      </c>
      <c r="D26" s="137" t="s">
        <v>315</v>
      </c>
      <c r="E26" s="53" t="s">
        <v>162</v>
      </c>
      <c r="F26" s="53" t="s">
        <v>339</v>
      </c>
      <c r="G26" s="53" t="s">
        <v>36</v>
      </c>
      <c r="H26" s="53" t="s">
        <v>164</v>
      </c>
      <c r="I26" s="53" t="s">
        <v>165</v>
      </c>
      <c r="J26" s="53" t="s">
        <v>38</v>
      </c>
      <c r="K26" s="53" t="s">
        <v>161</v>
      </c>
      <c r="L26" s="53">
        <v>1</v>
      </c>
      <c r="N26" s="53">
        <v>5</v>
      </c>
      <c r="O26" s="53">
        <v>0.45</v>
      </c>
      <c r="P26" s="53">
        <v>0.45</v>
      </c>
      <c r="Q26" s="75">
        <f t="shared" si="2"/>
        <v>0.45</v>
      </c>
      <c r="R26" s="53">
        <v>13.9</v>
      </c>
      <c r="S26" s="53">
        <v>92</v>
      </c>
      <c r="T26" s="16">
        <f t="shared" si="0"/>
        <v>36</v>
      </c>
      <c r="U26" s="53">
        <v>398</v>
      </c>
      <c r="V26" s="16">
        <f t="shared" si="1"/>
        <v>16</v>
      </c>
      <c r="W26" s="53">
        <v>1</v>
      </c>
      <c r="X26" s="53" t="s">
        <v>46</v>
      </c>
      <c r="Y26" s="53" t="s">
        <v>84</v>
      </c>
      <c r="Z26" s="53" t="s">
        <v>90</v>
      </c>
      <c r="AA26" s="53" t="s">
        <v>318</v>
      </c>
      <c r="AB26" s="53" t="s">
        <v>319</v>
      </c>
      <c r="AP26" s="27" t="s">
        <v>117</v>
      </c>
      <c r="AR26" s="27" t="s">
        <v>357</v>
      </c>
      <c r="AV26" s="27"/>
    </row>
    <row r="27" spans="1:48" x14ac:dyDescent="0.15">
      <c r="A27" s="53" t="s">
        <v>59</v>
      </c>
      <c r="B27" s="53" t="s">
        <v>233</v>
      </c>
      <c r="C27" s="62">
        <v>2019</v>
      </c>
      <c r="D27" s="137" t="s">
        <v>315</v>
      </c>
      <c r="E27" s="53" t="s">
        <v>162</v>
      </c>
      <c r="F27" s="53" t="s">
        <v>339</v>
      </c>
      <c r="G27" s="53" t="s">
        <v>36</v>
      </c>
      <c r="H27" s="53" t="s">
        <v>164</v>
      </c>
      <c r="I27" s="53" t="s">
        <v>165</v>
      </c>
      <c r="J27" s="53" t="s">
        <v>38</v>
      </c>
      <c r="K27" s="53" t="s">
        <v>161</v>
      </c>
      <c r="L27" s="53">
        <v>2</v>
      </c>
      <c r="N27" s="53">
        <v>5</v>
      </c>
      <c r="O27" s="53">
        <v>0.44</v>
      </c>
      <c r="P27" s="53">
        <v>0.46</v>
      </c>
      <c r="Q27" s="75">
        <f t="shared" si="2"/>
        <v>0.45</v>
      </c>
      <c r="R27" s="53">
        <v>14.8</v>
      </c>
      <c r="S27" s="53">
        <v>90</v>
      </c>
      <c r="T27" s="16">
        <f t="shared" si="0"/>
        <v>36</v>
      </c>
      <c r="U27" s="53">
        <v>398</v>
      </c>
      <c r="V27" s="16">
        <f t="shared" si="1"/>
        <v>16</v>
      </c>
      <c r="W27" s="53">
        <v>1</v>
      </c>
      <c r="X27" s="53" t="s">
        <v>46</v>
      </c>
      <c r="Y27" s="53" t="s">
        <v>84</v>
      </c>
      <c r="Z27" s="53" t="s">
        <v>90</v>
      </c>
      <c r="AA27" s="53" t="s">
        <v>318</v>
      </c>
      <c r="AB27" s="53" t="s">
        <v>319</v>
      </c>
      <c r="AP27" s="27" t="s">
        <v>118</v>
      </c>
      <c r="AR27" s="28" t="s">
        <v>153</v>
      </c>
      <c r="AV27" s="27"/>
    </row>
    <row r="28" spans="1:48" x14ac:dyDescent="0.15">
      <c r="A28" s="53" t="s">
        <v>59</v>
      </c>
      <c r="B28" s="53" t="s">
        <v>233</v>
      </c>
      <c r="C28" s="62">
        <v>2019</v>
      </c>
      <c r="D28" s="137" t="s">
        <v>315</v>
      </c>
      <c r="E28" s="53" t="s">
        <v>162</v>
      </c>
      <c r="F28" s="53" t="s">
        <v>339</v>
      </c>
      <c r="G28" s="53" t="s">
        <v>36</v>
      </c>
      <c r="H28" s="53" t="s">
        <v>164</v>
      </c>
      <c r="I28" s="53" t="s">
        <v>165</v>
      </c>
      <c r="J28" s="53" t="s">
        <v>38</v>
      </c>
      <c r="K28" s="53" t="s">
        <v>161</v>
      </c>
      <c r="L28" s="53">
        <v>3</v>
      </c>
      <c r="N28" s="53">
        <v>5</v>
      </c>
      <c r="O28" s="53">
        <v>0.41</v>
      </c>
      <c r="P28" s="53">
        <v>0.47</v>
      </c>
      <c r="Q28" s="75">
        <f t="shared" si="2"/>
        <v>0.43999999999999995</v>
      </c>
      <c r="R28" s="53">
        <v>15.2</v>
      </c>
      <c r="S28" s="53">
        <v>94</v>
      </c>
      <c r="T28" s="16">
        <f t="shared" si="0"/>
        <v>36</v>
      </c>
      <c r="U28" s="53">
        <v>398</v>
      </c>
      <c r="V28" s="16">
        <f t="shared" si="1"/>
        <v>16</v>
      </c>
      <c r="W28" s="53">
        <v>1</v>
      </c>
      <c r="X28" s="53" t="s">
        <v>46</v>
      </c>
      <c r="Y28" s="53" t="s">
        <v>84</v>
      </c>
      <c r="Z28" s="53" t="s">
        <v>90</v>
      </c>
      <c r="AA28" s="53" t="s">
        <v>318</v>
      </c>
      <c r="AB28" s="53" t="s">
        <v>319</v>
      </c>
      <c r="AV28" s="27"/>
    </row>
    <row r="29" spans="1:48" x14ac:dyDescent="0.15">
      <c r="A29" s="53" t="s">
        <v>59</v>
      </c>
      <c r="B29" s="53" t="s">
        <v>233</v>
      </c>
      <c r="C29" s="62">
        <v>2019</v>
      </c>
      <c r="D29" s="137" t="s">
        <v>315</v>
      </c>
      <c r="E29" s="53" t="s">
        <v>335</v>
      </c>
      <c r="F29" s="53" t="s">
        <v>336</v>
      </c>
      <c r="G29" s="53" t="s">
        <v>36</v>
      </c>
      <c r="H29" s="53" t="s">
        <v>160</v>
      </c>
      <c r="I29" s="53" t="s">
        <v>159</v>
      </c>
      <c r="J29" s="53" t="s">
        <v>38</v>
      </c>
      <c r="K29" s="53" t="s">
        <v>161</v>
      </c>
      <c r="L29" s="53">
        <v>1</v>
      </c>
      <c r="N29" s="53">
        <v>1</v>
      </c>
      <c r="O29" s="53">
        <v>0.27</v>
      </c>
      <c r="P29" s="53">
        <v>0.22</v>
      </c>
      <c r="Q29" s="75">
        <f t="shared" si="2"/>
        <v>0.245</v>
      </c>
      <c r="R29" s="53">
        <v>16.399999999999999</v>
      </c>
      <c r="S29" s="53">
        <v>101</v>
      </c>
      <c r="T29" s="16">
        <f t="shared" si="0"/>
        <v>33</v>
      </c>
      <c r="U29" s="53">
        <v>99</v>
      </c>
      <c r="V29" s="16">
        <f t="shared" si="1"/>
        <v>33</v>
      </c>
      <c r="W29" s="53">
        <v>1</v>
      </c>
      <c r="X29" s="53" t="s">
        <v>39</v>
      </c>
      <c r="Y29" s="53" t="s">
        <v>90</v>
      </c>
      <c r="Z29" s="53" t="s">
        <v>84</v>
      </c>
      <c r="AA29" s="53" t="s">
        <v>69</v>
      </c>
      <c r="AB29" s="53" t="s">
        <v>319</v>
      </c>
      <c r="AP29" s="27" t="s">
        <v>117</v>
      </c>
      <c r="AR29" s="27" t="s">
        <v>357</v>
      </c>
      <c r="AV29" s="27"/>
    </row>
    <row r="30" spans="1:48" x14ac:dyDescent="0.15">
      <c r="A30" s="53" t="s">
        <v>59</v>
      </c>
      <c r="B30" s="53" t="s">
        <v>233</v>
      </c>
      <c r="C30" s="62">
        <v>2019</v>
      </c>
      <c r="D30" s="137" t="s">
        <v>315</v>
      </c>
      <c r="E30" s="53" t="s">
        <v>335</v>
      </c>
      <c r="F30" s="53" t="s">
        <v>336</v>
      </c>
      <c r="G30" s="53" t="s">
        <v>36</v>
      </c>
      <c r="H30" s="53" t="s">
        <v>160</v>
      </c>
      <c r="I30" s="53" t="s">
        <v>159</v>
      </c>
      <c r="J30" s="53" t="s">
        <v>38</v>
      </c>
      <c r="K30" s="53" t="s">
        <v>161</v>
      </c>
      <c r="L30" s="53">
        <v>2</v>
      </c>
      <c r="N30" s="53">
        <v>1</v>
      </c>
      <c r="O30" s="53">
        <v>0.24</v>
      </c>
      <c r="P30" s="53">
        <v>0.28999999999999998</v>
      </c>
      <c r="Q30" s="75">
        <f t="shared" si="2"/>
        <v>0.26500000000000001</v>
      </c>
      <c r="R30" s="53">
        <v>17.600000000000001</v>
      </c>
      <c r="S30" s="53">
        <v>97</v>
      </c>
      <c r="T30" s="16">
        <f t="shared" si="0"/>
        <v>36</v>
      </c>
      <c r="U30" s="53">
        <v>99</v>
      </c>
      <c r="V30" s="16">
        <f t="shared" si="1"/>
        <v>33</v>
      </c>
      <c r="W30" s="53">
        <v>1</v>
      </c>
      <c r="X30" s="53" t="s">
        <v>39</v>
      </c>
      <c r="Y30" s="53" t="s">
        <v>90</v>
      </c>
      <c r="Z30" s="53" t="s">
        <v>84</v>
      </c>
      <c r="AA30" s="53" t="s">
        <v>69</v>
      </c>
      <c r="AB30" s="53" t="s">
        <v>319</v>
      </c>
      <c r="AP30" s="27" t="s">
        <v>118</v>
      </c>
      <c r="AR30" s="28" t="s">
        <v>153</v>
      </c>
      <c r="AV30" s="27"/>
    </row>
    <row r="31" spans="1:48" x14ac:dyDescent="0.15">
      <c r="A31" s="53" t="s">
        <v>59</v>
      </c>
      <c r="B31" s="53" t="s">
        <v>233</v>
      </c>
      <c r="C31" s="62">
        <v>2019</v>
      </c>
      <c r="D31" s="137" t="s">
        <v>315</v>
      </c>
      <c r="E31" s="53" t="s">
        <v>335</v>
      </c>
      <c r="F31" s="53" t="s">
        <v>336</v>
      </c>
      <c r="G31" s="53" t="s">
        <v>36</v>
      </c>
      <c r="H31" s="53" t="s">
        <v>160</v>
      </c>
      <c r="I31" s="53" t="s">
        <v>159</v>
      </c>
      <c r="J31" s="53" t="s">
        <v>38</v>
      </c>
      <c r="K31" s="53" t="s">
        <v>161</v>
      </c>
      <c r="L31" s="53">
        <v>3</v>
      </c>
      <c r="N31" s="53">
        <v>1</v>
      </c>
      <c r="O31" s="53">
        <v>0.28000000000000003</v>
      </c>
      <c r="P31" s="53">
        <v>0.27</v>
      </c>
      <c r="Q31" s="75">
        <f t="shared" si="2"/>
        <v>0.27500000000000002</v>
      </c>
      <c r="R31" s="53">
        <v>16.899999999999999</v>
      </c>
      <c r="S31" s="53">
        <v>95</v>
      </c>
      <c r="T31" s="16">
        <f t="shared" si="0"/>
        <v>36</v>
      </c>
      <c r="U31" s="53">
        <v>99</v>
      </c>
      <c r="V31" s="16">
        <f t="shared" si="1"/>
        <v>33</v>
      </c>
      <c r="W31" s="53">
        <v>1</v>
      </c>
      <c r="X31" s="53" t="s">
        <v>39</v>
      </c>
      <c r="Y31" s="53" t="s">
        <v>90</v>
      </c>
      <c r="Z31" s="53" t="s">
        <v>84</v>
      </c>
      <c r="AA31" s="53" t="s">
        <v>69</v>
      </c>
      <c r="AB31" s="53" t="s">
        <v>319</v>
      </c>
      <c r="AV31" s="27"/>
    </row>
    <row r="32" spans="1:48" x14ac:dyDescent="0.15">
      <c r="A32" s="53" t="s">
        <v>59</v>
      </c>
      <c r="B32" s="53" t="s">
        <v>233</v>
      </c>
      <c r="C32" s="62">
        <v>2019</v>
      </c>
      <c r="D32" s="137" t="s">
        <v>315</v>
      </c>
      <c r="E32" s="53" t="s">
        <v>335</v>
      </c>
      <c r="F32" s="53" t="s">
        <v>336</v>
      </c>
      <c r="G32" s="53" t="s">
        <v>36</v>
      </c>
      <c r="H32" s="53" t="s">
        <v>164</v>
      </c>
      <c r="I32" s="53" t="s">
        <v>159</v>
      </c>
      <c r="J32" s="53" t="s">
        <v>38</v>
      </c>
      <c r="K32" s="53" t="s">
        <v>161</v>
      </c>
      <c r="L32" s="53">
        <v>1</v>
      </c>
      <c r="N32" s="53">
        <v>3</v>
      </c>
      <c r="O32" s="53">
        <v>0.31</v>
      </c>
      <c r="P32" s="53">
        <v>0.3</v>
      </c>
      <c r="Q32" s="75">
        <f t="shared" si="2"/>
        <v>0.30499999999999999</v>
      </c>
      <c r="R32" s="53">
        <v>14.7</v>
      </c>
      <c r="S32" s="53">
        <v>136</v>
      </c>
      <c r="T32" s="16">
        <f t="shared" si="0"/>
        <v>25</v>
      </c>
      <c r="U32" s="53">
        <v>350</v>
      </c>
      <c r="V32" s="16">
        <f t="shared" si="1"/>
        <v>16</v>
      </c>
      <c r="W32" s="53">
        <v>5</v>
      </c>
      <c r="X32" s="53" t="s">
        <v>39</v>
      </c>
      <c r="Y32" s="53" t="s">
        <v>90</v>
      </c>
      <c r="Z32" s="53" t="s">
        <v>84</v>
      </c>
      <c r="AA32" s="53" t="s">
        <v>69</v>
      </c>
      <c r="AB32" s="53" t="s">
        <v>319</v>
      </c>
      <c r="AV32" s="27"/>
    </row>
    <row r="33" spans="1:48" x14ac:dyDescent="0.15">
      <c r="A33" s="53" t="s">
        <v>59</v>
      </c>
      <c r="B33" s="53" t="s">
        <v>233</v>
      </c>
      <c r="C33" s="62">
        <v>2019</v>
      </c>
      <c r="D33" s="137" t="s">
        <v>315</v>
      </c>
      <c r="E33" s="53" t="s">
        <v>335</v>
      </c>
      <c r="F33" s="53" t="s">
        <v>336</v>
      </c>
      <c r="G33" s="53" t="s">
        <v>36</v>
      </c>
      <c r="H33" s="53" t="s">
        <v>164</v>
      </c>
      <c r="I33" s="53" t="s">
        <v>159</v>
      </c>
      <c r="J33" s="53" t="s">
        <v>38</v>
      </c>
      <c r="K33" s="53" t="s">
        <v>161</v>
      </c>
      <c r="L33" s="53">
        <v>2</v>
      </c>
      <c r="N33" s="53">
        <v>3</v>
      </c>
      <c r="O33" s="53">
        <v>0.28999999999999998</v>
      </c>
      <c r="P33" s="53">
        <v>0.28999999999999998</v>
      </c>
      <c r="Q33" s="75">
        <f t="shared" si="2"/>
        <v>0.28999999999999998</v>
      </c>
      <c r="R33" s="53">
        <v>13.7</v>
      </c>
      <c r="S33" s="53">
        <v>135</v>
      </c>
      <c r="T33" s="16">
        <f t="shared" si="0"/>
        <v>25</v>
      </c>
      <c r="U33" s="53">
        <v>350</v>
      </c>
      <c r="V33" s="16">
        <f t="shared" si="1"/>
        <v>16</v>
      </c>
      <c r="W33" s="53">
        <v>5</v>
      </c>
      <c r="X33" s="53" t="s">
        <v>39</v>
      </c>
      <c r="Y33" s="53" t="s">
        <v>90</v>
      </c>
      <c r="Z33" s="53" t="s">
        <v>84</v>
      </c>
      <c r="AA33" s="53" t="s">
        <v>69</v>
      </c>
      <c r="AB33" s="53" t="s">
        <v>319</v>
      </c>
      <c r="AV33" s="27"/>
    </row>
    <row r="34" spans="1:48" x14ac:dyDescent="0.15">
      <c r="A34" s="53" t="s">
        <v>59</v>
      </c>
      <c r="B34" s="53" t="s">
        <v>233</v>
      </c>
      <c r="C34" s="62">
        <v>2019</v>
      </c>
      <c r="D34" s="137" t="s">
        <v>315</v>
      </c>
      <c r="E34" s="53" t="s">
        <v>335</v>
      </c>
      <c r="F34" s="53" t="s">
        <v>336</v>
      </c>
      <c r="G34" s="53" t="s">
        <v>36</v>
      </c>
      <c r="H34" s="53" t="s">
        <v>164</v>
      </c>
      <c r="I34" s="53" t="s">
        <v>159</v>
      </c>
      <c r="J34" s="53" t="s">
        <v>38</v>
      </c>
      <c r="K34" s="53" t="s">
        <v>161</v>
      </c>
      <c r="L34" s="53">
        <v>3</v>
      </c>
      <c r="N34" s="53">
        <v>3</v>
      </c>
      <c r="O34" s="53">
        <v>0.32</v>
      </c>
      <c r="P34" s="53">
        <v>0.28000000000000003</v>
      </c>
      <c r="Q34" s="75">
        <f t="shared" si="2"/>
        <v>0.30000000000000004</v>
      </c>
      <c r="R34" s="53">
        <v>13.5</v>
      </c>
      <c r="S34" s="53">
        <v>125</v>
      </c>
      <c r="T34" s="16">
        <f t="shared" si="0"/>
        <v>27</v>
      </c>
      <c r="U34" s="53">
        <v>350</v>
      </c>
      <c r="V34" s="16">
        <f t="shared" si="1"/>
        <v>16</v>
      </c>
      <c r="W34" s="53">
        <v>5</v>
      </c>
      <c r="X34" s="53" t="s">
        <v>39</v>
      </c>
      <c r="Y34" s="53" t="s">
        <v>90</v>
      </c>
      <c r="Z34" s="53" t="s">
        <v>84</v>
      </c>
      <c r="AA34" s="53" t="s">
        <v>69</v>
      </c>
      <c r="AB34" s="53" t="s">
        <v>319</v>
      </c>
      <c r="AV34" s="27"/>
    </row>
    <row r="35" spans="1:48" x14ac:dyDescent="0.15">
      <c r="A35" s="53" t="s">
        <v>59</v>
      </c>
      <c r="B35" s="53" t="s">
        <v>233</v>
      </c>
      <c r="C35" s="62">
        <v>2019</v>
      </c>
      <c r="D35" s="137" t="s">
        <v>315</v>
      </c>
      <c r="E35" s="53" t="s">
        <v>335</v>
      </c>
      <c r="F35" s="53" t="s">
        <v>336</v>
      </c>
      <c r="G35" s="53" t="s">
        <v>36</v>
      </c>
      <c r="H35" s="53" t="s">
        <v>128</v>
      </c>
      <c r="I35" s="53" t="s">
        <v>159</v>
      </c>
      <c r="J35" s="53" t="s">
        <v>345</v>
      </c>
      <c r="K35" s="53" t="s">
        <v>328</v>
      </c>
      <c r="L35" s="53">
        <v>1</v>
      </c>
      <c r="N35" s="53">
        <v>4</v>
      </c>
      <c r="O35" s="53">
        <v>0.33</v>
      </c>
      <c r="P35" s="53">
        <v>0.25</v>
      </c>
      <c r="Q35" s="75">
        <f t="shared" si="2"/>
        <v>0.29000000000000004</v>
      </c>
      <c r="R35" s="53">
        <v>11.8</v>
      </c>
      <c r="S35" s="53">
        <v>124</v>
      </c>
      <c r="T35" s="16">
        <f t="shared" si="0"/>
        <v>27</v>
      </c>
      <c r="U35" s="53">
        <v>480</v>
      </c>
      <c r="V35" s="16">
        <f t="shared" si="1"/>
        <v>16</v>
      </c>
      <c r="W35" s="53">
        <v>2</v>
      </c>
      <c r="X35" s="53" t="s">
        <v>39</v>
      </c>
      <c r="Y35" s="53" t="s">
        <v>90</v>
      </c>
      <c r="Z35" s="53" t="s">
        <v>84</v>
      </c>
      <c r="AA35" s="53" t="s">
        <v>69</v>
      </c>
      <c r="AB35" s="53" t="s">
        <v>319</v>
      </c>
      <c r="AV35" s="27"/>
    </row>
    <row r="36" spans="1:48" x14ac:dyDescent="0.15">
      <c r="A36" s="53" t="s">
        <v>59</v>
      </c>
      <c r="B36" s="53" t="s">
        <v>233</v>
      </c>
      <c r="C36" s="62">
        <v>2019</v>
      </c>
      <c r="D36" s="137" t="s">
        <v>315</v>
      </c>
      <c r="E36" s="53" t="s">
        <v>335</v>
      </c>
      <c r="F36" s="53" t="s">
        <v>336</v>
      </c>
      <c r="G36" s="53" t="s">
        <v>36</v>
      </c>
      <c r="H36" s="53" t="s">
        <v>128</v>
      </c>
      <c r="I36" s="53" t="s">
        <v>159</v>
      </c>
      <c r="J36" s="53" t="s">
        <v>345</v>
      </c>
      <c r="K36" s="53" t="s">
        <v>328</v>
      </c>
      <c r="L36" s="53">
        <v>2</v>
      </c>
      <c r="N36" s="53">
        <v>4</v>
      </c>
      <c r="O36" s="53">
        <v>0.34</v>
      </c>
      <c r="P36" s="53">
        <v>0.28000000000000003</v>
      </c>
      <c r="Q36" s="75">
        <f t="shared" si="2"/>
        <v>0.31000000000000005</v>
      </c>
      <c r="R36" s="53">
        <v>11.8</v>
      </c>
      <c r="S36" s="53">
        <v>120</v>
      </c>
      <c r="T36" s="16">
        <f t="shared" si="0"/>
        <v>30</v>
      </c>
      <c r="U36" s="53">
        <v>480</v>
      </c>
      <c r="V36" s="16">
        <f t="shared" si="1"/>
        <v>16</v>
      </c>
      <c r="W36" s="53">
        <v>2</v>
      </c>
      <c r="X36" s="53" t="s">
        <v>39</v>
      </c>
      <c r="Y36" s="53" t="s">
        <v>90</v>
      </c>
      <c r="Z36" s="53" t="s">
        <v>84</v>
      </c>
      <c r="AA36" s="53" t="s">
        <v>69</v>
      </c>
      <c r="AB36" s="53" t="s">
        <v>319</v>
      </c>
      <c r="AV36" s="27"/>
    </row>
    <row r="37" spans="1:48" x14ac:dyDescent="0.15">
      <c r="A37" s="53" t="s">
        <v>59</v>
      </c>
      <c r="B37" s="53" t="s">
        <v>233</v>
      </c>
      <c r="C37" s="62">
        <v>2019</v>
      </c>
      <c r="D37" s="137" t="s">
        <v>315</v>
      </c>
      <c r="E37" s="53" t="s">
        <v>335</v>
      </c>
      <c r="F37" s="53" t="s">
        <v>339</v>
      </c>
      <c r="G37" s="53" t="s">
        <v>36</v>
      </c>
      <c r="H37" s="53" t="s">
        <v>128</v>
      </c>
      <c r="I37" s="53" t="s">
        <v>159</v>
      </c>
      <c r="J37" s="53" t="s">
        <v>345</v>
      </c>
      <c r="K37" s="53" t="s">
        <v>328</v>
      </c>
      <c r="L37" s="53">
        <v>3</v>
      </c>
      <c r="N37" s="53">
        <v>4</v>
      </c>
      <c r="O37" s="53">
        <v>0.34</v>
      </c>
      <c r="P37" s="53">
        <v>0.33</v>
      </c>
      <c r="Q37" s="75">
        <f t="shared" si="2"/>
        <v>0.33500000000000002</v>
      </c>
      <c r="R37" s="53">
        <v>12.1</v>
      </c>
      <c r="S37" s="53">
        <v>116</v>
      </c>
      <c r="T37" s="16">
        <f t="shared" si="0"/>
        <v>30</v>
      </c>
      <c r="U37" s="53">
        <v>480</v>
      </c>
      <c r="V37" s="16">
        <f t="shared" si="1"/>
        <v>16</v>
      </c>
      <c r="W37" s="53">
        <v>2</v>
      </c>
      <c r="X37" s="53" t="s">
        <v>39</v>
      </c>
      <c r="Y37" s="53" t="s">
        <v>90</v>
      </c>
      <c r="Z37" s="53" t="s">
        <v>84</v>
      </c>
      <c r="AA37" s="53" t="s">
        <v>69</v>
      </c>
      <c r="AB37" s="53" t="s">
        <v>319</v>
      </c>
      <c r="AV37" s="27"/>
    </row>
    <row r="38" spans="1:48" x14ac:dyDescent="0.15">
      <c r="A38" s="53" t="s">
        <v>59</v>
      </c>
      <c r="B38" s="53" t="s">
        <v>233</v>
      </c>
      <c r="C38" s="62">
        <v>2019</v>
      </c>
      <c r="D38" s="137" t="s">
        <v>315</v>
      </c>
      <c r="E38" s="53" t="s">
        <v>326</v>
      </c>
      <c r="F38" s="53" t="s">
        <v>327</v>
      </c>
      <c r="G38" s="53" t="s">
        <v>36</v>
      </c>
      <c r="H38" s="53" t="s">
        <v>160</v>
      </c>
      <c r="I38" s="53" t="s">
        <v>159</v>
      </c>
      <c r="J38" s="53" t="s">
        <v>38</v>
      </c>
      <c r="K38" s="53" t="s">
        <v>161</v>
      </c>
      <c r="L38" s="53">
        <v>1</v>
      </c>
      <c r="N38" s="53">
        <v>4</v>
      </c>
      <c r="O38" s="53">
        <v>0.36</v>
      </c>
      <c r="P38" s="53">
        <v>0.44</v>
      </c>
      <c r="Q38" s="75">
        <f t="shared" si="2"/>
        <v>0.4</v>
      </c>
      <c r="R38" s="53">
        <v>16</v>
      </c>
      <c r="S38" s="53">
        <v>112</v>
      </c>
      <c r="T38" s="16">
        <f t="shared" si="0"/>
        <v>33</v>
      </c>
      <c r="U38" s="53">
        <v>450</v>
      </c>
      <c r="V38" s="16">
        <f t="shared" si="1"/>
        <v>16</v>
      </c>
      <c r="W38" s="53">
        <v>1</v>
      </c>
      <c r="X38" s="53" t="s">
        <v>39</v>
      </c>
      <c r="Y38" s="53" t="s">
        <v>84</v>
      </c>
      <c r="Z38" s="53" t="s">
        <v>69</v>
      </c>
      <c r="AA38" s="53" t="s">
        <v>78</v>
      </c>
      <c r="AB38" s="53" t="s">
        <v>319</v>
      </c>
      <c r="AV38" s="27"/>
    </row>
    <row r="39" spans="1:48" x14ac:dyDescent="0.15">
      <c r="A39" s="53" t="s">
        <v>59</v>
      </c>
      <c r="B39" s="53" t="s">
        <v>233</v>
      </c>
      <c r="C39" s="62">
        <v>2019</v>
      </c>
      <c r="D39" s="137" t="s">
        <v>315</v>
      </c>
      <c r="E39" s="53" t="s">
        <v>326</v>
      </c>
      <c r="F39" s="53" t="s">
        <v>327</v>
      </c>
      <c r="G39" s="53" t="s">
        <v>36</v>
      </c>
      <c r="H39" s="53" t="s">
        <v>160</v>
      </c>
      <c r="I39" s="53" t="s">
        <v>159</v>
      </c>
      <c r="J39" s="53" t="s">
        <v>38</v>
      </c>
      <c r="K39" s="53" t="s">
        <v>161</v>
      </c>
      <c r="L39" s="53">
        <v>2</v>
      </c>
      <c r="N39" s="53">
        <v>4</v>
      </c>
      <c r="O39" s="53">
        <v>0.25</v>
      </c>
      <c r="P39" s="53">
        <v>0.31</v>
      </c>
      <c r="Q39" s="75">
        <f t="shared" si="2"/>
        <v>0.28000000000000003</v>
      </c>
      <c r="R39" s="53">
        <v>16.7</v>
      </c>
      <c r="S39" s="53">
        <v>111</v>
      </c>
      <c r="T39" s="16">
        <f t="shared" si="0"/>
        <v>33</v>
      </c>
      <c r="U39" s="53">
        <v>450</v>
      </c>
      <c r="V39" s="16">
        <f t="shared" si="1"/>
        <v>16</v>
      </c>
      <c r="W39" s="53">
        <v>1</v>
      </c>
      <c r="X39" s="53" t="s">
        <v>39</v>
      </c>
      <c r="Y39" s="53" t="s">
        <v>84</v>
      </c>
      <c r="Z39" s="53" t="s">
        <v>69</v>
      </c>
      <c r="AA39" s="53" t="s">
        <v>78</v>
      </c>
      <c r="AB39" s="53" t="s">
        <v>319</v>
      </c>
      <c r="AV39" s="27"/>
    </row>
    <row r="40" spans="1:48" x14ac:dyDescent="0.15">
      <c r="A40" s="53" t="s">
        <v>59</v>
      </c>
      <c r="B40" s="53" t="s">
        <v>233</v>
      </c>
      <c r="C40" s="62">
        <v>2019</v>
      </c>
      <c r="D40" s="137" t="s">
        <v>315</v>
      </c>
      <c r="E40" s="53" t="s">
        <v>326</v>
      </c>
      <c r="F40" s="53" t="s">
        <v>327</v>
      </c>
      <c r="G40" s="53" t="s">
        <v>36</v>
      </c>
      <c r="H40" s="53" t="s">
        <v>160</v>
      </c>
      <c r="I40" s="53" t="s">
        <v>159</v>
      </c>
      <c r="J40" s="53" t="s">
        <v>38</v>
      </c>
      <c r="K40" s="53" t="s">
        <v>161</v>
      </c>
      <c r="L40" s="53">
        <v>3</v>
      </c>
      <c r="N40" s="53">
        <v>4</v>
      </c>
      <c r="O40" s="53">
        <v>0.33</v>
      </c>
      <c r="P40" s="53">
        <v>0.28000000000000003</v>
      </c>
      <c r="Q40" s="75">
        <f t="shared" si="2"/>
        <v>0.30500000000000005</v>
      </c>
      <c r="R40" s="53">
        <v>15.9</v>
      </c>
      <c r="S40" s="53">
        <v>114</v>
      </c>
      <c r="T40" s="16">
        <f t="shared" si="0"/>
        <v>30</v>
      </c>
      <c r="U40" s="53">
        <v>450</v>
      </c>
      <c r="V40" s="16">
        <f t="shared" si="1"/>
        <v>16</v>
      </c>
      <c r="W40" s="53">
        <v>1</v>
      </c>
      <c r="X40" s="53" t="s">
        <v>39</v>
      </c>
      <c r="Y40" s="53" t="s">
        <v>84</v>
      </c>
      <c r="Z40" s="53" t="s">
        <v>69</v>
      </c>
      <c r="AA40" s="53" t="s">
        <v>78</v>
      </c>
      <c r="AB40" s="53" t="s">
        <v>319</v>
      </c>
      <c r="AV40" s="27"/>
    </row>
    <row r="41" spans="1:48" x14ac:dyDescent="0.15">
      <c r="A41" s="53" t="s">
        <v>59</v>
      </c>
      <c r="B41" s="53" t="s">
        <v>233</v>
      </c>
      <c r="C41" s="62">
        <v>2019</v>
      </c>
      <c r="D41" s="137" t="s">
        <v>315</v>
      </c>
      <c r="E41" s="53" t="s">
        <v>326</v>
      </c>
      <c r="F41" s="53" t="s">
        <v>327</v>
      </c>
      <c r="G41" s="53" t="s">
        <v>36</v>
      </c>
      <c r="H41" s="53" t="s">
        <v>164</v>
      </c>
      <c r="I41" s="53" t="s">
        <v>159</v>
      </c>
      <c r="J41" s="53" t="s">
        <v>38</v>
      </c>
      <c r="K41" s="53" t="s">
        <v>161</v>
      </c>
      <c r="L41" s="53">
        <v>1</v>
      </c>
      <c r="N41" s="53">
        <v>4</v>
      </c>
      <c r="O41" s="53">
        <v>0.72</v>
      </c>
      <c r="P41" s="53">
        <v>0.63</v>
      </c>
      <c r="Q41" s="75">
        <f t="shared" si="2"/>
        <v>0.67500000000000004</v>
      </c>
      <c r="R41" s="53">
        <v>14.5</v>
      </c>
      <c r="S41" s="53">
        <v>105</v>
      </c>
      <c r="T41" s="16">
        <f t="shared" si="0"/>
        <v>33</v>
      </c>
      <c r="U41" s="53">
        <v>228</v>
      </c>
      <c r="V41" s="16">
        <f t="shared" si="1"/>
        <v>16</v>
      </c>
      <c r="W41" s="53">
        <v>1</v>
      </c>
      <c r="X41" s="53" t="s">
        <v>39</v>
      </c>
      <c r="Y41" s="53" t="s">
        <v>84</v>
      </c>
      <c r="Z41" s="53" t="s">
        <v>69</v>
      </c>
      <c r="AA41" s="53" t="s">
        <v>78</v>
      </c>
      <c r="AB41" s="53" t="s">
        <v>319</v>
      </c>
      <c r="AV41" s="27"/>
    </row>
    <row r="42" spans="1:48" x14ac:dyDescent="0.15">
      <c r="A42" s="53" t="s">
        <v>59</v>
      </c>
      <c r="B42" s="53" t="s">
        <v>233</v>
      </c>
      <c r="C42" s="62">
        <v>2019</v>
      </c>
      <c r="D42" s="137" t="s">
        <v>315</v>
      </c>
      <c r="E42" s="53" t="s">
        <v>326</v>
      </c>
      <c r="F42" s="53" t="s">
        <v>327</v>
      </c>
      <c r="G42" s="53" t="s">
        <v>36</v>
      </c>
      <c r="H42" s="53" t="s">
        <v>164</v>
      </c>
      <c r="I42" s="53" t="s">
        <v>159</v>
      </c>
      <c r="J42" s="53" t="s">
        <v>38</v>
      </c>
      <c r="K42" s="53" t="s">
        <v>161</v>
      </c>
      <c r="L42" s="53">
        <v>2</v>
      </c>
      <c r="N42" s="53">
        <v>4</v>
      </c>
      <c r="O42" s="53">
        <v>0.73</v>
      </c>
      <c r="P42" s="53">
        <v>0.68</v>
      </c>
      <c r="Q42" s="75">
        <f t="shared" si="2"/>
        <v>0.70500000000000007</v>
      </c>
      <c r="R42" s="53">
        <v>13.7</v>
      </c>
      <c r="S42" s="53">
        <v>104</v>
      </c>
      <c r="T42" s="16">
        <f t="shared" si="0"/>
        <v>33</v>
      </c>
      <c r="U42" s="53">
        <v>228</v>
      </c>
      <c r="V42" s="16">
        <f t="shared" si="1"/>
        <v>16</v>
      </c>
      <c r="W42" s="53">
        <v>1</v>
      </c>
      <c r="X42" s="53" t="s">
        <v>39</v>
      </c>
      <c r="Y42" s="53" t="s">
        <v>84</v>
      </c>
      <c r="Z42" s="53" t="s">
        <v>69</v>
      </c>
      <c r="AA42" s="53" t="s">
        <v>78</v>
      </c>
      <c r="AB42" s="53" t="s">
        <v>319</v>
      </c>
      <c r="AV42" s="27"/>
    </row>
    <row r="43" spans="1:48" x14ac:dyDescent="0.15">
      <c r="A43" s="53" t="s">
        <v>59</v>
      </c>
      <c r="B43" s="53" t="s">
        <v>233</v>
      </c>
      <c r="C43" s="62">
        <v>2019</v>
      </c>
      <c r="D43" s="137" t="s">
        <v>315</v>
      </c>
      <c r="E43" s="53" t="s">
        <v>326</v>
      </c>
      <c r="F43" s="53" t="s">
        <v>327</v>
      </c>
      <c r="G43" s="53" t="s">
        <v>36</v>
      </c>
      <c r="H43" s="53" t="s">
        <v>164</v>
      </c>
      <c r="I43" s="53" t="s">
        <v>159</v>
      </c>
      <c r="J43" s="53" t="s">
        <v>38</v>
      </c>
      <c r="K43" s="53" t="s">
        <v>161</v>
      </c>
      <c r="L43" s="53">
        <v>3</v>
      </c>
      <c r="N43" s="53">
        <v>4</v>
      </c>
      <c r="O43" s="53">
        <v>0.68</v>
      </c>
      <c r="P43" s="53">
        <v>0.71</v>
      </c>
      <c r="Q43" s="75">
        <f t="shared" si="2"/>
        <v>0.69500000000000006</v>
      </c>
      <c r="R43" s="53">
        <v>13.9</v>
      </c>
      <c r="S43" s="53">
        <v>101</v>
      </c>
      <c r="T43" s="16">
        <f t="shared" si="0"/>
        <v>33</v>
      </c>
      <c r="U43" s="53">
        <v>228</v>
      </c>
      <c r="V43" s="16">
        <f t="shared" si="1"/>
        <v>16</v>
      </c>
      <c r="W43" s="53">
        <v>1</v>
      </c>
      <c r="X43" s="53" t="s">
        <v>39</v>
      </c>
      <c r="Y43" s="53" t="s">
        <v>84</v>
      </c>
      <c r="Z43" s="53" t="s">
        <v>69</v>
      </c>
      <c r="AA43" s="53" t="s">
        <v>78</v>
      </c>
      <c r="AB43" s="53" t="s">
        <v>319</v>
      </c>
      <c r="AV43" s="27"/>
    </row>
    <row r="44" spans="1:48" x14ac:dyDescent="0.15">
      <c r="A44" s="53" t="s">
        <v>59</v>
      </c>
      <c r="B44" s="53" t="s">
        <v>233</v>
      </c>
      <c r="C44" s="62">
        <v>2019</v>
      </c>
      <c r="D44" s="137" t="s">
        <v>315</v>
      </c>
      <c r="E44" s="53" t="s">
        <v>343</v>
      </c>
      <c r="F44" s="53" t="s">
        <v>344</v>
      </c>
      <c r="G44" s="53" t="s">
        <v>36</v>
      </c>
      <c r="H44" s="53" t="s">
        <v>160</v>
      </c>
      <c r="I44" s="53" t="s">
        <v>159</v>
      </c>
      <c r="J44" s="53" t="s">
        <v>38</v>
      </c>
      <c r="K44" s="53" t="s">
        <v>161</v>
      </c>
      <c r="L44" s="53">
        <v>1</v>
      </c>
      <c r="N44" s="53">
        <v>5</v>
      </c>
      <c r="O44" s="53">
        <v>0.4</v>
      </c>
      <c r="P44" s="53">
        <v>0.37</v>
      </c>
      <c r="Q44" s="75">
        <f t="shared" si="2"/>
        <v>0.38500000000000001</v>
      </c>
      <c r="R44" s="53">
        <v>14.7</v>
      </c>
      <c r="S44" s="53">
        <v>96</v>
      </c>
      <c r="T44" s="16">
        <f t="shared" si="0"/>
        <v>36</v>
      </c>
      <c r="U44" s="53">
        <v>398</v>
      </c>
      <c r="V44" s="16">
        <f t="shared" si="1"/>
        <v>16</v>
      </c>
      <c r="W44" s="53">
        <v>1</v>
      </c>
      <c r="X44" s="53" t="s">
        <v>39</v>
      </c>
      <c r="Y44" s="53" t="s">
        <v>90</v>
      </c>
      <c r="Z44" s="53" t="s">
        <v>84</v>
      </c>
      <c r="AA44" s="53" t="s">
        <v>318</v>
      </c>
      <c r="AB44" s="53" t="s">
        <v>319</v>
      </c>
      <c r="AV44" s="27"/>
    </row>
    <row r="45" spans="1:48" x14ac:dyDescent="0.15">
      <c r="A45" s="53" t="s">
        <v>59</v>
      </c>
      <c r="B45" s="53" t="s">
        <v>233</v>
      </c>
      <c r="C45" s="62">
        <v>2019</v>
      </c>
      <c r="D45" s="137" t="s">
        <v>315</v>
      </c>
      <c r="E45" s="53" t="s">
        <v>343</v>
      </c>
      <c r="F45" s="53" t="s">
        <v>344</v>
      </c>
      <c r="G45" s="53" t="s">
        <v>36</v>
      </c>
      <c r="H45" s="53" t="s">
        <v>160</v>
      </c>
      <c r="I45" s="53" t="s">
        <v>159</v>
      </c>
      <c r="J45" s="53" t="s">
        <v>38</v>
      </c>
      <c r="K45" s="53" t="s">
        <v>161</v>
      </c>
      <c r="L45" s="53">
        <v>2</v>
      </c>
      <c r="N45" s="53">
        <v>5</v>
      </c>
      <c r="O45" s="53">
        <v>0.28999999999999998</v>
      </c>
      <c r="P45" s="53">
        <v>0.28000000000000003</v>
      </c>
      <c r="Q45" s="75">
        <f t="shared" si="2"/>
        <v>0.28500000000000003</v>
      </c>
      <c r="R45" s="53">
        <v>14.5</v>
      </c>
      <c r="S45" s="53">
        <v>98</v>
      </c>
      <c r="T45" s="16">
        <f t="shared" si="0"/>
        <v>36</v>
      </c>
      <c r="U45" s="53">
        <v>398</v>
      </c>
      <c r="V45" s="16">
        <f t="shared" si="1"/>
        <v>16</v>
      </c>
      <c r="W45" s="53">
        <v>1</v>
      </c>
      <c r="X45" s="53" t="s">
        <v>39</v>
      </c>
      <c r="Y45" s="53" t="s">
        <v>90</v>
      </c>
      <c r="Z45" s="53" t="s">
        <v>84</v>
      </c>
      <c r="AA45" s="53" t="s">
        <v>318</v>
      </c>
      <c r="AB45" s="53" t="s">
        <v>319</v>
      </c>
      <c r="AV45" s="27"/>
    </row>
    <row r="46" spans="1:48" x14ac:dyDescent="0.15">
      <c r="A46" s="53" t="s">
        <v>59</v>
      </c>
      <c r="B46" s="53" t="s">
        <v>233</v>
      </c>
      <c r="C46" s="62">
        <v>2019</v>
      </c>
      <c r="D46" s="137" t="s">
        <v>315</v>
      </c>
      <c r="E46" s="53" t="s">
        <v>343</v>
      </c>
      <c r="F46" s="53" t="s">
        <v>344</v>
      </c>
      <c r="G46" s="53" t="s">
        <v>36</v>
      </c>
      <c r="H46" s="53" t="s">
        <v>160</v>
      </c>
      <c r="I46" s="53" t="s">
        <v>159</v>
      </c>
      <c r="J46" s="53" t="s">
        <v>38</v>
      </c>
      <c r="K46" s="53" t="s">
        <v>161</v>
      </c>
      <c r="L46" s="53">
        <v>3</v>
      </c>
      <c r="N46" s="53">
        <v>5</v>
      </c>
      <c r="O46" s="53">
        <v>0.33</v>
      </c>
      <c r="P46" s="53">
        <v>0.36</v>
      </c>
      <c r="Q46" s="75">
        <f t="shared" si="2"/>
        <v>0.34499999999999997</v>
      </c>
      <c r="R46" s="53">
        <v>15.2</v>
      </c>
      <c r="S46" s="53">
        <v>101</v>
      </c>
      <c r="T46" s="16">
        <f t="shared" si="0"/>
        <v>33</v>
      </c>
      <c r="U46" s="53">
        <v>398</v>
      </c>
      <c r="V46" s="16">
        <f t="shared" si="1"/>
        <v>16</v>
      </c>
      <c r="W46" s="53">
        <v>1</v>
      </c>
      <c r="X46" s="53" t="s">
        <v>39</v>
      </c>
      <c r="Y46" s="53" t="s">
        <v>90</v>
      </c>
      <c r="Z46" s="53" t="s">
        <v>84</v>
      </c>
      <c r="AA46" s="53" t="s">
        <v>318</v>
      </c>
      <c r="AB46" s="53" t="s">
        <v>319</v>
      </c>
      <c r="AV46" s="27"/>
    </row>
    <row r="47" spans="1:48" x14ac:dyDescent="0.15">
      <c r="A47" s="53" t="s">
        <v>59</v>
      </c>
      <c r="B47" s="53" t="s">
        <v>233</v>
      </c>
      <c r="C47" s="62">
        <v>2019</v>
      </c>
      <c r="D47" s="137" t="s">
        <v>315</v>
      </c>
      <c r="E47" s="53" t="s">
        <v>343</v>
      </c>
      <c r="F47" s="53" t="s">
        <v>344</v>
      </c>
      <c r="G47" s="53" t="s">
        <v>36</v>
      </c>
      <c r="H47" s="53" t="s">
        <v>164</v>
      </c>
      <c r="I47" s="53" t="s">
        <v>159</v>
      </c>
      <c r="J47" s="53" t="s">
        <v>38</v>
      </c>
      <c r="K47" s="53" t="s">
        <v>161</v>
      </c>
      <c r="L47" s="53">
        <v>1</v>
      </c>
      <c r="N47" s="53">
        <v>4</v>
      </c>
      <c r="O47" s="53">
        <v>0.47</v>
      </c>
      <c r="P47" s="53">
        <v>0.55000000000000004</v>
      </c>
      <c r="Q47" s="75">
        <f t="shared" si="2"/>
        <v>0.51</v>
      </c>
      <c r="R47" s="53">
        <v>14.1</v>
      </c>
      <c r="S47" s="53">
        <v>136</v>
      </c>
      <c r="T47" s="16">
        <f t="shared" si="0"/>
        <v>25</v>
      </c>
      <c r="U47" s="53">
        <v>298</v>
      </c>
      <c r="V47" s="16">
        <f t="shared" si="1"/>
        <v>16</v>
      </c>
      <c r="W47" s="53">
        <v>1</v>
      </c>
      <c r="X47" s="53" t="s">
        <v>39</v>
      </c>
      <c r="Y47" s="53" t="s">
        <v>90</v>
      </c>
      <c r="Z47" s="53" t="s">
        <v>84</v>
      </c>
      <c r="AA47" s="53" t="s">
        <v>318</v>
      </c>
      <c r="AB47" s="53" t="s">
        <v>319</v>
      </c>
      <c r="AV47" s="27"/>
    </row>
    <row r="48" spans="1:48" x14ac:dyDescent="0.15">
      <c r="A48" s="53" t="s">
        <v>59</v>
      </c>
      <c r="B48" s="53" t="s">
        <v>233</v>
      </c>
      <c r="C48" s="62">
        <v>2019</v>
      </c>
      <c r="D48" s="137" t="s">
        <v>315</v>
      </c>
      <c r="E48" s="53" t="s">
        <v>343</v>
      </c>
      <c r="F48" s="53" t="s">
        <v>344</v>
      </c>
      <c r="G48" s="53" t="s">
        <v>36</v>
      </c>
      <c r="H48" s="53" t="s">
        <v>164</v>
      </c>
      <c r="I48" s="53" t="s">
        <v>159</v>
      </c>
      <c r="J48" s="53" t="s">
        <v>38</v>
      </c>
      <c r="K48" s="53" t="s">
        <v>161</v>
      </c>
      <c r="L48" s="53">
        <v>2</v>
      </c>
      <c r="N48" s="53">
        <v>4</v>
      </c>
      <c r="O48" s="53">
        <v>0.75</v>
      </c>
      <c r="P48" s="53">
        <v>0.75</v>
      </c>
      <c r="Q48" s="75">
        <f t="shared" si="2"/>
        <v>0.75</v>
      </c>
      <c r="R48" s="53">
        <v>14.6</v>
      </c>
      <c r="S48" s="53">
        <v>141</v>
      </c>
      <c r="T48" s="16">
        <f t="shared" si="0"/>
        <v>22</v>
      </c>
      <c r="U48" s="53">
        <v>298</v>
      </c>
      <c r="V48" s="16">
        <f t="shared" si="1"/>
        <v>16</v>
      </c>
      <c r="W48" s="53">
        <v>1</v>
      </c>
      <c r="X48" s="53" t="s">
        <v>39</v>
      </c>
      <c r="Y48" s="53" t="s">
        <v>90</v>
      </c>
      <c r="Z48" s="53" t="s">
        <v>84</v>
      </c>
      <c r="AA48" s="53" t="s">
        <v>318</v>
      </c>
      <c r="AB48" s="53" t="s">
        <v>319</v>
      </c>
      <c r="AV48" s="27"/>
    </row>
    <row r="49" spans="1:48" x14ac:dyDescent="0.15">
      <c r="A49" s="53" t="s">
        <v>59</v>
      </c>
      <c r="B49" s="53" t="s">
        <v>233</v>
      </c>
      <c r="C49" s="62">
        <v>2019</v>
      </c>
      <c r="D49" s="137" t="s">
        <v>315</v>
      </c>
      <c r="E49" s="53" t="s">
        <v>343</v>
      </c>
      <c r="F49" s="53" t="s">
        <v>344</v>
      </c>
      <c r="G49" s="53" t="s">
        <v>36</v>
      </c>
      <c r="H49" s="53" t="s">
        <v>164</v>
      </c>
      <c r="I49" s="53" t="s">
        <v>159</v>
      </c>
      <c r="J49" s="53" t="s">
        <v>38</v>
      </c>
      <c r="K49" s="53" t="s">
        <v>161</v>
      </c>
      <c r="L49" s="53">
        <v>3</v>
      </c>
      <c r="N49" s="53">
        <v>4</v>
      </c>
      <c r="O49" s="53">
        <v>0.66</v>
      </c>
      <c r="P49" s="53">
        <v>0.62</v>
      </c>
      <c r="Q49" s="75">
        <f t="shared" si="2"/>
        <v>0.64</v>
      </c>
      <c r="R49" s="53">
        <v>14.3</v>
      </c>
      <c r="S49" s="53">
        <v>140</v>
      </c>
      <c r="T49" s="16">
        <f t="shared" si="0"/>
        <v>22</v>
      </c>
      <c r="U49" s="53">
        <v>298</v>
      </c>
      <c r="V49" s="16">
        <f t="shared" si="1"/>
        <v>16</v>
      </c>
      <c r="W49" s="53">
        <v>1</v>
      </c>
      <c r="X49" s="53" t="s">
        <v>39</v>
      </c>
      <c r="Y49" s="53" t="s">
        <v>90</v>
      </c>
      <c r="Z49" s="53" t="s">
        <v>84</v>
      </c>
      <c r="AA49" s="53" t="s">
        <v>318</v>
      </c>
      <c r="AB49" s="53" t="s">
        <v>319</v>
      </c>
      <c r="AV49" s="27"/>
    </row>
    <row r="50" spans="1:48" x14ac:dyDescent="0.15">
      <c r="A50" s="53" t="s">
        <v>59</v>
      </c>
      <c r="B50" s="53" t="s">
        <v>233</v>
      </c>
      <c r="C50" s="62">
        <v>2019</v>
      </c>
      <c r="D50" s="137" t="s">
        <v>315</v>
      </c>
      <c r="E50" s="53" t="s">
        <v>332</v>
      </c>
      <c r="F50" s="53" t="s">
        <v>333</v>
      </c>
      <c r="G50" s="53" t="s">
        <v>36</v>
      </c>
      <c r="H50" s="53" t="s">
        <v>164</v>
      </c>
      <c r="I50" s="53" t="s">
        <v>159</v>
      </c>
      <c r="J50" s="53" t="s">
        <v>38</v>
      </c>
      <c r="K50" s="53" t="s">
        <v>161</v>
      </c>
      <c r="L50" s="53">
        <v>1</v>
      </c>
      <c r="N50" s="53">
        <v>5</v>
      </c>
      <c r="O50" s="53">
        <v>0.39</v>
      </c>
      <c r="P50" s="53">
        <v>0.33</v>
      </c>
      <c r="Q50" s="75">
        <f t="shared" si="2"/>
        <v>0.36</v>
      </c>
      <c r="R50" s="53">
        <v>15.7</v>
      </c>
      <c r="S50" s="53">
        <v>86</v>
      </c>
      <c r="T50" s="16">
        <f t="shared" si="0"/>
        <v>36</v>
      </c>
      <c r="U50" s="53">
        <v>321</v>
      </c>
      <c r="V50" s="16">
        <f t="shared" si="1"/>
        <v>16</v>
      </c>
      <c r="W50" s="53">
        <v>3</v>
      </c>
      <c r="X50" s="53" t="s">
        <v>39</v>
      </c>
      <c r="Y50" s="53" t="s">
        <v>84</v>
      </c>
      <c r="Z50" s="53" t="s">
        <v>90</v>
      </c>
      <c r="AA50" s="53" t="s">
        <v>318</v>
      </c>
      <c r="AB50" s="53" t="s">
        <v>319</v>
      </c>
      <c r="AV50" s="27"/>
    </row>
    <row r="51" spans="1:48" x14ac:dyDescent="0.15">
      <c r="A51" s="53" t="s">
        <v>59</v>
      </c>
      <c r="B51" s="53" t="s">
        <v>233</v>
      </c>
      <c r="C51" s="62">
        <v>2019</v>
      </c>
      <c r="D51" s="137" t="s">
        <v>315</v>
      </c>
      <c r="E51" s="53" t="s">
        <v>332</v>
      </c>
      <c r="F51" s="53" t="s">
        <v>333</v>
      </c>
      <c r="G51" s="53" t="s">
        <v>36</v>
      </c>
      <c r="H51" s="53" t="s">
        <v>164</v>
      </c>
      <c r="I51" s="53" t="s">
        <v>159</v>
      </c>
      <c r="J51" s="53" t="s">
        <v>38</v>
      </c>
      <c r="K51" s="53" t="s">
        <v>161</v>
      </c>
      <c r="L51" s="53">
        <v>2</v>
      </c>
      <c r="N51" s="53">
        <v>5</v>
      </c>
      <c r="O51" s="53">
        <v>0.28000000000000003</v>
      </c>
      <c r="P51" s="53">
        <v>0.32</v>
      </c>
      <c r="Q51" s="75">
        <f t="shared" si="2"/>
        <v>0.30000000000000004</v>
      </c>
      <c r="R51" s="53">
        <v>14.1</v>
      </c>
      <c r="S51" s="53">
        <v>87</v>
      </c>
      <c r="T51" s="16">
        <f t="shared" si="0"/>
        <v>36</v>
      </c>
      <c r="U51" s="53">
        <v>321</v>
      </c>
      <c r="V51" s="16">
        <f t="shared" si="1"/>
        <v>16</v>
      </c>
      <c r="W51" s="53">
        <v>3</v>
      </c>
      <c r="X51" s="53" t="s">
        <v>39</v>
      </c>
      <c r="Y51" s="53" t="s">
        <v>84</v>
      </c>
      <c r="Z51" s="53" t="s">
        <v>90</v>
      </c>
      <c r="AA51" s="53" t="s">
        <v>318</v>
      </c>
      <c r="AB51" s="53" t="s">
        <v>319</v>
      </c>
      <c r="AV51" s="27"/>
    </row>
    <row r="52" spans="1:48" x14ac:dyDescent="0.15">
      <c r="A52" s="53" t="s">
        <v>59</v>
      </c>
      <c r="B52" s="53" t="s">
        <v>233</v>
      </c>
      <c r="C52" s="62">
        <v>2019</v>
      </c>
      <c r="D52" s="137" t="s">
        <v>315</v>
      </c>
      <c r="E52" s="53" t="s">
        <v>332</v>
      </c>
      <c r="F52" s="53" t="s">
        <v>333</v>
      </c>
      <c r="G52" s="53" t="s">
        <v>36</v>
      </c>
      <c r="H52" s="53" t="s">
        <v>164</v>
      </c>
      <c r="I52" s="53" t="s">
        <v>159</v>
      </c>
      <c r="J52" s="53" t="s">
        <v>38</v>
      </c>
      <c r="K52" s="53" t="s">
        <v>161</v>
      </c>
      <c r="L52" s="53">
        <v>3</v>
      </c>
      <c r="N52" s="53">
        <v>5</v>
      </c>
      <c r="O52" s="53">
        <v>0.31</v>
      </c>
      <c r="P52" s="53">
        <v>0.36</v>
      </c>
      <c r="Q52" s="75">
        <f t="shared" si="2"/>
        <v>0.33499999999999996</v>
      </c>
      <c r="R52" s="53">
        <v>14.7</v>
      </c>
      <c r="S52" s="53">
        <v>89</v>
      </c>
      <c r="T52" s="16">
        <f t="shared" si="0"/>
        <v>36</v>
      </c>
      <c r="U52" s="53">
        <v>321</v>
      </c>
      <c r="V52" s="16">
        <f t="shared" si="1"/>
        <v>16</v>
      </c>
      <c r="W52" s="53">
        <v>3</v>
      </c>
      <c r="X52" s="53" t="s">
        <v>39</v>
      </c>
      <c r="Y52" s="53" t="s">
        <v>84</v>
      </c>
      <c r="Z52" s="53" t="s">
        <v>90</v>
      </c>
      <c r="AA52" s="53" t="s">
        <v>318</v>
      </c>
      <c r="AB52" s="53" t="s">
        <v>319</v>
      </c>
      <c r="AV52" s="27"/>
    </row>
    <row r="53" spans="1:48" x14ac:dyDescent="0.15">
      <c r="C53" s="62"/>
      <c r="D53" s="137"/>
      <c r="Q53" s="75"/>
      <c r="AV53" s="27"/>
    </row>
    <row r="54" spans="1:48" x14ac:dyDescent="0.15">
      <c r="C54" s="62"/>
      <c r="D54" s="137"/>
      <c r="Q54" s="75"/>
      <c r="AV54" s="27"/>
    </row>
    <row r="55" spans="1:48" x14ac:dyDescent="0.15">
      <c r="C55" s="62"/>
      <c r="D55" s="137"/>
      <c r="Q55" s="75"/>
      <c r="AV55" s="27"/>
    </row>
    <row r="56" spans="1:48" x14ac:dyDescent="0.15">
      <c r="C56" s="62"/>
      <c r="D56" s="137"/>
      <c r="Q56" s="75"/>
      <c r="AV56" s="27"/>
    </row>
    <row r="57" spans="1:48" x14ac:dyDescent="0.15">
      <c r="C57" s="62"/>
      <c r="D57" s="137"/>
      <c r="Q57" s="75"/>
      <c r="AV57" s="27"/>
    </row>
    <row r="58" spans="1:48" x14ac:dyDescent="0.15">
      <c r="C58" s="62"/>
      <c r="D58" s="137"/>
      <c r="Q58" s="75"/>
    </row>
    <row r="59" spans="1:48" x14ac:dyDescent="0.15">
      <c r="C59" s="62"/>
      <c r="D59" s="137"/>
      <c r="Q59" s="75"/>
    </row>
    <row r="60" spans="1:48" x14ac:dyDescent="0.15">
      <c r="C60" s="62"/>
      <c r="D60" s="137"/>
      <c r="Q60" s="75"/>
    </row>
    <row r="61" spans="1:48" x14ac:dyDescent="0.15">
      <c r="C61" s="62"/>
      <c r="Q61" s="75"/>
    </row>
    <row r="62" spans="1:48" x14ac:dyDescent="0.15">
      <c r="C62" s="62"/>
      <c r="Q62" s="75"/>
    </row>
    <row r="63" spans="1:48" x14ac:dyDescent="0.15">
      <c r="C63" s="62"/>
      <c r="Q63" s="75"/>
    </row>
    <row r="64" spans="1:48" x14ac:dyDescent="0.15">
      <c r="C64" s="62"/>
      <c r="Q64" s="75"/>
    </row>
    <row r="65" spans="3:22" x14ac:dyDescent="0.15">
      <c r="C65" s="62"/>
      <c r="Q65" s="75"/>
    </row>
    <row r="66" spans="3:22" x14ac:dyDescent="0.15">
      <c r="C66" s="62"/>
      <c r="Q66" s="75"/>
    </row>
    <row r="67" spans="3:22" x14ac:dyDescent="0.15">
      <c r="C67" s="62"/>
      <c r="Q67" s="75"/>
    </row>
    <row r="68" spans="3:22" x14ac:dyDescent="0.15">
      <c r="C68" s="62"/>
      <c r="Q68" s="75"/>
    </row>
    <row r="69" spans="3:22" x14ac:dyDescent="0.15">
      <c r="C69" s="62"/>
      <c r="Q69" s="75"/>
    </row>
    <row r="70" spans="3:22" x14ac:dyDescent="0.15">
      <c r="C70" s="62"/>
      <c r="Q70" s="75"/>
    </row>
    <row r="71" spans="3:22" x14ac:dyDescent="0.15">
      <c r="C71" s="62"/>
      <c r="Q71" s="75"/>
    </row>
    <row r="72" spans="3:22" x14ac:dyDescent="0.15">
      <c r="C72" s="62"/>
      <c r="Q72" s="75"/>
    </row>
    <row r="73" spans="3:22" x14ac:dyDescent="0.15">
      <c r="C73" s="62"/>
      <c r="Q73" s="75"/>
    </row>
    <row r="74" spans="3:22" x14ac:dyDescent="0.15">
      <c r="C74" s="62"/>
      <c r="Q74" s="75"/>
    </row>
    <row r="75" spans="3:22" x14ac:dyDescent="0.15">
      <c r="C75" s="62"/>
      <c r="Q75" s="75"/>
    </row>
    <row r="76" spans="3:22" x14ac:dyDescent="0.15">
      <c r="C76" s="62"/>
      <c r="Q76" s="75"/>
    </row>
    <row r="77" spans="3:22" x14ac:dyDescent="0.15">
      <c r="C77" s="62"/>
    </row>
    <row r="78" spans="3:22" x14ac:dyDescent="0.15">
      <c r="C78" s="62"/>
    </row>
    <row r="79" spans="3:22" x14ac:dyDescent="0.15">
      <c r="Q79" s="16" t="str">
        <f t="shared" ref="Q79:Q130" si="3">IF(OR(O79="",P79=""),"",AVERAGE(O79,P79))</f>
        <v/>
      </c>
      <c r="T79" s="16" t="str">
        <f t="shared" ref="T79:T130" si="4">IF(H79="","",IF(OR(H79="GREEN",H79="GK"),IF(S79&gt;=$AX$2,VLOOKUP(S79,$AX$2:$AY$12,2,1),""),IF(S79&gt;=$AZ$2,VLOOKUP(S79,$AZ$2:$BA$12,2,1),"")))</f>
        <v/>
      </c>
      <c r="V79" s="16" t="str">
        <f t="shared" ref="V79:V130" si="5">IF(J79="","",IF(OR(J79="GREEN",J79="GK"),IF(U79&gt;=$AX$2,VLOOKUP(U79,$AX$2:$AY$12,2,1),""),IF(U79&gt;=$AZ$2,VLOOKUP(U79,$AZ$2:$BA$12,2,1),"")))</f>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sheetData>
  <autoFilter ref="A1:BA130" xr:uid="{00000000-0009-0000-0000-000000000000}"/>
  <phoneticPr fontId="3"/>
  <dataValidations count="19">
    <dataValidation type="list" allowBlank="1" showInputMessage="1" showErrorMessage="1" sqref="K2:K412" xr:uid="{B99B7513-84B0-4698-9F29-B59693F36B14}">
      <formula1>$AR$2:$AR$27</formula1>
    </dataValidation>
    <dataValidation type="list" allowBlank="1" showInputMessage="1" showErrorMessage="1" sqref="E2:E470" xr:uid="{1103C11B-AF8D-4ABC-B14D-CB8FA3D68470}">
      <formula1>$AG$2:$AG$11</formula1>
    </dataValidation>
    <dataValidation type="list" allowBlank="1" showInputMessage="1" showErrorMessage="1" sqref="H2:H470" xr:uid="{D8F0B12F-7E5A-48C3-9C11-115706722040}">
      <formula1>$AL$2:$AL$8</formula1>
    </dataValidation>
    <dataValidation type="decimal" allowBlank="1" showInputMessage="1" showErrorMessage="1" error="硬度を正しく入力して下さい。" sqref="O2:P470" xr:uid="{5938E6D1-0163-43FB-9A61-B42B1FBFF0F9}">
      <formula1>0</formula1>
      <formula2>7</formula2>
    </dataValidation>
    <dataValidation type="list" allowBlank="1" showInputMessage="1" showErrorMessage="1" sqref="F2:F1424" xr:uid="{36090760-1D13-4202-8A8A-1EF5BE415985}">
      <formula1>$AH$2:$AH$11</formula1>
    </dataValidation>
    <dataValidation type="list" allowBlank="1" showInputMessage="1" showErrorMessage="1" sqref="Y2:AA561" xr:uid="{F4313DD4-BBCA-4DFB-B08D-05C2B35D151C}">
      <formula1>$AV$2:$AV$38</formula1>
    </dataValidation>
    <dataValidation type="list" allowBlank="1" showInputMessage="1" showErrorMessage="1" sqref="J2:J57" xr:uid="{B795B53E-9847-4376-AC47-CBBF2B74710C}">
      <formula1>$AP$2:$AP$38</formula1>
    </dataValidation>
    <dataValidation type="list" allowBlank="1" showInputMessage="1" showErrorMessage="1" sqref="WVS983012:WVS983077 K65508:K65573 JG65508:JG65573 TC65508:TC65573 ACY65508:ACY65573 AMU65508:AMU65573 AWQ65508:AWQ65573 BGM65508:BGM65573 BQI65508:BQI65573 CAE65508:CAE65573 CKA65508:CKA65573 CTW65508:CTW65573 DDS65508:DDS65573 DNO65508:DNO65573 DXK65508:DXK65573 EHG65508:EHG65573 ERC65508:ERC65573 FAY65508:FAY65573 FKU65508:FKU65573 FUQ65508:FUQ65573 GEM65508:GEM65573 GOI65508:GOI65573 GYE65508:GYE65573 HIA65508:HIA65573 HRW65508:HRW65573 IBS65508:IBS65573 ILO65508:ILO65573 IVK65508:IVK65573 JFG65508:JFG65573 JPC65508:JPC65573 JYY65508:JYY65573 KIU65508:KIU65573 KSQ65508:KSQ65573 LCM65508:LCM65573 LMI65508:LMI65573 LWE65508:LWE65573 MGA65508:MGA65573 MPW65508:MPW65573 MZS65508:MZS65573 NJO65508:NJO65573 NTK65508:NTK65573 ODG65508:ODG65573 ONC65508:ONC65573 OWY65508:OWY65573 PGU65508:PGU65573 PQQ65508:PQQ65573 QAM65508:QAM65573 QKI65508:QKI65573 QUE65508:QUE65573 REA65508:REA65573 RNW65508:RNW65573 RXS65508:RXS65573 SHO65508:SHO65573 SRK65508:SRK65573 TBG65508:TBG65573 TLC65508:TLC65573 TUY65508:TUY65573 UEU65508:UEU65573 UOQ65508:UOQ65573 UYM65508:UYM65573 VII65508:VII65573 VSE65508:VSE65573 WCA65508:WCA65573 WLW65508:WLW65573 WVS65508:WVS65573 K131044:K131109 JG131044:JG131109 TC131044:TC131109 ACY131044:ACY131109 AMU131044:AMU131109 AWQ131044:AWQ131109 BGM131044:BGM131109 BQI131044:BQI131109 CAE131044:CAE131109 CKA131044:CKA131109 CTW131044:CTW131109 DDS131044:DDS131109 DNO131044:DNO131109 DXK131044:DXK131109 EHG131044:EHG131109 ERC131044:ERC131109 FAY131044:FAY131109 FKU131044:FKU131109 FUQ131044:FUQ131109 GEM131044:GEM131109 GOI131044:GOI131109 GYE131044:GYE131109 HIA131044:HIA131109 HRW131044:HRW131109 IBS131044:IBS131109 ILO131044:ILO131109 IVK131044:IVK131109 JFG131044:JFG131109 JPC131044:JPC131109 JYY131044:JYY131109 KIU131044:KIU131109 KSQ131044:KSQ131109 LCM131044:LCM131109 LMI131044:LMI131109 LWE131044:LWE131109 MGA131044:MGA131109 MPW131044:MPW131109 MZS131044:MZS131109 NJO131044:NJO131109 NTK131044:NTK131109 ODG131044:ODG131109 ONC131044:ONC131109 OWY131044:OWY131109 PGU131044:PGU131109 PQQ131044:PQQ131109 QAM131044:QAM131109 QKI131044:QKI131109 QUE131044:QUE131109 REA131044:REA131109 RNW131044:RNW131109 RXS131044:RXS131109 SHO131044:SHO131109 SRK131044:SRK131109 TBG131044:TBG131109 TLC131044:TLC131109 TUY131044:TUY131109 UEU131044:UEU131109 UOQ131044:UOQ131109 UYM131044:UYM131109 VII131044:VII131109 VSE131044:VSE131109 WCA131044:WCA131109 WLW131044:WLW131109 WVS131044:WVS131109 K196580:K196645 JG196580:JG196645 TC196580:TC196645 ACY196580:ACY196645 AMU196580:AMU196645 AWQ196580:AWQ196645 BGM196580:BGM196645 BQI196580:BQI196645 CAE196580:CAE196645 CKA196580:CKA196645 CTW196580:CTW196645 DDS196580:DDS196645 DNO196580:DNO196645 DXK196580:DXK196645 EHG196580:EHG196645 ERC196580:ERC196645 FAY196580:FAY196645 FKU196580:FKU196645 FUQ196580:FUQ196645 GEM196580:GEM196645 GOI196580:GOI196645 GYE196580:GYE196645 HIA196580:HIA196645 HRW196580:HRW196645 IBS196580:IBS196645 ILO196580:ILO196645 IVK196580:IVK196645 JFG196580:JFG196645 JPC196580:JPC196645 JYY196580:JYY196645 KIU196580:KIU196645 KSQ196580:KSQ196645 LCM196580:LCM196645 LMI196580:LMI196645 LWE196580:LWE196645 MGA196580:MGA196645 MPW196580:MPW196645 MZS196580:MZS196645 NJO196580:NJO196645 NTK196580:NTK196645 ODG196580:ODG196645 ONC196580:ONC196645 OWY196580:OWY196645 PGU196580:PGU196645 PQQ196580:PQQ196645 QAM196580:QAM196645 QKI196580:QKI196645 QUE196580:QUE196645 REA196580:REA196645 RNW196580:RNW196645 RXS196580:RXS196645 SHO196580:SHO196645 SRK196580:SRK196645 TBG196580:TBG196645 TLC196580:TLC196645 TUY196580:TUY196645 UEU196580:UEU196645 UOQ196580:UOQ196645 UYM196580:UYM196645 VII196580:VII196645 VSE196580:VSE196645 WCA196580:WCA196645 WLW196580:WLW196645 WVS196580:WVS196645 K262116:K262181 JG262116:JG262181 TC262116:TC262181 ACY262116:ACY262181 AMU262116:AMU262181 AWQ262116:AWQ262181 BGM262116:BGM262181 BQI262116:BQI262181 CAE262116:CAE262181 CKA262116:CKA262181 CTW262116:CTW262181 DDS262116:DDS262181 DNO262116:DNO262181 DXK262116:DXK262181 EHG262116:EHG262181 ERC262116:ERC262181 FAY262116:FAY262181 FKU262116:FKU262181 FUQ262116:FUQ262181 GEM262116:GEM262181 GOI262116:GOI262181 GYE262116:GYE262181 HIA262116:HIA262181 HRW262116:HRW262181 IBS262116:IBS262181 ILO262116:ILO262181 IVK262116:IVK262181 JFG262116:JFG262181 JPC262116:JPC262181 JYY262116:JYY262181 KIU262116:KIU262181 KSQ262116:KSQ262181 LCM262116:LCM262181 LMI262116:LMI262181 LWE262116:LWE262181 MGA262116:MGA262181 MPW262116:MPW262181 MZS262116:MZS262181 NJO262116:NJO262181 NTK262116:NTK262181 ODG262116:ODG262181 ONC262116:ONC262181 OWY262116:OWY262181 PGU262116:PGU262181 PQQ262116:PQQ262181 QAM262116:QAM262181 QKI262116:QKI262181 QUE262116:QUE262181 REA262116:REA262181 RNW262116:RNW262181 RXS262116:RXS262181 SHO262116:SHO262181 SRK262116:SRK262181 TBG262116:TBG262181 TLC262116:TLC262181 TUY262116:TUY262181 UEU262116:UEU262181 UOQ262116:UOQ262181 UYM262116:UYM262181 VII262116:VII262181 VSE262116:VSE262181 WCA262116:WCA262181 WLW262116:WLW262181 WVS262116:WVS262181 K327652:K327717 JG327652:JG327717 TC327652:TC327717 ACY327652:ACY327717 AMU327652:AMU327717 AWQ327652:AWQ327717 BGM327652:BGM327717 BQI327652:BQI327717 CAE327652:CAE327717 CKA327652:CKA327717 CTW327652:CTW327717 DDS327652:DDS327717 DNO327652:DNO327717 DXK327652:DXK327717 EHG327652:EHG327717 ERC327652:ERC327717 FAY327652:FAY327717 FKU327652:FKU327717 FUQ327652:FUQ327717 GEM327652:GEM327717 GOI327652:GOI327717 GYE327652:GYE327717 HIA327652:HIA327717 HRW327652:HRW327717 IBS327652:IBS327717 ILO327652:ILO327717 IVK327652:IVK327717 JFG327652:JFG327717 JPC327652:JPC327717 JYY327652:JYY327717 KIU327652:KIU327717 KSQ327652:KSQ327717 LCM327652:LCM327717 LMI327652:LMI327717 LWE327652:LWE327717 MGA327652:MGA327717 MPW327652:MPW327717 MZS327652:MZS327717 NJO327652:NJO327717 NTK327652:NTK327717 ODG327652:ODG327717 ONC327652:ONC327717 OWY327652:OWY327717 PGU327652:PGU327717 PQQ327652:PQQ327717 QAM327652:QAM327717 QKI327652:QKI327717 QUE327652:QUE327717 REA327652:REA327717 RNW327652:RNW327717 RXS327652:RXS327717 SHO327652:SHO327717 SRK327652:SRK327717 TBG327652:TBG327717 TLC327652:TLC327717 TUY327652:TUY327717 UEU327652:UEU327717 UOQ327652:UOQ327717 UYM327652:UYM327717 VII327652:VII327717 VSE327652:VSE327717 WCA327652:WCA327717 WLW327652:WLW327717 WVS327652:WVS327717 K393188:K393253 JG393188:JG393253 TC393188:TC393253 ACY393188:ACY393253 AMU393188:AMU393253 AWQ393188:AWQ393253 BGM393188:BGM393253 BQI393188:BQI393253 CAE393188:CAE393253 CKA393188:CKA393253 CTW393188:CTW393253 DDS393188:DDS393253 DNO393188:DNO393253 DXK393188:DXK393253 EHG393188:EHG393253 ERC393188:ERC393253 FAY393188:FAY393253 FKU393188:FKU393253 FUQ393188:FUQ393253 GEM393188:GEM393253 GOI393188:GOI393253 GYE393188:GYE393253 HIA393188:HIA393253 HRW393188:HRW393253 IBS393188:IBS393253 ILO393188:ILO393253 IVK393188:IVK393253 JFG393188:JFG393253 JPC393188:JPC393253 JYY393188:JYY393253 KIU393188:KIU393253 KSQ393188:KSQ393253 LCM393188:LCM393253 LMI393188:LMI393253 LWE393188:LWE393253 MGA393188:MGA393253 MPW393188:MPW393253 MZS393188:MZS393253 NJO393188:NJO393253 NTK393188:NTK393253 ODG393188:ODG393253 ONC393188:ONC393253 OWY393188:OWY393253 PGU393188:PGU393253 PQQ393188:PQQ393253 QAM393188:QAM393253 QKI393188:QKI393253 QUE393188:QUE393253 REA393188:REA393253 RNW393188:RNW393253 RXS393188:RXS393253 SHO393188:SHO393253 SRK393188:SRK393253 TBG393188:TBG393253 TLC393188:TLC393253 TUY393188:TUY393253 UEU393188:UEU393253 UOQ393188:UOQ393253 UYM393188:UYM393253 VII393188:VII393253 VSE393188:VSE393253 WCA393188:WCA393253 WLW393188:WLW393253 WVS393188:WVS393253 K458724:K458789 JG458724:JG458789 TC458724:TC458789 ACY458724:ACY458789 AMU458724:AMU458789 AWQ458724:AWQ458789 BGM458724:BGM458789 BQI458724:BQI458789 CAE458724:CAE458789 CKA458724:CKA458789 CTW458724:CTW458789 DDS458724:DDS458789 DNO458724:DNO458789 DXK458724:DXK458789 EHG458724:EHG458789 ERC458724:ERC458789 FAY458724:FAY458789 FKU458724:FKU458789 FUQ458724:FUQ458789 GEM458724:GEM458789 GOI458724:GOI458789 GYE458724:GYE458789 HIA458724:HIA458789 HRW458724:HRW458789 IBS458724:IBS458789 ILO458724:ILO458789 IVK458724:IVK458789 JFG458724:JFG458789 JPC458724:JPC458789 JYY458724:JYY458789 KIU458724:KIU458789 KSQ458724:KSQ458789 LCM458724:LCM458789 LMI458724:LMI458789 LWE458724:LWE458789 MGA458724:MGA458789 MPW458724:MPW458789 MZS458724:MZS458789 NJO458724:NJO458789 NTK458724:NTK458789 ODG458724:ODG458789 ONC458724:ONC458789 OWY458724:OWY458789 PGU458724:PGU458789 PQQ458724:PQQ458789 QAM458724:QAM458789 QKI458724:QKI458789 QUE458724:QUE458789 REA458724:REA458789 RNW458724:RNW458789 RXS458724:RXS458789 SHO458724:SHO458789 SRK458724:SRK458789 TBG458724:TBG458789 TLC458724:TLC458789 TUY458724:TUY458789 UEU458724:UEU458789 UOQ458724:UOQ458789 UYM458724:UYM458789 VII458724:VII458789 VSE458724:VSE458789 WCA458724:WCA458789 WLW458724:WLW458789 WVS458724:WVS458789 K524260:K524325 JG524260:JG524325 TC524260:TC524325 ACY524260:ACY524325 AMU524260:AMU524325 AWQ524260:AWQ524325 BGM524260:BGM524325 BQI524260:BQI524325 CAE524260:CAE524325 CKA524260:CKA524325 CTW524260:CTW524325 DDS524260:DDS524325 DNO524260:DNO524325 DXK524260:DXK524325 EHG524260:EHG524325 ERC524260:ERC524325 FAY524260:FAY524325 FKU524260:FKU524325 FUQ524260:FUQ524325 GEM524260:GEM524325 GOI524260:GOI524325 GYE524260:GYE524325 HIA524260:HIA524325 HRW524260:HRW524325 IBS524260:IBS524325 ILO524260:ILO524325 IVK524260:IVK524325 JFG524260:JFG524325 JPC524260:JPC524325 JYY524260:JYY524325 KIU524260:KIU524325 KSQ524260:KSQ524325 LCM524260:LCM524325 LMI524260:LMI524325 LWE524260:LWE524325 MGA524260:MGA524325 MPW524260:MPW524325 MZS524260:MZS524325 NJO524260:NJO524325 NTK524260:NTK524325 ODG524260:ODG524325 ONC524260:ONC524325 OWY524260:OWY524325 PGU524260:PGU524325 PQQ524260:PQQ524325 QAM524260:QAM524325 QKI524260:QKI524325 QUE524260:QUE524325 REA524260:REA524325 RNW524260:RNW524325 RXS524260:RXS524325 SHO524260:SHO524325 SRK524260:SRK524325 TBG524260:TBG524325 TLC524260:TLC524325 TUY524260:TUY524325 UEU524260:UEU524325 UOQ524260:UOQ524325 UYM524260:UYM524325 VII524260:VII524325 VSE524260:VSE524325 WCA524260:WCA524325 WLW524260:WLW524325 WVS524260:WVS524325 K589796:K589861 JG589796:JG589861 TC589796:TC589861 ACY589796:ACY589861 AMU589796:AMU589861 AWQ589796:AWQ589861 BGM589796:BGM589861 BQI589796:BQI589861 CAE589796:CAE589861 CKA589796:CKA589861 CTW589796:CTW589861 DDS589796:DDS589861 DNO589796:DNO589861 DXK589796:DXK589861 EHG589796:EHG589861 ERC589796:ERC589861 FAY589796:FAY589861 FKU589796:FKU589861 FUQ589796:FUQ589861 GEM589796:GEM589861 GOI589796:GOI589861 GYE589796:GYE589861 HIA589796:HIA589861 HRW589796:HRW589861 IBS589796:IBS589861 ILO589796:ILO589861 IVK589796:IVK589861 JFG589796:JFG589861 JPC589796:JPC589861 JYY589796:JYY589861 KIU589796:KIU589861 KSQ589796:KSQ589861 LCM589796:LCM589861 LMI589796:LMI589861 LWE589796:LWE589861 MGA589796:MGA589861 MPW589796:MPW589861 MZS589796:MZS589861 NJO589796:NJO589861 NTK589796:NTK589861 ODG589796:ODG589861 ONC589796:ONC589861 OWY589796:OWY589861 PGU589796:PGU589861 PQQ589796:PQQ589861 QAM589796:QAM589861 QKI589796:QKI589861 QUE589796:QUE589861 REA589796:REA589861 RNW589796:RNW589861 RXS589796:RXS589861 SHO589796:SHO589861 SRK589796:SRK589861 TBG589796:TBG589861 TLC589796:TLC589861 TUY589796:TUY589861 UEU589796:UEU589861 UOQ589796:UOQ589861 UYM589796:UYM589861 VII589796:VII589861 VSE589796:VSE589861 WCA589796:WCA589861 WLW589796:WLW589861 WVS589796:WVS589861 K655332:K655397 JG655332:JG655397 TC655332:TC655397 ACY655332:ACY655397 AMU655332:AMU655397 AWQ655332:AWQ655397 BGM655332:BGM655397 BQI655332:BQI655397 CAE655332:CAE655397 CKA655332:CKA655397 CTW655332:CTW655397 DDS655332:DDS655397 DNO655332:DNO655397 DXK655332:DXK655397 EHG655332:EHG655397 ERC655332:ERC655397 FAY655332:FAY655397 FKU655332:FKU655397 FUQ655332:FUQ655397 GEM655332:GEM655397 GOI655332:GOI655397 GYE655332:GYE655397 HIA655332:HIA655397 HRW655332:HRW655397 IBS655332:IBS655397 ILO655332:ILO655397 IVK655332:IVK655397 JFG655332:JFG655397 JPC655332:JPC655397 JYY655332:JYY655397 KIU655332:KIU655397 KSQ655332:KSQ655397 LCM655332:LCM655397 LMI655332:LMI655397 LWE655332:LWE655397 MGA655332:MGA655397 MPW655332:MPW655397 MZS655332:MZS655397 NJO655332:NJO655397 NTK655332:NTK655397 ODG655332:ODG655397 ONC655332:ONC655397 OWY655332:OWY655397 PGU655332:PGU655397 PQQ655332:PQQ655397 QAM655332:QAM655397 QKI655332:QKI655397 QUE655332:QUE655397 REA655332:REA655397 RNW655332:RNW655397 RXS655332:RXS655397 SHO655332:SHO655397 SRK655332:SRK655397 TBG655332:TBG655397 TLC655332:TLC655397 TUY655332:TUY655397 UEU655332:UEU655397 UOQ655332:UOQ655397 UYM655332:UYM655397 VII655332:VII655397 VSE655332:VSE655397 WCA655332:WCA655397 WLW655332:WLW655397 WVS655332:WVS655397 K720868:K720933 JG720868:JG720933 TC720868:TC720933 ACY720868:ACY720933 AMU720868:AMU720933 AWQ720868:AWQ720933 BGM720868:BGM720933 BQI720868:BQI720933 CAE720868:CAE720933 CKA720868:CKA720933 CTW720868:CTW720933 DDS720868:DDS720933 DNO720868:DNO720933 DXK720868:DXK720933 EHG720868:EHG720933 ERC720868:ERC720933 FAY720868:FAY720933 FKU720868:FKU720933 FUQ720868:FUQ720933 GEM720868:GEM720933 GOI720868:GOI720933 GYE720868:GYE720933 HIA720868:HIA720933 HRW720868:HRW720933 IBS720868:IBS720933 ILO720868:ILO720933 IVK720868:IVK720933 JFG720868:JFG720933 JPC720868:JPC720933 JYY720868:JYY720933 KIU720868:KIU720933 KSQ720868:KSQ720933 LCM720868:LCM720933 LMI720868:LMI720933 LWE720868:LWE720933 MGA720868:MGA720933 MPW720868:MPW720933 MZS720868:MZS720933 NJO720868:NJO720933 NTK720868:NTK720933 ODG720868:ODG720933 ONC720868:ONC720933 OWY720868:OWY720933 PGU720868:PGU720933 PQQ720868:PQQ720933 QAM720868:QAM720933 QKI720868:QKI720933 QUE720868:QUE720933 REA720868:REA720933 RNW720868:RNW720933 RXS720868:RXS720933 SHO720868:SHO720933 SRK720868:SRK720933 TBG720868:TBG720933 TLC720868:TLC720933 TUY720868:TUY720933 UEU720868:UEU720933 UOQ720868:UOQ720933 UYM720868:UYM720933 VII720868:VII720933 VSE720868:VSE720933 WCA720868:WCA720933 WLW720868:WLW720933 WVS720868:WVS720933 K786404:K786469 JG786404:JG786469 TC786404:TC786469 ACY786404:ACY786469 AMU786404:AMU786469 AWQ786404:AWQ786469 BGM786404:BGM786469 BQI786404:BQI786469 CAE786404:CAE786469 CKA786404:CKA786469 CTW786404:CTW786469 DDS786404:DDS786469 DNO786404:DNO786469 DXK786404:DXK786469 EHG786404:EHG786469 ERC786404:ERC786469 FAY786404:FAY786469 FKU786404:FKU786469 FUQ786404:FUQ786469 GEM786404:GEM786469 GOI786404:GOI786469 GYE786404:GYE786469 HIA786404:HIA786469 HRW786404:HRW786469 IBS786404:IBS786469 ILO786404:ILO786469 IVK786404:IVK786469 JFG786404:JFG786469 JPC786404:JPC786469 JYY786404:JYY786469 KIU786404:KIU786469 KSQ786404:KSQ786469 LCM786404:LCM786469 LMI786404:LMI786469 LWE786404:LWE786469 MGA786404:MGA786469 MPW786404:MPW786469 MZS786404:MZS786469 NJO786404:NJO786469 NTK786404:NTK786469 ODG786404:ODG786469 ONC786404:ONC786469 OWY786404:OWY786469 PGU786404:PGU786469 PQQ786404:PQQ786469 QAM786404:QAM786469 QKI786404:QKI786469 QUE786404:QUE786469 REA786404:REA786469 RNW786404:RNW786469 RXS786404:RXS786469 SHO786404:SHO786469 SRK786404:SRK786469 TBG786404:TBG786469 TLC786404:TLC786469 TUY786404:TUY786469 UEU786404:UEU786469 UOQ786404:UOQ786469 UYM786404:UYM786469 VII786404:VII786469 VSE786404:VSE786469 WCA786404:WCA786469 WLW786404:WLW786469 WVS786404:WVS786469 K851940:K852005 JG851940:JG852005 TC851940:TC852005 ACY851940:ACY852005 AMU851940:AMU852005 AWQ851940:AWQ852005 BGM851940:BGM852005 BQI851940:BQI852005 CAE851940:CAE852005 CKA851940:CKA852005 CTW851940:CTW852005 DDS851940:DDS852005 DNO851940:DNO852005 DXK851940:DXK852005 EHG851940:EHG852005 ERC851940:ERC852005 FAY851940:FAY852005 FKU851940:FKU852005 FUQ851940:FUQ852005 GEM851940:GEM852005 GOI851940:GOI852005 GYE851940:GYE852005 HIA851940:HIA852005 HRW851940:HRW852005 IBS851940:IBS852005 ILO851940:ILO852005 IVK851940:IVK852005 JFG851940:JFG852005 JPC851940:JPC852005 JYY851940:JYY852005 KIU851940:KIU852005 KSQ851940:KSQ852005 LCM851940:LCM852005 LMI851940:LMI852005 LWE851940:LWE852005 MGA851940:MGA852005 MPW851940:MPW852005 MZS851940:MZS852005 NJO851940:NJO852005 NTK851940:NTK852005 ODG851940:ODG852005 ONC851940:ONC852005 OWY851940:OWY852005 PGU851940:PGU852005 PQQ851940:PQQ852005 QAM851940:QAM852005 QKI851940:QKI852005 QUE851940:QUE852005 REA851940:REA852005 RNW851940:RNW852005 RXS851940:RXS852005 SHO851940:SHO852005 SRK851940:SRK852005 TBG851940:TBG852005 TLC851940:TLC852005 TUY851940:TUY852005 UEU851940:UEU852005 UOQ851940:UOQ852005 UYM851940:UYM852005 VII851940:VII852005 VSE851940:VSE852005 WCA851940:WCA852005 WLW851940:WLW852005 WVS851940:WVS852005 K917476:K917541 JG917476:JG917541 TC917476:TC917541 ACY917476:ACY917541 AMU917476:AMU917541 AWQ917476:AWQ917541 BGM917476:BGM917541 BQI917476:BQI917541 CAE917476:CAE917541 CKA917476:CKA917541 CTW917476:CTW917541 DDS917476:DDS917541 DNO917476:DNO917541 DXK917476:DXK917541 EHG917476:EHG917541 ERC917476:ERC917541 FAY917476:FAY917541 FKU917476:FKU917541 FUQ917476:FUQ917541 GEM917476:GEM917541 GOI917476:GOI917541 GYE917476:GYE917541 HIA917476:HIA917541 HRW917476:HRW917541 IBS917476:IBS917541 ILO917476:ILO917541 IVK917476:IVK917541 JFG917476:JFG917541 JPC917476:JPC917541 JYY917476:JYY917541 KIU917476:KIU917541 KSQ917476:KSQ917541 LCM917476:LCM917541 LMI917476:LMI917541 LWE917476:LWE917541 MGA917476:MGA917541 MPW917476:MPW917541 MZS917476:MZS917541 NJO917476:NJO917541 NTK917476:NTK917541 ODG917476:ODG917541 ONC917476:ONC917541 OWY917476:OWY917541 PGU917476:PGU917541 PQQ917476:PQQ917541 QAM917476:QAM917541 QKI917476:QKI917541 QUE917476:QUE917541 REA917476:REA917541 RNW917476:RNW917541 RXS917476:RXS917541 SHO917476:SHO917541 SRK917476:SRK917541 TBG917476:TBG917541 TLC917476:TLC917541 TUY917476:TUY917541 UEU917476:UEU917541 UOQ917476:UOQ917541 UYM917476:UYM917541 VII917476:VII917541 VSE917476:VSE917541 WCA917476:WCA917541 WLW917476:WLW917541 WVS917476:WVS917541 K983012:K983077 JG983012:JG983077 TC983012:TC983077 ACY983012:ACY983077 AMU983012:AMU983077 AWQ983012:AWQ983077 BGM983012:BGM983077 BQI983012:BQI983077 CAE983012:CAE983077 CKA983012:CKA983077 CTW983012:CTW983077 DDS983012:DDS983077 DNO983012:DNO983077 DXK983012:DXK983077 EHG983012:EHG983077 ERC983012:ERC983077 FAY983012:FAY983077 FKU983012:FKU983077 FUQ983012:FUQ983077 GEM983012:GEM983077 GOI983012:GOI983077 GYE983012:GYE983077 HIA983012:HIA983077 HRW983012:HRW983077 IBS983012:IBS983077 ILO983012:ILO983077 IVK983012:IVK983077 JFG983012:JFG983077 JPC983012:JPC983077 JYY983012:JYY983077 KIU983012:KIU983077 KSQ983012:KSQ983077 LCM983012:LCM983077 LMI983012:LMI983077 LWE983012:LWE983077 MGA983012:MGA983077 MPW983012:MPW983077 MZS983012:MZS983077 NJO983012:NJO983077 NTK983012:NTK983077 ODG983012:ODG983077 ONC983012:ONC983077 OWY983012:OWY983077 PGU983012:PGU983077 PQQ983012:PQQ983077 QAM983012:QAM983077 QKI983012:QKI983077 QUE983012:QUE983077 REA983012:REA983077 RNW983012:RNW983077 RXS983012:RXS983077 SHO983012:SHO983077 SRK983012:SRK983077 TBG983012:TBG983077 TLC983012:TLC983077 TUY983012:TUY983077 UEU983012:UEU983077 UOQ983012:UOQ983077 UYM983012:UYM983077 VII983012:VII983077 VSE983012:VSE983077 WCA983012:WCA983077 WLW983012:WLW983077 K413:K470 JG2:JG57 TC2:TC57 ACY2:ACY57 AMU2:AMU57 AWQ2:AWQ57 BGM2:BGM57 BQI2:BQI57 CAE2:CAE57 CKA2:CKA57 CTW2:CTW57 DDS2:DDS57 DNO2:DNO57 DXK2:DXK57 EHG2:EHG57 ERC2:ERC57 FAY2:FAY57 FKU2:FKU57 FUQ2:FUQ57 GEM2:GEM57 GOI2:GOI57 GYE2:GYE57 HIA2:HIA57 HRW2:HRW57 IBS2:IBS57 ILO2:ILO57 IVK2:IVK57 JFG2:JFG57 JPC2:JPC57 JYY2:JYY57 KIU2:KIU57 KSQ2:KSQ57 LCM2:LCM57 LMI2:LMI57 LWE2:LWE57 MGA2:MGA57 MPW2:MPW57 MZS2:MZS57 NJO2:NJO57 NTK2:NTK57 ODG2:ODG57 ONC2:ONC57 OWY2:OWY57 PGU2:PGU57 PQQ2:PQQ57 QAM2:QAM57 QKI2:QKI57 QUE2:QUE57 REA2:REA57 RNW2:RNW57 RXS2:RXS57 SHO2:SHO57 SRK2:SRK57 TBG2:TBG57 TLC2:TLC57 TUY2:TUY57 UEU2:UEU57 UOQ2:UOQ57 UYM2:UYM57 VII2:VII57 VSE2:VSE57 WCA2:WCA57 WLW2:WLW57 WVS2:WVS57" xr:uid="{317DB9BD-C3FD-4C64-AABD-74E099689824}">
      <formula1>$AR$2:$AR$25</formula1>
    </dataValidation>
    <dataValidation type="list" allowBlank="1" showInputMessage="1" showErrorMessage="1" sqref="WVR983012:WVR983077 J65508:J65573 JF65508:JF65573 TB65508:TB65573 ACX65508:ACX65573 AMT65508:AMT65573 AWP65508:AWP65573 BGL65508:BGL65573 BQH65508:BQH65573 CAD65508:CAD65573 CJZ65508:CJZ65573 CTV65508:CTV65573 DDR65508:DDR65573 DNN65508:DNN65573 DXJ65508:DXJ65573 EHF65508:EHF65573 ERB65508:ERB65573 FAX65508:FAX65573 FKT65508:FKT65573 FUP65508:FUP65573 GEL65508:GEL65573 GOH65508:GOH65573 GYD65508:GYD65573 HHZ65508:HHZ65573 HRV65508:HRV65573 IBR65508:IBR65573 ILN65508:ILN65573 IVJ65508:IVJ65573 JFF65508:JFF65573 JPB65508:JPB65573 JYX65508:JYX65573 KIT65508:KIT65573 KSP65508:KSP65573 LCL65508:LCL65573 LMH65508:LMH65573 LWD65508:LWD65573 MFZ65508:MFZ65573 MPV65508:MPV65573 MZR65508:MZR65573 NJN65508:NJN65573 NTJ65508:NTJ65573 ODF65508:ODF65573 ONB65508:ONB65573 OWX65508:OWX65573 PGT65508:PGT65573 PQP65508:PQP65573 QAL65508:QAL65573 QKH65508:QKH65573 QUD65508:QUD65573 RDZ65508:RDZ65573 RNV65508:RNV65573 RXR65508:RXR65573 SHN65508:SHN65573 SRJ65508:SRJ65573 TBF65508:TBF65573 TLB65508:TLB65573 TUX65508:TUX65573 UET65508:UET65573 UOP65508:UOP65573 UYL65508:UYL65573 VIH65508:VIH65573 VSD65508:VSD65573 WBZ65508:WBZ65573 WLV65508:WLV65573 WVR65508:WVR65573 J131044:J131109 JF131044:JF131109 TB131044:TB131109 ACX131044:ACX131109 AMT131044:AMT131109 AWP131044:AWP131109 BGL131044:BGL131109 BQH131044:BQH131109 CAD131044:CAD131109 CJZ131044:CJZ131109 CTV131044:CTV131109 DDR131044:DDR131109 DNN131044:DNN131109 DXJ131044:DXJ131109 EHF131044:EHF131109 ERB131044:ERB131109 FAX131044:FAX131109 FKT131044:FKT131109 FUP131044:FUP131109 GEL131044:GEL131109 GOH131044:GOH131109 GYD131044:GYD131109 HHZ131044:HHZ131109 HRV131044:HRV131109 IBR131044:IBR131109 ILN131044:ILN131109 IVJ131044:IVJ131109 JFF131044:JFF131109 JPB131044:JPB131109 JYX131044:JYX131109 KIT131044:KIT131109 KSP131044:KSP131109 LCL131044:LCL131109 LMH131044:LMH131109 LWD131044:LWD131109 MFZ131044:MFZ131109 MPV131044:MPV131109 MZR131044:MZR131109 NJN131044:NJN131109 NTJ131044:NTJ131109 ODF131044:ODF131109 ONB131044:ONB131109 OWX131044:OWX131109 PGT131044:PGT131109 PQP131044:PQP131109 QAL131044:QAL131109 QKH131044:QKH131109 QUD131044:QUD131109 RDZ131044:RDZ131109 RNV131044:RNV131109 RXR131044:RXR131109 SHN131044:SHN131109 SRJ131044:SRJ131109 TBF131044:TBF131109 TLB131044:TLB131109 TUX131044:TUX131109 UET131044:UET131109 UOP131044:UOP131109 UYL131044:UYL131109 VIH131044:VIH131109 VSD131044:VSD131109 WBZ131044:WBZ131109 WLV131044:WLV131109 WVR131044:WVR131109 J196580:J196645 JF196580:JF196645 TB196580:TB196645 ACX196580:ACX196645 AMT196580:AMT196645 AWP196580:AWP196645 BGL196580:BGL196645 BQH196580:BQH196645 CAD196580:CAD196645 CJZ196580:CJZ196645 CTV196580:CTV196645 DDR196580:DDR196645 DNN196580:DNN196645 DXJ196580:DXJ196645 EHF196580:EHF196645 ERB196580:ERB196645 FAX196580:FAX196645 FKT196580:FKT196645 FUP196580:FUP196645 GEL196580:GEL196645 GOH196580:GOH196645 GYD196580:GYD196645 HHZ196580:HHZ196645 HRV196580:HRV196645 IBR196580:IBR196645 ILN196580:ILN196645 IVJ196580:IVJ196645 JFF196580:JFF196645 JPB196580:JPB196645 JYX196580:JYX196645 KIT196580:KIT196645 KSP196580:KSP196645 LCL196580:LCL196645 LMH196580:LMH196645 LWD196580:LWD196645 MFZ196580:MFZ196645 MPV196580:MPV196645 MZR196580:MZR196645 NJN196580:NJN196645 NTJ196580:NTJ196645 ODF196580:ODF196645 ONB196580:ONB196645 OWX196580:OWX196645 PGT196580:PGT196645 PQP196580:PQP196645 QAL196580:QAL196645 QKH196580:QKH196645 QUD196580:QUD196645 RDZ196580:RDZ196645 RNV196580:RNV196645 RXR196580:RXR196645 SHN196580:SHN196645 SRJ196580:SRJ196645 TBF196580:TBF196645 TLB196580:TLB196645 TUX196580:TUX196645 UET196580:UET196645 UOP196580:UOP196645 UYL196580:UYL196645 VIH196580:VIH196645 VSD196580:VSD196645 WBZ196580:WBZ196645 WLV196580:WLV196645 WVR196580:WVR196645 J262116:J262181 JF262116:JF262181 TB262116:TB262181 ACX262116:ACX262181 AMT262116:AMT262181 AWP262116:AWP262181 BGL262116:BGL262181 BQH262116:BQH262181 CAD262116:CAD262181 CJZ262116:CJZ262181 CTV262116:CTV262181 DDR262116:DDR262181 DNN262116:DNN262181 DXJ262116:DXJ262181 EHF262116:EHF262181 ERB262116:ERB262181 FAX262116:FAX262181 FKT262116:FKT262181 FUP262116:FUP262181 GEL262116:GEL262181 GOH262116:GOH262181 GYD262116:GYD262181 HHZ262116:HHZ262181 HRV262116:HRV262181 IBR262116:IBR262181 ILN262116:ILN262181 IVJ262116:IVJ262181 JFF262116:JFF262181 JPB262116:JPB262181 JYX262116:JYX262181 KIT262116:KIT262181 KSP262116:KSP262181 LCL262116:LCL262181 LMH262116:LMH262181 LWD262116:LWD262181 MFZ262116:MFZ262181 MPV262116:MPV262181 MZR262116:MZR262181 NJN262116:NJN262181 NTJ262116:NTJ262181 ODF262116:ODF262181 ONB262116:ONB262181 OWX262116:OWX262181 PGT262116:PGT262181 PQP262116:PQP262181 QAL262116:QAL262181 QKH262116:QKH262181 QUD262116:QUD262181 RDZ262116:RDZ262181 RNV262116:RNV262181 RXR262116:RXR262181 SHN262116:SHN262181 SRJ262116:SRJ262181 TBF262116:TBF262181 TLB262116:TLB262181 TUX262116:TUX262181 UET262116:UET262181 UOP262116:UOP262181 UYL262116:UYL262181 VIH262116:VIH262181 VSD262116:VSD262181 WBZ262116:WBZ262181 WLV262116:WLV262181 WVR262116:WVR262181 J327652:J327717 JF327652:JF327717 TB327652:TB327717 ACX327652:ACX327717 AMT327652:AMT327717 AWP327652:AWP327717 BGL327652:BGL327717 BQH327652:BQH327717 CAD327652:CAD327717 CJZ327652:CJZ327717 CTV327652:CTV327717 DDR327652:DDR327717 DNN327652:DNN327717 DXJ327652:DXJ327717 EHF327652:EHF327717 ERB327652:ERB327717 FAX327652:FAX327717 FKT327652:FKT327717 FUP327652:FUP327717 GEL327652:GEL327717 GOH327652:GOH327717 GYD327652:GYD327717 HHZ327652:HHZ327717 HRV327652:HRV327717 IBR327652:IBR327717 ILN327652:ILN327717 IVJ327652:IVJ327717 JFF327652:JFF327717 JPB327652:JPB327717 JYX327652:JYX327717 KIT327652:KIT327717 KSP327652:KSP327717 LCL327652:LCL327717 LMH327652:LMH327717 LWD327652:LWD327717 MFZ327652:MFZ327717 MPV327652:MPV327717 MZR327652:MZR327717 NJN327652:NJN327717 NTJ327652:NTJ327717 ODF327652:ODF327717 ONB327652:ONB327717 OWX327652:OWX327717 PGT327652:PGT327717 PQP327652:PQP327717 QAL327652:QAL327717 QKH327652:QKH327717 QUD327652:QUD327717 RDZ327652:RDZ327717 RNV327652:RNV327717 RXR327652:RXR327717 SHN327652:SHN327717 SRJ327652:SRJ327717 TBF327652:TBF327717 TLB327652:TLB327717 TUX327652:TUX327717 UET327652:UET327717 UOP327652:UOP327717 UYL327652:UYL327717 VIH327652:VIH327717 VSD327652:VSD327717 WBZ327652:WBZ327717 WLV327652:WLV327717 WVR327652:WVR327717 J393188:J393253 JF393188:JF393253 TB393188:TB393253 ACX393188:ACX393253 AMT393188:AMT393253 AWP393188:AWP393253 BGL393188:BGL393253 BQH393188:BQH393253 CAD393188:CAD393253 CJZ393188:CJZ393253 CTV393188:CTV393253 DDR393188:DDR393253 DNN393188:DNN393253 DXJ393188:DXJ393253 EHF393188:EHF393253 ERB393188:ERB393253 FAX393188:FAX393253 FKT393188:FKT393253 FUP393188:FUP393253 GEL393188:GEL393253 GOH393188:GOH393253 GYD393188:GYD393253 HHZ393188:HHZ393253 HRV393188:HRV393253 IBR393188:IBR393253 ILN393188:ILN393253 IVJ393188:IVJ393253 JFF393188:JFF393253 JPB393188:JPB393253 JYX393188:JYX393253 KIT393188:KIT393253 KSP393188:KSP393253 LCL393188:LCL393253 LMH393188:LMH393253 LWD393188:LWD393253 MFZ393188:MFZ393253 MPV393188:MPV393253 MZR393188:MZR393253 NJN393188:NJN393253 NTJ393188:NTJ393253 ODF393188:ODF393253 ONB393188:ONB393253 OWX393188:OWX393253 PGT393188:PGT393253 PQP393188:PQP393253 QAL393188:QAL393253 QKH393188:QKH393253 QUD393188:QUD393253 RDZ393188:RDZ393253 RNV393188:RNV393253 RXR393188:RXR393253 SHN393188:SHN393253 SRJ393188:SRJ393253 TBF393188:TBF393253 TLB393188:TLB393253 TUX393188:TUX393253 UET393188:UET393253 UOP393188:UOP393253 UYL393188:UYL393253 VIH393188:VIH393253 VSD393188:VSD393253 WBZ393188:WBZ393253 WLV393188:WLV393253 WVR393188:WVR393253 J458724:J458789 JF458724:JF458789 TB458724:TB458789 ACX458724:ACX458789 AMT458724:AMT458789 AWP458724:AWP458789 BGL458724:BGL458789 BQH458724:BQH458789 CAD458724:CAD458789 CJZ458724:CJZ458789 CTV458724:CTV458789 DDR458724:DDR458789 DNN458724:DNN458789 DXJ458724:DXJ458789 EHF458724:EHF458789 ERB458724:ERB458789 FAX458724:FAX458789 FKT458724:FKT458789 FUP458724:FUP458789 GEL458724:GEL458789 GOH458724:GOH458789 GYD458724:GYD458789 HHZ458724:HHZ458789 HRV458724:HRV458789 IBR458724:IBR458789 ILN458724:ILN458789 IVJ458724:IVJ458789 JFF458724:JFF458789 JPB458724:JPB458789 JYX458724:JYX458789 KIT458724:KIT458789 KSP458724:KSP458789 LCL458724:LCL458789 LMH458724:LMH458789 LWD458724:LWD458789 MFZ458724:MFZ458789 MPV458724:MPV458789 MZR458724:MZR458789 NJN458724:NJN458789 NTJ458724:NTJ458789 ODF458724:ODF458789 ONB458724:ONB458789 OWX458724:OWX458789 PGT458724:PGT458789 PQP458724:PQP458789 QAL458724:QAL458789 QKH458724:QKH458789 QUD458724:QUD458789 RDZ458724:RDZ458789 RNV458724:RNV458789 RXR458724:RXR458789 SHN458724:SHN458789 SRJ458724:SRJ458789 TBF458724:TBF458789 TLB458724:TLB458789 TUX458724:TUX458789 UET458724:UET458789 UOP458724:UOP458789 UYL458724:UYL458789 VIH458724:VIH458789 VSD458724:VSD458789 WBZ458724:WBZ458789 WLV458724:WLV458789 WVR458724:WVR458789 J524260:J524325 JF524260:JF524325 TB524260:TB524325 ACX524260:ACX524325 AMT524260:AMT524325 AWP524260:AWP524325 BGL524260:BGL524325 BQH524260:BQH524325 CAD524260:CAD524325 CJZ524260:CJZ524325 CTV524260:CTV524325 DDR524260:DDR524325 DNN524260:DNN524325 DXJ524260:DXJ524325 EHF524260:EHF524325 ERB524260:ERB524325 FAX524260:FAX524325 FKT524260:FKT524325 FUP524260:FUP524325 GEL524260:GEL524325 GOH524260:GOH524325 GYD524260:GYD524325 HHZ524260:HHZ524325 HRV524260:HRV524325 IBR524260:IBR524325 ILN524260:ILN524325 IVJ524260:IVJ524325 JFF524260:JFF524325 JPB524260:JPB524325 JYX524260:JYX524325 KIT524260:KIT524325 KSP524260:KSP524325 LCL524260:LCL524325 LMH524260:LMH524325 LWD524260:LWD524325 MFZ524260:MFZ524325 MPV524260:MPV524325 MZR524260:MZR524325 NJN524260:NJN524325 NTJ524260:NTJ524325 ODF524260:ODF524325 ONB524260:ONB524325 OWX524260:OWX524325 PGT524260:PGT524325 PQP524260:PQP524325 QAL524260:QAL524325 QKH524260:QKH524325 QUD524260:QUD524325 RDZ524260:RDZ524325 RNV524260:RNV524325 RXR524260:RXR524325 SHN524260:SHN524325 SRJ524260:SRJ524325 TBF524260:TBF524325 TLB524260:TLB524325 TUX524260:TUX524325 UET524260:UET524325 UOP524260:UOP524325 UYL524260:UYL524325 VIH524260:VIH524325 VSD524260:VSD524325 WBZ524260:WBZ524325 WLV524260:WLV524325 WVR524260:WVR524325 J589796:J589861 JF589796:JF589861 TB589796:TB589861 ACX589796:ACX589861 AMT589796:AMT589861 AWP589796:AWP589861 BGL589796:BGL589861 BQH589796:BQH589861 CAD589796:CAD589861 CJZ589796:CJZ589861 CTV589796:CTV589861 DDR589796:DDR589861 DNN589796:DNN589861 DXJ589796:DXJ589861 EHF589796:EHF589861 ERB589796:ERB589861 FAX589796:FAX589861 FKT589796:FKT589861 FUP589796:FUP589861 GEL589796:GEL589861 GOH589796:GOH589861 GYD589796:GYD589861 HHZ589796:HHZ589861 HRV589796:HRV589861 IBR589796:IBR589861 ILN589796:ILN589861 IVJ589796:IVJ589861 JFF589796:JFF589861 JPB589796:JPB589861 JYX589796:JYX589861 KIT589796:KIT589861 KSP589796:KSP589861 LCL589796:LCL589861 LMH589796:LMH589861 LWD589796:LWD589861 MFZ589796:MFZ589861 MPV589796:MPV589861 MZR589796:MZR589861 NJN589796:NJN589861 NTJ589796:NTJ589861 ODF589796:ODF589861 ONB589796:ONB589861 OWX589796:OWX589861 PGT589796:PGT589861 PQP589796:PQP589861 QAL589796:QAL589861 QKH589796:QKH589861 QUD589796:QUD589861 RDZ589796:RDZ589861 RNV589796:RNV589861 RXR589796:RXR589861 SHN589796:SHN589861 SRJ589796:SRJ589861 TBF589796:TBF589861 TLB589796:TLB589861 TUX589796:TUX589861 UET589796:UET589861 UOP589796:UOP589861 UYL589796:UYL589861 VIH589796:VIH589861 VSD589796:VSD589861 WBZ589796:WBZ589861 WLV589796:WLV589861 WVR589796:WVR589861 J655332:J655397 JF655332:JF655397 TB655332:TB655397 ACX655332:ACX655397 AMT655332:AMT655397 AWP655332:AWP655397 BGL655332:BGL655397 BQH655332:BQH655397 CAD655332:CAD655397 CJZ655332:CJZ655397 CTV655332:CTV655397 DDR655332:DDR655397 DNN655332:DNN655397 DXJ655332:DXJ655397 EHF655332:EHF655397 ERB655332:ERB655397 FAX655332:FAX655397 FKT655332:FKT655397 FUP655332:FUP655397 GEL655332:GEL655397 GOH655332:GOH655397 GYD655332:GYD655397 HHZ655332:HHZ655397 HRV655332:HRV655397 IBR655332:IBR655397 ILN655332:ILN655397 IVJ655332:IVJ655397 JFF655332:JFF655397 JPB655332:JPB655397 JYX655332:JYX655397 KIT655332:KIT655397 KSP655332:KSP655397 LCL655332:LCL655397 LMH655332:LMH655397 LWD655332:LWD655397 MFZ655332:MFZ655397 MPV655332:MPV655397 MZR655332:MZR655397 NJN655332:NJN655397 NTJ655332:NTJ655397 ODF655332:ODF655397 ONB655332:ONB655397 OWX655332:OWX655397 PGT655332:PGT655397 PQP655332:PQP655397 QAL655332:QAL655397 QKH655332:QKH655397 QUD655332:QUD655397 RDZ655332:RDZ655397 RNV655332:RNV655397 RXR655332:RXR655397 SHN655332:SHN655397 SRJ655332:SRJ655397 TBF655332:TBF655397 TLB655332:TLB655397 TUX655332:TUX655397 UET655332:UET655397 UOP655332:UOP655397 UYL655332:UYL655397 VIH655332:VIH655397 VSD655332:VSD655397 WBZ655332:WBZ655397 WLV655332:WLV655397 WVR655332:WVR655397 J720868:J720933 JF720868:JF720933 TB720868:TB720933 ACX720868:ACX720933 AMT720868:AMT720933 AWP720868:AWP720933 BGL720868:BGL720933 BQH720868:BQH720933 CAD720868:CAD720933 CJZ720868:CJZ720933 CTV720868:CTV720933 DDR720868:DDR720933 DNN720868:DNN720933 DXJ720868:DXJ720933 EHF720868:EHF720933 ERB720868:ERB720933 FAX720868:FAX720933 FKT720868:FKT720933 FUP720868:FUP720933 GEL720868:GEL720933 GOH720868:GOH720933 GYD720868:GYD720933 HHZ720868:HHZ720933 HRV720868:HRV720933 IBR720868:IBR720933 ILN720868:ILN720933 IVJ720868:IVJ720933 JFF720868:JFF720933 JPB720868:JPB720933 JYX720868:JYX720933 KIT720868:KIT720933 KSP720868:KSP720933 LCL720868:LCL720933 LMH720868:LMH720933 LWD720868:LWD720933 MFZ720868:MFZ720933 MPV720868:MPV720933 MZR720868:MZR720933 NJN720868:NJN720933 NTJ720868:NTJ720933 ODF720868:ODF720933 ONB720868:ONB720933 OWX720868:OWX720933 PGT720868:PGT720933 PQP720868:PQP720933 QAL720868:QAL720933 QKH720868:QKH720933 QUD720868:QUD720933 RDZ720868:RDZ720933 RNV720868:RNV720933 RXR720868:RXR720933 SHN720868:SHN720933 SRJ720868:SRJ720933 TBF720868:TBF720933 TLB720868:TLB720933 TUX720868:TUX720933 UET720868:UET720933 UOP720868:UOP720933 UYL720868:UYL720933 VIH720868:VIH720933 VSD720868:VSD720933 WBZ720868:WBZ720933 WLV720868:WLV720933 WVR720868:WVR720933 J786404:J786469 JF786404:JF786469 TB786404:TB786469 ACX786404:ACX786469 AMT786404:AMT786469 AWP786404:AWP786469 BGL786404:BGL786469 BQH786404:BQH786469 CAD786404:CAD786469 CJZ786404:CJZ786469 CTV786404:CTV786469 DDR786404:DDR786469 DNN786404:DNN786469 DXJ786404:DXJ786469 EHF786404:EHF786469 ERB786404:ERB786469 FAX786404:FAX786469 FKT786404:FKT786469 FUP786404:FUP786469 GEL786404:GEL786469 GOH786404:GOH786469 GYD786404:GYD786469 HHZ786404:HHZ786469 HRV786404:HRV786469 IBR786404:IBR786469 ILN786404:ILN786469 IVJ786404:IVJ786469 JFF786404:JFF786469 JPB786404:JPB786469 JYX786404:JYX786469 KIT786404:KIT786469 KSP786404:KSP786469 LCL786404:LCL786469 LMH786404:LMH786469 LWD786404:LWD786469 MFZ786404:MFZ786469 MPV786404:MPV786469 MZR786404:MZR786469 NJN786404:NJN786469 NTJ786404:NTJ786469 ODF786404:ODF786469 ONB786404:ONB786469 OWX786404:OWX786469 PGT786404:PGT786469 PQP786404:PQP786469 QAL786404:QAL786469 QKH786404:QKH786469 QUD786404:QUD786469 RDZ786404:RDZ786469 RNV786404:RNV786469 RXR786404:RXR786469 SHN786404:SHN786469 SRJ786404:SRJ786469 TBF786404:TBF786469 TLB786404:TLB786469 TUX786404:TUX786469 UET786404:UET786469 UOP786404:UOP786469 UYL786404:UYL786469 VIH786404:VIH786469 VSD786404:VSD786469 WBZ786404:WBZ786469 WLV786404:WLV786469 WVR786404:WVR786469 J851940:J852005 JF851940:JF852005 TB851940:TB852005 ACX851940:ACX852005 AMT851940:AMT852005 AWP851940:AWP852005 BGL851940:BGL852005 BQH851940:BQH852005 CAD851940:CAD852005 CJZ851940:CJZ852005 CTV851940:CTV852005 DDR851940:DDR852005 DNN851940:DNN852005 DXJ851940:DXJ852005 EHF851940:EHF852005 ERB851940:ERB852005 FAX851940:FAX852005 FKT851940:FKT852005 FUP851940:FUP852005 GEL851940:GEL852005 GOH851940:GOH852005 GYD851940:GYD852005 HHZ851940:HHZ852005 HRV851940:HRV852005 IBR851940:IBR852005 ILN851940:ILN852005 IVJ851940:IVJ852005 JFF851940:JFF852005 JPB851940:JPB852005 JYX851940:JYX852005 KIT851940:KIT852005 KSP851940:KSP852005 LCL851940:LCL852005 LMH851940:LMH852005 LWD851940:LWD852005 MFZ851940:MFZ852005 MPV851940:MPV852005 MZR851940:MZR852005 NJN851940:NJN852005 NTJ851940:NTJ852005 ODF851940:ODF852005 ONB851940:ONB852005 OWX851940:OWX852005 PGT851940:PGT852005 PQP851940:PQP852005 QAL851940:QAL852005 QKH851940:QKH852005 QUD851940:QUD852005 RDZ851940:RDZ852005 RNV851940:RNV852005 RXR851940:RXR852005 SHN851940:SHN852005 SRJ851940:SRJ852005 TBF851940:TBF852005 TLB851940:TLB852005 TUX851940:TUX852005 UET851940:UET852005 UOP851940:UOP852005 UYL851940:UYL852005 VIH851940:VIH852005 VSD851940:VSD852005 WBZ851940:WBZ852005 WLV851940:WLV852005 WVR851940:WVR852005 J917476:J917541 JF917476:JF917541 TB917476:TB917541 ACX917476:ACX917541 AMT917476:AMT917541 AWP917476:AWP917541 BGL917476:BGL917541 BQH917476:BQH917541 CAD917476:CAD917541 CJZ917476:CJZ917541 CTV917476:CTV917541 DDR917476:DDR917541 DNN917476:DNN917541 DXJ917476:DXJ917541 EHF917476:EHF917541 ERB917476:ERB917541 FAX917476:FAX917541 FKT917476:FKT917541 FUP917476:FUP917541 GEL917476:GEL917541 GOH917476:GOH917541 GYD917476:GYD917541 HHZ917476:HHZ917541 HRV917476:HRV917541 IBR917476:IBR917541 ILN917476:ILN917541 IVJ917476:IVJ917541 JFF917476:JFF917541 JPB917476:JPB917541 JYX917476:JYX917541 KIT917476:KIT917541 KSP917476:KSP917541 LCL917476:LCL917541 LMH917476:LMH917541 LWD917476:LWD917541 MFZ917476:MFZ917541 MPV917476:MPV917541 MZR917476:MZR917541 NJN917476:NJN917541 NTJ917476:NTJ917541 ODF917476:ODF917541 ONB917476:ONB917541 OWX917476:OWX917541 PGT917476:PGT917541 PQP917476:PQP917541 QAL917476:QAL917541 QKH917476:QKH917541 QUD917476:QUD917541 RDZ917476:RDZ917541 RNV917476:RNV917541 RXR917476:RXR917541 SHN917476:SHN917541 SRJ917476:SRJ917541 TBF917476:TBF917541 TLB917476:TLB917541 TUX917476:TUX917541 UET917476:UET917541 UOP917476:UOP917541 UYL917476:UYL917541 VIH917476:VIH917541 VSD917476:VSD917541 WBZ917476:WBZ917541 WLV917476:WLV917541 WVR917476:WVR917541 J983012:J983077 JF983012:JF983077 TB983012:TB983077 ACX983012:ACX983077 AMT983012:AMT983077 AWP983012:AWP983077 BGL983012:BGL983077 BQH983012:BQH983077 CAD983012:CAD983077 CJZ983012:CJZ983077 CTV983012:CTV983077 DDR983012:DDR983077 DNN983012:DNN983077 DXJ983012:DXJ983077 EHF983012:EHF983077 ERB983012:ERB983077 FAX983012:FAX983077 FKT983012:FKT983077 FUP983012:FUP983077 GEL983012:GEL983077 GOH983012:GOH983077 GYD983012:GYD983077 HHZ983012:HHZ983077 HRV983012:HRV983077 IBR983012:IBR983077 ILN983012:ILN983077 IVJ983012:IVJ983077 JFF983012:JFF983077 JPB983012:JPB983077 JYX983012:JYX983077 KIT983012:KIT983077 KSP983012:KSP983077 LCL983012:LCL983077 LMH983012:LMH983077 LWD983012:LWD983077 MFZ983012:MFZ983077 MPV983012:MPV983077 MZR983012:MZR983077 NJN983012:NJN983077 NTJ983012:NTJ983077 ODF983012:ODF983077 ONB983012:ONB983077 OWX983012:OWX983077 PGT983012:PGT983077 PQP983012:PQP983077 QAL983012:QAL983077 QKH983012:QKH983077 QUD983012:QUD983077 RDZ983012:RDZ983077 RNV983012:RNV983077 RXR983012:RXR983077 SHN983012:SHN983077 SRJ983012:SRJ983077 TBF983012:TBF983077 TLB983012:TLB983077 TUX983012:TUX983077 UET983012:UET983077 UOP983012:UOP983077 UYL983012:UYL983077 VIH983012:VIH983077 VSD983012:VSD983077 WBZ983012:WBZ983077 WLV983012:WLV983077 J58:J470 WVR2:WVR57 JF2:JF57 TB2:TB57 ACX2:ACX57 AMT2:AMT57 AWP2:AWP57 BGL2:BGL57 BQH2:BQH57 CAD2:CAD57 CJZ2:CJZ57 CTV2:CTV57 DDR2:DDR57 DNN2:DNN57 DXJ2:DXJ57 EHF2:EHF57 ERB2:ERB57 FAX2:FAX57 FKT2:FKT57 FUP2:FUP57 GEL2:GEL57 GOH2:GOH57 GYD2:GYD57 HHZ2:HHZ57 HRV2:HRV57 IBR2:IBR57 ILN2:ILN57 IVJ2:IVJ57 JFF2:JFF57 JPB2:JPB57 JYX2:JYX57 KIT2:KIT57 KSP2:KSP57 LCL2:LCL57 LMH2:LMH57 LWD2:LWD57 MFZ2:MFZ57 MPV2:MPV57 MZR2:MZR57 NJN2:NJN57 NTJ2:NTJ57 ODF2:ODF57 ONB2:ONB57 OWX2:OWX57 PGT2:PGT57 PQP2:PQP57 QAL2:QAL57 QKH2:QKH57 QUD2:QUD57 RDZ2:RDZ57 RNV2:RNV57 RXR2:RXR57 SHN2:SHN57 SRJ2:SRJ57 TBF2:TBF57 TLB2:TLB57 TUX2:TUX57 UET2:UET57 UOP2:UOP57 UYL2:UYL57 VIH2:VIH57 VSD2:VSD57 WBZ2:WBZ57 WLV2:WLV57" xr:uid="{3942FDAF-ABAD-4DF8-80D7-495B0DC5B7BB}">
      <formula1>$AP$2:$AP$27</formula1>
    </dataValidation>
    <dataValidation type="list" allowBlank="1" showInputMessage="1" showErrorMessage="1" sqref="WVP983012:WVP983077 H65508:H65573 JD65508:JD65573 SZ65508:SZ65573 ACV65508:ACV65573 AMR65508:AMR65573 AWN65508:AWN65573 BGJ65508:BGJ65573 BQF65508:BQF65573 CAB65508:CAB65573 CJX65508:CJX65573 CTT65508:CTT65573 DDP65508:DDP65573 DNL65508:DNL65573 DXH65508:DXH65573 EHD65508:EHD65573 EQZ65508:EQZ65573 FAV65508:FAV65573 FKR65508:FKR65573 FUN65508:FUN65573 GEJ65508:GEJ65573 GOF65508:GOF65573 GYB65508:GYB65573 HHX65508:HHX65573 HRT65508:HRT65573 IBP65508:IBP65573 ILL65508:ILL65573 IVH65508:IVH65573 JFD65508:JFD65573 JOZ65508:JOZ65573 JYV65508:JYV65573 KIR65508:KIR65573 KSN65508:KSN65573 LCJ65508:LCJ65573 LMF65508:LMF65573 LWB65508:LWB65573 MFX65508:MFX65573 MPT65508:MPT65573 MZP65508:MZP65573 NJL65508:NJL65573 NTH65508:NTH65573 ODD65508:ODD65573 OMZ65508:OMZ65573 OWV65508:OWV65573 PGR65508:PGR65573 PQN65508:PQN65573 QAJ65508:QAJ65573 QKF65508:QKF65573 QUB65508:QUB65573 RDX65508:RDX65573 RNT65508:RNT65573 RXP65508:RXP65573 SHL65508:SHL65573 SRH65508:SRH65573 TBD65508:TBD65573 TKZ65508:TKZ65573 TUV65508:TUV65573 UER65508:UER65573 UON65508:UON65573 UYJ65508:UYJ65573 VIF65508:VIF65573 VSB65508:VSB65573 WBX65508:WBX65573 WLT65508:WLT65573 WVP65508:WVP65573 H131044:H131109 JD131044:JD131109 SZ131044:SZ131109 ACV131044:ACV131109 AMR131044:AMR131109 AWN131044:AWN131109 BGJ131044:BGJ131109 BQF131044:BQF131109 CAB131044:CAB131109 CJX131044:CJX131109 CTT131044:CTT131109 DDP131044:DDP131109 DNL131044:DNL131109 DXH131044:DXH131109 EHD131044:EHD131109 EQZ131044:EQZ131109 FAV131044:FAV131109 FKR131044:FKR131109 FUN131044:FUN131109 GEJ131044:GEJ131109 GOF131044:GOF131109 GYB131044:GYB131109 HHX131044:HHX131109 HRT131044:HRT131109 IBP131044:IBP131109 ILL131044:ILL131109 IVH131044:IVH131109 JFD131044:JFD131109 JOZ131044:JOZ131109 JYV131044:JYV131109 KIR131044:KIR131109 KSN131044:KSN131109 LCJ131044:LCJ131109 LMF131044:LMF131109 LWB131044:LWB131109 MFX131044:MFX131109 MPT131044:MPT131109 MZP131044:MZP131109 NJL131044:NJL131109 NTH131044:NTH131109 ODD131044:ODD131109 OMZ131044:OMZ131109 OWV131044:OWV131109 PGR131044:PGR131109 PQN131044:PQN131109 QAJ131044:QAJ131109 QKF131044:QKF131109 QUB131044:QUB131109 RDX131044:RDX131109 RNT131044:RNT131109 RXP131044:RXP131109 SHL131044:SHL131109 SRH131044:SRH131109 TBD131044:TBD131109 TKZ131044:TKZ131109 TUV131044:TUV131109 UER131044:UER131109 UON131044:UON131109 UYJ131044:UYJ131109 VIF131044:VIF131109 VSB131044:VSB131109 WBX131044:WBX131109 WLT131044:WLT131109 WVP131044:WVP131109 H196580:H196645 JD196580:JD196645 SZ196580:SZ196645 ACV196580:ACV196645 AMR196580:AMR196645 AWN196580:AWN196645 BGJ196580:BGJ196645 BQF196580:BQF196645 CAB196580:CAB196645 CJX196580:CJX196645 CTT196580:CTT196645 DDP196580:DDP196645 DNL196580:DNL196645 DXH196580:DXH196645 EHD196580:EHD196645 EQZ196580:EQZ196645 FAV196580:FAV196645 FKR196580:FKR196645 FUN196580:FUN196645 GEJ196580:GEJ196645 GOF196580:GOF196645 GYB196580:GYB196645 HHX196580:HHX196645 HRT196580:HRT196645 IBP196580:IBP196645 ILL196580:ILL196645 IVH196580:IVH196645 JFD196580:JFD196645 JOZ196580:JOZ196645 JYV196580:JYV196645 KIR196580:KIR196645 KSN196580:KSN196645 LCJ196580:LCJ196645 LMF196580:LMF196645 LWB196580:LWB196645 MFX196580:MFX196645 MPT196580:MPT196645 MZP196580:MZP196645 NJL196580:NJL196645 NTH196580:NTH196645 ODD196580:ODD196645 OMZ196580:OMZ196645 OWV196580:OWV196645 PGR196580:PGR196645 PQN196580:PQN196645 QAJ196580:QAJ196645 QKF196580:QKF196645 QUB196580:QUB196645 RDX196580:RDX196645 RNT196580:RNT196645 RXP196580:RXP196645 SHL196580:SHL196645 SRH196580:SRH196645 TBD196580:TBD196645 TKZ196580:TKZ196645 TUV196580:TUV196645 UER196580:UER196645 UON196580:UON196645 UYJ196580:UYJ196645 VIF196580:VIF196645 VSB196580:VSB196645 WBX196580:WBX196645 WLT196580:WLT196645 WVP196580:WVP196645 H262116:H262181 JD262116:JD262181 SZ262116:SZ262181 ACV262116:ACV262181 AMR262116:AMR262181 AWN262116:AWN262181 BGJ262116:BGJ262181 BQF262116:BQF262181 CAB262116:CAB262181 CJX262116:CJX262181 CTT262116:CTT262181 DDP262116:DDP262181 DNL262116:DNL262181 DXH262116:DXH262181 EHD262116:EHD262181 EQZ262116:EQZ262181 FAV262116:FAV262181 FKR262116:FKR262181 FUN262116:FUN262181 GEJ262116:GEJ262181 GOF262116:GOF262181 GYB262116:GYB262181 HHX262116:HHX262181 HRT262116:HRT262181 IBP262116:IBP262181 ILL262116:ILL262181 IVH262116:IVH262181 JFD262116:JFD262181 JOZ262116:JOZ262181 JYV262116:JYV262181 KIR262116:KIR262181 KSN262116:KSN262181 LCJ262116:LCJ262181 LMF262116:LMF262181 LWB262116:LWB262181 MFX262116:MFX262181 MPT262116:MPT262181 MZP262116:MZP262181 NJL262116:NJL262181 NTH262116:NTH262181 ODD262116:ODD262181 OMZ262116:OMZ262181 OWV262116:OWV262181 PGR262116:PGR262181 PQN262116:PQN262181 QAJ262116:QAJ262181 QKF262116:QKF262181 QUB262116:QUB262181 RDX262116:RDX262181 RNT262116:RNT262181 RXP262116:RXP262181 SHL262116:SHL262181 SRH262116:SRH262181 TBD262116:TBD262181 TKZ262116:TKZ262181 TUV262116:TUV262181 UER262116:UER262181 UON262116:UON262181 UYJ262116:UYJ262181 VIF262116:VIF262181 VSB262116:VSB262181 WBX262116:WBX262181 WLT262116:WLT262181 WVP262116:WVP262181 H327652:H327717 JD327652:JD327717 SZ327652:SZ327717 ACV327652:ACV327717 AMR327652:AMR327717 AWN327652:AWN327717 BGJ327652:BGJ327717 BQF327652:BQF327717 CAB327652:CAB327717 CJX327652:CJX327717 CTT327652:CTT327717 DDP327652:DDP327717 DNL327652:DNL327717 DXH327652:DXH327717 EHD327652:EHD327717 EQZ327652:EQZ327717 FAV327652:FAV327717 FKR327652:FKR327717 FUN327652:FUN327717 GEJ327652:GEJ327717 GOF327652:GOF327717 GYB327652:GYB327717 HHX327652:HHX327717 HRT327652:HRT327717 IBP327652:IBP327717 ILL327652:ILL327717 IVH327652:IVH327717 JFD327652:JFD327717 JOZ327652:JOZ327717 JYV327652:JYV327717 KIR327652:KIR327717 KSN327652:KSN327717 LCJ327652:LCJ327717 LMF327652:LMF327717 LWB327652:LWB327717 MFX327652:MFX327717 MPT327652:MPT327717 MZP327652:MZP327717 NJL327652:NJL327717 NTH327652:NTH327717 ODD327652:ODD327717 OMZ327652:OMZ327717 OWV327652:OWV327717 PGR327652:PGR327717 PQN327652:PQN327717 QAJ327652:QAJ327717 QKF327652:QKF327717 QUB327652:QUB327717 RDX327652:RDX327717 RNT327652:RNT327717 RXP327652:RXP327717 SHL327652:SHL327717 SRH327652:SRH327717 TBD327652:TBD327717 TKZ327652:TKZ327717 TUV327652:TUV327717 UER327652:UER327717 UON327652:UON327717 UYJ327652:UYJ327717 VIF327652:VIF327717 VSB327652:VSB327717 WBX327652:WBX327717 WLT327652:WLT327717 WVP327652:WVP327717 H393188:H393253 JD393188:JD393253 SZ393188:SZ393253 ACV393188:ACV393253 AMR393188:AMR393253 AWN393188:AWN393253 BGJ393188:BGJ393253 BQF393188:BQF393253 CAB393188:CAB393253 CJX393188:CJX393253 CTT393188:CTT393253 DDP393188:DDP393253 DNL393188:DNL393253 DXH393188:DXH393253 EHD393188:EHD393253 EQZ393188:EQZ393253 FAV393188:FAV393253 FKR393188:FKR393253 FUN393188:FUN393253 GEJ393188:GEJ393253 GOF393188:GOF393253 GYB393188:GYB393253 HHX393188:HHX393253 HRT393188:HRT393253 IBP393188:IBP393253 ILL393188:ILL393253 IVH393188:IVH393253 JFD393188:JFD393253 JOZ393188:JOZ393253 JYV393188:JYV393253 KIR393188:KIR393253 KSN393188:KSN393253 LCJ393188:LCJ393253 LMF393188:LMF393253 LWB393188:LWB393253 MFX393188:MFX393253 MPT393188:MPT393253 MZP393188:MZP393253 NJL393188:NJL393253 NTH393188:NTH393253 ODD393188:ODD393253 OMZ393188:OMZ393253 OWV393188:OWV393253 PGR393188:PGR393253 PQN393188:PQN393253 QAJ393188:QAJ393253 QKF393188:QKF393253 QUB393188:QUB393253 RDX393188:RDX393253 RNT393188:RNT393253 RXP393188:RXP393253 SHL393188:SHL393253 SRH393188:SRH393253 TBD393188:TBD393253 TKZ393188:TKZ393253 TUV393188:TUV393253 UER393188:UER393253 UON393188:UON393253 UYJ393188:UYJ393253 VIF393188:VIF393253 VSB393188:VSB393253 WBX393188:WBX393253 WLT393188:WLT393253 WVP393188:WVP393253 H458724:H458789 JD458724:JD458789 SZ458724:SZ458789 ACV458724:ACV458789 AMR458724:AMR458789 AWN458724:AWN458789 BGJ458724:BGJ458789 BQF458724:BQF458789 CAB458724:CAB458789 CJX458724:CJX458789 CTT458724:CTT458789 DDP458724:DDP458789 DNL458724:DNL458789 DXH458724:DXH458789 EHD458724:EHD458789 EQZ458724:EQZ458789 FAV458724:FAV458789 FKR458724:FKR458789 FUN458724:FUN458789 GEJ458724:GEJ458789 GOF458724:GOF458789 GYB458724:GYB458789 HHX458724:HHX458789 HRT458724:HRT458789 IBP458724:IBP458789 ILL458724:ILL458789 IVH458724:IVH458789 JFD458724:JFD458789 JOZ458724:JOZ458789 JYV458724:JYV458789 KIR458724:KIR458789 KSN458724:KSN458789 LCJ458724:LCJ458789 LMF458724:LMF458789 LWB458724:LWB458789 MFX458724:MFX458789 MPT458724:MPT458789 MZP458724:MZP458789 NJL458724:NJL458789 NTH458724:NTH458789 ODD458724:ODD458789 OMZ458724:OMZ458789 OWV458724:OWV458789 PGR458724:PGR458789 PQN458724:PQN458789 QAJ458724:QAJ458789 QKF458724:QKF458789 QUB458724:QUB458789 RDX458724:RDX458789 RNT458724:RNT458789 RXP458724:RXP458789 SHL458724:SHL458789 SRH458724:SRH458789 TBD458724:TBD458789 TKZ458724:TKZ458789 TUV458724:TUV458789 UER458724:UER458789 UON458724:UON458789 UYJ458724:UYJ458789 VIF458724:VIF458789 VSB458724:VSB458789 WBX458724:WBX458789 WLT458724:WLT458789 WVP458724:WVP458789 H524260:H524325 JD524260:JD524325 SZ524260:SZ524325 ACV524260:ACV524325 AMR524260:AMR524325 AWN524260:AWN524325 BGJ524260:BGJ524325 BQF524260:BQF524325 CAB524260:CAB524325 CJX524260:CJX524325 CTT524260:CTT524325 DDP524260:DDP524325 DNL524260:DNL524325 DXH524260:DXH524325 EHD524260:EHD524325 EQZ524260:EQZ524325 FAV524260:FAV524325 FKR524260:FKR524325 FUN524260:FUN524325 GEJ524260:GEJ524325 GOF524260:GOF524325 GYB524260:GYB524325 HHX524260:HHX524325 HRT524260:HRT524325 IBP524260:IBP524325 ILL524260:ILL524325 IVH524260:IVH524325 JFD524260:JFD524325 JOZ524260:JOZ524325 JYV524260:JYV524325 KIR524260:KIR524325 KSN524260:KSN524325 LCJ524260:LCJ524325 LMF524260:LMF524325 LWB524260:LWB524325 MFX524260:MFX524325 MPT524260:MPT524325 MZP524260:MZP524325 NJL524260:NJL524325 NTH524260:NTH524325 ODD524260:ODD524325 OMZ524260:OMZ524325 OWV524260:OWV524325 PGR524260:PGR524325 PQN524260:PQN524325 QAJ524260:QAJ524325 QKF524260:QKF524325 QUB524260:QUB524325 RDX524260:RDX524325 RNT524260:RNT524325 RXP524260:RXP524325 SHL524260:SHL524325 SRH524260:SRH524325 TBD524260:TBD524325 TKZ524260:TKZ524325 TUV524260:TUV524325 UER524260:UER524325 UON524260:UON524325 UYJ524260:UYJ524325 VIF524260:VIF524325 VSB524260:VSB524325 WBX524260:WBX524325 WLT524260:WLT524325 WVP524260:WVP524325 H589796:H589861 JD589796:JD589861 SZ589796:SZ589861 ACV589796:ACV589861 AMR589796:AMR589861 AWN589796:AWN589861 BGJ589796:BGJ589861 BQF589796:BQF589861 CAB589796:CAB589861 CJX589796:CJX589861 CTT589796:CTT589861 DDP589796:DDP589861 DNL589796:DNL589861 DXH589796:DXH589861 EHD589796:EHD589861 EQZ589796:EQZ589861 FAV589796:FAV589861 FKR589796:FKR589861 FUN589796:FUN589861 GEJ589796:GEJ589861 GOF589796:GOF589861 GYB589796:GYB589861 HHX589796:HHX589861 HRT589796:HRT589861 IBP589796:IBP589861 ILL589796:ILL589861 IVH589796:IVH589861 JFD589796:JFD589861 JOZ589796:JOZ589861 JYV589796:JYV589861 KIR589796:KIR589861 KSN589796:KSN589861 LCJ589796:LCJ589861 LMF589796:LMF589861 LWB589796:LWB589861 MFX589796:MFX589861 MPT589796:MPT589861 MZP589796:MZP589861 NJL589796:NJL589861 NTH589796:NTH589861 ODD589796:ODD589861 OMZ589796:OMZ589861 OWV589796:OWV589861 PGR589796:PGR589861 PQN589796:PQN589861 QAJ589796:QAJ589861 QKF589796:QKF589861 QUB589796:QUB589861 RDX589796:RDX589861 RNT589796:RNT589861 RXP589796:RXP589861 SHL589796:SHL589861 SRH589796:SRH589861 TBD589796:TBD589861 TKZ589796:TKZ589861 TUV589796:TUV589861 UER589796:UER589861 UON589796:UON589861 UYJ589796:UYJ589861 VIF589796:VIF589861 VSB589796:VSB589861 WBX589796:WBX589861 WLT589796:WLT589861 WVP589796:WVP589861 H655332:H655397 JD655332:JD655397 SZ655332:SZ655397 ACV655332:ACV655397 AMR655332:AMR655397 AWN655332:AWN655397 BGJ655332:BGJ655397 BQF655332:BQF655397 CAB655332:CAB655397 CJX655332:CJX655397 CTT655332:CTT655397 DDP655332:DDP655397 DNL655332:DNL655397 DXH655332:DXH655397 EHD655332:EHD655397 EQZ655332:EQZ655397 FAV655332:FAV655397 FKR655332:FKR655397 FUN655332:FUN655397 GEJ655332:GEJ655397 GOF655332:GOF655397 GYB655332:GYB655397 HHX655332:HHX655397 HRT655332:HRT655397 IBP655332:IBP655397 ILL655332:ILL655397 IVH655332:IVH655397 JFD655332:JFD655397 JOZ655332:JOZ655397 JYV655332:JYV655397 KIR655332:KIR655397 KSN655332:KSN655397 LCJ655332:LCJ655397 LMF655332:LMF655397 LWB655332:LWB655397 MFX655332:MFX655397 MPT655332:MPT655397 MZP655332:MZP655397 NJL655332:NJL655397 NTH655332:NTH655397 ODD655332:ODD655397 OMZ655332:OMZ655397 OWV655332:OWV655397 PGR655332:PGR655397 PQN655332:PQN655397 QAJ655332:QAJ655397 QKF655332:QKF655397 QUB655332:QUB655397 RDX655332:RDX655397 RNT655332:RNT655397 RXP655332:RXP655397 SHL655332:SHL655397 SRH655332:SRH655397 TBD655332:TBD655397 TKZ655332:TKZ655397 TUV655332:TUV655397 UER655332:UER655397 UON655332:UON655397 UYJ655332:UYJ655397 VIF655332:VIF655397 VSB655332:VSB655397 WBX655332:WBX655397 WLT655332:WLT655397 WVP655332:WVP655397 H720868:H720933 JD720868:JD720933 SZ720868:SZ720933 ACV720868:ACV720933 AMR720868:AMR720933 AWN720868:AWN720933 BGJ720868:BGJ720933 BQF720868:BQF720933 CAB720868:CAB720933 CJX720868:CJX720933 CTT720868:CTT720933 DDP720868:DDP720933 DNL720868:DNL720933 DXH720868:DXH720933 EHD720868:EHD720933 EQZ720868:EQZ720933 FAV720868:FAV720933 FKR720868:FKR720933 FUN720868:FUN720933 GEJ720868:GEJ720933 GOF720868:GOF720933 GYB720868:GYB720933 HHX720868:HHX720933 HRT720868:HRT720933 IBP720868:IBP720933 ILL720868:ILL720933 IVH720868:IVH720933 JFD720868:JFD720933 JOZ720868:JOZ720933 JYV720868:JYV720933 KIR720868:KIR720933 KSN720868:KSN720933 LCJ720868:LCJ720933 LMF720868:LMF720933 LWB720868:LWB720933 MFX720868:MFX720933 MPT720868:MPT720933 MZP720868:MZP720933 NJL720868:NJL720933 NTH720868:NTH720933 ODD720868:ODD720933 OMZ720868:OMZ720933 OWV720868:OWV720933 PGR720868:PGR720933 PQN720868:PQN720933 QAJ720868:QAJ720933 QKF720868:QKF720933 QUB720868:QUB720933 RDX720868:RDX720933 RNT720868:RNT720933 RXP720868:RXP720933 SHL720868:SHL720933 SRH720868:SRH720933 TBD720868:TBD720933 TKZ720868:TKZ720933 TUV720868:TUV720933 UER720868:UER720933 UON720868:UON720933 UYJ720868:UYJ720933 VIF720868:VIF720933 VSB720868:VSB720933 WBX720868:WBX720933 WLT720868:WLT720933 WVP720868:WVP720933 H786404:H786469 JD786404:JD786469 SZ786404:SZ786469 ACV786404:ACV786469 AMR786404:AMR786469 AWN786404:AWN786469 BGJ786404:BGJ786469 BQF786404:BQF786469 CAB786404:CAB786469 CJX786404:CJX786469 CTT786404:CTT786469 DDP786404:DDP786469 DNL786404:DNL786469 DXH786404:DXH786469 EHD786404:EHD786469 EQZ786404:EQZ786469 FAV786404:FAV786469 FKR786404:FKR786469 FUN786404:FUN786469 GEJ786404:GEJ786469 GOF786404:GOF786469 GYB786404:GYB786469 HHX786404:HHX786469 HRT786404:HRT786469 IBP786404:IBP786469 ILL786404:ILL786469 IVH786404:IVH786469 JFD786404:JFD786469 JOZ786404:JOZ786469 JYV786404:JYV786469 KIR786404:KIR786469 KSN786404:KSN786469 LCJ786404:LCJ786469 LMF786404:LMF786469 LWB786404:LWB786469 MFX786404:MFX786469 MPT786404:MPT786469 MZP786404:MZP786469 NJL786404:NJL786469 NTH786404:NTH786469 ODD786404:ODD786469 OMZ786404:OMZ786469 OWV786404:OWV786469 PGR786404:PGR786469 PQN786404:PQN786469 QAJ786404:QAJ786469 QKF786404:QKF786469 QUB786404:QUB786469 RDX786404:RDX786469 RNT786404:RNT786469 RXP786404:RXP786469 SHL786404:SHL786469 SRH786404:SRH786469 TBD786404:TBD786469 TKZ786404:TKZ786469 TUV786404:TUV786469 UER786404:UER786469 UON786404:UON786469 UYJ786404:UYJ786469 VIF786404:VIF786469 VSB786404:VSB786469 WBX786404:WBX786469 WLT786404:WLT786469 WVP786404:WVP786469 H851940:H852005 JD851940:JD852005 SZ851940:SZ852005 ACV851940:ACV852005 AMR851940:AMR852005 AWN851940:AWN852005 BGJ851940:BGJ852005 BQF851940:BQF852005 CAB851940:CAB852005 CJX851940:CJX852005 CTT851940:CTT852005 DDP851940:DDP852005 DNL851940:DNL852005 DXH851940:DXH852005 EHD851940:EHD852005 EQZ851940:EQZ852005 FAV851940:FAV852005 FKR851940:FKR852005 FUN851940:FUN852005 GEJ851940:GEJ852005 GOF851940:GOF852005 GYB851940:GYB852005 HHX851940:HHX852005 HRT851940:HRT852005 IBP851940:IBP852005 ILL851940:ILL852005 IVH851940:IVH852005 JFD851940:JFD852005 JOZ851940:JOZ852005 JYV851940:JYV852005 KIR851940:KIR852005 KSN851940:KSN852005 LCJ851940:LCJ852005 LMF851940:LMF852005 LWB851940:LWB852005 MFX851940:MFX852005 MPT851940:MPT852005 MZP851940:MZP852005 NJL851940:NJL852005 NTH851940:NTH852005 ODD851940:ODD852005 OMZ851940:OMZ852005 OWV851940:OWV852005 PGR851940:PGR852005 PQN851940:PQN852005 QAJ851940:QAJ852005 QKF851940:QKF852005 QUB851940:QUB852005 RDX851940:RDX852005 RNT851940:RNT852005 RXP851940:RXP852005 SHL851940:SHL852005 SRH851940:SRH852005 TBD851940:TBD852005 TKZ851940:TKZ852005 TUV851940:TUV852005 UER851940:UER852005 UON851940:UON852005 UYJ851940:UYJ852005 VIF851940:VIF852005 VSB851940:VSB852005 WBX851940:WBX852005 WLT851940:WLT852005 WVP851940:WVP852005 H917476:H917541 JD917476:JD917541 SZ917476:SZ917541 ACV917476:ACV917541 AMR917476:AMR917541 AWN917476:AWN917541 BGJ917476:BGJ917541 BQF917476:BQF917541 CAB917476:CAB917541 CJX917476:CJX917541 CTT917476:CTT917541 DDP917476:DDP917541 DNL917476:DNL917541 DXH917476:DXH917541 EHD917476:EHD917541 EQZ917476:EQZ917541 FAV917476:FAV917541 FKR917476:FKR917541 FUN917476:FUN917541 GEJ917476:GEJ917541 GOF917476:GOF917541 GYB917476:GYB917541 HHX917476:HHX917541 HRT917476:HRT917541 IBP917476:IBP917541 ILL917476:ILL917541 IVH917476:IVH917541 JFD917476:JFD917541 JOZ917476:JOZ917541 JYV917476:JYV917541 KIR917476:KIR917541 KSN917476:KSN917541 LCJ917476:LCJ917541 LMF917476:LMF917541 LWB917476:LWB917541 MFX917476:MFX917541 MPT917476:MPT917541 MZP917476:MZP917541 NJL917476:NJL917541 NTH917476:NTH917541 ODD917476:ODD917541 OMZ917476:OMZ917541 OWV917476:OWV917541 PGR917476:PGR917541 PQN917476:PQN917541 QAJ917476:QAJ917541 QKF917476:QKF917541 QUB917476:QUB917541 RDX917476:RDX917541 RNT917476:RNT917541 RXP917476:RXP917541 SHL917476:SHL917541 SRH917476:SRH917541 TBD917476:TBD917541 TKZ917476:TKZ917541 TUV917476:TUV917541 UER917476:UER917541 UON917476:UON917541 UYJ917476:UYJ917541 VIF917476:VIF917541 VSB917476:VSB917541 WBX917476:WBX917541 WLT917476:WLT917541 WVP917476:WVP917541 H983012:H983077 JD983012:JD983077 SZ983012:SZ983077 ACV983012:ACV983077 AMR983012:AMR983077 AWN983012:AWN983077 BGJ983012:BGJ983077 BQF983012:BQF983077 CAB983012:CAB983077 CJX983012:CJX983077 CTT983012:CTT983077 DDP983012:DDP983077 DNL983012:DNL983077 DXH983012:DXH983077 EHD983012:EHD983077 EQZ983012:EQZ983077 FAV983012:FAV983077 FKR983012:FKR983077 FUN983012:FUN983077 GEJ983012:GEJ983077 GOF983012:GOF983077 GYB983012:GYB983077 HHX983012:HHX983077 HRT983012:HRT983077 IBP983012:IBP983077 ILL983012:ILL983077 IVH983012:IVH983077 JFD983012:JFD983077 JOZ983012:JOZ983077 JYV983012:JYV983077 KIR983012:KIR983077 KSN983012:KSN983077 LCJ983012:LCJ983077 LMF983012:LMF983077 LWB983012:LWB983077 MFX983012:MFX983077 MPT983012:MPT983077 MZP983012:MZP983077 NJL983012:NJL983077 NTH983012:NTH983077 ODD983012:ODD983077 OMZ983012:OMZ983077 OWV983012:OWV983077 PGR983012:PGR983077 PQN983012:PQN983077 QAJ983012:QAJ983077 QKF983012:QKF983077 QUB983012:QUB983077 RDX983012:RDX983077 RNT983012:RNT983077 RXP983012:RXP983077 SHL983012:SHL983077 SRH983012:SRH983077 TBD983012:TBD983077 TKZ983012:TKZ983077 TUV983012:TUV983077 UER983012:UER983077 UON983012:UON983077 UYJ983012:UYJ983077 VIF983012:VIF983077 VSB983012:VSB983077 WBX983012:WBX983077 WLT983012:WLT983077 WVP2:WVP57 JD2:JD57 SZ2:SZ57 ACV2:ACV57 AMR2:AMR57 AWN2:AWN57 BGJ2:BGJ57 BQF2:BQF57 CAB2:CAB57 CJX2:CJX57 CTT2:CTT57 DDP2:DDP57 DNL2:DNL57 DXH2:DXH57 EHD2:EHD57 EQZ2:EQZ57 FAV2:FAV57 FKR2:FKR57 FUN2:FUN57 GEJ2:GEJ57 GOF2:GOF57 GYB2:GYB57 HHX2:HHX57 HRT2:HRT57 IBP2:IBP57 ILL2:ILL57 IVH2:IVH57 JFD2:JFD57 JOZ2:JOZ57 JYV2:JYV57 KIR2:KIR57 KSN2:KSN57 LCJ2:LCJ57 LMF2:LMF57 LWB2:LWB57 MFX2:MFX57 MPT2:MPT57 MZP2:MZP57 NJL2:NJL57 NTH2:NTH57 ODD2:ODD57 OMZ2:OMZ57 OWV2:OWV57 PGR2:PGR57 PQN2:PQN57 QAJ2:QAJ57 QKF2:QKF57 QUB2:QUB57 RDX2:RDX57 RNT2:RNT57 RXP2:RXP57 SHL2:SHL57 SRH2:SRH57 TBD2:TBD57 TKZ2:TKZ57 TUV2:TUV57 UER2:UER57 UON2:UON57 UYJ2:UYJ57 VIF2:VIF57 VSB2:VSB57 WBX2:WBX57 WLT2:WLT57" xr:uid="{C28E3D79-E88C-414E-B485-0D36201A7045}">
      <formula1>$AL$4:$AL$12</formula1>
    </dataValidation>
    <dataValidation type="list" allowBlank="1" showInputMessage="1" showErrorMessage="1" sqref="A64333:A64398 IW64333:IW64398 SS64333:SS64398 ACO64333:ACO64398 AMK64333:AMK64398 AWG64333:AWG64398 BGC64333:BGC64398 BPY64333:BPY64398 BZU64333:BZU64398 CJQ64333:CJQ64398 CTM64333:CTM64398 DDI64333:DDI64398 DNE64333:DNE64398 DXA64333:DXA64398 EGW64333:EGW64398 EQS64333:EQS64398 FAO64333:FAO64398 FKK64333:FKK64398 FUG64333:FUG64398 GEC64333:GEC64398 GNY64333:GNY64398 GXU64333:GXU64398 HHQ64333:HHQ64398 HRM64333:HRM64398 IBI64333:IBI64398 ILE64333:ILE64398 IVA64333:IVA64398 JEW64333:JEW64398 JOS64333:JOS64398 JYO64333:JYO64398 KIK64333:KIK64398 KSG64333:KSG64398 LCC64333:LCC64398 LLY64333:LLY64398 LVU64333:LVU64398 MFQ64333:MFQ64398 MPM64333:MPM64398 MZI64333:MZI64398 NJE64333:NJE64398 NTA64333:NTA64398 OCW64333:OCW64398 OMS64333:OMS64398 OWO64333:OWO64398 PGK64333:PGK64398 PQG64333:PQG64398 QAC64333:QAC64398 QJY64333:QJY64398 QTU64333:QTU64398 RDQ64333:RDQ64398 RNM64333:RNM64398 RXI64333:RXI64398 SHE64333:SHE64398 SRA64333:SRA64398 TAW64333:TAW64398 TKS64333:TKS64398 TUO64333:TUO64398 UEK64333:UEK64398 UOG64333:UOG64398 UYC64333:UYC64398 VHY64333:VHY64398 VRU64333:VRU64398 WBQ64333:WBQ64398 WLM64333:WLM64398 WVI64333:WVI64398 A129869:A129934 IW129869:IW129934 SS129869:SS129934 ACO129869:ACO129934 AMK129869:AMK129934 AWG129869:AWG129934 BGC129869:BGC129934 BPY129869:BPY129934 BZU129869:BZU129934 CJQ129869:CJQ129934 CTM129869:CTM129934 DDI129869:DDI129934 DNE129869:DNE129934 DXA129869:DXA129934 EGW129869:EGW129934 EQS129869:EQS129934 FAO129869:FAO129934 FKK129869:FKK129934 FUG129869:FUG129934 GEC129869:GEC129934 GNY129869:GNY129934 GXU129869:GXU129934 HHQ129869:HHQ129934 HRM129869:HRM129934 IBI129869:IBI129934 ILE129869:ILE129934 IVA129869:IVA129934 JEW129869:JEW129934 JOS129869:JOS129934 JYO129869:JYO129934 KIK129869:KIK129934 KSG129869:KSG129934 LCC129869:LCC129934 LLY129869:LLY129934 LVU129869:LVU129934 MFQ129869:MFQ129934 MPM129869:MPM129934 MZI129869:MZI129934 NJE129869:NJE129934 NTA129869:NTA129934 OCW129869:OCW129934 OMS129869:OMS129934 OWO129869:OWO129934 PGK129869:PGK129934 PQG129869:PQG129934 QAC129869:QAC129934 QJY129869:QJY129934 QTU129869:QTU129934 RDQ129869:RDQ129934 RNM129869:RNM129934 RXI129869:RXI129934 SHE129869:SHE129934 SRA129869:SRA129934 TAW129869:TAW129934 TKS129869:TKS129934 TUO129869:TUO129934 UEK129869:UEK129934 UOG129869:UOG129934 UYC129869:UYC129934 VHY129869:VHY129934 VRU129869:VRU129934 WBQ129869:WBQ129934 WLM129869:WLM129934 WVI129869:WVI129934 A195405:A195470 IW195405:IW195470 SS195405:SS195470 ACO195405:ACO195470 AMK195405:AMK195470 AWG195405:AWG195470 BGC195405:BGC195470 BPY195405:BPY195470 BZU195405:BZU195470 CJQ195405:CJQ195470 CTM195405:CTM195470 DDI195405:DDI195470 DNE195405:DNE195470 DXA195405:DXA195470 EGW195405:EGW195470 EQS195405:EQS195470 FAO195405:FAO195470 FKK195405:FKK195470 FUG195405:FUG195470 GEC195405:GEC195470 GNY195405:GNY195470 GXU195405:GXU195470 HHQ195405:HHQ195470 HRM195405:HRM195470 IBI195405:IBI195470 ILE195405:ILE195470 IVA195405:IVA195470 JEW195405:JEW195470 JOS195405:JOS195470 JYO195405:JYO195470 KIK195405:KIK195470 KSG195405:KSG195470 LCC195405:LCC195470 LLY195405:LLY195470 LVU195405:LVU195470 MFQ195405:MFQ195470 MPM195405:MPM195470 MZI195405:MZI195470 NJE195405:NJE195470 NTA195405:NTA195470 OCW195405:OCW195470 OMS195405:OMS195470 OWO195405:OWO195470 PGK195405:PGK195470 PQG195405:PQG195470 QAC195405:QAC195470 QJY195405:QJY195470 QTU195405:QTU195470 RDQ195405:RDQ195470 RNM195405:RNM195470 RXI195405:RXI195470 SHE195405:SHE195470 SRA195405:SRA195470 TAW195405:TAW195470 TKS195405:TKS195470 TUO195405:TUO195470 UEK195405:UEK195470 UOG195405:UOG195470 UYC195405:UYC195470 VHY195405:VHY195470 VRU195405:VRU195470 WBQ195405:WBQ195470 WLM195405:WLM195470 WVI195405:WVI195470 A260941:A261006 IW260941:IW261006 SS260941:SS261006 ACO260941:ACO261006 AMK260941:AMK261006 AWG260941:AWG261006 BGC260941:BGC261006 BPY260941:BPY261006 BZU260941:BZU261006 CJQ260941:CJQ261006 CTM260941:CTM261006 DDI260941:DDI261006 DNE260941:DNE261006 DXA260941:DXA261006 EGW260941:EGW261006 EQS260941:EQS261006 FAO260941:FAO261006 FKK260941:FKK261006 FUG260941:FUG261006 GEC260941:GEC261006 GNY260941:GNY261006 GXU260941:GXU261006 HHQ260941:HHQ261006 HRM260941:HRM261006 IBI260941:IBI261006 ILE260941:ILE261006 IVA260941:IVA261006 JEW260941:JEW261006 JOS260941:JOS261006 JYO260941:JYO261006 KIK260941:KIK261006 KSG260941:KSG261006 LCC260941:LCC261006 LLY260941:LLY261006 LVU260941:LVU261006 MFQ260941:MFQ261006 MPM260941:MPM261006 MZI260941:MZI261006 NJE260941:NJE261006 NTA260941:NTA261006 OCW260941:OCW261006 OMS260941:OMS261006 OWO260941:OWO261006 PGK260941:PGK261006 PQG260941:PQG261006 QAC260941:QAC261006 QJY260941:QJY261006 QTU260941:QTU261006 RDQ260941:RDQ261006 RNM260941:RNM261006 RXI260941:RXI261006 SHE260941:SHE261006 SRA260941:SRA261006 TAW260941:TAW261006 TKS260941:TKS261006 TUO260941:TUO261006 UEK260941:UEK261006 UOG260941:UOG261006 UYC260941:UYC261006 VHY260941:VHY261006 VRU260941:VRU261006 WBQ260941:WBQ261006 WLM260941:WLM261006 WVI260941:WVI261006 A326477:A326542 IW326477:IW326542 SS326477:SS326542 ACO326477:ACO326542 AMK326477:AMK326542 AWG326477:AWG326542 BGC326477:BGC326542 BPY326477:BPY326542 BZU326477:BZU326542 CJQ326477:CJQ326542 CTM326477:CTM326542 DDI326477:DDI326542 DNE326477:DNE326542 DXA326477:DXA326542 EGW326477:EGW326542 EQS326477:EQS326542 FAO326477:FAO326542 FKK326477:FKK326542 FUG326477:FUG326542 GEC326477:GEC326542 GNY326477:GNY326542 GXU326477:GXU326542 HHQ326477:HHQ326542 HRM326477:HRM326542 IBI326477:IBI326542 ILE326477:ILE326542 IVA326477:IVA326542 JEW326477:JEW326542 JOS326477:JOS326542 JYO326477:JYO326542 KIK326477:KIK326542 KSG326477:KSG326542 LCC326477:LCC326542 LLY326477:LLY326542 LVU326477:LVU326542 MFQ326477:MFQ326542 MPM326477:MPM326542 MZI326477:MZI326542 NJE326477:NJE326542 NTA326477:NTA326542 OCW326477:OCW326542 OMS326477:OMS326542 OWO326477:OWO326542 PGK326477:PGK326542 PQG326477:PQG326542 QAC326477:QAC326542 QJY326477:QJY326542 QTU326477:QTU326542 RDQ326477:RDQ326542 RNM326477:RNM326542 RXI326477:RXI326542 SHE326477:SHE326542 SRA326477:SRA326542 TAW326477:TAW326542 TKS326477:TKS326542 TUO326477:TUO326542 UEK326477:UEK326542 UOG326477:UOG326542 UYC326477:UYC326542 VHY326477:VHY326542 VRU326477:VRU326542 WBQ326477:WBQ326542 WLM326477:WLM326542 WVI326477:WVI326542 A392013:A392078 IW392013:IW392078 SS392013:SS392078 ACO392013:ACO392078 AMK392013:AMK392078 AWG392013:AWG392078 BGC392013:BGC392078 BPY392013:BPY392078 BZU392013:BZU392078 CJQ392013:CJQ392078 CTM392013:CTM392078 DDI392013:DDI392078 DNE392013:DNE392078 DXA392013:DXA392078 EGW392013:EGW392078 EQS392013:EQS392078 FAO392013:FAO392078 FKK392013:FKK392078 FUG392013:FUG392078 GEC392013:GEC392078 GNY392013:GNY392078 GXU392013:GXU392078 HHQ392013:HHQ392078 HRM392013:HRM392078 IBI392013:IBI392078 ILE392013:ILE392078 IVA392013:IVA392078 JEW392013:JEW392078 JOS392013:JOS392078 JYO392013:JYO392078 KIK392013:KIK392078 KSG392013:KSG392078 LCC392013:LCC392078 LLY392013:LLY392078 LVU392013:LVU392078 MFQ392013:MFQ392078 MPM392013:MPM392078 MZI392013:MZI392078 NJE392013:NJE392078 NTA392013:NTA392078 OCW392013:OCW392078 OMS392013:OMS392078 OWO392013:OWO392078 PGK392013:PGK392078 PQG392013:PQG392078 QAC392013:QAC392078 QJY392013:QJY392078 QTU392013:QTU392078 RDQ392013:RDQ392078 RNM392013:RNM392078 RXI392013:RXI392078 SHE392013:SHE392078 SRA392013:SRA392078 TAW392013:TAW392078 TKS392013:TKS392078 TUO392013:TUO392078 UEK392013:UEK392078 UOG392013:UOG392078 UYC392013:UYC392078 VHY392013:VHY392078 VRU392013:VRU392078 WBQ392013:WBQ392078 WLM392013:WLM392078 WVI392013:WVI392078 A457549:A457614 IW457549:IW457614 SS457549:SS457614 ACO457549:ACO457614 AMK457549:AMK457614 AWG457549:AWG457614 BGC457549:BGC457614 BPY457549:BPY457614 BZU457549:BZU457614 CJQ457549:CJQ457614 CTM457549:CTM457614 DDI457549:DDI457614 DNE457549:DNE457614 DXA457549:DXA457614 EGW457549:EGW457614 EQS457549:EQS457614 FAO457549:FAO457614 FKK457549:FKK457614 FUG457549:FUG457614 GEC457549:GEC457614 GNY457549:GNY457614 GXU457549:GXU457614 HHQ457549:HHQ457614 HRM457549:HRM457614 IBI457549:IBI457614 ILE457549:ILE457614 IVA457549:IVA457614 JEW457549:JEW457614 JOS457549:JOS457614 JYO457549:JYO457614 KIK457549:KIK457614 KSG457549:KSG457614 LCC457549:LCC457614 LLY457549:LLY457614 LVU457549:LVU457614 MFQ457549:MFQ457614 MPM457549:MPM457614 MZI457549:MZI457614 NJE457549:NJE457614 NTA457549:NTA457614 OCW457549:OCW457614 OMS457549:OMS457614 OWO457549:OWO457614 PGK457549:PGK457614 PQG457549:PQG457614 QAC457549:QAC457614 QJY457549:QJY457614 QTU457549:QTU457614 RDQ457549:RDQ457614 RNM457549:RNM457614 RXI457549:RXI457614 SHE457549:SHE457614 SRA457549:SRA457614 TAW457549:TAW457614 TKS457549:TKS457614 TUO457549:TUO457614 UEK457549:UEK457614 UOG457549:UOG457614 UYC457549:UYC457614 VHY457549:VHY457614 VRU457549:VRU457614 WBQ457549:WBQ457614 WLM457549:WLM457614 WVI457549:WVI457614 A523085:A523150 IW523085:IW523150 SS523085:SS523150 ACO523085:ACO523150 AMK523085:AMK523150 AWG523085:AWG523150 BGC523085:BGC523150 BPY523085:BPY523150 BZU523085:BZU523150 CJQ523085:CJQ523150 CTM523085:CTM523150 DDI523085:DDI523150 DNE523085:DNE523150 DXA523085:DXA523150 EGW523085:EGW523150 EQS523085:EQS523150 FAO523085:FAO523150 FKK523085:FKK523150 FUG523085:FUG523150 GEC523085:GEC523150 GNY523085:GNY523150 GXU523085:GXU523150 HHQ523085:HHQ523150 HRM523085:HRM523150 IBI523085:IBI523150 ILE523085:ILE523150 IVA523085:IVA523150 JEW523085:JEW523150 JOS523085:JOS523150 JYO523085:JYO523150 KIK523085:KIK523150 KSG523085:KSG523150 LCC523085:LCC523150 LLY523085:LLY523150 LVU523085:LVU523150 MFQ523085:MFQ523150 MPM523085:MPM523150 MZI523085:MZI523150 NJE523085:NJE523150 NTA523085:NTA523150 OCW523085:OCW523150 OMS523085:OMS523150 OWO523085:OWO523150 PGK523085:PGK523150 PQG523085:PQG523150 QAC523085:QAC523150 QJY523085:QJY523150 QTU523085:QTU523150 RDQ523085:RDQ523150 RNM523085:RNM523150 RXI523085:RXI523150 SHE523085:SHE523150 SRA523085:SRA523150 TAW523085:TAW523150 TKS523085:TKS523150 TUO523085:TUO523150 UEK523085:UEK523150 UOG523085:UOG523150 UYC523085:UYC523150 VHY523085:VHY523150 VRU523085:VRU523150 WBQ523085:WBQ523150 WLM523085:WLM523150 WVI523085:WVI523150 A588621:A588686 IW588621:IW588686 SS588621:SS588686 ACO588621:ACO588686 AMK588621:AMK588686 AWG588621:AWG588686 BGC588621:BGC588686 BPY588621:BPY588686 BZU588621:BZU588686 CJQ588621:CJQ588686 CTM588621:CTM588686 DDI588621:DDI588686 DNE588621:DNE588686 DXA588621:DXA588686 EGW588621:EGW588686 EQS588621:EQS588686 FAO588621:FAO588686 FKK588621:FKK588686 FUG588621:FUG588686 GEC588621:GEC588686 GNY588621:GNY588686 GXU588621:GXU588686 HHQ588621:HHQ588686 HRM588621:HRM588686 IBI588621:IBI588686 ILE588621:ILE588686 IVA588621:IVA588686 JEW588621:JEW588686 JOS588621:JOS588686 JYO588621:JYO588686 KIK588621:KIK588686 KSG588621:KSG588686 LCC588621:LCC588686 LLY588621:LLY588686 LVU588621:LVU588686 MFQ588621:MFQ588686 MPM588621:MPM588686 MZI588621:MZI588686 NJE588621:NJE588686 NTA588621:NTA588686 OCW588621:OCW588686 OMS588621:OMS588686 OWO588621:OWO588686 PGK588621:PGK588686 PQG588621:PQG588686 QAC588621:QAC588686 QJY588621:QJY588686 QTU588621:QTU588686 RDQ588621:RDQ588686 RNM588621:RNM588686 RXI588621:RXI588686 SHE588621:SHE588686 SRA588621:SRA588686 TAW588621:TAW588686 TKS588621:TKS588686 TUO588621:TUO588686 UEK588621:UEK588686 UOG588621:UOG588686 UYC588621:UYC588686 VHY588621:VHY588686 VRU588621:VRU588686 WBQ588621:WBQ588686 WLM588621:WLM588686 WVI588621:WVI588686 A654157:A654222 IW654157:IW654222 SS654157:SS654222 ACO654157:ACO654222 AMK654157:AMK654222 AWG654157:AWG654222 BGC654157:BGC654222 BPY654157:BPY654222 BZU654157:BZU654222 CJQ654157:CJQ654222 CTM654157:CTM654222 DDI654157:DDI654222 DNE654157:DNE654222 DXA654157:DXA654222 EGW654157:EGW654222 EQS654157:EQS654222 FAO654157:FAO654222 FKK654157:FKK654222 FUG654157:FUG654222 GEC654157:GEC654222 GNY654157:GNY654222 GXU654157:GXU654222 HHQ654157:HHQ654222 HRM654157:HRM654222 IBI654157:IBI654222 ILE654157:ILE654222 IVA654157:IVA654222 JEW654157:JEW654222 JOS654157:JOS654222 JYO654157:JYO654222 KIK654157:KIK654222 KSG654157:KSG654222 LCC654157:LCC654222 LLY654157:LLY654222 LVU654157:LVU654222 MFQ654157:MFQ654222 MPM654157:MPM654222 MZI654157:MZI654222 NJE654157:NJE654222 NTA654157:NTA654222 OCW654157:OCW654222 OMS654157:OMS654222 OWO654157:OWO654222 PGK654157:PGK654222 PQG654157:PQG654222 QAC654157:QAC654222 QJY654157:QJY654222 QTU654157:QTU654222 RDQ654157:RDQ654222 RNM654157:RNM654222 RXI654157:RXI654222 SHE654157:SHE654222 SRA654157:SRA654222 TAW654157:TAW654222 TKS654157:TKS654222 TUO654157:TUO654222 UEK654157:UEK654222 UOG654157:UOG654222 UYC654157:UYC654222 VHY654157:VHY654222 VRU654157:VRU654222 WBQ654157:WBQ654222 WLM654157:WLM654222 WVI654157:WVI654222 A719693:A719758 IW719693:IW719758 SS719693:SS719758 ACO719693:ACO719758 AMK719693:AMK719758 AWG719693:AWG719758 BGC719693:BGC719758 BPY719693:BPY719758 BZU719693:BZU719758 CJQ719693:CJQ719758 CTM719693:CTM719758 DDI719693:DDI719758 DNE719693:DNE719758 DXA719693:DXA719758 EGW719693:EGW719758 EQS719693:EQS719758 FAO719693:FAO719758 FKK719693:FKK719758 FUG719693:FUG719758 GEC719693:GEC719758 GNY719693:GNY719758 GXU719693:GXU719758 HHQ719693:HHQ719758 HRM719693:HRM719758 IBI719693:IBI719758 ILE719693:ILE719758 IVA719693:IVA719758 JEW719693:JEW719758 JOS719693:JOS719758 JYO719693:JYO719758 KIK719693:KIK719758 KSG719693:KSG719758 LCC719693:LCC719758 LLY719693:LLY719758 LVU719693:LVU719758 MFQ719693:MFQ719758 MPM719693:MPM719758 MZI719693:MZI719758 NJE719693:NJE719758 NTA719693:NTA719758 OCW719693:OCW719758 OMS719693:OMS719758 OWO719693:OWO719758 PGK719693:PGK719758 PQG719693:PQG719758 QAC719693:QAC719758 QJY719693:QJY719758 QTU719693:QTU719758 RDQ719693:RDQ719758 RNM719693:RNM719758 RXI719693:RXI719758 SHE719693:SHE719758 SRA719693:SRA719758 TAW719693:TAW719758 TKS719693:TKS719758 TUO719693:TUO719758 UEK719693:UEK719758 UOG719693:UOG719758 UYC719693:UYC719758 VHY719693:VHY719758 VRU719693:VRU719758 WBQ719693:WBQ719758 WLM719693:WLM719758 WVI719693:WVI719758 A785229:A785294 IW785229:IW785294 SS785229:SS785294 ACO785229:ACO785294 AMK785229:AMK785294 AWG785229:AWG785294 BGC785229:BGC785294 BPY785229:BPY785294 BZU785229:BZU785294 CJQ785229:CJQ785294 CTM785229:CTM785294 DDI785229:DDI785294 DNE785229:DNE785294 DXA785229:DXA785294 EGW785229:EGW785294 EQS785229:EQS785294 FAO785229:FAO785294 FKK785229:FKK785294 FUG785229:FUG785294 GEC785229:GEC785294 GNY785229:GNY785294 GXU785229:GXU785294 HHQ785229:HHQ785294 HRM785229:HRM785294 IBI785229:IBI785294 ILE785229:ILE785294 IVA785229:IVA785294 JEW785229:JEW785294 JOS785229:JOS785294 JYO785229:JYO785294 KIK785229:KIK785294 KSG785229:KSG785294 LCC785229:LCC785294 LLY785229:LLY785294 LVU785229:LVU785294 MFQ785229:MFQ785294 MPM785229:MPM785294 MZI785229:MZI785294 NJE785229:NJE785294 NTA785229:NTA785294 OCW785229:OCW785294 OMS785229:OMS785294 OWO785229:OWO785294 PGK785229:PGK785294 PQG785229:PQG785294 QAC785229:QAC785294 QJY785229:QJY785294 QTU785229:QTU785294 RDQ785229:RDQ785294 RNM785229:RNM785294 RXI785229:RXI785294 SHE785229:SHE785294 SRA785229:SRA785294 TAW785229:TAW785294 TKS785229:TKS785294 TUO785229:TUO785294 UEK785229:UEK785294 UOG785229:UOG785294 UYC785229:UYC785294 VHY785229:VHY785294 VRU785229:VRU785294 WBQ785229:WBQ785294 WLM785229:WLM785294 WVI785229:WVI785294 A850765:A850830 IW850765:IW850830 SS850765:SS850830 ACO850765:ACO850830 AMK850765:AMK850830 AWG850765:AWG850830 BGC850765:BGC850830 BPY850765:BPY850830 BZU850765:BZU850830 CJQ850765:CJQ850830 CTM850765:CTM850830 DDI850765:DDI850830 DNE850765:DNE850830 DXA850765:DXA850830 EGW850765:EGW850830 EQS850765:EQS850830 FAO850765:FAO850830 FKK850765:FKK850830 FUG850765:FUG850830 GEC850765:GEC850830 GNY850765:GNY850830 GXU850765:GXU850830 HHQ850765:HHQ850830 HRM850765:HRM850830 IBI850765:IBI850830 ILE850765:ILE850830 IVA850765:IVA850830 JEW850765:JEW850830 JOS850765:JOS850830 JYO850765:JYO850830 KIK850765:KIK850830 KSG850765:KSG850830 LCC850765:LCC850830 LLY850765:LLY850830 LVU850765:LVU850830 MFQ850765:MFQ850830 MPM850765:MPM850830 MZI850765:MZI850830 NJE850765:NJE850830 NTA850765:NTA850830 OCW850765:OCW850830 OMS850765:OMS850830 OWO850765:OWO850830 PGK850765:PGK850830 PQG850765:PQG850830 QAC850765:QAC850830 QJY850765:QJY850830 QTU850765:QTU850830 RDQ850765:RDQ850830 RNM850765:RNM850830 RXI850765:RXI850830 SHE850765:SHE850830 SRA850765:SRA850830 TAW850765:TAW850830 TKS850765:TKS850830 TUO850765:TUO850830 UEK850765:UEK850830 UOG850765:UOG850830 UYC850765:UYC850830 VHY850765:VHY850830 VRU850765:VRU850830 WBQ850765:WBQ850830 WLM850765:WLM850830 WVI850765:WVI850830 A916301:A916366 IW916301:IW916366 SS916301:SS916366 ACO916301:ACO916366 AMK916301:AMK916366 AWG916301:AWG916366 BGC916301:BGC916366 BPY916301:BPY916366 BZU916301:BZU916366 CJQ916301:CJQ916366 CTM916301:CTM916366 DDI916301:DDI916366 DNE916301:DNE916366 DXA916301:DXA916366 EGW916301:EGW916366 EQS916301:EQS916366 FAO916301:FAO916366 FKK916301:FKK916366 FUG916301:FUG916366 GEC916301:GEC916366 GNY916301:GNY916366 GXU916301:GXU916366 HHQ916301:HHQ916366 HRM916301:HRM916366 IBI916301:IBI916366 ILE916301:ILE916366 IVA916301:IVA916366 JEW916301:JEW916366 JOS916301:JOS916366 JYO916301:JYO916366 KIK916301:KIK916366 KSG916301:KSG916366 LCC916301:LCC916366 LLY916301:LLY916366 LVU916301:LVU916366 MFQ916301:MFQ916366 MPM916301:MPM916366 MZI916301:MZI916366 NJE916301:NJE916366 NTA916301:NTA916366 OCW916301:OCW916366 OMS916301:OMS916366 OWO916301:OWO916366 PGK916301:PGK916366 PQG916301:PQG916366 QAC916301:QAC916366 QJY916301:QJY916366 QTU916301:QTU916366 RDQ916301:RDQ916366 RNM916301:RNM916366 RXI916301:RXI916366 SHE916301:SHE916366 SRA916301:SRA916366 TAW916301:TAW916366 TKS916301:TKS916366 TUO916301:TUO916366 UEK916301:UEK916366 UOG916301:UOG916366 UYC916301:UYC916366 VHY916301:VHY916366 VRU916301:VRU916366 WBQ916301:WBQ916366 WLM916301:WLM916366 WVI916301:WVI916366 A981837:A981902 IW981837:IW981902 SS981837:SS981902 ACO981837:ACO981902 AMK981837:AMK981902 AWG981837:AWG981902 BGC981837:BGC981902 BPY981837:BPY981902 BZU981837:BZU981902 CJQ981837:CJQ981902 CTM981837:CTM981902 DDI981837:DDI981902 DNE981837:DNE981902 DXA981837:DXA981902 EGW981837:EGW981902 EQS981837:EQS981902 FAO981837:FAO981902 FKK981837:FKK981902 FUG981837:FUG981902 GEC981837:GEC981902 GNY981837:GNY981902 GXU981837:GXU981902 HHQ981837:HHQ981902 HRM981837:HRM981902 IBI981837:IBI981902 ILE981837:ILE981902 IVA981837:IVA981902 JEW981837:JEW981902 JOS981837:JOS981902 JYO981837:JYO981902 KIK981837:KIK981902 KSG981837:KSG981902 LCC981837:LCC981902 LLY981837:LLY981902 LVU981837:LVU981902 MFQ981837:MFQ981902 MPM981837:MPM981902 MZI981837:MZI981902 NJE981837:NJE981902 NTA981837:NTA981902 OCW981837:OCW981902 OMS981837:OMS981902 OWO981837:OWO981902 PGK981837:PGK981902 PQG981837:PQG981902 QAC981837:QAC981902 QJY981837:QJY981902 QTU981837:QTU981902 RDQ981837:RDQ981902 RNM981837:RNM981902 RXI981837:RXI981902 SHE981837:SHE981902 SRA981837:SRA981902 TAW981837:TAW981902 TKS981837:TKS981902 TUO981837:TUO981902 UEK981837:UEK981902 UOG981837:UOG981902 UYC981837:UYC981902 VHY981837:VHY981902 VRU981837:VRU981902 WBQ981837:WBQ981902 WLM981837:WLM981902 WVI981837:WVI981902 A1047373:A1047438 IW1047373:IW1047438 SS1047373:SS1047438 ACO1047373:ACO1047438 AMK1047373:AMK1047438 AWG1047373:AWG1047438 BGC1047373:BGC1047438 BPY1047373:BPY1047438 BZU1047373:BZU1047438 CJQ1047373:CJQ1047438 CTM1047373:CTM1047438 DDI1047373:DDI1047438 DNE1047373:DNE1047438 DXA1047373:DXA1047438 EGW1047373:EGW1047438 EQS1047373:EQS1047438 FAO1047373:FAO1047438 FKK1047373:FKK1047438 FUG1047373:FUG1047438 GEC1047373:GEC1047438 GNY1047373:GNY1047438 GXU1047373:GXU1047438 HHQ1047373:HHQ1047438 HRM1047373:HRM1047438 IBI1047373:IBI1047438 ILE1047373:ILE1047438 IVA1047373:IVA1047438 JEW1047373:JEW1047438 JOS1047373:JOS1047438 JYO1047373:JYO1047438 KIK1047373:KIK1047438 KSG1047373:KSG1047438 LCC1047373:LCC1047438 LLY1047373:LLY1047438 LVU1047373:LVU1047438 MFQ1047373:MFQ1047438 MPM1047373:MPM1047438 MZI1047373:MZI1047438 NJE1047373:NJE1047438 NTA1047373:NTA1047438 OCW1047373:OCW1047438 OMS1047373:OMS1047438 OWO1047373:OWO1047438 PGK1047373:PGK1047438 PQG1047373:PQG1047438 QAC1047373:QAC1047438 QJY1047373:QJY1047438 QTU1047373:QTU1047438 RDQ1047373:RDQ1047438 RNM1047373:RNM1047438 RXI1047373:RXI1047438 SHE1047373:SHE1047438 SRA1047373:SRA1047438 TAW1047373:TAW1047438 TKS1047373:TKS1047438 TUO1047373:TUO1047438 UEK1047373:UEK1047438 UOG1047373:UOG1047438 UYC1047373:UYC1047438 VHY1047373:VHY1047438 VRU1047373:VRU1047438 WBQ1047373:WBQ1047438 WLM1047373:WLM1047438 WVI1047373:WVI1047438 WVI983012:WVI983083 A65508:A65579 IW65508:IW65579 SS65508:SS65579 ACO65508:ACO65579 AMK65508:AMK65579 AWG65508:AWG65579 BGC65508:BGC65579 BPY65508:BPY65579 BZU65508:BZU65579 CJQ65508:CJQ65579 CTM65508:CTM65579 DDI65508:DDI65579 DNE65508:DNE65579 DXA65508:DXA65579 EGW65508:EGW65579 EQS65508:EQS65579 FAO65508:FAO65579 FKK65508:FKK65579 FUG65508:FUG65579 GEC65508:GEC65579 GNY65508:GNY65579 GXU65508:GXU65579 HHQ65508:HHQ65579 HRM65508:HRM65579 IBI65508:IBI65579 ILE65508:ILE65579 IVA65508:IVA65579 JEW65508:JEW65579 JOS65508:JOS65579 JYO65508:JYO65579 KIK65508:KIK65579 KSG65508:KSG65579 LCC65508:LCC65579 LLY65508:LLY65579 LVU65508:LVU65579 MFQ65508:MFQ65579 MPM65508:MPM65579 MZI65508:MZI65579 NJE65508:NJE65579 NTA65508:NTA65579 OCW65508:OCW65579 OMS65508:OMS65579 OWO65508:OWO65579 PGK65508:PGK65579 PQG65508:PQG65579 QAC65508:QAC65579 QJY65508:QJY65579 QTU65508:QTU65579 RDQ65508:RDQ65579 RNM65508:RNM65579 RXI65508:RXI65579 SHE65508:SHE65579 SRA65508:SRA65579 TAW65508:TAW65579 TKS65508:TKS65579 TUO65508:TUO65579 UEK65508:UEK65579 UOG65508:UOG65579 UYC65508:UYC65579 VHY65508:VHY65579 VRU65508:VRU65579 WBQ65508:WBQ65579 WLM65508:WLM65579 WVI65508:WVI65579 A131044:A131115 IW131044:IW131115 SS131044:SS131115 ACO131044:ACO131115 AMK131044:AMK131115 AWG131044:AWG131115 BGC131044:BGC131115 BPY131044:BPY131115 BZU131044:BZU131115 CJQ131044:CJQ131115 CTM131044:CTM131115 DDI131044:DDI131115 DNE131044:DNE131115 DXA131044:DXA131115 EGW131044:EGW131115 EQS131044:EQS131115 FAO131044:FAO131115 FKK131044:FKK131115 FUG131044:FUG131115 GEC131044:GEC131115 GNY131044:GNY131115 GXU131044:GXU131115 HHQ131044:HHQ131115 HRM131044:HRM131115 IBI131044:IBI131115 ILE131044:ILE131115 IVA131044:IVA131115 JEW131044:JEW131115 JOS131044:JOS131115 JYO131044:JYO131115 KIK131044:KIK131115 KSG131044:KSG131115 LCC131044:LCC131115 LLY131044:LLY131115 LVU131044:LVU131115 MFQ131044:MFQ131115 MPM131044:MPM131115 MZI131044:MZI131115 NJE131044:NJE131115 NTA131044:NTA131115 OCW131044:OCW131115 OMS131044:OMS131115 OWO131044:OWO131115 PGK131044:PGK131115 PQG131044:PQG131115 QAC131044:QAC131115 QJY131044:QJY131115 QTU131044:QTU131115 RDQ131044:RDQ131115 RNM131044:RNM131115 RXI131044:RXI131115 SHE131044:SHE131115 SRA131044:SRA131115 TAW131044:TAW131115 TKS131044:TKS131115 TUO131044:TUO131115 UEK131044:UEK131115 UOG131044:UOG131115 UYC131044:UYC131115 VHY131044:VHY131115 VRU131044:VRU131115 WBQ131044:WBQ131115 WLM131044:WLM131115 WVI131044:WVI131115 A196580:A196651 IW196580:IW196651 SS196580:SS196651 ACO196580:ACO196651 AMK196580:AMK196651 AWG196580:AWG196651 BGC196580:BGC196651 BPY196580:BPY196651 BZU196580:BZU196651 CJQ196580:CJQ196651 CTM196580:CTM196651 DDI196580:DDI196651 DNE196580:DNE196651 DXA196580:DXA196651 EGW196580:EGW196651 EQS196580:EQS196651 FAO196580:FAO196651 FKK196580:FKK196651 FUG196580:FUG196651 GEC196580:GEC196651 GNY196580:GNY196651 GXU196580:GXU196651 HHQ196580:HHQ196651 HRM196580:HRM196651 IBI196580:IBI196651 ILE196580:ILE196651 IVA196580:IVA196651 JEW196580:JEW196651 JOS196580:JOS196651 JYO196580:JYO196651 KIK196580:KIK196651 KSG196580:KSG196651 LCC196580:LCC196651 LLY196580:LLY196651 LVU196580:LVU196651 MFQ196580:MFQ196651 MPM196580:MPM196651 MZI196580:MZI196651 NJE196580:NJE196651 NTA196580:NTA196651 OCW196580:OCW196651 OMS196580:OMS196651 OWO196580:OWO196651 PGK196580:PGK196651 PQG196580:PQG196651 QAC196580:QAC196651 QJY196580:QJY196651 QTU196580:QTU196651 RDQ196580:RDQ196651 RNM196580:RNM196651 RXI196580:RXI196651 SHE196580:SHE196651 SRA196580:SRA196651 TAW196580:TAW196651 TKS196580:TKS196651 TUO196580:TUO196651 UEK196580:UEK196651 UOG196580:UOG196651 UYC196580:UYC196651 VHY196580:VHY196651 VRU196580:VRU196651 WBQ196580:WBQ196651 WLM196580:WLM196651 WVI196580:WVI196651 A262116:A262187 IW262116:IW262187 SS262116:SS262187 ACO262116:ACO262187 AMK262116:AMK262187 AWG262116:AWG262187 BGC262116:BGC262187 BPY262116:BPY262187 BZU262116:BZU262187 CJQ262116:CJQ262187 CTM262116:CTM262187 DDI262116:DDI262187 DNE262116:DNE262187 DXA262116:DXA262187 EGW262116:EGW262187 EQS262116:EQS262187 FAO262116:FAO262187 FKK262116:FKK262187 FUG262116:FUG262187 GEC262116:GEC262187 GNY262116:GNY262187 GXU262116:GXU262187 HHQ262116:HHQ262187 HRM262116:HRM262187 IBI262116:IBI262187 ILE262116:ILE262187 IVA262116:IVA262187 JEW262116:JEW262187 JOS262116:JOS262187 JYO262116:JYO262187 KIK262116:KIK262187 KSG262116:KSG262187 LCC262116:LCC262187 LLY262116:LLY262187 LVU262116:LVU262187 MFQ262116:MFQ262187 MPM262116:MPM262187 MZI262116:MZI262187 NJE262116:NJE262187 NTA262116:NTA262187 OCW262116:OCW262187 OMS262116:OMS262187 OWO262116:OWO262187 PGK262116:PGK262187 PQG262116:PQG262187 QAC262116:QAC262187 QJY262116:QJY262187 QTU262116:QTU262187 RDQ262116:RDQ262187 RNM262116:RNM262187 RXI262116:RXI262187 SHE262116:SHE262187 SRA262116:SRA262187 TAW262116:TAW262187 TKS262116:TKS262187 TUO262116:TUO262187 UEK262116:UEK262187 UOG262116:UOG262187 UYC262116:UYC262187 VHY262116:VHY262187 VRU262116:VRU262187 WBQ262116:WBQ262187 WLM262116:WLM262187 WVI262116:WVI262187 A327652:A327723 IW327652:IW327723 SS327652:SS327723 ACO327652:ACO327723 AMK327652:AMK327723 AWG327652:AWG327723 BGC327652:BGC327723 BPY327652:BPY327723 BZU327652:BZU327723 CJQ327652:CJQ327723 CTM327652:CTM327723 DDI327652:DDI327723 DNE327652:DNE327723 DXA327652:DXA327723 EGW327652:EGW327723 EQS327652:EQS327723 FAO327652:FAO327723 FKK327652:FKK327723 FUG327652:FUG327723 GEC327652:GEC327723 GNY327652:GNY327723 GXU327652:GXU327723 HHQ327652:HHQ327723 HRM327652:HRM327723 IBI327652:IBI327723 ILE327652:ILE327723 IVA327652:IVA327723 JEW327652:JEW327723 JOS327652:JOS327723 JYO327652:JYO327723 KIK327652:KIK327723 KSG327652:KSG327723 LCC327652:LCC327723 LLY327652:LLY327723 LVU327652:LVU327723 MFQ327652:MFQ327723 MPM327652:MPM327723 MZI327652:MZI327723 NJE327652:NJE327723 NTA327652:NTA327723 OCW327652:OCW327723 OMS327652:OMS327723 OWO327652:OWO327723 PGK327652:PGK327723 PQG327652:PQG327723 QAC327652:QAC327723 QJY327652:QJY327723 QTU327652:QTU327723 RDQ327652:RDQ327723 RNM327652:RNM327723 RXI327652:RXI327723 SHE327652:SHE327723 SRA327652:SRA327723 TAW327652:TAW327723 TKS327652:TKS327723 TUO327652:TUO327723 UEK327652:UEK327723 UOG327652:UOG327723 UYC327652:UYC327723 VHY327652:VHY327723 VRU327652:VRU327723 WBQ327652:WBQ327723 WLM327652:WLM327723 WVI327652:WVI327723 A393188:A393259 IW393188:IW393259 SS393188:SS393259 ACO393188:ACO393259 AMK393188:AMK393259 AWG393188:AWG393259 BGC393188:BGC393259 BPY393188:BPY393259 BZU393188:BZU393259 CJQ393188:CJQ393259 CTM393188:CTM393259 DDI393188:DDI393259 DNE393188:DNE393259 DXA393188:DXA393259 EGW393188:EGW393259 EQS393188:EQS393259 FAO393188:FAO393259 FKK393188:FKK393259 FUG393188:FUG393259 GEC393188:GEC393259 GNY393188:GNY393259 GXU393188:GXU393259 HHQ393188:HHQ393259 HRM393188:HRM393259 IBI393188:IBI393259 ILE393188:ILE393259 IVA393188:IVA393259 JEW393188:JEW393259 JOS393188:JOS393259 JYO393188:JYO393259 KIK393188:KIK393259 KSG393188:KSG393259 LCC393188:LCC393259 LLY393188:LLY393259 LVU393188:LVU393259 MFQ393188:MFQ393259 MPM393188:MPM393259 MZI393188:MZI393259 NJE393188:NJE393259 NTA393188:NTA393259 OCW393188:OCW393259 OMS393188:OMS393259 OWO393188:OWO393259 PGK393188:PGK393259 PQG393188:PQG393259 QAC393188:QAC393259 QJY393188:QJY393259 QTU393188:QTU393259 RDQ393188:RDQ393259 RNM393188:RNM393259 RXI393188:RXI393259 SHE393188:SHE393259 SRA393188:SRA393259 TAW393188:TAW393259 TKS393188:TKS393259 TUO393188:TUO393259 UEK393188:UEK393259 UOG393188:UOG393259 UYC393188:UYC393259 VHY393188:VHY393259 VRU393188:VRU393259 WBQ393188:WBQ393259 WLM393188:WLM393259 WVI393188:WVI393259 A458724:A458795 IW458724:IW458795 SS458724:SS458795 ACO458724:ACO458795 AMK458724:AMK458795 AWG458724:AWG458795 BGC458724:BGC458795 BPY458724:BPY458795 BZU458724:BZU458795 CJQ458724:CJQ458795 CTM458724:CTM458795 DDI458724:DDI458795 DNE458724:DNE458795 DXA458724:DXA458795 EGW458724:EGW458795 EQS458724:EQS458795 FAO458724:FAO458795 FKK458724:FKK458795 FUG458724:FUG458795 GEC458724:GEC458795 GNY458724:GNY458795 GXU458724:GXU458795 HHQ458724:HHQ458795 HRM458724:HRM458795 IBI458724:IBI458795 ILE458724:ILE458795 IVA458724:IVA458795 JEW458724:JEW458795 JOS458724:JOS458795 JYO458724:JYO458795 KIK458724:KIK458795 KSG458724:KSG458795 LCC458724:LCC458795 LLY458724:LLY458795 LVU458724:LVU458795 MFQ458724:MFQ458795 MPM458724:MPM458795 MZI458724:MZI458795 NJE458724:NJE458795 NTA458724:NTA458795 OCW458724:OCW458795 OMS458724:OMS458795 OWO458724:OWO458795 PGK458724:PGK458795 PQG458724:PQG458795 QAC458724:QAC458795 QJY458724:QJY458795 QTU458724:QTU458795 RDQ458724:RDQ458795 RNM458724:RNM458795 RXI458724:RXI458795 SHE458724:SHE458795 SRA458724:SRA458795 TAW458724:TAW458795 TKS458724:TKS458795 TUO458724:TUO458795 UEK458724:UEK458795 UOG458724:UOG458795 UYC458724:UYC458795 VHY458724:VHY458795 VRU458724:VRU458795 WBQ458724:WBQ458795 WLM458724:WLM458795 WVI458724:WVI458795 A524260:A524331 IW524260:IW524331 SS524260:SS524331 ACO524260:ACO524331 AMK524260:AMK524331 AWG524260:AWG524331 BGC524260:BGC524331 BPY524260:BPY524331 BZU524260:BZU524331 CJQ524260:CJQ524331 CTM524260:CTM524331 DDI524260:DDI524331 DNE524260:DNE524331 DXA524260:DXA524331 EGW524260:EGW524331 EQS524260:EQS524331 FAO524260:FAO524331 FKK524260:FKK524331 FUG524260:FUG524331 GEC524260:GEC524331 GNY524260:GNY524331 GXU524260:GXU524331 HHQ524260:HHQ524331 HRM524260:HRM524331 IBI524260:IBI524331 ILE524260:ILE524331 IVA524260:IVA524331 JEW524260:JEW524331 JOS524260:JOS524331 JYO524260:JYO524331 KIK524260:KIK524331 KSG524260:KSG524331 LCC524260:LCC524331 LLY524260:LLY524331 LVU524260:LVU524331 MFQ524260:MFQ524331 MPM524260:MPM524331 MZI524260:MZI524331 NJE524260:NJE524331 NTA524260:NTA524331 OCW524260:OCW524331 OMS524260:OMS524331 OWO524260:OWO524331 PGK524260:PGK524331 PQG524260:PQG524331 QAC524260:QAC524331 QJY524260:QJY524331 QTU524260:QTU524331 RDQ524260:RDQ524331 RNM524260:RNM524331 RXI524260:RXI524331 SHE524260:SHE524331 SRA524260:SRA524331 TAW524260:TAW524331 TKS524260:TKS524331 TUO524260:TUO524331 UEK524260:UEK524331 UOG524260:UOG524331 UYC524260:UYC524331 VHY524260:VHY524331 VRU524260:VRU524331 WBQ524260:WBQ524331 WLM524260:WLM524331 WVI524260:WVI524331 A589796:A589867 IW589796:IW589867 SS589796:SS589867 ACO589796:ACO589867 AMK589796:AMK589867 AWG589796:AWG589867 BGC589796:BGC589867 BPY589796:BPY589867 BZU589796:BZU589867 CJQ589796:CJQ589867 CTM589796:CTM589867 DDI589796:DDI589867 DNE589796:DNE589867 DXA589796:DXA589867 EGW589796:EGW589867 EQS589796:EQS589867 FAO589796:FAO589867 FKK589796:FKK589867 FUG589796:FUG589867 GEC589796:GEC589867 GNY589796:GNY589867 GXU589796:GXU589867 HHQ589796:HHQ589867 HRM589796:HRM589867 IBI589796:IBI589867 ILE589796:ILE589867 IVA589796:IVA589867 JEW589796:JEW589867 JOS589796:JOS589867 JYO589796:JYO589867 KIK589796:KIK589867 KSG589796:KSG589867 LCC589796:LCC589867 LLY589796:LLY589867 LVU589796:LVU589867 MFQ589796:MFQ589867 MPM589796:MPM589867 MZI589796:MZI589867 NJE589796:NJE589867 NTA589796:NTA589867 OCW589796:OCW589867 OMS589796:OMS589867 OWO589796:OWO589867 PGK589796:PGK589867 PQG589796:PQG589867 QAC589796:QAC589867 QJY589796:QJY589867 QTU589796:QTU589867 RDQ589796:RDQ589867 RNM589796:RNM589867 RXI589796:RXI589867 SHE589796:SHE589867 SRA589796:SRA589867 TAW589796:TAW589867 TKS589796:TKS589867 TUO589796:TUO589867 UEK589796:UEK589867 UOG589796:UOG589867 UYC589796:UYC589867 VHY589796:VHY589867 VRU589796:VRU589867 WBQ589796:WBQ589867 WLM589796:WLM589867 WVI589796:WVI589867 A655332:A655403 IW655332:IW655403 SS655332:SS655403 ACO655332:ACO655403 AMK655332:AMK655403 AWG655332:AWG655403 BGC655332:BGC655403 BPY655332:BPY655403 BZU655332:BZU655403 CJQ655332:CJQ655403 CTM655332:CTM655403 DDI655332:DDI655403 DNE655332:DNE655403 DXA655332:DXA655403 EGW655332:EGW655403 EQS655332:EQS655403 FAO655332:FAO655403 FKK655332:FKK655403 FUG655332:FUG655403 GEC655332:GEC655403 GNY655332:GNY655403 GXU655332:GXU655403 HHQ655332:HHQ655403 HRM655332:HRM655403 IBI655332:IBI655403 ILE655332:ILE655403 IVA655332:IVA655403 JEW655332:JEW655403 JOS655332:JOS655403 JYO655332:JYO655403 KIK655332:KIK655403 KSG655332:KSG655403 LCC655332:LCC655403 LLY655332:LLY655403 LVU655332:LVU655403 MFQ655332:MFQ655403 MPM655332:MPM655403 MZI655332:MZI655403 NJE655332:NJE655403 NTA655332:NTA655403 OCW655332:OCW655403 OMS655332:OMS655403 OWO655332:OWO655403 PGK655332:PGK655403 PQG655332:PQG655403 QAC655332:QAC655403 QJY655332:QJY655403 QTU655332:QTU655403 RDQ655332:RDQ655403 RNM655332:RNM655403 RXI655332:RXI655403 SHE655332:SHE655403 SRA655332:SRA655403 TAW655332:TAW655403 TKS655332:TKS655403 TUO655332:TUO655403 UEK655332:UEK655403 UOG655332:UOG655403 UYC655332:UYC655403 VHY655332:VHY655403 VRU655332:VRU655403 WBQ655332:WBQ655403 WLM655332:WLM655403 WVI655332:WVI655403 A720868:A720939 IW720868:IW720939 SS720868:SS720939 ACO720868:ACO720939 AMK720868:AMK720939 AWG720868:AWG720939 BGC720868:BGC720939 BPY720868:BPY720939 BZU720868:BZU720939 CJQ720868:CJQ720939 CTM720868:CTM720939 DDI720868:DDI720939 DNE720868:DNE720939 DXA720868:DXA720939 EGW720868:EGW720939 EQS720868:EQS720939 FAO720868:FAO720939 FKK720868:FKK720939 FUG720868:FUG720939 GEC720868:GEC720939 GNY720868:GNY720939 GXU720868:GXU720939 HHQ720868:HHQ720939 HRM720868:HRM720939 IBI720868:IBI720939 ILE720868:ILE720939 IVA720868:IVA720939 JEW720868:JEW720939 JOS720868:JOS720939 JYO720868:JYO720939 KIK720868:KIK720939 KSG720868:KSG720939 LCC720868:LCC720939 LLY720868:LLY720939 LVU720868:LVU720939 MFQ720868:MFQ720939 MPM720868:MPM720939 MZI720868:MZI720939 NJE720868:NJE720939 NTA720868:NTA720939 OCW720868:OCW720939 OMS720868:OMS720939 OWO720868:OWO720939 PGK720868:PGK720939 PQG720868:PQG720939 QAC720868:QAC720939 QJY720868:QJY720939 QTU720868:QTU720939 RDQ720868:RDQ720939 RNM720868:RNM720939 RXI720868:RXI720939 SHE720868:SHE720939 SRA720868:SRA720939 TAW720868:TAW720939 TKS720868:TKS720939 TUO720868:TUO720939 UEK720868:UEK720939 UOG720868:UOG720939 UYC720868:UYC720939 VHY720868:VHY720939 VRU720868:VRU720939 WBQ720868:WBQ720939 WLM720868:WLM720939 WVI720868:WVI720939 A786404:A786475 IW786404:IW786475 SS786404:SS786475 ACO786404:ACO786475 AMK786404:AMK786475 AWG786404:AWG786475 BGC786404:BGC786475 BPY786404:BPY786475 BZU786404:BZU786475 CJQ786404:CJQ786475 CTM786404:CTM786475 DDI786404:DDI786475 DNE786404:DNE786475 DXA786404:DXA786475 EGW786404:EGW786475 EQS786404:EQS786475 FAO786404:FAO786475 FKK786404:FKK786475 FUG786404:FUG786475 GEC786404:GEC786475 GNY786404:GNY786475 GXU786404:GXU786475 HHQ786404:HHQ786475 HRM786404:HRM786475 IBI786404:IBI786475 ILE786404:ILE786475 IVA786404:IVA786475 JEW786404:JEW786475 JOS786404:JOS786475 JYO786404:JYO786475 KIK786404:KIK786475 KSG786404:KSG786475 LCC786404:LCC786475 LLY786404:LLY786475 LVU786404:LVU786475 MFQ786404:MFQ786475 MPM786404:MPM786475 MZI786404:MZI786475 NJE786404:NJE786475 NTA786404:NTA786475 OCW786404:OCW786475 OMS786404:OMS786475 OWO786404:OWO786475 PGK786404:PGK786475 PQG786404:PQG786475 QAC786404:QAC786475 QJY786404:QJY786475 QTU786404:QTU786475 RDQ786404:RDQ786475 RNM786404:RNM786475 RXI786404:RXI786475 SHE786404:SHE786475 SRA786404:SRA786475 TAW786404:TAW786475 TKS786404:TKS786475 TUO786404:TUO786475 UEK786404:UEK786475 UOG786404:UOG786475 UYC786404:UYC786475 VHY786404:VHY786475 VRU786404:VRU786475 WBQ786404:WBQ786475 WLM786404:WLM786475 WVI786404:WVI786475 A851940:A852011 IW851940:IW852011 SS851940:SS852011 ACO851940:ACO852011 AMK851940:AMK852011 AWG851940:AWG852011 BGC851940:BGC852011 BPY851940:BPY852011 BZU851940:BZU852011 CJQ851940:CJQ852011 CTM851940:CTM852011 DDI851940:DDI852011 DNE851940:DNE852011 DXA851940:DXA852011 EGW851940:EGW852011 EQS851940:EQS852011 FAO851940:FAO852011 FKK851940:FKK852011 FUG851940:FUG852011 GEC851940:GEC852011 GNY851940:GNY852011 GXU851940:GXU852011 HHQ851940:HHQ852011 HRM851940:HRM852011 IBI851940:IBI852011 ILE851940:ILE852011 IVA851940:IVA852011 JEW851940:JEW852011 JOS851940:JOS852011 JYO851940:JYO852011 KIK851940:KIK852011 KSG851940:KSG852011 LCC851940:LCC852011 LLY851940:LLY852011 LVU851940:LVU852011 MFQ851940:MFQ852011 MPM851940:MPM852011 MZI851940:MZI852011 NJE851940:NJE852011 NTA851940:NTA852011 OCW851940:OCW852011 OMS851940:OMS852011 OWO851940:OWO852011 PGK851940:PGK852011 PQG851940:PQG852011 QAC851940:QAC852011 QJY851940:QJY852011 QTU851940:QTU852011 RDQ851940:RDQ852011 RNM851940:RNM852011 RXI851940:RXI852011 SHE851940:SHE852011 SRA851940:SRA852011 TAW851940:TAW852011 TKS851940:TKS852011 TUO851940:TUO852011 UEK851940:UEK852011 UOG851940:UOG852011 UYC851940:UYC852011 VHY851940:VHY852011 VRU851940:VRU852011 WBQ851940:WBQ852011 WLM851940:WLM852011 WVI851940:WVI852011 A917476:A917547 IW917476:IW917547 SS917476:SS917547 ACO917476:ACO917547 AMK917476:AMK917547 AWG917476:AWG917547 BGC917476:BGC917547 BPY917476:BPY917547 BZU917476:BZU917547 CJQ917476:CJQ917547 CTM917476:CTM917547 DDI917476:DDI917547 DNE917476:DNE917547 DXA917476:DXA917547 EGW917476:EGW917547 EQS917476:EQS917547 FAO917476:FAO917547 FKK917476:FKK917547 FUG917476:FUG917547 GEC917476:GEC917547 GNY917476:GNY917547 GXU917476:GXU917547 HHQ917476:HHQ917547 HRM917476:HRM917547 IBI917476:IBI917547 ILE917476:ILE917547 IVA917476:IVA917547 JEW917476:JEW917547 JOS917476:JOS917547 JYO917476:JYO917547 KIK917476:KIK917547 KSG917476:KSG917547 LCC917476:LCC917547 LLY917476:LLY917547 LVU917476:LVU917547 MFQ917476:MFQ917547 MPM917476:MPM917547 MZI917476:MZI917547 NJE917476:NJE917547 NTA917476:NTA917547 OCW917476:OCW917547 OMS917476:OMS917547 OWO917476:OWO917547 PGK917476:PGK917547 PQG917476:PQG917547 QAC917476:QAC917547 QJY917476:QJY917547 QTU917476:QTU917547 RDQ917476:RDQ917547 RNM917476:RNM917547 RXI917476:RXI917547 SHE917476:SHE917547 SRA917476:SRA917547 TAW917476:TAW917547 TKS917476:TKS917547 TUO917476:TUO917547 UEK917476:UEK917547 UOG917476:UOG917547 UYC917476:UYC917547 VHY917476:VHY917547 VRU917476:VRU917547 WBQ917476:WBQ917547 WLM917476:WLM917547 WVI917476:WVI917547 A983012:A983083 IW983012:IW983083 SS983012:SS983083 ACO983012:ACO983083 AMK983012:AMK983083 AWG983012:AWG983083 BGC983012:BGC983083 BPY983012:BPY983083 BZU983012:BZU983083 CJQ983012:CJQ983083 CTM983012:CTM983083 DDI983012:DDI983083 DNE983012:DNE983083 DXA983012:DXA983083 EGW983012:EGW983083 EQS983012:EQS983083 FAO983012:FAO983083 FKK983012:FKK983083 FUG983012:FUG983083 GEC983012:GEC983083 GNY983012:GNY983083 GXU983012:GXU983083 HHQ983012:HHQ983083 HRM983012:HRM983083 IBI983012:IBI983083 ILE983012:ILE983083 IVA983012:IVA983083 JEW983012:JEW983083 JOS983012:JOS983083 JYO983012:JYO983083 KIK983012:KIK983083 KSG983012:KSG983083 LCC983012:LCC983083 LLY983012:LLY983083 LVU983012:LVU983083 MFQ983012:MFQ983083 MPM983012:MPM983083 MZI983012:MZI983083 NJE983012:NJE983083 NTA983012:NTA983083 OCW983012:OCW983083 OMS983012:OMS983083 OWO983012:OWO983083 PGK983012:PGK983083 PQG983012:PQG983083 QAC983012:QAC983083 QJY983012:QJY983083 QTU983012:QTU983083 RDQ983012:RDQ983083 RNM983012:RNM983083 RXI983012:RXI983083 SHE983012:SHE983083 SRA983012:SRA983083 TAW983012:TAW983083 TKS983012:TKS983083 TUO983012:TUO983083 UEK983012:UEK983083 UOG983012:UOG983083 UYC983012:UYC983083 VHY983012:VHY983083 VRU983012:VRU983083 WBQ983012:WBQ983083 WLM983012:WLM983083 A2:A470 IW2:IW57 WVI2:WVI57 WLM2:WLM57 WBQ2:WBQ57 VRU2:VRU57 VHY2:VHY57 UYC2:UYC57 UOG2:UOG57 UEK2:UEK57 TUO2:TUO57 TKS2:TKS57 TAW2:TAW57 SRA2:SRA57 SHE2:SHE57 RXI2:RXI57 RNM2:RNM57 RDQ2:RDQ57 QTU2:QTU57 QJY2:QJY57 QAC2:QAC57 PQG2:PQG57 PGK2:PGK57 OWO2:OWO57 OMS2:OMS57 OCW2:OCW57 NTA2:NTA57 NJE2:NJE57 MZI2:MZI57 MPM2:MPM57 MFQ2:MFQ57 LVU2:LVU57 LLY2:LLY57 LCC2:LCC57 KSG2:KSG57 KIK2:KIK57 JYO2:JYO57 JOS2:JOS57 JEW2:JEW57 IVA2:IVA57 ILE2:ILE57 IBI2:IBI57 HRM2:HRM57 HHQ2:HHQ57 GXU2:GXU57 GNY2:GNY57 GEC2:GEC57 FUG2:FUG57 FKK2:FKK57 FAO2:FAO57 EQS2:EQS57 EGW2:EGW57 DXA2:DXA57 DNE2:DNE57 DDI2:DDI57 CTM2:CTM57 CJQ2:CJQ57 BZU2:BZU57 BPY2:BPY57 BGC2:BGC57 AWG2:AWG57 AMK2:AMK57 ACO2:ACO57 SS2:SS57" xr:uid="{10C165B4-FC0B-462D-B0A2-538A7D4AFC88}">
      <formula1>$AE$2:$AE$19</formula1>
    </dataValidation>
    <dataValidation type="list" allowBlank="1" showInputMessage="1" showErrorMessage="1" sqref="X64333:X64398 JT64333:JT64398 TP64333:TP64398 ADL64333:ADL64398 ANH64333:ANH64398 AXD64333:AXD64398 BGZ64333:BGZ64398 BQV64333:BQV64398 CAR64333:CAR64398 CKN64333:CKN64398 CUJ64333:CUJ64398 DEF64333:DEF64398 DOB64333:DOB64398 DXX64333:DXX64398 EHT64333:EHT64398 ERP64333:ERP64398 FBL64333:FBL64398 FLH64333:FLH64398 FVD64333:FVD64398 GEZ64333:GEZ64398 GOV64333:GOV64398 GYR64333:GYR64398 HIN64333:HIN64398 HSJ64333:HSJ64398 ICF64333:ICF64398 IMB64333:IMB64398 IVX64333:IVX64398 JFT64333:JFT64398 JPP64333:JPP64398 JZL64333:JZL64398 KJH64333:KJH64398 KTD64333:KTD64398 LCZ64333:LCZ64398 LMV64333:LMV64398 LWR64333:LWR64398 MGN64333:MGN64398 MQJ64333:MQJ64398 NAF64333:NAF64398 NKB64333:NKB64398 NTX64333:NTX64398 ODT64333:ODT64398 ONP64333:ONP64398 OXL64333:OXL64398 PHH64333:PHH64398 PRD64333:PRD64398 QAZ64333:QAZ64398 QKV64333:QKV64398 QUR64333:QUR64398 REN64333:REN64398 ROJ64333:ROJ64398 RYF64333:RYF64398 SIB64333:SIB64398 SRX64333:SRX64398 TBT64333:TBT64398 TLP64333:TLP64398 TVL64333:TVL64398 UFH64333:UFH64398 UPD64333:UPD64398 UYZ64333:UYZ64398 VIV64333:VIV64398 VSR64333:VSR64398 WCN64333:WCN64398 WMJ64333:WMJ64398 WWF64333:WWF64398 X129869:X129934 JT129869:JT129934 TP129869:TP129934 ADL129869:ADL129934 ANH129869:ANH129934 AXD129869:AXD129934 BGZ129869:BGZ129934 BQV129869:BQV129934 CAR129869:CAR129934 CKN129869:CKN129934 CUJ129869:CUJ129934 DEF129869:DEF129934 DOB129869:DOB129934 DXX129869:DXX129934 EHT129869:EHT129934 ERP129869:ERP129934 FBL129869:FBL129934 FLH129869:FLH129934 FVD129869:FVD129934 GEZ129869:GEZ129934 GOV129869:GOV129934 GYR129869:GYR129934 HIN129869:HIN129934 HSJ129869:HSJ129934 ICF129869:ICF129934 IMB129869:IMB129934 IVX129869:IVX129934 JFT129869:JFT129934 JPP129869:JPP129934 JZL129869:JZL129934 KJH129869:KJH129934 KTD129869:KTD129934 LCZ129869:LCZ129934 LMV129869:LMV129934 LWR129869:LWR129934 MGN129869:MGN129934 MQJ129869:MQJ129934 NAF129869:NAF129934 NKB129869:NKB129934 NTX129869:NTX129934 ODT129869:ODT129934 ONP129869:ONP129934 OXL129869:OXL129934 PHH129869:PHH129934 PRD129869:PRD129934 QAZ129869:QAZ129934 QKV129869:QKV129934 QUR129869:QUR129934 REN129869:REN129934 ROJ129869:ROJ129934 RYF129869:RYF129934 SIB129869:SIB129934 SRX129869:SRX129934 TBT129869:TBT129934 TLP129869:TLP129934 TVL129869:TVL129934 UFH129869:UFH129934 UPD129869:UPD129934 UYZ129869:UYZ129934 VIV129869:VIV129934 VSR129869:VSR129934 WCN129869:WCN129934 WMJ129869:WMJ129934 WWF129869:WWF129934 X195405:X195470 JT195405:JT195470 TP195405:TP195470 ADL195405:ADL195470 ANH195405:ANH195470 AXD195405:AXD195470 BGZ195405:BGZ195470 BQV195405:BQV195470 CAR195405:CAR195470 CKN195405:CKN195470 CUJ195405:CUJ195470 DEF195405:DEF195470 DOB195405:DOB195470 DXX195405:DXX195470 EHT195405:EHT195470 ERP195405:ERP195470 FBL195405:FBL195470 FLH195405:FLH195470 FVD195405:FVD195470 GEZ195405:GEZ195470 GOV195405:GOV195470 GYR195405:GYR195470 HIN195405:HIN195470 HSJ195405:HSJ195470 ICF195405:ICF195470 IMB195405:IMB195470 IVX195405:IVX195470 JFT195405:JFT195470 JPP195405:JPP195470 JZL195405:JZL195470 KJH195405:KJH195470 KTD195405:KTD195470 LCZ195405:LCZ195470 LMV195405:LMV195470 LWR195405:LWR195470 MGN195405:MGN195470 MQJ195405:MQJ195470 NAF195405:NAF195470 NKB195405:NKB195470 NTX195405:NTX195470 ODT195405:ODT195470 ONP195405:ONP195470 OXL195405:OXL195470 PHH195405:PHH195470 PRD195405:PRD195470 QAZ195405:QAZ195470 QKV195405:QKV195470 QUR195405:QUR195470 REN195405:REN195470 ROJ195405:ROJ195470 RYF195405:RYF195470 SIB195405:SIB195470 SRX195405:SRX195470 TBT195405:TBT195470 TLP195405:TLP195470 TVL195405:TVL195470 UFH195405:UFH195470 UPD195405:UPD195470 UYZ195405:UYZ195470 VIV195405:VIV195470 VSR195405:VSR195470 WCN195405:WCN195470 WMJ195405:WMJ195470 WWF195405:WWF195470 X260941:X261006 JT260941:JT261006 TP260941:TP261006 ADL260941:ADL261006 ANH260941:ANH261006 AXD260941:AXD261006 BGZ260941:BGZ261006 BQV260941:BQV261006 CAR260941:CAR261006 CKN260941:CKN261006 CUJ260941:CUJ261006 DEF260941:DEF261006 DOB260941:DOB261006 DXX260941:DXX261006 EHT260941:EHT261006 ERP260941:ERP261006 FBL260941:FBL261006 FLH260941:FLH261006 FVD260941:FVD261006 GEZ260941:GEZ261006 GOV260941:GOV261006 GYR260941:GYR261006 HIN260941:HIN261006 HSJ260941:HSJ261006 ICF260941:ICF261006 IMB260941:IMB261006 IVX260941:IVX261006 JFT260941:JFT261006 JPP260941:JPP261006 JZL260941:JZL261006 KJH260941:KJH261006 KTD260941:KTD261006 LCZ260941:LCZ261006 LMV260941:LMV261006 LWR260941:LWR261006 MGN260941:MGN261006 MQJ260941:MQJ261006 NAF260941:NAF261006 NKB260941:NKB261006 NTX260941:NTX261006 ODT260941:ODT261006 ONP260941:ONP261006 OXL260941:OXL261006 PHH260941:PHH261006 PRD260941:PRD261006 QAZ260941:QAZ261006 QKV260941:QKV261006 QUR260941:QUR261006 REN260941:REN261006 ROJ260941:ROJ261006 RYF260941:RYF261006 SIB260941:SIB261006 SRX260941:SRX261006 TBT260941:TBT261006 TLP260941:TLP261006 TVL260941:TVL261006 UFH260941:UFH261006 UPD260941:UPD261006 UYZ260941:UYZ261006 VIV260941:VIV261006 VSR260941:VSR261006 WCN260941:WCN261006 WMJ260941:WMJ261006 WWF260941:WWF261006 X326477:X326542 JT326477:JT326542 TP326477:TP326542 ADL326477:ADL326542 ANH326477:ANH326542 AXD326477:AXD326542 BGZ326477:BGZ326542 BQV326477:BQV326542 CAR326477:CAR326542 CKN326477:CKN326542 CUJ326477:CUJ326542 DEF326477:DEF326542 DOB326477:DOB326542 DXX326477:DXX326542 EHT326477:EHT326542 ERP326477:ERP326542 FBL326477:FBL326542 FLH326477:FLH326542 FVD326477:FVD326542 GEZ326477:GEZ326542 GOV326477:GOV326542 GYR326477:GYR326542 HIN326477:HIN326542 HSJ326477:HSJ326542 ICF326477:ICF326542 IMB326477:IMB326542 IVX326477:IVX326542 JFT326477:JFT326542 JPP326477:JPP326542 JZL326477:JZL326542 KJH326477:KJH326542 KTD326477:KTD326542 LCZ326477:LCZ326542 LMV326477:LMV326542 LWR326477:LWR326542 MGN326477:MGN326542 MQJ326477:MQJ326542 NAF326477:NAF326542 NKB326477:NKB326542 NTX326477:NTX326542 ODT326477:ODT326542 ONP326477:ONP326542 OXL326477:OXL326542 PHH326477:PHH326542 PRD326477:PRD326542 QAZ326477:QAZ326542 QKV326477:QKV326542 QUR326477:QUR326542 REN326477:REN326542 ROJ326477:ROJ326542 RYF326477:RYF326542 SIB326477:SIB326542 SRX326477:SRX326542 TBT326477:TBT326542 TLP326477:TLP326542 TVL326477:TVL326542 UFH326477:UFH326542 UPD326477:UPD326542 UYZ326477:UYZ326542 VIV326477:VIV326542 VSR326477:VSR326542 WCN326477:WCN326542 WMJ326477:WMJ326542 WWF326477:WWF326542 X392013:X392078 JT392013:JT392078 TP392013:TP392078 ADL392013:ADL392078 ANH392013:ANH392078 AXD392013:AXD392078 BGZ392013:BGZ392078 BQV392013:BQV392078 CAR392013:CAR392078 CKN392013:CKN392078 CUJ392013:CUJ392078 DEF392013:DEF392078 DOB392013:DOB392078 DXX392013:DXX392078 EHT392013:EHT392078 ERP392013:ERP392078 FBL392013:FBL392078 FLH392013:FLH392078 FVD392013:FVD392078 GEZ392013:GEZ392078 GOV392013:GOV392078 GYR392013:GYR392078 HIN392013:HIN392078 HSJ392013:HSJ392078 ICF392013:ICF392078 IMB392013:IMB392078 IVX392013:IVX392078 JFT392013:JFT392078 JPP392013:JPP392078 JZL392013:JZL392078 KJH392013:KJH392078 KTD392013:KTD392078 LCZ392013:LCZ392078 LMV392013:LMV392078 LWR392013:LWR392078 MGN392013:MGN392078 MQJ392013:MQJ392078 NAF392013:NAF392078 NKB392013:NKB392078 NTX392013:NTX392078 ODT392013:ODT392078 ONP392013:ONP392078 OXL392013:OXL392078 PHH392013:PHH392078 PRD392013:PRD392078 QAZ392013:QAZ392078 QKV392013:QKV392078 QUR392013:QUR392078 REN392013:REN392078 ROJ392013:ROJ392078 RYF392013:RYF392078 SIB392013:SIB392078 SRX392013:SRX392078 TBT392013:TBT392078 TLP392013:TLP392078 TVL392013:TVL392078 UFH392013:UFH392078 UPD392013:UPD392078 UYZ392013:UYZ392078 VIV392013:VIV392078 VSR392013:VSR392078 WCN392013:WCN392078 WMJ392013:WMJ392078 WWF392013:WWF392078 X457549:X457614 JT457549:JT457614 TP457549:TP457614 ADL457549:ADL457614 ANH457549:ANH457614 AXD457549:AXD457614 BGZ457549:BGZ457614 BQV457549:BQV457614 CAR457549:CAR457614 CKN457549:CKN457614 CUJ457549:CUJ457614 DEF457549:DEF457614 DOB457549:DOB457614 DXX457549:DXX457614 EHT457549:EHT457614 ERP457549:ERP457614 FBL457549:FBL457614 FLH457549:FLH457614 FVD457549:FVD457614 GEZ457549:GEZ457614 GOV457549:GOV457614 GYR457549:GYR457614 HIN457549:HIN457614 HSJ457549:HSJ457614 ICF457549:ICF457614 IMB457549:IMB457614 IVX457549:IVX457614 JFT457549:JFT457614 JPP457549:JPP457614 JZL457549:JZL457614 KJH457549:KJH457614 KTD457549:KTD457614 LCZ457549:LCZ457614 LMV457549:LMV457614 LWR457549:LWR457614 MGN457549:MGN457614 MQJ457549:MQJ457614 NAF457549:NAF457614 NKB457549:NKB457614 NTX457549:NTX457614 ODT457549:ODT457614 ONP457549:ONP457614 OXL457549:OXL457614 PHH457549:PHH457614 PRD457549:PRD457614 QAZ457549:QAZ457614 QKV457549:QKV457614 QUR457549:QUR457614 REN457549:REN457614 ROJ457549:ROJ457614 RYF457549:RYF457614 SIB457549:SIB457614 SRX457549:SRX457614 TBT457549:TBT457614 TLP457549:TLP457614 TVL457549:TVL457614 UFH457549:UFH457614 UPD457549:UPD457614 UYZ457549:UYZ457614 VIV457549:VIV457614 VSR457549:VSR457614 WCN457549:WCN457614 WMJ457549:WMJ457614 WWF457549:WWF457614 X523085:X523150 JT523085:JT523150 TP523085:TP523150 ADL523085:ADL523150 ANH523085:ANH523150 AXD523085:AXD523150 BGZ523085:BGZ523150 BQV523085:BQV523150 CAR523085:CAR523150 CKN523085:CKN523150 CUJ523085:CUJ523150 DEF523085:DEF523150 DOB523085:DOB523150 DXX523085:DXX523150 EHT523085:EHT523150 ERP523085:ERP523150 FBL523085:FBL523150 FLH523085:FLH523150 FVD523085:FVD523150 GEZ523085:GEZ523150 GOV523085:GOV523150 GYR523085:GYR523150 HIN523085:HIN523150 HSJ523085:HSJ523150 ICF523085:ICF523150 IMB523085:IMB523150 IVX523085:IVX523150 JFT523085:JFT523150 JPP523085:JPP523150 JZL523085:JZL523150 KJH523085:KJH523150 KTD523085:KTD523150 LCZ523085:LCZ523150 LMV523085:LMV523150 LWR523085:LWR523150 MGN523085:MGN523150 MQJ523085:MQJ523150 NAF523085:NAF523150 NKB523085:NKB523150 NTX523085:NTX523150 ODT523085:ODT523150 ONP523085:ONP523150 OXL523085:OXL523150 PHH523085:PHH523150 PRD523085:PRD523150 QAZ523085:QAZ523150 QKV523085:QKV523150 QUR523085:QUR523150 REN523085:REN523150 ROJ523085:ROJ523150 RYF523085:RYF523150 SIB523085:SIB523150 SRX523085:SRX523150 TBT523085:TBT523150 TLP523085:TLP523150 TVL523085:TVL523150 UFH523085:UFH523150 UPD523085:UPD523150 UYZ523085:UYZ523150 VIV523085:VIV523150 VSR523085:VSR523150 WCN523085:WCN523150 WMJ523085:WMJ523150 WWF523085:WWF523150 X588621:X588686 JT588621:JT588686 TP588621:TP588686 ADL588621:ADL588686 ANH588621:ANH588686 AXD588621:AXD588686 BGZ588621:BGZ588686 BQV588621:BQV588686 CAR588621:CAR588686 CKN588621:CKN588686 CUJ588621:CUJ588686 DEF588621:DEF588686 DOB588621:DOB588686 DXX588621:DXX588686 EHT588621:EHT588686 ERP588621:ERP588686 FBL588621:FBL588686 FLH588621:FLH588686 FVD588621:FVD588686 GEZ588621:GEZ588686 GOV588621:GOV588686 GYR588621:GYR588686 HIN588621:HIN588686 HSJ588621:HSJ588686 ICF588621:ICF588686 IMB588621:IMB588686 IVX588621:IVX588686 JFT588621:JFT588686 JPP588621:JPP588686 JZL588621:JZL588686 KJH588621:KJH588686 KTD588621:KTD588686 LCZ588621:LCZ588686 LMV588621:LMV588686 LWR588621:LWR588686 MGN588621:MGN588686 MQJ588621:MQJ588686 NAF588621:NAF588686 NKB588621:NKB588686 NTX588621:NTX588686 ODT588621:ODT588686 ONP588621:ONP588686 OXL588621:OXL588686 PHH588621:PHH588686 PRD588621:PRD588686 QAZ588621:QAZ588686 QKV588621:QKV588686 QUR588621:QUR588686 REN588621:REN588686 ROJ588621:ROJ588686 RYF588621:RYF588686 SIB588621:SIB588686 SRX588621:SRX588686 TBT588621:TBT588686 TLP588621:TLP588686 TVL588621:TVL588686 UFH588621:UFH588686 UPD588621:UPD588686 UYZ588621:UYZ588686 VIV588621:VIV588686 VSR588621:VSR588686 WCN588621:WCN588686 WMJ588621:WMJ588686 WWF588621:WWF588686 X654157:X654222 JT654157:JT654222 TP654157:TP654222 ADL654157:ADL654222 ANH654157:ANH654222 AXD654157:AXD654222 BGZ654157:BGZ654222 BQV654157:BQV654222 CAR654157:CAR654222 CKN654157:CKN654222 CUJ654157:CUJ654222 DEF654157:DEF654222 DOB654157:DOB654222 DXX654157:DXX654222 EHT654157:EHT654222 ERP654157:ERP654222 FBL654157:FBL654222 FLH654157:FLH654222 FVD654157:FVD654222 GEZ654157:GEZ654222 GOV654157:GOV654222 GYR654157:GYR654222 HIN654157:HIN654222 HSJ654157:HSJ654222 ICF654157:ICF654222 IMB654157:IMB654222 IVX654157:IVX654222 JFT654157:JFT654222 JPP654157:JPP654222 JZL654157:JZL654222 KJH654157:KJH654222 KTD654157:KTD654222 LCZ654157:LCZ654222 LMV654157:LMV654222 LWR654157:LWR654222 MGN654157:MGN654222 MQJ654157:MQJ654222 NAF654157:NAF654222 NKB654157:NKB654222 NTX654157:NTX654222 ODT654157:ODT654222 ONP654157:ONP654222 OXL654157:OXL654222 PHH654157:PHH654222 PRD654157:PRD654222 QAZ654157:QAZ654222 QKV654157:QKV654222 QUR654157:QUR654222 REN654157:REN654222 ROJ654157:ROJ654222 RYF654157:RYF654222 SIB654157:SIB654222 SRX654157:SRX654222 TBT654157:TBT654222 TLP654157:TLP654222 TVL654157:TVL654222 UFH654157:UFH654222 UPD654157:UPD654222 UYZ654157:UYZ654222 VIV654157:VIV654222 VSR654157:VSR654222 WCN654157:WCN654222 WMJ654157:WMJ654222 WWF654157:WWF654222 X719693:X719758 JT719693:JT719758 TP719693:TP719758 ADL719693:ADL719758 ANH719693:ANH719758 AXD719693:AXD719758 BGZ719693:BGZ719758 BQV719693:BQV719758 CAR719693:CAR719758 CKN719693:CKN719758 CUJ719693:CUJ719758 DEF719693:DEF719758 DOB719693:DOB719758 DXX719693:DXX719758 EHT719693:EHT719758 ERP719693:ERP719758 FBL719693:FBL719758 FLH719693:FLH719758 FVD719693:FVD719758 GEZ719693:GEZ719758 GOV719693:GOV719758 GYR719693:GYR719758 HIN719693:HIN719758 HSJ719693:HSJ719758 ICF719693:ICF719758 IMB719693:IMB719758 IVX719693:IVX719758 JFT719693:JFT719758 JPP719693:JPP719758 JZL719693:JZL719758 KJH719693:KJH719758 KTD719693:KTD719758 LCZ719693:LCZ719758 LMV719693:LMV719758 LWR719693:LWR719758 MGN719693:MGN719758 MQJ719693:MQJ719758 NAF719693:NAF719758 NKB719693:NKB719758 NTX719693:NTX719758 ODT719693:ODT719758 ONP719693:ONP719758 OXL719693:OXL719758 PHH719693:PHH719758 PRD719693:PRD719758 QAZ719693:QAZ719758 QKV719693:QKV719758 QUR719693:QUR719758 REN719693:REN719758 ROJ719693:ROJ719758 RYF719693:RYF719758 SIB719693:SIB719758 SRX719693:SRX719758 TBT719693:TBT719758 TLP719693:TLP719758 TVL719693:TVL719758 UFH719693:UFH719758 UPD719693:UPD719758 UYZ719693:UYZ719758 VIV719693:VIV719758 VSR719693:VSR719758 WCN719693:WCN719758 WMJ719693:WMJ719758 WWF719693:WWF719758 X785229:X785294 JT785229:JT785294 TP785229:TP785294 ADL785229:ADL785294 ANH785229:ANH785294 AXD785229:AXD785294 BGZ785229:BGZ785294 BQV785229:BQV785294 CAR785229:CAR785294 CKN785229:CKN785294 CUJ785229:CUJ785294 DEF785229:DEF785294 DOB785229:DOB785294 DXX785229:DXX785294 EHT785229:EHT785294 ERP785229:ERP785294 FBL785229:FBL785294 FLH785229:FLH785294 FVD785229:FVD785294 GEZ785229:GEZ785294 GOV785229:GOV785294 GYR785229:GYR785294 HIN785229:HIN785294 HSJ785229:HSJ785294 ICF785229:ICF785294 IMB785229:IMB785294 IVX785229:IVX785294 JFT785229:JFT785294 JPP785229:JPP785294 JZL785229:JZL785294 KJH785229:KJH785294 KTD785229:KTD785294 LCZ785229:LCZ785294 LMV785229:LMV785294 LWR785229:LWR785294 MGN785229:MGN785294 MQJ785229:MQJ785294 NAF785229:NAF785294 NKB785229:NKB785294 NTX785229:NTX785294 ODT785229:ODT785294 ONP785229:ONP785294 OXL785229:OXL785294 PHH785229:PHH785294 PRD785229:PRD785294 QAZ785229:QAZ785294 QKV785229:QKV785294 QUR785229:QUR785294 REN785229:REN785294 ROJ785229:ROJ785294 RYF785229:RYF785294 SIB785229:SIB785294 SRX785229:SRX785294 TBT785229:TBT785294 TLP785229:TLP785294 TVL785229:TVL785294 UFH785229:UFH785294 UPD785229:UPD785294 UYZ785229:UYZ785294 VIV785229:VIV785294 VSR785229:VSR785294 WCN785229:WCN785294 WMJ785229:WMJ785294 WWF785229:WWF785294 X850765:X850830 JT850765:JT850830 TP850765:TP850830 ADL850765:ADL850830 ANH850765:ANH850830 AXD850765:AXD850830 BGZ850765:BGZ850830 BQV850765:BQV850830 CAR850765:CAR850830 CKN850765:CKN850830 CUJ850765:CUJ850830 DEF850765:DEF850830 DOB850765:DOB850830 DXX850765:DXX850830 EHT850765:EHT850830 ERP850765:ERP850830 FBL850765:FBL850830 FLH850765:FLH850830 FVD850765:FVD850830 GEZ850765:GEZ850830 GOV850765:GOV850830 GYR850765:GYR850830 HIN850765:HIN850830 HSJ850765:HSJ850830 ICF850765:ICF850830 IMB850765:IMB850830 IVX850765:IVX850830 JFT850765:JFT850830 JPP850765:JPP850830 JZL850765:JZL850830 KJH850765:KJH850830 KTD850765:KTD850830 LCZ850765:LCZ850830 LMV850765:LMV850830 LWR850765:LWR850830 MGN850765:MGN850830 MQJ850765:MQJ850830 NAF850765:NAF850830 NKB850765:NKB850830 NTX850765:NTX850830 ODT850765:ODT850830 ONP850765:ONP850830 OXL850765:OXL850830 PHH850765:PHH850830 PRD850765:PRD850830 QAZ850765:QAZ850830 QKV850765:QKV850830 QUR850765:QUR850830 REN850765:REN850830 ROJ850765:ROJ850830 RYF850765:RYF850830 SIB850765:SIB850830 SRX850765:SRX850830 TBT850765:TBT850830 TLP850765:TLP850830 TVL850765:TVL850830 UFH850765:UFH850830 UPD850765:UPD850830 UYZ850765:UYZ850830 VIV850765:VIV850830 VSR850765:VSR850830 WCN850765:WCN850830 WMJ850765:WMJ850830 WWF850765:WWF850830 X916301:X916366 JT916301:JT916366 TP916301:TP916366 ADL916301:ADL916366 ANH916301:ANH916366 AXD916301:AXD916366 BGZ916301:BGZ916366 BQV916301:BQV916366 CAR916301:CAR916366 CKN916301:CKN916366 CUJ916301:CUJ916366 DEF916301:DEF916366 DOB916301:DOB916366 DXX916301:DXX916366 EHT916301:EHT916366 ERP916301:ERP916366 FBL916301:FBL916366 FLH916301:FLH916366 FVD916301:FVD916366 GEZ916301:GEZ916366 GOV916301:GOV916366 GYR916301:GYR916366 HIN916301:HIN916366 HSJ916301:HSJ916366 ICF916301:ICF916366 IMB916301:IMB916366 IVX916301:IVX916366 JFT916301:JFT916366 JPP916301:JPP916366 JZL916301:JZL916366 KJH916301:KJH916366 KTD916301:KTD916366 LCZ916301:LCZ916366 LMV916301:LMV916366 LWR916301:LWR916366 MGN916301:MGN916366 MQJ916301:MQJ916366 NAF916301:NAF916366 NKB916301:NKB916366 NTX916301:NTX916366 ODT916301:ODT916366 ONP916301:ONP916366 OXL916301:OXL916366 PHH916301:PHH916366 PRD916301:PRD916366 QAZ916301:QAZ916366 QKV916301:QKV916366 QUR916301:QUR916366 REN916301:REN916366 ROJ916301:ROJ916366 RYF916301:RYF916366 SIB916301:SIB916366 SRX916301:SRX916366 TBT916301:TBT916366 TLP916301:TLP916366 TVL916301:TVL916366 UFH916301:UFH916366 UPD916301:UPD916366 UYZ916301:UYZ916366 VIV916301:VIV916366 VSR916301:VSR916366 WCN916301:WCN916366 WMJ916301:WMJ916366 WWF916301:WWF916366 X981837:X981902 JT981837:JT981902 TP981837:TP981902 ADL981837:ADL981902 ANH981837:ANH981902 AXD981837:AXD981902 BGZ981837:BGZ981902 BQV981837:BQV981902 CAR981837:CAR981902 CKN981837:CKN981902 CUJ981837:CUJ981902 DEF981837:DEF981902 DOB981837:DOB981902 DXX981837:DXX981902 EHT981837:EHT981902 ERP981837:ERP981902 FBL981837:FBL981902 FLH981837:FLH981902 FVD981837:FVD981902 GEZ981837:GEZ981902 GOV981837:GOV981902 GYR981837:GYR981902 HIN981837:HIN981902 HSJ981837:HSJ981902 ICF981837:ICF981902 IMB981837:IMB981902 IVX981837:IVX981902 JFT981837:JFT981902 JPP981837:JPP981902 JZL981837:JZL981902 KJH981837:KJH981902 KTD981837:KTD981902 LCZ981837:LCZ981902 LMV981837:LMV981902 LWR981837:LWR981902 MGN981837:MGN981902 MQJ981837:MQJ981902 NAF981837:NAF981902 NKB981837:NKB981902 NTX981837:NTX981902 ODT981837:ODT981902 ONP981837:ONP981902 OXL981837:OXL981902 PHH981837:PHH981902 PRD981837:PRD981902 QAZ981837:QAZ981902 QKV981837:QKV981902 QUR981837:QUR981902 REN981837:REN981902 ROJ981837:ROJ981902 RYF981837:RYF981902 SIB981837:SIB981902 SRX981837:SRX981902 TBT981837:TBT981902 TLP981837:TLP981902 TVL981837:TVL981902 UFH981837:UFH981902 UPD981837:UPD981902 UYZ981837:UYZ981902 VIV981837:VIV981902 VSR981837:VSR981902 WCN981837:WCN981902 WMJ981837:WMJ981902 WWF981837:WWF981902 X1047373:X1047438 JT1047373:JT1047438 TP1047373:TP1047438 ADL1047373:ADL1047438 ANH1047373:ANH1047438 AXD1047373:AXD1047438 BGZ1047373:BGZ1047438 BQV1047373:BQV1047438 CAR1047373:CAR1047438 CKN1047373:CKN1047438 CUJ1047373:CUJ1047438 DEF1047373:DEF1047438 DOB1047373:DOB1047438 DXX1047373:DXX1047438 EHT1047373:EHT1047438 ERP1047373:ERP1047438 FBL1047373:FBL1047438 FLH1047373:FLH1047438 FVD1047373:FVD1047438 GEZ1047373:GEZ1047438 GOV1047373:GOV1047438 GYR1047373:GYR1047438 HIN1047373:HIN1047438 HSJ1047373:HSJ1047438 ICF1047373:ICF1047438 IMB1047373:IMB1047438 IVX1047373:IVX1047438 JFT1047373:JFT1047438 JPP1047373:JPP1047438 JZL1047373:JZL1047438 KJH1047373:KJH1047438 KTD1047373:KTD1047438 LCZ1047373:LCZ1047438 LMV1047373:LMV1047438 LWR1047373:LWR1047438 MGN1047373:MGN1047438 MQJ1047373:MQJ1047438 NAF1047373:NAF1047438 NKB1047373:NKB1047438 NTX1047373:NTX1047438 ODT1047373:ODT1047438 ONP1047373:ONP1047438 OXL1047373:OXL1047438 PHH1047373:PHH1047438 PRD1047373:PRD1047438 QAZ1047373:QAZ1047438 QKV1047373:QKV1047438 QUR1047373:QUR1047438 REN1047373:REN1047438 ROJ1047373:ROJ1047438 RYF1047373:RYF1047438 SIB1047373:SIB1047438 SRX1047373:SRX1047438 TBT1047373:TBT1047438 TLP1047373:TLP1047438 TVL1047373:TVL1047438 UFH1047373:UFH1047438 UPD1047373:UPD1047438 UYZ1047373:UYZ1047438 VIV1047373:VIV1047438 VSR1047373:VSR1047438 WCN1047373:WCN1047438 WMJ1047373:WMJ1047438 WWF1047373:WWF1047438 WWF983012:WWF983077 X65508:X65573 JT65508:JT65573 TP65508:TP65573 ADL65508:ADL65573 ANH65508:ANH65573 AXD65508:AXD65573 BGZ65508:BGZ65573 BQV65508:BQV65573 CAR65508:CAR65573 CKN65508:CKN65573 CUJ65508:CUJ65573 DEF65508:DEF65573 DOB65508:DOB65573 DXX65508:DXX65573 EHT65508:EHT65573 ERP65508:ERP65573 FBL65508:FBL65573 FLH65508:FLH65573 FVD65508:FVD65573 GEZ65508:GEZ65573 GOV65508:GOV65573 GYR65508:GYR65573 HIN65508:HIN65573 HSJ65508:HSJ65573 ICF65508:ICF65573 IMB65508:IMB65573 IVX65508:IVX65573 JFT65508:JFT65573 JPP65508:JPP65573 JZL65508:JZL65573 KJH65508:KJH65573 KTD65508:KTD65573 LCZ65508:LCZ65573 LMV65508:LMV65573 LWR65508:LWR65573 MGN65508:MGN65573 MQJ65508:MQJ65573 NAF65508:NAF65573 NKB65508:NKB65573 NTX65508:NTX65573 ODT65508:ODT65573 ONP65508:ONP65573 OXL65508:OXL65573 PHH65508:PHH65573 PRD65508:PRD65573 QAZ65508:QAZ65573 QKV65508:QKV65573 QUR65508:QUR65573 REN65508:REN65573 ROJ65508:ROJ65573 RYF65508:RYF65573 SIB65508:SIB65573 SRX65508:SRX65573 TBT65508:TBT65573 TLP65508:TLP65573 TVL65508:TVL65573 UFH65508:UFH65573 UPD65508:UPD65573 UYZ65508:UYZ65573 VIV65508:VIV65573 VSR65508:VSR65573 WCN65508:WCN65573 WMJ65508:WMJ65573 WWF65508:WWF65573 X131044:X131109 JT131044:JT131109 TP131044:TP131109 ADL131044:ADL131109 ANH131044:ANH131109 AXD131044:AXD131109 BGZ131044:BGZ131109 BQV131044:BQV131109 CAR131044:CAR131109 CKN131044:CKN131109 CUJ131044:CUJ131109 DEF131044:DEF131109 DOB131044:DOB131109 DXX131044:DXX131109 EHT131044:EHT131109 ERP131044:ERP131109 FBL131044:FBL131109 FLH131044:FLH131109 FVD131044:FVD131109 GEZ131044:GEZ131109 GOV131044:GOV131109 GYR131044:GYR131109 HIN131044:HIN131109 HSJ131044:HSJ131109 ICF131044:ICF131109 IMB131044:IMB131109 IVX131044:IVX131109 JFT131044:JFT131109 JPP131044:JPP131109 JZL131044:JZL131109 KJH131044:KJH131109 KTD131044:KTD131109 LCZ131044:LCZ131109 LMV131044:LMV131109 LWR131044:LWR131109 MGN131044:MGN131109 MQJ131044:MQJ131109 NAF131044:NAF131109 NKB131044:NKB131109 NTX131044:NTX131109 ODT131044:ODT131109 ONP131044:ONP131109 OXL131044:OXL131109 PHH131044:PHH131109 PRD131044:PRD131109 QAZ131044:QAZ131109 QKV131044:QKV131109 QUR131044:QUR131109 REN131044:REN131109 ROJ131044:ROJ131109 RYF131044:RYF131109 SIB131044:SIB131109 SRX131044:SRX131109 TBT131044:TBT131109 TLP131044:TLP131109 TVL131044:TVL131109 UFH131044:UFH131109 UPD131044:UPD131109 UYZ131044:UYZ131109 VIV131044:VIV131109 VSR131044:VSR131109 WCN131044:WCN131109 WMJ131044:WMJ131109 WWF131044:WWF131109 X196580:X196645 JT196580:JT196645 TP196580:TP196645 ADL196580:ADL196645 ANH196580:ANH196645 AXD196580:AXD196645 BGZ196580:BGZ196645 BQV196580:BQV196645 CAR196580:CAR196645 CKN196580:CKN196645 CUJ196580:CUJ196645 DEF196580:DEF196645 DOB196580:DOB196645 DXX196580:DXX196645 EHT196580:EHT196645 ERP196580:ERP196645 FBL196580:FBL196645 FLH196580:FLH196645 FVD196580:FVD196645 GEZ196580:GEZ196645 GOV196580:GOV196645 GYR196580:GYR196645 HIN196580:HIN196645 HSJ196580:HSJ196645 ICF196580:ICF196645 IMB196580:IMB196645 IVX196580:IVX196645 JFT196580:JFT196645 JPP196580:JPP196645 JZL196580:JZL196645 KJH196580:KJH196645 KTD196580:KTD196645 LCZ196580:LCZ196645 LMV196580:LMV196645 LWR196580:LWR196645 MGN196580:MGN196645 MQJ196580:MQJ196645 NAF196580:NAF196645 NKB196580:NKB196645 NTX196580:NTX196645 ODT196580:ODT196645 ONP196580:ONP196645 OXL196580:OXL196645 PHH196580:PHH196645 PRD196580:PRD196645 QAZ196580:QAZ196645 QKV196580:QKV196645 QUR196580:QUR196645 REN196580:REN196645 ROJ196580:ROJ196645 RYF196580:RYF196645 SIB196580:SIB196645 SRX196580:SRX196645 TBT196580:TBT196645 TLP196580:TLP196645 TVL196580:TVL196645 UFH196580:UFH196645 UPD196580:UPD196645 UYZ196580:UYZ196645 VIV196580:VIV196645 VSR196580:VSR196645 WCN196580:WCN196645 WMJ196580:WMJ196645 WWF196580:WWF196645 X262116:X262181 JT262116:JT262181 TP262116:TP262181 ADL262116:ADL262181 ANH262116:ANH262181 AXD262116:AXD262181 BGZ262116:BGZ262181 BQV262116:BQV262181 CAR262116:CAR262181 CKN262116:CKN262181 CUJ262116:CUJ262181 DEF262116:DEF262181 DOB262116:DOB262181 DXX262116:DXX262181 EHT262116:EHT262181 ERP262116:ERP262181 FBL262116:FBL262181 FLH262116:FLH262181 FVD262116:FVD262181 GEZ262116:GEZ262181 GOV262116:GOV262181 GYR262116:GYR262181 HIN262116:HIN262181 HSJ262116:HSJ262181 ICF262116:ICF262181 IMB262116:IMB262181 IVX262116:IVX262181 JFT262116:JFT262181 JPP262116:JPP262181 JZL262116:JZL262181 KJH262116:KJH262181 KTD262116:KTD262181 LCZ262116:LCZ262181 LMV262116:LMV262181 LWR262116:LWR262181 MGN262116:MGN262181 MQJ262116:MQJ262181 NAF262116:NAF262181 NKB262116:NKB262181 NTX262116:NTX262181 ODT262116:ODT262181 ONP262116:ONP262181 OXL262116:OXL262181 PHH262116:PHH262181 PRD262116:PRD262181 QAZ262116:QAZ262181 QKV262116:QKV262181 QUR262116:QUR262181 REN262116:REN262181 ROJ262116:ROJ262181 RYF262116:RYF262181 SIB262116:SIB262181 SRX262116:SRX262181 TBT262116:TBT262181 TLP262116:TLP262181 TVL262116:TVL262181 UFH262116:UFH262181 UPD262116:UPD262181 UYZ262116:UYZ262181 VIV262116:VIV262181 VSR262116:VSR262181 WCN262116:WCN262181 WMJ262116:WMJ262181 WWF262116:WWF262181 X327652:X327717 JT327652:JT327717 TP327652:TP327717 ADL327652:ADL327717 ANH327652:ANH327717 AXD327652:AXD327717 BGZ327652:BGZ327717 BQV327652:BQV327717 CAR327652:CAR327717 CKN327652:CKN327717 CUJ327652:CUJ327717 DEF327652:DEF327717 DOB327652:DOB327717 DXX327652:DXX327717 EHT327652:EHT327717 ERP327652:ERP327717 FBL327652:FBL327717 FLH327652:FLH327717 FVD327652:FVD327717 GEZ327652:GEZ327717 GOV327652:GOV327717 GYR327652:GYR327717 HIN327652:HIN327717 HSJ327652:HSJ327717 ICF327652:ICF327717 IMB327652:IMB327717 IVX327652:IVX327717 JFT327652:JFT327717 JPP327652:JPP327717 JZL327652:JZL327717 KJH327652:KJH327717 KTD327652:KTD327717 LCZ327652:LCZ327717 LMV327652:LMV327717 LWR327652:LWR327717 MGN327652:MGN327717 MQJ327652:MQJ327717 NAF327652:NAF327717 NKB327652:NKB327717 NTX327652:NTX327717 ODT327652:ODT327717 ONP327652:ONP327717 OXL327652:OXL327717 PHH327652:PHH327717 PRD327652:PRD327717 QAZ327652:QAZ327717 QKV327652:QKV327717 QUR327652:QUR327717 REN327652:REN327717 ROJ327652:ROJ327717 RYF327652:RYF327717 SIB327652:SIB327717 SRX327652:SRX327717 TBT327652:TBT327717 TLP327652:TLP327717 TVL327652:TVL327717 UFH327652:UFH327717 UPD327652:UPD327717 UYZ327652:UYZ327717 VIV327652:VIV327717 VSR327652:VSR327717 WCN327652:WCN327717 WMJ327652:WMJ327717 WWF327652:WWF327717 X393188:X393253 JT393188:JT393253 TP393188:TP393253 ADL393188:ADL393253 ANH393188:ANH393253 AXD393188:AXD393253 BGZ393188:BGZ393253 BQV393188:BQV393253 CAR393188:CAR393253 CKN393188:CKN393253 CUJ393188:CUJ393253 DEF393188:DEF393253 DOB393188:DOB393253 DXX393188:DXX393253 EHT393188:EHT393253 ERP393188:ERP393253 FBL393188:FBL393253 FLH393188:FLH393253 FVD393188:FVD393253 GEZ393188:GEZ393253 GOV393188:GOV393253 GYR393188:GYR393253 HIN393188:HIN393253 HSJ393188:HSJ393253 ICF393188:ICF393253 IMB393188:IMB393253 IVX393188:IVX393253 JFT393188:JFT393253 JPP393188:JPP393253 JZL393188:JZL393253 KJH393188:KJH393253 KTD393188:KTD393253 LCZ393188:LCZ393253 LMV393188:LMV393253 LWR393188:LWR393253 MGN393188:MGN393253 MQJ393188:MQJ393253 NAF393188:NAF393253 NKB393188:NKB393253 NTX393188:NTX393253 ODT393188:ODT393253 ONP393188:ONP393253 OXL393188:OXL393253 PHH393188:PHH393253 PRD393188:PRD393253 QAZ393188:QAZ393253 QKV393188:QKV393253 QUR393188:QUR393253 REN393188:REN393253 ROJ393188:ROJ393253 RYF393188:RYF393253 SIB393188:SIB393253 SRX393188:SRX393253 TBT393188:TBT393253 TLP393188:TLP393253 TVL393188:TVL393253 UFH393188:UFH393253 UPD393188:UPD393253 UYZ393188:UYZ393253 VIV393188:VIV393253 VSR393188:VSR393253 WCN393188:WCN393253 WMJ393188:WMJ393253 WWF393188:WWF393253 X458724:X458789 JT458724:JT458789 TP458724:TP458789 ADL458724:ADL458789 ANH458724:ANH458789 AXD458724:AXD458789 BGZ458724:BGZ458789 BQV458724:BQV458789 CAR458724:CAR458789 CKN458724:CKN458789 CUJ458724:CUJ458789 DEF458724:DEF458789 DOB458724:DOB458789 DXX458724:DXX458789 EHT458724:EHT458789 ERP458724:ERP458789 FBL458724:FBL458789 FLH458724:FLH458789 FVD458724:FVD458789 GEZ458724:GEZ458789 GOV458724:GOV458789 GYR458724:GYR458789 HIN458724:HIN458789 HSJ458724:HSJ458789 ICF458724:ICF458789 IMB458724:IMB458789 IVX458724:IVX458789 JFT458724:JFT458789 JPP458724:JPP458789 JZL458724:JZL458789 KJH458724:KJH458789 KTD458724:KTD458789 LCZ458724:LCZ458789 LMV458724:LMV458789 LWR458724:LWR458789 MGN458724:MGN458789 MQJ458724:MQJ458789 NAF458724:NAF458789 NKB458724:NKB458789 NTX458724:NTX458789 ODT458724:ODT458789 ONP458724:ONP458789 OXL458724:OXL458789 PHH458724:PHH458789 PRD458724:PRD458789 QAZ458724:QAZ458789 QKV458724:QKV458789 QUR458724:QUR458789 REN458724:REN458789 ROJ458724:ROJ458789 RYF458724:RYF458789 SIB458724:SIB458789 SRX458724:SRX458789 TBT458724:TBT458789 TLP458724:TLP458789 TVL458724:TVL458789 UFH458724:UFH458789 UPD458724:UPD458789 UYZ458724:UYZ458789 VIV458724:VIV458789 VSR458724:VSR458789 WCN458724:WCN458789 WMJ458724:WMJ458789 WWF458724:WWF458789 X524260:X524325 JT524260:JT524325 TP524260:TP524325 ADL524260:ADL524325 ANH524260:ANH524325 AXD524260:AXD524325 BGZ524260:BGZ524325 BQV524260:BQV524325 CAR524260:CAR524325 CKN524260:CKN524325 CUJ524260:CUJ524325 DEF524260:DEF524325 DOB524260:DOB524325 DXX524260:DXX524325 EHT524260:EHT524325 ERP524260:ERP524325 FBL524260:FBL524325 FLH524260:FLH524325 FVD524260:FVD524325 GEZ524260:GEZ524325 GOV524260:GOV524325 GYR524260:GYR524325 HIN524260:HIN524325 HSJ524260:HSJ524325 ICF524260:ICF524325 IMB524260:IMB524325 IVX524260:IVX524325 JFT524260:JFT524325 JPP524260:JPP524325 JZL524260:JZL524325 KJH524260:KJH524325 KTD524260:KTD524325 LCZ524260:LCZ524325 LMV524260:LMV524325 LWR524260:LWR524325 MGN524260:MGN524325 MQJ524260:MQJ524325 NAF524260:NAF524325 NKB524260:NKB524325 NTX524260:NTX524325 ODT524260:ODT524325 ONP524260:ONP524325 OXL524260:OXL524325 PHH524260:PHH524325 PRD524260:PRD524325 QAZ524260:QAZ524325 QKV524260:QKV524325 QUR524260:QUR524325 REN524260:REN524325 ROJ524260:ROJ524325 RYF524260:RYF524325 SIB524260:SIB524325 SRX524260:SRX524325 TBT524260:TBT524325 TLP524260:TLP524325 TVL524260:TVL524325 UFH524260:UFH524325 UPD524260:UPD524325 UYZ524260:UYZ524325 VIV524260:VIV524325 VSR524260:VSR524325 WCN524260:WCN524325 WMJ524260:WMJ524325 WWF524260:WWF524325 X589796:X589861 JT589796:JT589861 TP589796:TP589861 ADL589796:ADL589861 ANH589796:ANH589861 AXD589796:AXD589861 BGZ589796:BGZ589861 BQV589796:BQV589861 CAR589796:CAR589861 CKN589796:CKN589861 CUJ589796:CUJ589861 DEF589796:DEF589861 DOB589796:DOB589861 DXX589796:DXX589861 EHT589796:EHT589861 ERP589796:ERP589861 FBL589796:FBL589861 FLH589796:FLH589861 FVD589796:FVD589861 GEZ589796:GEZ589861 GOV589796:GOV589861 GYR589796:GYR589861 HIN589796:HIN589861 HSJ589796:HSJ589861 ICF589796:ICF589861 IMB589796:IMB589861 IVX589796:IVX589861 JFT589796:JFT589861 JPP589796:JPP589861 JZL589796:JZL589861 KJH589796:KJH589861 KTD589796:KTD589861 LCZ589796:LCZ589861 LMV589796:LMV589861 LWR589796:LWR589861 MGN589796:MGN589861 MQJ589796:MQJ589861 NAF589796:NAF589861 NKB589796:NKB589861 NTX589796:NTX589861 ODT589796:ODT589861 ONP589796:ONP589861 OXL589796:OXL589861 PHH589796:PHH589861 PRD589796:PRD589861 QAZ589796:QAZ589861 QKV589796:QKV589861 QUR589796:QUR589861 REN589796:REN589861 ROJ589796:ROJ589861 RYF589796:RYF589861 SIB589796:SIB589861 SRX589796:SRX589861 TBT589796:TBT589861 TLP589796:TLP589861 TVL589796:TVL589861 UFH589796:UFH589861 UPD589796:UPD589861 UYZ589796:UYZ589861 VIV589796:VIV589861 VSR589796:VSR589861 WCN589796:WCN589861 WMJ589796:WMJ589861 WWF589796:WWF589861 X655332:X655397 JT655332:JT655397 TP655332:TP655397 ADL655332:ADL655397 ANH655332:ANH655397 AXD655332:AXD655397 BGZ655332:BGZ655397 BQV655332:BQV655397 CAR655332:CAR655397 CKN655332:CKN655397 CUJ655332:CUJ655397 DEF655332:DEF655397 DOB655332:DOB655397 DXX655332:DXX655397 EHT655332:EHT655397 ERP655332:ERP655397 FBL655332:FBL655397 FLH655332:FLH655397 FVD655332:FVD655397 GEZ655332:GEZ655397 GOV655332:GOV655397 GYR655332:GYR655397 HIN655332:HIN655397 HSJ655332:HSJ655397 ICF655332:ICF655397 IMB655332:IMB655397 IVX655332:IVX655397 JFT655332:JFT655397 JPP655332:JPP655397 JZL655332:JZL655397 KJH655332:KJH655397 KTD655332:KTD655397 LCZ655332:LCZ655397 LMV655332:LMV655397 LWR655332:LWR655397 MGN655332:MGN655397 MQJ655332:MQJ655397 NAF655332:NAF655397 NKB655332:NKB655397 NTX655332:NTX655397 ODT655332:ODT655397 ONP655332:ONP655397 OXL655332:OXL655397 PHH655332:PHH655397 PRD655332:PRD655397 QAZ655332:QAZ655397 QKV655332:QKV655397 QUR655332:QUR655397 REN655332:REN655397 ROJ655332:ROJ655397 RYF655332:RYF655397 SIB655332:SIB655397 SRX655332:SRX655397 TBT655332:TBT655397 TLP655332:TLP655397 TVL655332:TVL655397 UFH655332:UFH655397 UPD655332:UPD655397 UYZ655332:UYZ655397 VIV655332:VIV655397 VSR655332:VSR655397 WCN655332:WCN655397 WMJ655332:WMJ655397 WWF655332:WWF655397 X720868:X720933 JT720868:JT720933 TP720868:TP720933 ADL720868:ADL720933 ANH720868:ANH720933 AXD720868:AXD720933 BGZ720868:BGZ720933 BQV720868:BQV720933 CAR720868:CAR720933 CKN720868:CKN720933 CUJ720868:CUJ720933 DEF720868:DEF720933 DOB720868:DOB720933 DXX720868:DXX720933 EHT720868:EHT720933 ERP720868:ERP720933 FBL720868:FBL720933 FLH720868:FLH720933 FVD720868:FVD720933 GEZ720868:GEZ720933 GOV720868:GOV720933 GYR720868:GYR720933 HIN720868:HIN720933 HSJ720868:HSJ720933 ICF720868:ICF720933 IMB720868:IMB720933 IVX720868:IVX720933 JFT720868:JFT720933 JPP720868:JPP720933 JZL720868:JZL720933 KJH720868:KJH720933 KTD720868:KTD720933 LCZ720868:LCZ720933 LMV720868:LMV720933 LWR720868:LWR720933 MGN720868:MGN720933 MQJ720868:MQJ720933 NAF720868:NAF720933 NKB720868:NKB720933 NTX720868:NTX720933 ODT720868:ODT720933 ONP720868:ONP720933 OXL720868:OXL720933 PHH720868:PHH720933 PRD720868:PRD720933 QAZ720868:QAZ720933 QKV720868:QKV720933 QUR720868:QUR720933 REN720868:REN720933 ROJ720868:ROJ720933 RYF720868:RYF720933 SIB720868:SIB720933 SRX720868:SRX720933 TBT720868:TBT720933 TLP720868:TLP720933 TVL720868:TVL720933 UFH720868:UFH720933 UPD720868:UPD720933 UYZ720868:UYZ720933 VIV720868:VIV720933 VSR720868:VSR720933 WCN720868:WCN720933 WMJ720868:WMJ720933 WWF720868:WWF720933 X786404:X786469 JT786404:JT786469 TP786404:TP786469 ADL786404:ADL786469 ANH786404:ANH786469 AXD786404:AXD786469 BGZ786404:BGZ786469 BQV786404:BQV786469 CAR786404:CAR786469 CKN786404:CKN786469 CUJ786404:CUJ786469 DEF786404:DEF786469 DOB786404:DOB786469 DXX786404:DXX786469 EHT786404:EHT786469 ERP786404:ERP786469 FBL786404:FBL786469 FLH786404:FLH786469 FVD786404:FVD786469 GEZ786404:GEZ786469 GOV786404:GOV786469 GYR786404:GYR786469 HIN786404:HIN786469 HSJ786404:HSJ786469 ICF786404:ICF786469 IMB786404:IMB786469 IVX786404:IVX786469 JFT786404:JFT786469 JPP786404:JPP786469 JZL786404:JZL786469 KJH786404:KJH786469 KTD786404:KTD786469 LCZ786404:LCZ786469 LMV786404:LMV786469 LWR786404:LWR786469 MGN786404:MGN786469 MQJ786404:MQJ786469 NAF786404:NAF786469 NKB786404:NKB786469 NTX786404:NTX786469 ODT786404:ODT786469 ONP786404:ONP786469 OXL786404:OXL786469 PHH786404:PHH786469 PRD786404:PRD786469 QAZ786404:QAZ786469 QKV786404:QKV786469 QUR786404:QUR786469 REN786404:REN786469 ROJ786404:ROJ786469 RYF786404:RYF786469 SIB786404:SIB786469 SRX786404:SRX786469 TBT786404:TBT786469 TLP786404:TLP786469 TVL786404:TVL786469 UFH786404:UFH786469 UPD786404:UPD786469 UYZ786404:UYZ786469 VIV786404:VIV786469 VSR786404:VSR786469 WCN786404:WCN786469 WMJ786404:WMJ786469 WWF786404:WWF786469 X851940:X852005 JT851940:JT852005 TP851940:TP852005 ADL851940:ADL852005 ANH851940:ANH852005 AXD851940:AXD852005 BGZ851940:BGZ852005 BQV851940:BQV852005 CAR851940:CAR852005 CKN851940:CKN852005 CUJ851940:CUJ852005 DEF851940:DEF852005 DOB851940:DOB852005 DXX851940:DXX852005 EHT851940:EHT852005 ERP851940:ERP852005 FBL851940:FBL852005 FLH851940:FLH852005 FVD851940:FVD852005 GEZ851940:GEZ852005 GOV851940:GOV852005 GYR851940:GYR852005 HIN851940:HIN852005 HSJ851940:HSJ852005 ICF851940:ICF852005 IMB851940:IMB852005 IVX851940:IVX852005 JFT851940:JFT852005 JPP851940:JPP852005 JZL851940:JZL852005 KJH851940:KJH852005 KTD851940:KTD852005 LCZ851940:LCZ852005 LMV851940:LMV852005 LWR851940:LWR852005 MGN851940:MGN852005 MQJ851940:MQJ852005 NAF851940:NAF852005 NKB851940:NKB852005 NTX851940:NTX852005 ODT851940:ODT852005 ONP851940:ONP852005 OXL851940:OXL852005 PHH851940:PHH852005 PRD851940:PRD852005 QAZ851940:QAZ852005 QKV851940:QKV852005 QUR851940:QUR852005 REN851940:REN852005 ROJ851940:ROJ852005 RYF851940:RYF852005 SIB851940:SIB852005 SRX851940:SRX852005 TBT851940:TBT852005 TLP851940:TLP852005 TVL851940:TVL852005 UFH851940:UFH852005 UPD851940:UPD852005 UYZ851940:UYZ852005 VIV851940:VIV852005 VSR851940:VSR852005 WCN851940:WCN852005 WMJ851940:WMJ852005 WWF851940:WWF852005 X917476:X917541 JT917476:JT917541 TP917476:TP917541 ADL917476:ADL917541 ANH917476:ANH917541 AXD917476:AXD917541 BGZ917476:BGZ917541 BQV917476:BQV917541 CAR917476:CAR917541 CKN917476:CKN917541 CUJ917476:CUJ917541 DEF917476:DEF917541 DOB917476:DOB917541 DXX917476:DXX917541 EHT917476:EHT917541 ERP917476:ERP917541 FBL917476:FBL917541 FLH917476:FLH917541 FVD917476:FVD917541 GEZ917476:GEZ917541 GOV917476:GOV917541 GYR917476:GYR917541 HIN917476:HIN917541 HSJ917476:HSJ917541 ICF917476:ICF917541 IMB917476:IMB917541 IVX917476:IVX917541 JFT917476:JFT917541 JPP917476:JPP917541 JZL917476:JZL917541 KJH917476:KJH917541 KTD917476:KTD917541 LCZ917476:LCZ917541 LMV917476:LMV917541 LWR917476:LWR917541 MGN917476:MGN917541 MQJ917476:MQJ917541 NAF917476:NAF917541 NKB917476:NKB917541 NTX917476:NTX917541 ODT917476:ODT917541 ONP917476:ONP917541 OXL917476:OXL917541 PHH917476:PHH917541 PRD917476:PRD917541 QAZ917476:QAZ917541 QKV917476:QKV917541 QUR917476:QUR917541 REN917476:REN917541 ROJ917476:ROJ917541 RYF917476:RYF917541 SIB917476:SIB917541 SRX917476:SRX917541 TBT917476:TBT917541 TLP917476:TLP917541 TVL917476:TVL917541 UFH917476:UFH917541 UPD917476:UPD917541 UYZ917476:UYZ917541 VIV917476:VIV917541 VSR917476:VSR917541 WCN917476:WCN917541 WMJ917476:WMJ917541 WWF917476:WWF917541 X983012:X983077 JT983012:JT983077 TP983012:TP983077 ADL983012:ADL983077 ANH983012:ANH983077 AXD983012:AXD983077 BGZ983012:BGZ983077 BQV983012:BQV983077 CAR983012:CAR983077 CKN983012:CKN983077 CUJ983012:CUJ983077 DEF983012:DEF983077 DOB983012:DOB983077 DXX983012:DXX983077 EHT983012:EHT983077 ERP983012:ERP983077 FBL983012:FBL983077 FLH983012:FLH983077 FVD983012:FVD983077 GEZ983012:GEZ983077 GOV983012:GOV983077 GYR983012:GYR983077 HIN983012:HIN983077 HSJ983012:HSJ983077 ICF983012:ICF983077 IMB983012:IMB983077 IVX983012:IVX983077 JFT983012:JFT983077 JPP983012:JPP983077 JZL983012:JZL983077 KJH983012:KJH983077 KTD983012:KTD983077 LCZ983012:LCZ983077 LMV983012:LMV983077 LWR983012:LWR983077 MGN983012:MGN983077 MQJ983012:MQJ983077 NAF983012:NAF983077 NKB983012:NKB983077 NTX983012:NTX983077 ODT983012:ODT983077 ONP983012:ONP983077 OXL983012:OXL983077 PHH983012:PHH983077 PRD983012:PRD983077 QAZ983012:QAZ983077 QKV983012:QKV983077 QUR983012:QUR983077 REN983012:REN983077 ROJ983012:ROJ983077 RYF983012:RYF983077 SIB983012:SIB983077 SRX983012:SRX983077 TBT983012:TBT983077 TLP983012:TLP983077 TVL983012:TVL983077 UFH983012:UFH983077 UPD983012:UPD983077 UYZ983012:UYZ983077 VIV983012:VIV983077 VSR983012:VSR983077 WCN983012:WCN983077 WMJ983012:WMJ983077 WWF2:WWF57 JT2:JT57 TP2:TP57 ADL2:ADL57 ANH2:ANH57 AXD2:AXD57 BGZ2:BGZ57 BQV2:BQV57 CAR2:CAR57 CKN2:CKN57 CUJ2:CUJ57 DEF2:DEF57 DOB2:DOB57 DXX2:DXX57 EHT2:EHT57 ERP2:ERP57 FBL2:FBL57 FLH2:FLH57 FVD2:FVD57 GEZ2:GEZ57 GOV2:GOV57 GYR2:GYR57 HIN2:HIN57 HSJ2:HSJ57 ICF2:ICF57 IMB2:IMB57 IVX2:IVX57 JFT2:JFT57 JPP2:JPP57 JZL2:JZL57 KJH2:KJH57 KTD2:KTD57 LCZ2:LCZ57 LMV2:LMV57 LWR2:LWR57 MGN2:MGN57 MQJ2:MQJ57 NAF2:NAF57 NKB2:NKB57 NTX2:NTX57 ODT2:ODT57 ONP2:ONP57 OXL2:OXL57 PHH2:PHH57 PRD2:PRD57 QAZ2:QAZ57 QKV2:QKV57 QUR2:QUR57 REN2:REN57 ROJ2:ROJ57 RYF2:RYF57 SIB2:SIB57 SRX2:SRX57 TBT2:TBT57 TLP2:TLP57 TVL2:TVL57 UFH2:UFH57 UPD2:UPD57 UYZ2:UYZ57 VIV2:VIV57 VSR2:VSR57 WCN2:WCN57 WMJ2:WMJ57 X2:X470" xr:uid="{222D84A8-5D12-4DAD-AE36-5CC2422314E0}">
      <formula1>$AT$2:$AT$3</formula1>
    </dataValidation>
    <dataValidation type="list" allowBlank="1" showInputMessage="1" showErrorMessage="1" sqref="G64333:G64400 JC64333:JC64400 SY64333:SY64400 ACU64333:ACU64400 AMQ64333:AMQ64400 AWM64333:AWM64400 BGI64333:BGI64400 BQE64333:BQE64400 CAA64333:CAA64400 CJW64333:CJW64400 CTS64333:CTS64400 DDO64333:DDO64400 DNK64333:DNK64400 DXG64333:DXG64400 EHC64333:EHC64400 EQY64333:EQY64400 FAU64333:FAU64400 FKQ64333:FKQ64400 FUM64333:FUM64400 GEI64333:GEI64400 GOE64333:GOE64400 GYA64333:GYA64400 HHW64333:HHW64400 HRS64333:HRS64400 IBO64333:IBO64400 ILK64333:ILK64400 IVG64333:IVG64400 JFC64333:JFC64400 JOY64333:JOY64400 JYU64333:JYU64400 KIQ64333:KIQ64400 KSM64333:KSM64400 LCI64333:LCI64400 LME64333:LME64400 LWA64333:LWA64400 MFW64333:MFW64400 MPS64333:MPS64400 MZO64333:MZO64400 NJK64333:NJK64400 NTG64333:NTG64400 ODC64333:ODC64400 OMY64333:OMY64400 OWU64333:OWU64400 PGQ64333:PGQ64400 PQM64333:PQM64400 QAI64333:QAI64400 QKE64333:QKE64400 QUA64333:QUA64400 RDW64333:RDW64400 RNS64333:RNS64400 RXO64333:RXO64400 SHK64333:SHK64400 SRG64333:SRG64400 TBC64333:TBC64400 TKY64333:TKY64400 TUU64333:TUU64400 UEQ64333:UEQ64400 UOM64333:UOM64400 UYI64333:UYI64400 VIE64333:VIE64400 VSA64333:VSA64400 WBW64333:WBW64400 WLS64333:WLS64400 WVO64333:WVO64400 G129869:G129936 JC129869:JC129936 SY129869:SY129936 ACU129869:ACU129936 AMQ129869:AMQ129936 AWM129869:AWM129936 BGI129869:BGI129936 BQE129869:BQE129936 CAA129869:CAA129936 CJW129869:CJW129936 CTS129869:CTS129936 DDO129869:DDO129936 DNK129869:DNK129936 DXG129869:DXG129936 EHC129869:EHC129936 EQY129869:EQY129936 FAU129869:FAU129936 FKQ129869:FKQ129936 FUM129869:FUM129936 GEI129869:GEI129936 GOE129869:GOE129936 GYA129869:GYA129936 HHW129869:HHW129936 HRS129869:HRS129936 IBO129869:IBO129936 ILK129869:ILK129936 IVG129869:IVG129936 JFC129869:JFC129936 JOY129869:JOY129936 JYU129869:JYU129936 KIQ129869:KIQ129936 KSM129869:KSM129936 LCI129869:LCI129936 LME129869:LME129936 LWA129869:LWA129936 MFW129869:MFW129936 MPS129869:MPS129936 MZO129869:MZO129936 NJK129869:NJK129936 NTG129869:NTG129936 ODC129869:ODC129936 OMY129869:OMY129936 OWU129869:OWU129936 PGQ129869:PGQ129936 PQM129869:PQM129936 QAI129869:QAI129936 QKE129869:QKE129936 QUA129869:QUA129936 RDW129869:RDW129936 RNS129869:RNS129936 RXO129869:RXO129936 SHK129869:SHK129936 SRG129869:SRG129936 TBC129869:TBC129936 TKY129869:TKY129936 TUU129869:TUU129936 UEQ129869:UEQ129936 UOM129869:UOM129936 UYI129869:UYI129936 VIE129869:VIE129936 VSA129869:VSA129936 WBW129869:WBW129936 WLS129869:WLS129936 WVO129869:WVO129936 G195405:G195472 JC195405:JC195472 SY195405:SY195472 ACU195405:ACU195472 AMQ195405:AMQ195472 AWM195405:AWM195472 BGI195405:BGI195472 BQE195405:BQE195472 CAA195405:CAA195472 CJW195405:CJW195472 CTS195405:CTS195472 DDO195405:DDO195472 DNK195405:DNK195472 DXG195405:DXG195472 EHC195405:EHC195472 EQY195405:EQY195472 FAU195405:FAU195472 FKQ195405:FKQ195472 FUM195405:FUM195472 GEI195405:GEI195472 GOE195405:GOE195472 GYA195405:GYA195472 HHW195405:HHW195472 HRS195405:HRS195472 IBO195405:IBO195472 ILK195405:ILK195472 IVG195405:IVG195472 JFC195405:JFC195472 JOY195405:JOY195472 JYU195405:JYU195472 KIQ195405:KIQ195472 KSM195405:KSM195472 LCI195405:LCI195472 LME195405:LME195472 LWA195405:LWA195472 MFW195405:MFW195472 MPS195405:MPS195472 MZO195405:MZO195472 NJK195405:NJK195472 NTG195405:NTG195472 ODC195405:ODC195472 OMY195405:OMY195472 OWU195405:OWU195472 PGQ195405:PGQ195472 PQM195405:PQM195472 QAI195405:QAI195472 QKE195405:QKE195472 QUA195405:QUA195472 RDW195405:RDW195472 RNS195405:RNS195472 RXO195405:RXO195472 SHK195405:SHK195472 SRG195405:SRG195472 TBC195405:TBC195472 TKY195405:TKY195472 TUU195405:TUU195472 UEQ195405:UEQ195472 UOM195405:UOM195472 UYI195405:UYI195472 VIE195405:VIE195472 VSA195405:VSA195472 WBW195405:WBW195472 WLS195405:WLS195472 WVO195405:WVO195472 G260941:G261008 JC260941:JC261008 SY260941:SY261008 ACU260941:ACU261008 AMQ260941:AMQ261008 AWM260941:AWM261008 BGI260941:BGI261008 BQE260941:BQE261008 CAA260941:CAA261008 CJW260941:CJW261008 CTS260941:CTS261008 DDO260941:DDO261008 DNK260941:DNK261008 DXG260941:DXG261008 EHC260941:EHC261008 EQY260941:EQY261008 FAU260941:FAU261008 FKQ260941:FKQ261008 FUM260941:FUM261008 GEI260941:GEI261008 GOE260941:GOE261008 GYA260941:GYA261008 HHW260941:HHW261008 HRS260941:HRS261008 IBO260941:IBO261008 ILK260941:ILK261008 IVG260941:IVG261008 JFC260941:JFC261008 JOY260941:JOY261008 JYU260941:JYU261008 KIQ260941:KIQ261008 KSM260941:KSM261008 LCI260941:LCI261008 LME260941:LME261008 LWA260941:LWA261008 MFW260941:MFW261008 MPS260941:MPS261008 MZO260941:MZO261008 NJK260941:NJK261008 NTG260941:NTG261008 ODC260941:ODC261008 OMY260941:OMY261008 OWU260941:OWU261008 PGQ260941:PGQ261008 PQM260941:PQM261008 QAI260941:QAI261008 QKE260941:QKE261008 QUA260941:QUA261008 RDW260941:RDW261008 RNS260941:RNS261008 RXO260941:RXO261008 SHK260941:SHK261008 SRG260941:SRG261008 TBC260941:TBC261008 TKY260941:TKY261008 TUU260941:TUU261008 UEQ260941:UEQ261008 UOM260941:UOM261008 UYI260941:UYI261008 VIE260941:VIE261008 VSA260941:VSA261008 WBW260941:WBW261008 WLS260941:WLS261008 WVO260941:WVO261008 G326477:G326544 JC326477:JC326544 SY326477:SY326544 ACU326477:ACU326544 AMQ326477:AMQ326544 AWM326477:AWM326544 BGI326477:BGI326544 BQE326477:BQE326544 CAA326477:CAA326544 CJW326477:CJW326544 CTS326477:CTS326544 DDO326477:DDO326544 DNK326477:DNK326544 DXG326477:DXG326544 EHC326477:EHC326544 EQY326477:EQY326544 FAU326477:FAU326544 FKQ326477:FKQ326544 FUM326477:FUM326544 GEI326477:GEI326544 GOE326477:GOE326544 GYA326477:GYA326544 HHW326477:HHW326544 HRS326477:HRS326544 IBO326477:IBO326544 ILK326477:ILK326544 IVG326477:IVG326544 JFC326477:JFC326544 JOY326477:JOY326544 JYU326477:JYU326544 KIQ326477:KIQ326544 KSM326477:KSM326544 LCI326477:LCI326544 LME326477:LME326544 LWA326477:LWA326544 MFW326477:MFW326544 MPS326477:MPS326544 MZO326477:MZO326544 NJK326477:NJK326544 NTG326477:NTG326544 ODC326477:ODC326544 OMY326477:OMY326544 OWU326477:OWU326544 PGQ326477:PGQ326544 PQM326477:PQM326544 QAI326477:QAI326544 QKE326477:QKE326544 QUA326477:QUA326544 RDW326477:RDW326544 RNS326477:RNS326544 RXO326477:RXO326544 SHK326477:SHK326544 SRG326477:SRG326544 TBC326477:TBC326544 TKY326477:TKY326544 TUU326477:TUU326544 UEQ326477:UEQ326544 UOM326477:UOM326544 UYI326477:UYI326544 VIE326477:VIE326544 VSA326477:VSA326544 WBW326477:WBW326544 WLS326477:WLS326544 WVO326477:WVO326544 G392013:G392080 JC392013:JC392080 SY392013:SY392080 ACU392013:ACU392080 AMQ392013:AMQ392080 AWM392013:AWM392080 BGI392013:BGI392080 BQE392013:BQE392080 CAA392013:CAA392080 CJW392013:CJW392080 CTS392013:CTS392080 DDO392013:DDO392080 DNK392013:DNK392080 DXG392013:DXG392080 EHC392013:EHC392080 EQY392013:EQY392080 FAU392013:FAU392080 FKQ392013:FKQ392080 FUM392013:FUM392080 GEI392013:GEI392080 GOE392013:GOE392080 GYA392013:GYA392080 HHW392013:HHW392080 HRS392013:HRS392080 IBO392013:IBO392080 ILK392013:ILK392080 IVG392013:IVG392080 JFC392013:JFC392080 JOY392013:JOY392080 JYU392013:JYU392080 KIQ392013:KIQ392080 KSM392013:KSM392080 LCI392013:LCI392080 LME392013:LME392080 LWA392013:LWA392080 MFW392013:MFW392080 MPS392013:MPS392080 MZO392013:MZO392080 NJK392013:NJK392080 NTG392013:NTG392080 ODC392013:ODC392080 OMY392013:OMY392080 OWU392013:OWU392080 PGQ392013:PGQ392080 PQM392013:PQM392080 QAI392013:QAI392080 QKE392013:QKE392080 QUA392013:QUA392080 RDW392013:RDW392080 RNS392013:RNS392080 RXO392013:RXO392080 SHK392013:SHK392080 SRG392013:SRG392080 TBC392013:TBC392080 TKY392013:TKY392080 TUU392013:TUU392080 UEQ392013:UEQ392080 UOM392013:UOM392080 UYI392013:UYI392080 VIE392013:VIE392080 VSA392013:VSA392080 WBW392013:WBW392080 WLS392013:WLS392080 WVO392013:WVO392080 G457549:G457616 JC457549:JC457616 SY457549:SY457616 ACU457549:ACU457616 AMQ457549:AMQ457616 AWM457549:AWM457616 BGI457549:BGI457616 BQE457549:BQE457616 CAA457549:CAA457616 CJW457549:CJW457616 CTS457549:CTS457616 DDO457549:DDO457616 DNK457549:DNK457616 DXG457549:DXG457616 EHC457549:EHC457616 EQY457549:EQY457616 FAU457549:FAU457616 FKQ457549:FKQ457616 FUM457549:FUM457616 GEI457549:GEI457616 GOE457549:GOE457616 GYA457549:GYA457616 HHW457549:HHW457616 HRS457549:HRS457616 IBO457549:IBO457616 ILK457549:ILK457616 IVG457549:IVG457616 JFC457549:JFC457616 JOY457549:JOY457616 JYU457549:JYU457616 KIQ457549:KIQ457616 KSM457549:KSM457616 LCI457549:LCI457616 LME457549:LME457616 LWA457549:LWA457616 MFW457549:MFW457616 MPS457549:MPS457616 MZO457549:MZO457616 NJK457549:NJK457616 NTG457549:NTG457616 ODC457549:ODC457616 OMY457549:OMY457616 OWU457549:OWU457616 PGQ457549:PGQ457616 PQM457549:PQM457616 QAI457549:QAI457616 QKE457549:QKE457616 QUA457549:QUA457616 RDW457549:RDW457616 RNS457549:RNS457616 RXO457549:RXO457616 SHK457549:SHK457616 SRG457549:SRG457616 TBC457549:TBC457616 TKY457549:TKY457616 TUU457549:TUU457616 UEQ457549:UEQ457616 UOM457549:UOM457616 UYI457549:UYI457616 VIE457549:VIE457616 VSA457549:VSA457616 WBW457549:WBW457616 WLS457549:WLS457616 WVO457549:WVO457616 G523085:G523152 JC523085:JC523152 SY523085:SY523152 ACU523085:ACU523152 AMQ523085:AMQ523152 AWM523085:AWM523152 BGI523085:BGI523152 BQE523085:BQE523152 CAA523085:CAA523152 CJW523085:CJW523152 CTS523085:CTS523152 DDO523085:DDO523152 DNK523085:DNK523152 DXG523085:DXG523152 EHC523085:EHC523152 EQY523085:EQY523152 FAU523085:FAU523152 FKQ523085:FKQ523152 FUM523085:FUM523152 GEI523085:GEI523152 GOE523085:GOE523152 GYA523085:GYA523152 HHW523085:HHW523152 HRS523085:HRS523152 IBO523085:IBO523152 ILK523085:ILK523152 IVG523085:IVG523152 JFC523085:JFC523152 JOY523085:JOY523152 JYU523085:JYU523152 KIQ523085:KIQ523152 KSM523085:KSM523152 LCI523085:LCI523152 LME523085:LME523152 LWA523085:LWA523152 MFW523085:MFW523152 MPS523085:MPS523152 MZO523085:MZO523152 NJK523085:NJK523152 NTG523085:NTG523152 ODC523085:ODC523152 OMY523085:OMY523152 OWU523085:OWU523152 PGQ523085:PGQ523152 PQM523085:PQM523152 QAI523085:QAI523152 QKE523085:QKE523152 QUA523085:QUA523152 RDW523085:RDW523152 RNS523085:RNS523152 RXO523085:RXO523152 SHK523085:SHK523152 SRG523085:SRG523152 TBC523085:TBC523152 TKY523085:TKY523152 TUU523085:TUU523152 UEQ523085:UEQ523152 UOM523085:UOM523152 UYI523085:UYI523152 VIE523085:VIE523152 VSA523085:VSA523152 WBW523085:WBW523152 WLS523085:WLS523152 WVO523085:WVO523152 G588621:G588688 JC588621:JC588688 SY588621:SY588688 ACU588621:ACU588688 AMQ588621:AMQ588688 AWM588621:AWM588688 BGI588621:BGI588688 BQE588621:BQE588688 CAA588621:CAA588688 CJW588621:CJW588688 CTS588621:CTS588688 DDO588621:DDO588688 DNK588621:DNK588688 DXG588621:DXG588688 EHC588621:EHC588688 EQY588621:EQY588688 FAU588621:FAU588688 FKQ588621:FKQ588688 FUM588621:FUM588688 GEI588621:GEI588688 GOE588621:GOE588688 GYA588621:GYA588688 HHW588621:HHW588688 HRS588621:HRS588688 IBO588621:IBO588688 ILK588621:ILK588688 IVG588621:IVG588688 JFC588621:JFC588688 JOY588621:JOY588688 JYU588621:JYU588688 KIQ588621:KIQ588688 KSM588621:KSM588688 LCI588621:LCI588688 LME588621:LME588688 LWA588621:LWA588688 MFW588621:MFW588688 MPS588621:MPS588688 MZO588621:MZO588688 NJK588621:NJK588688 NTG588621:NTG588688 ODC588621:ODC588688 OMY588621:OMY588688 OWU588621:OWU588688 PGQ588621:PGQ588688 PQM588621:PQM588688 QAI588621:QAI588688 QKE588621:QKE588688 QUA588621:QUA588688 RDW588621:RDW588688 RNS588621:RNS588688 RXO588621:RXO588688 SHK588621:SHK588688 SRG588621:SRG588688 TBC588621:TBC588688 TKY588621:TKY588688 TUU588621:TUU588688 UEQ588621:UEQ588688 UOM588621:UOM588688 UYI588621:UYI588688 VIE588621:VIE588688 VSA588621:VSA588688 WBW588621:WBW588688 WLS588621:WLS588688 WVO588621:WVO588688 G654157:G654224 JC654157:JC654224 SY654157:SY654224 ACU654157:ACU654224 AMQ654157:AMQ654224 AWM654157:AWM654224 BGI654157:BGI654224 BQE654157:BQE654224 CAA654157:CAA654224 CJW654157:CJW654224 CTS654157:CTS654224 DDO654157:DDO654224 DNK654157:DNK654224 DXG654157:DXG654224 EHC654157:EHC654224 EQY654157:EQY654224 FAU654157:FAU654224 FKQ654157:FKQ654224 FUM654157:FUM654224 GEI654157:GEI654224 GOE654157:GOE654224 GYA654157:GYA654224 HHW654157:HHW654224 HRS654157:HRS654224 IBO654157:IBO654224 ILK654157:ILK654224 IVG654157:IVG654224 JFC654157:JFC654224 JOY654157:JOY654224 JYU654157:JYU654224 KIQ654157:KIQ654224 KSM654157:KSM654224 LCI654157:LCI654224 LME654157:LME654224 LWA654157:LWA654224 MFW654157:MFW654224 MPS654157:MPS654224 MZO654157:MZO654224 NJK654157:NJK654224 NTG654157:NTG654224 ODC654157:ODC654224 OMY654157:OMY654224 OWU654157:OWU654224 PGQ654157:PGQ654224 PQM654157:PQM654224 QAI654157:QAI654224 QKE654157:QKE654224 QUA654157:QUA654224 RDW654157:RDW654224 RNS654157:RNS654224 RXO654157:RXO654224 SHK654157:SHK654224 SRG654157:SRG654224 TBC654157:TBC654224 TKY654157:TKY654224 TUU654157:TUU654224 UEQ654157:UEQ654224 UOM654157:UOM654224 UYI654157:UYI654224 VIE654157:VIE654224 VSA654157:VSA654224 WBW654157:WBW654224 WLS654157:WLS654224 WVO654157:WVO654224 G719693:G719760 JC719693:JC719760 SY719693:SY719760 ACU719693:ACU719760 AMQ719693:AMQ719760 AWM719693:AWM719760 BGI719693:BGI719760 BQE719693:BQE719760 CAA719693:CAA719760 CJW719693:CJW719760 CTS719693:CTS719760 DDO719693:DDO719760 DNK719693:DNK719760 DXG719693:DXG719760 EHC719693:EHC719760 EQY719693:EQY719760 FAU719693:FAU719760 FKQ719693:FKQ719760 FUM719693:FUM719760 GEI719693:GEI719760 GOE719693:GOE719760 GYA719693:GYA719760 HHW719693:HHW719760 HRS719693:HRS719760 IBO719693:IBO719760 ILK719693:ILK719760 IVG719693:IVG719760 JFC719693:JFC719760 JOY719693:JOY719760 JYU719693:JYU719760 KIQ719693:KIQ719760 KSM719693:KSM719760 LCI719693:LCI719760 LME719693:LME719760 LWA719693:LWA719760 MFW719693:MFW719760 MPS719693:MPS719760 MZO719693:MZO719760 NJK719693:NJK719760 NTG719693:NTG719760 ODC719693:ODC719760 OMY719693:OMY719760 OWU719693:OWU719760 PGQ719693:PGQ719760 PQM719693:PQM719760 QAI719693:QAI719760 QKE719693:QKE719760 QUA719693:QUA719760 RDW719693:RDW719760 RNS719693:RNS719760 RXO719693:RXO719760 SHK719693:SHK719760 SRG719693:SRG719760 TBC719693:TBC719760 TKY719693:TKY719760 TUU719693:TUU719760 UEQ719693:UEQ719760 UOM719693:UOM719760 UYI719693:UYI719760 VIE719693:VIE719760 VSA719693:VSA719760 WBW719693:WBW719760 WLS719693:WLS719760 WVO719693:WVO719760 G785229:G785296 JC785229:JC785296 SY785229:SY785296 ACU785229:ACU785296 AMQ785229:AMQ785296 AWM785229:AWM785296 BGI785229:BGI785296 BQE785229:BQE785296 CAA785229:CAA785296 CJW785229:CJW785296 CTS785229:CTS785296 DDO785229:DDO785296 DNK785229:DNK785296 DXG785229:DXG785296 EHC785229:EHC785296 EQY785229:EQY785296 FAU785229:FAU785296 FKQ785229:FKQ785296 FUM785229:FUM785296 GEI785229:GEI785296 GOE785229:GOE785296 GYA785229:GYA785296 HHW785229:HHW785296 HRS785229:HRS785296 IBO785229:IBO785296 ILK785229:ILK785296 IVG785229:IVG785296 JFC785229:JFC785296 JOY785229:JOY785296 JYU785229:JYU785296 KIQ785229:KIQ785296 KSM785229:KSM785296 LCI785229:LCI785296 LME785229:LME785296 LWA785229:LWA785296 MFW785229:MFW785296 MPS785229:MPS785296 MZO785229:MZO785296 NJK785229:NJK785296 NTG785229:NTG785296 ODC785229:ODC785296 OMY785229:OMY785296 OWU785229:OWU785296 PGQ785229:PGQ785296 PQM785229:PQM785296 QAI785229:QAI785296 QKE785229:QKE785296 QUA785229:QUA785296 RDW785229:RDW785296 RNS785229:RNS785296 RXO785229:RXO785296 SHK785229:SHK785296 SRG785229:SRG785296 TBC785229:TBC785296 TKY785229:TKY785296 TUU785229:TUU785296 UEQ785229:UEQ785296 UOM785229:UOM785296 UYI785229:UYI785296 VIE785229:VIE785296 VSA785229:VSA785296 WBW785229:WBW785296 WLS785229:WLS785296 WVO785229:WVO785296 G850765:G850832 JC850765:JC850832 SY850765:SY850832 ACU850765:ACU850832 AMQ850765:AMQ850832 AWM850765:AWM850832 BGI850765:BGI850832 BQE850765:BQE850832 CAA850765:CAA850832 CJW850765:CJW850832 CTS850765:CTS850832 DDO850765:DDO850832 DNK850765:DNK850832 DXG850765:DXG850832 EHC850765:EHC850832 EQY850765:EQY850832 FAU850765:FAU850832 FKQ850765:FKQ850832 FUM850765:FUM850832 GEI850765:GEI850832 GOE850765:GOE850832 GYA850765:GYA850832 HHW850765:HHW850832 HRS850765:HRS850832 IBO850765:IBO850832 ILK850765:ILK850832 IVG850765:IVG850832 JFC850765:JFC850832 JOY850765:JOY850832 JYU850765:JYU850832 KIQ850765:KIQ850832 KSM850765:KSM850832 LCI850765:LCI850832 LME850765:LME850832 LWA850765:LWA850832 MFW850765:MFW850832 MPS850765:MPS850832 MZO850765:MZO850832 NJK850765:NJK850832 NTG850765:NTG850832 ODC850765:ODC850832 OMY850765:OMY850832 OWU850765:OWU850832 PGQ850765:PGQ850832 PQM850765:PQM850832 QAI850765:QAI850832 QKE850765:QKE850832 QUA850765:QUA850832 RDW850765:RDW850832 RNS850765:RNS850832 RXO850765:RXO850832 SHK850765:SHK850832 SRG850765:SRG850832 TBC850765:TBC850832 TKY850765:TKY850832 TUU850765:TUU850832 UEQ850765:UEQ850832 UOM850765:UOM850832 UYI850765:UYI850832 VIE850765:VIE850832 VSA850765:VSA850832 WBW850765:WBW850832 WLS850765:WLS850832 WVO850765:WVO850832 G916301:G916368 JC916301:JC916368 SY916301:SY916368 ACU916301:ACU916368 AMQ916301:AMQ916368 AWM916301:AWM916368 BGI916301:BGI916368 BQE916301:BQE916368 CAA916301:CAA916368 CJW916301:CJW916368 CTS916301:CTS916368 DDO916301:DDO916368 DNK916301:DNK916368 DXG916301:DXG916368 EHC916301:EHC916368 EQY916301:EQY916368 FAU916301:FAU916368 FKQ916301:FKQ916368 FUM916301:FUM916368 GEI916301:GEI916368 GOE916301:GOE916368 GYA916301:GYA916368 HHW916301:HHW916368 HRS916301:HRS916368 IBO916301:IBO916368 ILK916301:ILK916368 IVG916301:IVG916368 JFC916301:JFC916368 JOY916301:JOY916368 JYU916301:JYU916368 KIQ916301:KIQ916368 KSM916301:KSM916368 LCI916301:LCI916368 LME916301:LME916368 LWA916301:LWA916368 MFW916301:MFW916368 MPS916301:MPS916368 MZO916301:MZO916368 NJK916301:NJK916368 NTG916301:NTG916368 ODC916301:ODC916368 OMY916301:OMY916368 OWU916301:OWU916368 PGQ916301:PGQ916368 PQM916301:PQM916368 QAI916301:QAI916368 QKE916301:QKE916368 QUA916301:QUA916368 RDW916301:RDW916368 RNS916301:RNS916368 RXO916301:RXO916368 SHK916301:SHK916368 SRG916301:SRG916368 TBC916301:TBC916368 TKY916301:TKY916368 TUU916301:TUU916368 UEQ916301:UEQ916368 UOM916301:UOM916368 UYI916301:UYI916368 VIE916301:VIE916368 VSA916301:VSA916368 WBW916301:WBW916368 WLS916301:WLS916368 WVO916301:WVO916368 G981837:G981904 JC981837:JC981904 SY981837:SY981904 ACU981837:ACU981904 AMQ981837:AMQ981904 AWM981837:AWM981904 BGI981837:BGI981904 BQE981837:BQE981904 CAA981837:CAA981904 CJW981837:CJW981904 CTS981837:CTS981904 DDO981837:DDO981904 DNK981837:DNK981904 DXG981837:DXG981904 EHC981837:EHC981904 EQY981837:EQY981904 FAU981837:FAU981904 FKQ981837:FKQ981904 FUM981837:FUM981904 GEI981837:GEI981904 GOE981837:GOE981904 GYA981837:GYA981904 HHW981837:HHW981904 HRS981837:HRS981904 IBO981837:IBO981904 ILK981837:ILK981904 IVG981837:IVG981904 JFC981837:JFC981904 JOY981837:JOY981904 JYU981837:JYU981904 KIQ981837:KIQ981904 KSM981837:KSM981904 LCI981837:LCI981904 LME981837:LME981904 LWA981837:LWA981904 MFW981837:MFW981904 MPS981837:MPS981904 MZO981837:MZO981904 NJK981837:NJK981904 NTG981837:NTG981904 ODC981837:ODC981904 OMY981837:OMY981904 OWU981837:OWU981904 PGQ981837:PGQ981904 PQM981837:PQM981904 QAI981837:QAI981904 QKE981837:QKE981904 QUA981837:QUA981904 RDW981837:RDW981904 RNS981837:RNS981904 RXO981837:RXO981904 SHK981837:SHK981904 SRG981837:SRG981904 TBC981837:TBC981904 TKY981837:TKY981904 TUU981837:TUU981904 UEQ981837:UEQ981904 UOM981837:UOM981904 UYI981837:UYI981904 VIE981837:VIE981904 VSA981837:VSA981904 WBW981837:WBW981904 WLS981837:WLS981904 WVO981837:WVO981904 G1047373:G1047440 JC1047373:JC1047440 SY1047373:SY1047440 ACU1047373:ACU1047440 AMQ1047373:AMQ1047440 AWM1047373:AWM1047440 BGI1047373:BGI1047440 BQE1047373:BQE1047440 CAA1047373:CAA1047440 CJW1047373:CJW1047440 CTS1047373:CTS1047440 DDO1047373:DDO1047440 DNK1047373:DNK1047440 DXG1047373:DXG1047440 EHC1047373:EHC1047440 EQY1047373:EQY1047440 FAU1047373:FAU1047440 FKQ1047373:FKQ1047440 FUM1047373:FUM1047440 GEI1047373:GEI1047440 GOE1047373:GOE1047440 GYA1047373:GYA1047440 HHW1047373:HHW1047440 HRS1047373:HRS1047440 IBO1047373:IBO1047440 ILK1047373:ILK1047440 IVG1047373:IVG1047440 JFC1047373:JFC1047440 JOY1047373:JOY1047440 JYU1047373:JYU1047440 KIQ1047373:KIQ1047440 KSM1047373:KSM1047440 LCI1047373:LCI1047440 LME1047373:LME1047440 LWA1047373:LWA1047440 MFW1047373:MFW1047440 MPS1047373:MPS1047440 MZO1047373:MZO1047440 NJK1047373:NJK1047440 NTG1047373:NTG1047440 ODC1047373:ODC1047440 OMY1047373:OMY1047440 OWU1047373:OWU1047440 PGQ1047373:PGQ1047440 PQM1047373:PQM1047440 QAI1047373:QAI1047440 QKE1047373:QKE1047440 QUA1047373:QUA1047440 RDW1047373:RDW1047440 RNS1047373:RNS1047440 RXO1047373:RXO1047440 SHK1047373:SHK1047440 SRG1047373:SRG1047440 TBC1047373:TBC1047440 TKY1047373:TKY1047440 TUU1047373:TUU1047440 UEQ1047373:UEQ1047440 UOM1047373:UOM1047440 UYI1047373:UYI1047440 VIE1047373:VIE1047440 VSA1047373:VSA1047440 WBW1047373:WBW1047440 WLS1047373:WLS1047440 WVO1047373:WVO1047440 WVO983012:WVO983083 G65508:G65579 JC65508:JC65579 SY65508:SY65579 ACU65508:ACU65579 AMQ65508:AMQ65579 AWM65508:AWM65579 BGI65508:BGI65579 BQE65508:BQE65579 CAA65508:CAA65579 CJW65508:CJW65579 CTS65508:CTS65579 DDO65508:DDO65579 DNK65508:DNK65579 DXG65508:DXG65579 EHC65508:EHC65579 EQY65508:EQY65579 FAU65508:FAU65579 FKQ65508:FKQ65579 FUM65508:FUM65579 GEI65508:GEI65579 GOE65508:GOE65579 GYA65508:GYA65579 HHW65508:HHW65579 HRS65508:HRS65579 IBO65508:IBO65579 ILK65508:ILK65579 IVG65508:IVG65579 JFC65508:JFC65579 JOY65508:JOY65579 JYU65508:JYU65579 KIQ65508:KIQ65579 KSM65508:KSM65579 LCI65508:LCI65579 LME65508:LME65579 LWA65508:LWA65579 MFW65508:MFW65579 MPS65508:MPS65579 MZO65508:MZO65579 NJK65508:NJK65579 NTG65508:NTG65579 ODC65508:ODC65579 OMY65508:OMY65579 OWU65508:OWU65579 PGQ65508:PGQ65579 PQM65508:PQM65579 QAI65508:QAI65579 QKE65508:QKE65579 QUA65508:QUA65579 RDW65508:RDW65579 RNS65508:RNS65579 RXO65508:RXO65579 SHK65508:SHK65579 SRG65508:SRG65579 TBC65508:TBC65579 TKY65508:TKY65579 TUU65508:TUU65579 UEQ65508:UEQ65579 UOM65508:UOM65579 UYI65508:UYI65579 VIE65508:VIE65579 VSA65508:VSA65579 WBW65508:WBW65579 WLS65508:WLS65579 WVO65508:WVO65579 G131044:G131115 JC131044:JC131115 SY131044:SY131115 ACU131044:ACU131115 AMQ131044:AMQ131115 AWM131044:AWM131115 BGI131044:BGI131115 BQE131044:BQE131115 CAA131044:CAA131115 CJW131044:CJW131115 CTS131044:CTS131115 DDO131044:DDO131115 DNK131044:DNK131115 DXG131044:DXG131115 EHC131044:EHC131115 EQY131044:EQY131115 FAU131044:FAU131115 FKQ131044:FKQ131115 FUM131044:FUM131115 GEI131044:GEI131115 GOE131044:GOE131115 GYA131044:GYA131115 HHW131044:HHW131115 HRS131044:HRS131115 IBO131044:IBO131115 ILK131044:ILK131115 IVG131044:IVG131115 JFC131044:JFC131115 JOY131044:JOY131115 JYU131044:JYU131115 KIQ131044:KIQ131115 KSM131044:KSM131115 LCI131044:LCI131115 LME131044:LME131115 LWA131044:LWA131115 MFW131044:MFW131115 MPS131044:MPS131115 MZO131044:MZO131115 NJK131044:NJK131115 NTG131044:NTG131115 ODC131044:ODC131115 OMY131044:OMY131115 OWU131044:OWU131115 PGQ131044:PGQ131115 PQM131044:PQM131115 QAI131044:QAI131115 QKE131044:QKE131115 QUA131044:QUA131115 RDW131044:RDW131115 RNS131044:RNS131115 RXO131044:RXO131115 SHK131044:SHK131115 SRG131044:SRG131115 TBC131044:TBC131115 TKY131044:TKY131115 TUU131044:TUU131115 UEQ131044:UEQ131115 UOM131044:UOM131115 UYI131044:UYI131115 VIE131044:VIE131115 VSA131044:VSA131115 WBW131044:WBW131115 WLS131044:WLS131115 WVO131044:WVO131115 G196580:G196651 JC196580:JC196651 SY196580:SY196651 ACU196580:ACU196651 AMQ196580:AMQ196651 AWM196580:AWM196651 BGI196580:BGI196651 BQE196580:BQE196651 CAA196580:CAA196651 CJW196580:CJW196651 CTS196580:CTS196651 DDO196580:DDO196651 DNK196580:DNK196651 DXG196580:DXG196651 EHC196580:EHC196651 EQY196580:EQY196651 FAU196580:FAU196651 FKQ196580:FKQ196651 FUM196580:FUM196651 GEI196580:GEI196651 GOE196580:GOE196651 GYA196580:GYA196651 HHW196580:HHW196651 HRS196580:HRS196651 IBO196580:IBO196651 ILK196580:ILK196651 IVG196580:IVG196651 JFC196580:JFC196651 JOY196580:JOY196651 JYU196580:JYU196651 KIQ196580:KIQ196651 KSM196580:KSM196651 LCI196580:LCI196651 LME196580:LME196651 LWA196580:LWA196651 MFW196580:MFW196651 MPS196580:MPS196651 MZO196580:MZO196651 NJK196580:NJK196651 NTG196580:NTG196651 ODC196580:ODC196651 OMY196580:OMY196651 OWU196580:OWU196651 PGQ196580:PGQ196651 PQM196580:PQM196651 QAI196580:QAI196651 QKE196580:QKE196651 QUA196580:QUA196651 RDW196580:RDW196651 RNS196580:RNS196651 RXO196580:RXO196651 SHK196580:SHK196651 SRG196580:SRG196651 TBC196580:TBC196651 TKY196580:TKY196651 TUU196580:TUU196651 UEQ196580:UEQ196651 UOM196580:UOM196651 UYI196580:UYI196651 VIE196580:VIE196651 VSA196580:VSA196651 WBW196580:WBW196651 WLS196580:WLS196651 WVO196580:WVO196651 G262116:G262187 JC262116:JC262187 SY262116:SY262187 ACU262116:ACU262187 AMQ262116:AMQ262187 AWM262116:AWM262187 BGI262116:BGI262187 BQE262116:BQE262187 CAA262116:CAA262187 CJW262116:CJW262187 CTS262116:CTS262187 DDO262116:DDO262187 DNK262116:DNK262187 DXG262116:DXG262187 EHC262116:EHC262187 EQY262116:EQY262187 FAU262116:FAU262187 FKQ262116:FKQ262187 FUM262116:FUM262187 GEI262116:GEI262187 GOE262116:GOE262187 GYA262116:GYA262187 HHW262116:HHW262187 HRS262116:HRS262187 IBO262116:IBO262187 ILK262116:ILK262187 IVG262116:IVG262187 JFC262116:JFC262187 JOY262116:JOY262187 JYU262116:JYU262187 KIQ262116:KIQ262187 KSM262116:KSM262187 LCI262116:LCI262187 LME262116:LME262187 LWA262116:LWA262187 MFW262116:MFW262187 MPS262116:MPS262187 MZO262116:MZO262187 NJK262116:NJK262187 NTG262116:NTG262187 ODC262116:ODC262187 OMY262116:OMY262187 OWU262116:OWU262187 PGQ262116:PGQ262187 PQM262116:PQM262187 QAI262116:QAI262187 QKE262116:QKE262187 QUA262116:QUA262187 RDW262116:RDW262187 RNS262116:RNS262187 RXO262116:RXO262187 SHK262116:SHK262187 SRG262116:SRG262187 TBC262116:TBC262187 TKY262116:TKY262187 TUU262116:TUU262187 UEQ262116:UEQ262187 UOM262116:UOM262187 UYI262116:UYI262187 VIE262116:VIE262187 VSA262116:VSA262187 WBW262116:WBW262187 WLS262116:WLS262187 WVO262116:WVO262187 G327652:G327723 JC327652:JC327723 SY327652:SY327723 ACU327652:ACU327723 AMQ327652:AMQ327723 AWM327652:AWM327723 BGI327652:BGI327723 BQE327652:BQE327723 CAA327652:CAA327723 CJW327652:CJW327723 CTS327652:CTS327723 DDO327652:DDO327723 DNK327652:DNK327723 DXG327652:DXG327723 EHC327652:EHC327723 EQY327652:EQY327723 FAU327652:FAU327723 FKQ327652:FKQ327723 FUM327652:FUM327723 GEI327652:GEI327723 GOE327652:GOE327723 GYA327652:GYA327723 HHW327652:HHW327723 HRS327652:HRS327723 IBO327652:IBO327723 ILK327652:ILK327723 IVG327652:IVG327723 JFC327652:JFC327723 JOY327652:JOY327723 JYU327652:JYU327723 KIQ327652:KIQ327723 KSM327652:KSM327723 LCI327652:LCI327723 LME327652:LME327723 LWA327652:LWA327723 MFW327652:MFW327723 MPS327652:MPS327723 MZO327652:MZO327723 NJK327652:NJK327723 NTG327652:NTG327723 ODC327652:ODC327723 OMY327652:OMY327723 OWU327652:OWU327723 PGQ327652:PGQ327723 PQM327652:PQM327723 QAI327652:QAI327723 QKE327652:QKE327723 QUA327652:QUA327723 RDW327652:RDW327723 RNS327652:RNS327723 RXO327652:RXO327723 SHK327652:SHK327723 SRG327652:SRG327723 TBC327652:TBC327723 TKY327652:TKY327723 TUU327652:TUU327723 UEQ327652:UEQ327723 UOM327652:UOM327723 UYI327652:UYI327723 VIE327652:VIE327723 VSA327652:VSA327723 WBW327652:WBW327723 WLS327652:WLS327723 WVO327652:WVO327723 G393188:G393259 JC393188:JC393259 SY393188:SY393259 ACU393188:ACU393259 AMQ393188:AMQ393259 AWM393188:AWM393259 BGI393188:BGI393259 BQE393188:BQE393259 CAA393188:CAA393259 CJW393188:CJW393259 CTS393188:CTS393259 DDO393188:DDO393259 DNK393188:DNK393259 DXG393188:DXG393259 EHC393188:EHC393259 EQY393188:EQY393259 FAU393188:FAU393259 FKQ393188:FKQ393259 FUM393188:FUM393259 GEI393188:GEI393259 GOE393188:GOE393259 GYA393188:GYA393259 HHW393188:HHW393259 HRS393188:HRS393259 IBO393188:IBO393259 ILK393188:ILK393259 IVG393188:IVG393259 JFC393188:JFC393259 JOY393188:JOY393259 JYU393188:JYU393259 KIQ393188:KIQ393259 KSM393188:KSM393259 LCI393188:LCI393259 LME393188:LME393259 LWA393188:LWA393259 MFW393188:MFW393259 MPS393188:MPS393259 MZO393188:MZO393259 NJK393188:NJK393259 NTG393188:NTG393259 ODC393188:ODC393259 OMY393188:OMY393259 OWU393188:OWU393259 PGQ393188:PGQ393259 PQM393188:PQM393259 QAI393188:QAI393259 QKE393188:QKE393259 QUA393188:QUA393259 RDW393188:RDW393259 RNS393188:RNS393259 RXO393188:RXO393259 SHK393188:SHK393259 SRG393188:SRG393259 TBC393188:TBC393259 TKY393188:TKY393259 TUU393188:TUU393259 UEQ393188:UEQ393259 UOM393188:UOM393259 UYI393188:UYI393259 VIE393188:VIE393259 VSA393188:VSA393259 WBW393188:WBW393259 WLS393188:WLS393259 WVO393188:WVO393259 G458724:G458795 JC458724:JC458795 SY458724:SY458795 ACU458724:ACU458795 AMQ458724:AMQ458795 AWM458724:AWM458795 BGI458724:BGI458795 BQE458724:BQE458795 CAA458724:CAA458795 CJW458724:CJW458795 CTS458724:CTS458795 DDO458724:DDO458795 DNK458724:DNK458795 DXG458724:DXG458795 EHC458724:EHC458795 EQY458724:EQY458795 FAU458724:FAU458795 FKQ458724:FKQ458795 FUM458724:FUM458795 GEI458724:GEI458795 GOE458724:GOE458795 GYA458724:GYA458795 HHW458724:HHW458795 HRS458724:HRS458795 IBO458724:IBO458795 ILK458724:ILK458795 IVG458724:IVG458795 JFC458724:JFC458795 JOY458724:JOY458795 JYU458724:JYU458795 KIQ458724:KIQ458795 KSM458724:KSM458795 LCI458724:LCI458795 LME458724:LME458795 LWA458724:LWA458795 MFW458724:MFW458795 MPS458724:MPS458795 MZO458724:MZO458795 NJK458724:NJK458795 NTG458724:NTG458795 ODC458724:ODC458795 OMY458724:OMY458795 OWU458724:OWU458795 PGQ458724:PGQ458795 PQM458724:PQM458795 QAI458724:QAI458795 QKE458724:QKE458795 QUA458724:QUA458795 RDW458724:RDW458795 RNS458724:RNS458795 RXO458724:RXO458795 SHK458724:SHK458795 SRG458724:SRG458795 TBC458724:TBC458795 TKY458724:TKY458795 TUU458724:TUU458795 UEQ458724:UEQ458795 UOM458724:UOM458795 UYI458724:UYI458795 VIE458724:VIE458795 VSA458724:VSA458795 WBW458724:WBW458795 WLS458724:WLS458795 WVO458724:WVO458795 G524260:G524331 JC524260:JC524331 SY524260:SY524331 ACU524260:ACU524331 AMQ524260:AMQ524331 AWM524260:AWM524331 BGI524260:BGI524331 BQE524260:BQE524331 CAA524260:CAA524331 CJW524260:CJW524331 CTS524260:CTS524331 DDO524260:DDO524331 DNK524260:DNK524331 DXG524260:DXG524331 EHC524260:EHC524331 EQY524260:EQY524331 FAU524260:FAU524331 FKQ524260:FKQ524331 FUM524260:FUM524331 GEI524260:GEI524331 GOE524260:GOE524331 GYA524260:GYA524331 HHW524260:HHW524331 HRS524260:HRS524331 IBO524260:IBO524331 ILK524260:ILK524331 IVG524260:IVG524331 JFC524260:JFC524331 JOY524260:JOY524331 JYU524260:JYU524331 KIQ524260:KIQ524331 KSM524260:KSM524331 LCI524260:LCI524331 LME524260:LME524331 LWA524260:LWA524331 MFW524260:MFW524331 MPS524260:MPS524331 MZO524260:MZO524331 NJK524260:NJK524331 NTG524260:NTG524331 ODC524260:ODC524331 OMY524260:OMY524331 OWU524260:OWU524331 PGQ524260:PGQ524331 PQM524260:PQM524331 QAI524260:QAI524331 QKE524260:QKE524331 QUA524260:QUA524331 RDW524260:RDW524331 RNS524260:RNS524331 RXO524260:RXO524331 SHK524260:SHK524331 SRG524260:SRG524331 TBC524260:TBC524331 TKY524260:TKY524331 TUU524260:TUU524331 UEQ524260:UEQ524331 UOM524260:UOM524331 UYI524260:UYI524331 VIE524260:VIE524331 VSA524260:VSA524331 WBW524260:WBW524331 WLS524260:WLS524331 WVO524260:WVO524331 G589796:G589867 JC589796:JC589867 SY589796:SY589867 ACU589796:ACU589867 AMQ589796:AMQ589867 AWM589796:AWM589867 BGI589796:BGI589867 BQE589796:BQE589867 CAA589796:CAA589867 CJW589796:CJW589867 CTS589796:CTS589867 DDO589796:DDO589867 DNK589796:DNK589867 DXG589796:DXG589867 EHC589796:EHC589867 EQY589796:EQY589867 FAU589796:FAU589867 FKQ589796:FKQ589867 FUM589796:FUM589867 GEI589796:GEI589867 GOE589796:GOE589867 GYA589796:GYA589867 HHW589796:HHW589867 HRS589796:HRS589867 IBO589796:IBO589867 ILK589796:ILK589867 IVG589796:IVG589867 JFC589796:JFC589867 JOY589796:JOY589867 JYU589796:JYU589867 KIQ589796:KIQ589867 KSM589796:KSM589867 LCI589796:LCI589867 LME589796:LME589867 LWA589796:LWA589867 MFW589796:MFW589867 MPS589796:MPS589867 MZO589796:MZO589867 NJK589796:NJK589867 NTG589796:NTG589867 ODC589796:ODC589867 OMY589796:OMY589867 OWU589796:OWU589867 PGQ589796:PGQ589867 PQM589796:PQM589867 QAI589796:QAI589867 QKE589796:QKE589867 QUA589796:QUA589867 RDW589796:RDW589867 RNS589796:RNS589867 RXO589796:RXO589867 SHK589796:SHK589867 SRG589796:SRG589867 TBC589796:TBC589867 TKY589796:TKY589867 TUU589796:TUU589867 UEQ589796:UEQ589867 UOM589796:UOM589867 UYI589796:UYI589867 VIE589796:VIE589867 VSA589796:VSA589867 WBW589796:WBW589867 WLS589796:WLS589867 WVO589796:WVO589867 G655332:G655403 JC655332:JC655403 SY655332:SY655403 ACU655332:ACU655403 AMQ655332:AMQ655403 AWM655332:AWM655403 BGI655332:BGI655403 BQE655332:BQE655403 CAA655332:CAA655403 CJW655332:CJW655403 CTS655332:CTS655403 DDO655332:DDO655403 DNK655332:DNK655403 DXG655332:DXG655403 EHC655332:EHC655403 EQY655332:EQY655403 FAU655332:FAU655403 FKQ655332:FKQ655403 FUM655332:FUM655403 GEI655332:GEI655403 GOE655332:GOE655403 GYA655332:GYA655403 HHW655332:HHW655403 HRS655332:HRS655403 IBO655332:IBO655403 ILK655332:ILK655403 IVG655332:IVG655403 JFC655332:JFC655403 JOY655332:JOY655403 JYU655332:JYU655403 KIQ655332:KIQ655403 KSM655332:KSM655403 LCI655332:LCI655403 LME655332:LME655403 LWA655332:LWA655403 MFW655332:MFW655403 MPS655332:MPS655403 MZO655332:MZO655403 NJK655332:NJK655403 NTG655332:NTG655403 ODC655332:ODC655403 OMY655332:OMY655403 OWU655332:OWU655403 PGQ655332:PGQ655403 PQM655332:PQM655403 QAI655332:QAI655403 QKE655332:QKE655403 QUA655332:QUA655403 RDW655332:RDW655403 RNS655332:RNS655403 RXO655332:RXO655403 SHK655332:SHK655403 SRG655332:SRG655403 TBC655332:TBC655403 TKY655332:TKY655403 TUU655332:TUU655403 UEQ655332:UEQ655403 UOM655332:UOM655403 UYI655332:UYI655403 VIE655332:VIE655403 VSA655332:VSA655403 WBW655332:WBW655403 WLS655332:WLS655403 WVO655332:WVO655403 G720868:G720939 JC720868:JC720939 SY720868:SY720939 ACU720868:ACU720939 AMQ720868:AMQ720939 AWM720868:AWM720939 BGI720868:BGI720939 BQE720868:BQE720939 CAA720868:CAA720939 CJW720868:CJW720939 CTS720868:CTS720939 DDO720868:DDO720939 DNK720868:DNK720939 DXG720868:DXG720939 EHC720868:EHC720939 EQY720868:EQY720939 FAU720868:FAU720939 FKQ720868:FKQ720939 FUM720868:FUM720939 GEI720868:GEI720939 GOE720868:GOE720939 GYA720868:GYA720939 HHW720868:HHW720939 HRS720868:HRS720939 IBO720868:IBO720939 ILK720868:ILK720939 IVG720868:IVG720939 JFC720868:JFC720939 JOY720868:JOY720939 JYU720868:JYU720939 KIQ720868:KIQ720939 KSM720868:KSM720939 LCI720868:LCI720939 LME720868:LME720939 LWA720868:LWA720939 MFW720868:MFW720939 MPS720868:MPS720939 MZO720868:MZO720939 NJK720868:NJK720939 NTG720868:NTG720939 ODC720868:ODC720939 OMY720868:OMY720939 OWU720868:OWU720939 PGQ720868:PGQ720939 PQM720868:PQM720939 QAI720868:QAI720939 QKE720868:QKE720939 QUA720868:QUA720939 RDW720868:RDW720939 RNS720868:RNS720939 RXO720868:RXO720939 SHK720868:SHK720939 SRG720868:SRG720939 TBC720868:TBC720939 TKY720868:TKY720939 TUU720868:TUU720939 UEQ720868:UEQ720939 UOM720868:UOM720939 UYI720868:UYI720939 VIE720868:VIE720939 VSA720868:VSA720939 WBW720868:WBW720939 WLS720868:WLS720939 WVO720868:WVO720939 G786404:G786475 JC786404:JC786475 SY786404:SY786475 ACU786404:ACU786475 AMQ786404:AMQ786475 AWM786404:AWM786475 BGI786404:BGI786475 BQE786404:BQE786475 CAA786404:CAA786475 CJW786404:CJW786475 CTS786404:CTS786475 DDO786404:DDO786475 DNK786404:DNK786475 DXG786404:DXG786475 EHC786404:EHC786475 EQY786404:EQY786475 FAU786404:FAU786475 FKQ786404:FKQ786475 FUM786404:FUM786475 GEI786404:GEI786475 GOE786404:GOE786475 GYA786404:GYA786475 HHW786404:HHW786475 HRS786404:HRS786475 IBO786404:IBO786475 ILK786404:ILK786475 IVG786404:IVG786475 JFC786404:JFC786475 JOY786404:JOY786475 JYU786404:JYU786475 KIQ786404:KIQ786475 KSM786404:KSM786475 LCI786404:LCI786475 LME786404:LME786475 LWA786404:LWA786475 MFW786404:MFW786475 MPS786404:MPS786475 MZO786404:MZO786475 NJK786404:NJK786475 NTG786404:NTG786475 ODC786404:ODC786475 OMY786404:OMY786475 OWU786404:OWU786475 PGQ786404:PGQ786475 PQM786404:PQM786475 QAI786404:QAI786475 QKE786404:QKE786475 QUA786404:QUA786475 RDW786404:RDW786475 RNS786404:RNS786475 RXO786404:RXO786475 SHK786404:SHK786475 SRG786404:SRG786475 TBC786404:TBC786475 TKY786404:TKY786475 TUU786404:TUU786475 UEQ786404:UEQ786475 UOM786404:UOM786475 UYI786404:UYI786475 VIE786404:VIE786475 VSA786404:VSA786475 WBW786404:WBW786475 WLS786404:WLS786475 WVO786404:WVO786475 G851940:G852011 JC851940:JC852011 SY851940:SY852011 ACU851940:ACU852011 AMQ851940:AMQ852011 AWM851940:AWM852011 BGI851940:BGI852011 BQE851940:BQE852011 CAA851940:CAA852011 CJW851940:CJW852011 CTS851940:CTS852011 DDO851940:DDO852011 DNK851940:DNK852011 DXG851940:DXG852011 EHC851940:EHC852011 EQY851940:EQY852011 FAU851940:FAU852011 FKQ851940:FKQ852011 FUM851940:FUM852011 GEI851940:GEI852011 GOE851940:GOE852011 GYA851940:GYA852011 HHW851940:HHW852011 HRS851940:HRS852011 IBO851940:IBO852011 ILK851940:ILK852011 IVG851940:IVG852011 JFC851940:JFC852011 JOY851940:JOY852011 JYU851940:JYU852011 KIQ851940:KIQ852011 KSM851940:KSM852011 LCI851940:LCI852011 LME851940:LME852011 LWA851940:LWA852011 MFW851940:MFW852011 MPS851940:MPS852011 MZO851940:MZO852011 NJK851940:NJK852011 NTG851940:NTG852011 ODC851940:ODC852011 OMY851940:OMY852011 OWU851940:OWU852011 PGQ851940:PGQ852011 PQM851940:PQM852011 QAI851940:QAI852011 QKE851940:QKE852011 QUA851940:QUA852011 RDW851940:RDW852011 RNS851940:RNS852011 RXO851940:RXO852011 SHK851940:SHK852011 SRG851940:SRG852011 TBC851940:TBC852011 TKY851940:TKY852011 TUU851940:TUU852011 UEQ851940:UEQ852011 UOM851940:UOM852011 UYI851940:UYI852011 VIE851940:VIE852011 VSA851940:VSA852011 WBW851940:WBW852011 WLS851940:WLS852011 WVO851940:WVO852011 G917476:G917547 JC917476:JC917547 SY917476:SY917547 ACU917476:ACU917547 AMQ917476:AMQ917547 AWM917476:AWM917547 BGI917476:BGI917547 BQE917476:BQE917547 CAA917476:CAA917547 CJW917476:CJW917547 CTS917476:CTS917547 DDO917476:DDO917547 DNK917476:DNK917547 DXG917476:DXG917547 EHC917476:EHC917547 EQY917476:EQY917547 FAU917476:FAU917547 FKQ917476:FKQ917547 FUM917476:FUM917547 GEI917476:GEI917547 GOE917476:GOE917547 GYA917476:GYA917547 HHW917476:HHW917547 HRS917476:HRS917547 IBO917476:IBO917547 ILK917476:ILK917547 IVG917476:IVG917547 JFC917476:JFC917547 JOY917476:JOY917547 JYU917476:JYU917547 KIQ917476:KIQ917547 KSM917476:KSM917547 LCI917476:LCI917547 LME917476:LME917547 LWA917476:LWA917547 MFW917476:MFW917547 MPS917476:MPS917547 MZO917476:MZO917547 NJK917476:NJK917547 NTG917476:NTG917547 ODC917476:ODC917547 OMY917476:OMY917547 OWU917476:OWU917547 PGQ917476:PGQ917547 PQM917476:PQM917547 QAI917476:QAI917547 QKE917476:QKE917547 QUA917476:QUA917547 RDW917476:RDW917547 RNS917476:RNS917547 RXO917476:RXO917547 SHK917476:SHK917547 SRG917476:SRG917547 TBC917476:TBC917547 TKY917476:TKY917547 TUU917476:TUU917547 UEQ917476:UEQ917547 UOM917476:UOM917547 UYI917476:UYI917547 VIE917476:VIE917547 VSA917476:VSA917547 WBW917476:WBW917547 WLS917476:WLS917547 WVO917476:WVO917547 G983012:G983083 JC983012:JC983083 SY983012:SY983083 ACU983012:ACU983083 AMQ983012:AMQ983083 AWM983012:AWM983083 BGI983012:BGI983083 BQE983012:BQE983083 CAA983012:CAA983083 CJW983012:CJW983083 CTS983012:CTS983083 DDO983012:DDO983083 DNK983012:DNK983083 DXG983012:DXG983083 EHC983012:EHC983083 EQY983012:EQY983083 FAU983012:FAU983083 FKQ983012:FKQ983083 FUM983012:FUM983083 GEI983012:GEI983083 GOE983012:GOE983083 GYA983012:GYA983083 HHW983012:HHW983083 HRS983012:HRS983083 IBO983012:IBO983083 ILK983012:ILK983083 IVG983012:IVG983083 JFC983012:JFC983083 JOY983012:JOY983083 JYU983012:JYU983083 KIQ983012:KIQ983083 KSM983012:KSM983083 LCI983012:LCI983083 LME983012:LME983083 LWA983012:LWA983083 MFW983012:MFW983083 MPS983012:MPS983083 MZO983012:MZO983083 NJK983012:NJK983083 NTG983012:NTG983083 ODC983012:ODC983083 OMY983012:OMY983083 OWU983012:OWU983083 PGQ983012:PGQ983083 PQM983012:PQM983083 QAI983012:QAI983083 QKE983012:QKE983083 QUA983012:QUA983083 RDW983012:RDW983083 RNS983012:RNS983083 RXO983012:RXO983083 SHK983012:SHK983083 SRG983012:SRG983083 TBC983012:TBC983083 TKY983012:TKY983083 TUU983012:TUU983083 UEQ983012:UEQ983083 UOM983012:UOM983083 UYI983012:UYI983083 VIE983012:VIE983083 VSA983012:VSA983083 WBW983012:WBW983083 WLS983012:WLS983083 G2:G470 JC2:JC57 WVO2:WVO57 WLS2:WLS57 WBW2:WBW57 VSA2:VSA57 VIE2:VIE57 UYI2:UYI57 UOM2:UOM57 UEQ2:UEQ57 TUU2:TUU57 TKY2:TKY57 TBC2:TBC57 SRG2:SRG57 SHK2:SHK57 RXO2:RXO57 RNS2:RNS57 RDW2:RDW57 QUA2:QUA57 QKE2:QKE57 QAI2:QAI57 PQM2:PQM57 PGQ2:PGQ57 OWU2:OWU57 OMY2:OMY57 ODC2:ODC57 NTG2:NTG57 NJK2:NJK57 MZO2:MZO57 MPS2:MPS57 MFW2:MFW57 LWA2:LWA57 LME2:LME57 LCI2:LCI57 KSM2:KSM57 KIQ2:KIQ57 JYU2:JYU57 JOY2:JOY57 JFC2:JFC57 IVG2:IVG57 ILK2:ILK57 IBO2:IBO57 HRS2:HRS57 HHW2:HHW57 GYA2:GYA57 GOE2:GOE57 GEI2:GEI57 FUM2:FUM57 FKQ2:FKQ57 FAU2:FAU57 EQY2:EQY57 EHC2:EHC57 DXG2:DXG57 DNK2:DNK57 DDO2:DDO57 CTS2:CTS57 CJW2:CJW57 CAA2:CAA57 BQE2:BQE57 BGI2:BGI57 AWM2:AWM57 AMQ2:AMQ57 ACU2:ACU57 SY2:SY57" xr:uid="{48382A95-30CD-466A-A4F5-88373575440C}">
      <formula1>$AJ$2:$AJ$4</formula1>
    </dataValidation>
    <dataValidation type="list" allowBlank="1" showInputMessage="1" showErrorMessage="1" sqref="I64333:I64398 JE64333:JE64398 TA64333:TA64398 ACW64333:ACW64398 AMS64333:AMS64398 AWO64333:AWO64398 BGK64333:BGK64398 BQG64333:BQG64398 CAC64333:CAC64398 CJY64333:CJY64398 CTU64333:CTU64398 DDQ64333:DDQ64398 DNM64333:DNM64398 DXI64333:DXI64398 EHE64333:EHE64398 ERA64333:ERA64398 FAW64333:FAW64398 FKS64333:FKS64398 FUO64333:FUO64398 GEK64333:GEK64398 GOG64333:GOG64398 GYC64333:GYC64398 HHY64333:HHY64398 HRU64333:HRU64398 IBQ64333:IBQ64398 ILM64333:ILM64398 IVI64333:IVI64398 JFE64333:JFE64398 JPA64333:JPA64398 JYW64333:JYW64398 KIS64333:KIS64398 KSO64333:KSO64398 LCK64333:LCK64398 LMG64333:LMG64398 LWC64333:LWC64398 MFY64333:MFY64398 MPU64333:MPU64398 MZQ64333:MZQ64398 NJM64333:NJM64398 NTI64333:NTI64398 ODE64333:ODE64398 ONA64333:ONA64398 OWW64333:OWW64398 PGS64333:PGS64398 PQO64333:PQO64398 QAK64333:QAK64398 QKG64333:QKG64398 QUC64333:QUC64398 RDY64333:RDY64398 RNU64333:RNU64398 RXQ64333:RXQ64398 SHM64333:SHM64398 SRI64333:SRI64398 TBE64333:TBE64398 TLA64333:TLA64398 TUW64333:TUW64398 UES64333:UES64398 UOO64333:UOO64398 UYK64333:UYK64398 VIG64333:VIG64398 VSC64333:VSC64398 WBY64333:WBY64398 WLU64333:WLU64398 WVQ64333:WVQ64398 I129869:I129934 JE129869:JE129934 TA129869:TA129934 ACW129869:ACW129934 AMS129869:AMS129934 AWO129869:AWO129934 BGK129869:BGK129934 BQG129869:BQG129934 CAC129869:CAC129934 CJY129869:CJY129934 CTU129869:CTU129934 DDQ129869:DDQ129934 DNM129869:DNM129934 DXI129869:DXI129934 EHE129869:EHE129934 ERA129869:ERA129934 FAW129869:FAW129934 FKS129869:FKS129934 FUO129869:FUO129934 GEK129869:GEK129934 GOG129869:GOG129934 GYC129869:GYC129934 HHY129869:HHY129934 HRU129869:HRU129934 IBQ129869:IBQ129934 ILM129869:ILM129934 IVI129869:IVI129934 JFE129869:JFE129934 JPA129869:JPA129934 JYW129869:JYW129934 KIS129869:KIS129934 KSO129869:KSO129934 LCK129869:LCK129934 LMG129869:LMG129934 LWC129869:LWC129934 MFY129869:MFY129934 MPU129869:MPU129934 MZQ129869:MZQ129934 NJM129869:NJM129934 NTI129869:NTI129934 ODE129869:ODE129934 ONA129869:ONA129934 OWW129869:OWW129934 PGS129869:PGS129934 PQO129869:PQO129934 QAK129869:QAK129934 QKG129869:QKG129934 QUC129869:QUC129934 RDY129869:RDY129934 RNU129869:RNU129934 RXQ129869:RXQ129934 SHM129869:SHM129934 SRI129869:SRI129934 TBE129869:TBE129934 TLA129869:TLA129934 TUW129869:TUW129934 UES129869:UES129934 UOO129869:UOO129934 UYK129869:UYK129934 VIG129869:VIG129934 VSC129869:VSC129934 WBY129869:WBY129934 WLU129869:WLU129934 WVQ129869:WVQ129934 I195405:I195470 JE195405:JE195470 TA195405:TA195470 ACW195405:ACW195470 AMS195405:AMS195470 AWO195405:AWO195470 BGK195405:BGK195470 BQG195405:BQG195470 CAC195405:CAC195470 CJY195405:CJY195470 CTU195405:CTU195470 DDQ195405:DDQ195470 DNM195405:DNM195470 DXI195405:DXI195470 EHE195405:EHE195470 ERA195405:ERA195470 FAW195405:FAW195470 FKS195405:FKS195470 FUO195405:FUO195470 GEK195405:GEK195470 GOG195405:GOG195470 GYC195405:GYC195470 HHY195405:HHY195470 HRU195405:HRU195470 IBQ195405:IBQ195470 ILM195405:ILM195470 IVI195405:IVI195470 JFE195405:JFE195470 JPA195405:JPA195470 JYW195405:JYW195470 KIS195405:KIS195470 KSO195405:KSO195470 LCK195405:LCK195470 LMG195405:LMG195470 LWC195405:LWC195470 MFY195405:MFY195470 MPU195405:MPU195470 MZQ195405:MZQ195470 NJM195405:NJM195470 NTI195405:NTI195470 ODE195405:ODE195470 ONA195405:ONA195470 OWW195405:OWW195470 PGS195405:PGS195470 PQO195405:PQO195470 QAK195405:QAK195470 QKG195405:QKG195470 QUC195405:QUC195470 RDY195405:RDY195470 RNU195405:RNU195470 RXQ195405:RXQ195470 SHM195405:SHM195470 SRI195405:SRI195470 TBE195405:TBE195470 TLA195405:TLA195470 TUW195405:TUW195470 UES195405:UES195470 UOO195405:UOO195470 UYK195405:UYK195470 VIG195405:VIG195470 VSC195405:VSC195470 WBY195405:WBY195470 WLU195405:WLU195470 WVQ195405:WVQ195470 I260941:I261006 JE260941:JE261006 TA260941:TA261006 ACW260941:ACW261006 AMS260941:AMS261006 AWO260941:AWO261006 BGK260941:BGK261006 BQG260941:BQG261006 CAC260941:CAC261006 CJY260941:CJY261006 CTU260941:CTU261006 DDQ260941:DDQ261006 DNM260941:DNM261006 DXI260941:DXI261006 EHE260941:EHE261006 ERA260941:ERA261006 FAW260941:FAW261006 FKS260941:FKS261006 FUO260941:FUO261006 GEK260941:GEK261006 GOG260941:GOG261006 GYC260941:GYC261006 HHY260941:HHY261006 HRU260941:HRU261006 IBQ260941:IBQ261006 ILM260941:ILM261006 IVI260941:IVI261006 JFE260941:JFE261006 JPA260941:JPA261006 JYW260941:JYW261006 KIS260941:KIS261006 KSO260941:KSO261006 LCK260941:LCK261006 LMG260941:LMG261006 LWC260941:LWC261006 MFY260941:MFY261006 MPU260941:MPU261006 MZQ260941:MZQ261006 NJM260941:NJM261006 NTI260941:NTI261006 ODE260941:ODE261006 ONA260941:ONA261006 OWW260941:OWW261006 PGS260941:PGS261006 PQO260941:PQO261006 QAK260941:QAK261006 QKG260941:QKG261006 QUC260941:QUC261006 RDY260941:RDY261006 RNU260941:RNU261006 RXQ260941:RXQ261006 SHM260941:SHM261006 SRI260941:SRI261006 TBE260941:TBE261006 TLA260941:TLA261006 TUW260941:TUW261006 UES260941:UES261006 UOO260941:UOO261006 UYK260941:UYK261006 VIG260941:VIG261006 VSC260941:VSC261006 WBY260941:WBY261006 WLU260941:WLU261006 WVQ260941:WVQ261006 I326477:I326542 JE326477:JE326542 TA326477:TA326542 ACW326477:ACW326542 AMS326477:AMS326542 AWO326477:AWO326542 BGK326477:BGK326542 BQG326477:BQG326542 CAC326477:CAC326542 CJY326477:CJY326542 CTU326477:CTU326542 DDQ326477:DDQ326542 DNM326477:DNM326542 DXI326477:DXI326542 EHE326477:EHE326542 ERA326477:ERA326542 FAW326477:FAW326542 FKS326477:FKS326542 FUO326477:FUO326542 GEK326477:GEK326542 GOG326477:GOG326542 GYC326477:GYC326542 HHY326477:HHY326542 HRU326477:HRU326542 IBQ326477:IBQ326542 ILM326477:ILM326542 IVI326477:IVI326542 JFE326477:JFE326542 JPA326477:JPA326542 JYW326477:JYW326542 KIS326477:KIS326542 KSO326477:KSO326542 LCK326477:LCK326542 LMG326477:LMG326542 LWC326477:LWC326542 MFY326477:MFY326542 MPU326477:MPU326542 MZQ326477:MZQ326542 NJM326477:NJM326542 NTI326477:NTI326542 ODE326477:ODE326542 ONA326477:ONA326542 OWW326477:OWW326542 PGS326477:PGS326542 PQO326477:PQO326542 QAK326477:QAK326542 QKG326477:QKG326542 QUC326477:QUC326542 RDY326477:RDY326542 RNU326477:RNU326542 RXQ326477:RXQ326542 SHM326477:SHM326542 SRI326477:SRI326542 TBE326477:TBE326542 TLA326477:TLA326542 TUW326477:TUW326542 UES326477:UES326542 UOO326477:UOO326542 UYK326477:UYK326542 VIG326477:VIG326542 VSC326477:VSC326542 WBY326477:WBY326542 WLU326477:WLU326542 WVQ326477:WVQ326542 I392013:I392078 JE392013:JE392078 TA392013:TA392078 ACW392013:ACW392078 AMS392013:AMS392078 AWO392013:AWO392078 BGK392013:BGK392078 BQG392013:BQG392078 CAC392013:CAC392078 CJY392013:CJY392078 CTU392013:CTU392078 DDQ392013:DDQ392078 DNM392013:DNM392078 DXI392013:DXI392078 EHE392013:EHE392078 ERA392013:ERA392078 FAW392013:FAW392078 FKS392013:FKS392078 FUO392013:FUO392078 GEK392013:GEK392078 GOG392013:GOG392078 GYC392013:GYC392078 HHY392013:HHY392078 HRU392013:HRU392078 IBQ392013:IBQ392078 ILM392013:ILM392078 IVI392013:IVI392078 JFE392013:JFE392078 JPA392013:JPA392078 JYW392013:JYW392078 KIS392013:KIS392078 KSO392013:KSO392078 LCK392013:LCK392078 LMG392013:LMG392078 LWC392013:LWC392078 MFY392013:MFY392078 MPU392013:MPU392078 MZQ392013:MZQ392078 NJM392013:NJM392078 NTI392013:NTI392078 ODE392013:ODE392078 ONA392013:ONA392078 OWW392013:OWW392078 PGS392013:PGS392078 PQO392013:PQO392078 QAK392013:QAK392078 QKG392013:QKG392078 QUC392013:QUC392078 RDY392013:RDY392078 RNU392013:RNU392078 RXQ392013:RXQ392078 SHM392013:SHM392078 SRI392013:SRI392078 TBE392013:TBE392078 TLA392013:TLA392078 TUW392013:TUW392078 UES392013:UES392078 UOO392013:UOO392078 UYK392013:UYK392078 VIG392013:VIG392078 VSC392013:VSC392078 WBY392013:WBY392078 WLU392013:WLU392078 WVQ392013:WVQ392078 I457549:I457614 JE457549:JE457614 TA457549:TA457614 ACW457549:ACW457614 AMS457549:AMS457614 AWO457549:AWO457614 BGK457549:BGK457614 BQG457549:BQG457614 CAC457549:CAC457614 CJY457549:CJY457614 CTU457549:CTU457614 DDQ457549:DDQ457614 DNM457549:DNM457614 DXI457549:DXI457614 EHE457549:EHE457614 ERA457549:ERA457614 FAW457549:FAW457614 FKS457549:FKS457614 FUO457549:FUO457614 GEK457549:GEK457614 GOG457549:GOG457614 GYC457549:GYC457614 HHY457549:HHY457614 HRU457549:HRU457614 IBQ457549:IBQ457614 ILM457549:ILM457614 IVI457549:IVI457614 JFE457549:JFE457614 JPA457549:JPA457614 JYW457549:JYW457614 KIS457549:KIS457614 KSO457549:KSO457614 LCK457549:LCK457614 LMG457549:LMG457614 LWC457549:LWC457614 MFY457549:MFY457614 MPU457549:MPU457614 MZQ457549:MZQ457614 NJM457549:NJM457614 NTI457549:NTI457614 ODE457549:ODE457614 ONA457549:ONA457614 OWW457549:OWW457614 PGS457549:PGS457614 PQO457549:PQO457614 QAK457549:QAK457614 QKG457549:QKG457614 QUC457549:QUC457614 RDY457549:RDY457614 RNU457549:RNU457614 RXQ457549:RXQ457614 SHM457549:SHM457614 SRI457549:SRI457614 TBE457549:TBE457614 TLA457549:TLA457614 TUW457549:TUW457614 UES457549:UES457614 UOO457549:UOO457614 UYK457549:UYK457614 VIG457549:VIG457614 VSC457549:VSC457614 WBY457549:WBY457614 WLU457549:WLU457614 WVQ457549:WVQ457614 I523085:I523150 JE523085:JE523150 TA523085:TA523150 ACW523085:ACW523150 AMS523085:AMS523150 AWO523085:AWO523150 BGK523085:BGK523150 BQG523085:BQG523150 CAC523085:CAC523150 CJY523085:CJY523150 CTU523085:CTU523150 DDQ523085:DDQ523150 DNM523085:DNM523150 DXI523085:DXI523150 EHE523085:EHE523150 ERA523085:ERA523150 FAW523085:FAW523150 FKS523085:FKS523150 FUO523085:FUO523150 GEK523085:GEK523150 GOG523085:GOG523150 GYC523085:GYC523150 HHY523085:HHY523150 HRU523085:HRU523150 IBQ523085:IBQ523150 ILM523085:ILM523150 IVI523085:IVI523150 JFE523085:JFE523150 JPA523085:JPA523150 JYW523085:JYW523150 KIS523085:KIS523150 KSO523085:KSO523150 LCK523085:LCK523150 LMG523085:LMG523150 LWC523085:LWC523150 MFY523085:MFY523150 MPU523085:MPU523150 MZQ523085:MZQ523150 NJM523085:NJM523150 NTI523085:NTI523150 ODE523085:ODE523150 ONA523085:ONA523150 OWW523085:OWW523150 PGS523085:PGS523150 PQO523085:PQO523150 QAK523085:QAK523150 QKG523085:QKG523150 QUC523085:QUC523150 RDY523085:RDY523150 RNU523085:RNU523150 RXQ523085:RXQ523150 SHM523085:SHM523150 SRI523085:SRI523150 TBE523085:TBE523150 TLA523085:TLA523150 TUW523085:TUW523150 UES523085:UES523150 UOO523085:UOO523150 UYK523085:UYK523150 VIG523085:VIG523150 VSC523085:VSC523150 WBY523085:WBY523150 WLU523085:WLU523150 WVQ523085:WVQ523150 I588621:I588686 JE588621:JE588686 TA588621:TA588686 ACW588621:ACW588686 AMS588621:AMS588686 AWO588621:AWO588686 BGK588621:BGK588686 BQG588621:BQG588686 CAC588621:CAC588686 CJY588621:CJY588686 CTU588621:CTU588686 DDQ588621:DDQ588686 DNM588621:DNM588686 DXI588621:DXI588686 EHE588621:EHE588686 ERA588621:ERA588686 FAW588621:FAW588686 FKS588621:FKS588686 FUO588621:FUO588686 GEK588621:GEK588686 GOG588621:GOG588686 GYC588621:GYC588686 HHY588621:HHY588686 HRU588621:HRU588686 IBQ588621:IBQ588686 ILM588621:ILM588686 IVI588621:IVI588686 JFE588621:JFE588686 JPA588621:JPA588686 JYW588621:JYW588686 KIS588621:KIS588686 KSO588621:KSO588686 LCK588621:LCK588686 LMG588621:LMG588686 LWC588621:LWC588686 MFY588621:MFY588686 MPU588621:MPU588686 MZQ588621:MZQ588686 NJM588621:NJM588686 NTI588621:NTI588686 ODE588621:ODE588686 ONA588621:ONA588686 OWW588621:OWW588686 PGS588621:PGS588686 PQO588621:PQO588686 QAK588621:QAK588686 QKG588621:QKG588686 QUC588621:QUC588686 RDY588621:RDY588686 RNU588621:RNU588686 RXQ588621:RXQ588686 SHM588621:SHM588686 SRI588621:SRI588686 TBE588621:TBE588686 TLA588621:TLA588686 TUW588621:TUW588686 UES588621:UES588686 UOO588621:UOO588686 UYK588621:UYK588686 VIG588621:VIG588686 VSC588621:VSC588686 WBY588621:WBY588686 WLU588621:WLU588686 WVQ588621:WVQ588686 I654157:I654222 JE654157:JE654222 TA654157:TA654222 ACW654157:ACW654222 AMS654157:AMS654222 AWO654157:AWO654222 BGK654157:BGK654222 BQG654157:BQG654222 CAC654157:CAC654222 CJY654157:CJY654222 CTU654157:CTU654222 DDQ654157:DDQ654222 DNM654157:DNM654222 DXI654157:DXI654222 EHE654157:EHE654222 ERA654157:ERA654222 FAW654157:FAW654222 FKS654157:FKS654222 FUO654157:FUO654222 GEK654157:GEK654222 GOG654157:GOG654222 GYC654157:GYC654222 HHY654157:HHY654222 HRU654157:HRU654222 IBQ654157:IBQ654222 ILM654157:ILM654222 IVI654157:IVI654222 JFE654157:JFE654222 JPA654157:JPA654222 JYW654157:JYW654222 KIS654157:KIS654222 KSO654157:KSO654222 LCK654157:LCK654222 LMG654157:LMG654222 LWC654157:LWC654222 MFY654157:MFY654222 MPU654157:MPU654222 MZQ654157:MZQ654222 NJM654157:NJM654222 NTI654157:NTI654222 ODE654157:ODE654222 ONA654157:ONA654222 OWW654157:OWW654222 PGS654157:PGS654222 PQO654157:PQO654222 QAK654157:QAK654222 QKG654157:QKG654222 QUC654157:QUC654222 RDY654157:RDY654222 RNU654157:RNU654222 RXQ654157:RXQ654222 SHM654157:SHM654222 SRI654157:SRI654222 TBE654157:TBE654222 TLA654157:TLA654222 TUW654157:TUW654222 UES654157:UES654222 UOO654157:UOO654222 UYK654157:UYK654222 VIG654157:VIG654222 VSC654157:VSC654222 WBY654157:WBY654222 WLU654157:WLU654222 WVQ654157:WVQ654222 I719693:I719758 JE719693:JE719758 TA719693:TA719758 ACW719693:ACW719758 AMS719693:AMS719758 AWO719693:AWO719758 BGK719693:BGK719758 BQG719693:BQG719758 CAC719693:CAC719758 CJY719693:CJY719758 CTU719693:CTU719758 DDQ719693:DDQ719758 DNM719693:DNM719758 DXI719693:DXI719758 EHE719693:EHE719758 ERA719693:ERA719758 FAW719693:FAW719758 FKS719693:FKS719758 FUO719693:FUO719758 GEK719693:GEK719758 GOG719693:GOG719758 GYC719693:GYC719758 HHY719693:HHY719758 HRU719693:HRU719758 IBQ719693:IBQ719758 ILM719693:ILM719758 IVI719693:IVI719758 JFE719693:JFE719758 JPA719693:JPA719758 JYW719693:JYW719758 KIS719693:KIS719758 KSO719693:KSO719758 LCK719693:LCK719758 LMG719693:LMG719758 LWC719693:LWC719758 MFY719693:MFY719758 MPU719693:MPU719758 MZQ719693:MZQ719758 NJM719693:NJM719758 NTI719693:NTI719758 ODE719693:ODE719758 ONA719693:ONA719758 OWW719693:OWW719758 PGS719693:PGS719758 PQO719693:PQO719758 QAK719693:QAK719758 QKG719693:QKG719758 QUC719693:QUC719758 RDY719693:RDY719758 RNU719693:RNU719758 RXQ719693:RXQ719758 SHM719693:SHM719758 SRI719693:SRI719758 TBE719693:TBE719758 TLA719693:TLA719758 TUW719693:TUW719758 UES719693:UES719758 UOO719693:UOO719758 UYK719693:UYK719758 VIG719693:VIG719758 VSC719693:VSC719758 WBY719693:WBY719758 WLU719693:WLU719758 WVQ719693:WVQ719758 I785229:I785294 JE785229:JE785294 TA785229:TA785294 ACW785229:ACW785294 AMS785229:AMS785294 AWO785229:AWO785294 BGK785229:BGK785294 BQG785229:BQG785294 CAC785229:CAC785294 CJY785229:CJY785294 CTU785229:CTU785294 DDQ785229:DDQ785294 DNM785229:DNM785294 DXI785229:DXI785294 EHE785229:EHE785294 ERA785229:ERA785294 FAW785229:FAW785294 FKS785229:FKS785294 FUO785229:FUO785294 GEK785229:GEK785294 GOG785229:GOG785294 GYC785229:GYC785294 HHY785229:HHY785294 HRU785229:HRU785294 IBQ785229:IBQ785294 ILM785229:ILM785294 IVI785229:IVI785294 JFE785229:JFE785294 JPA785229:JPA785294 JYW785229:JYW785294 KIS785229:KIS785294 KSO785229:KSO785294 LCK785229:LCK785294 LMG785229:LMG785294 LWC785229:LWC785294 MFY785229:MFY785294 MPU785229:MPU785294 MZQ785229:MZQ785294 NJM785229:NJM785294 NTI785229:NTI785294 ODE785229:ODE785294 ONA785229:ONA785294 OWW785229:OWW785294 PGS785229:PGS785294 PQO785229:PQO785294 QAK785229:QAK785294 QKG785229:QKG785294 QUC785229:QUC785294 RDY785229:RDY785294 RNU785229:RNU785294 RXQ785229:RXQ785294 SHM785229:SHM785294 SRI785229:SRI785294 TBE785229:TBE785294 TLA785229:TLA785294 TUW785229:TUW785294 UES785229:UES785294 UOO785229:UOO785294 UYK785229:UYK785294 VIG785229:VIG785294 VSC785229:VSC785294 WBY785229:WBY785294 WLU785229:WLU785294 WVQ785229:WVQ785294 I850765:I850830 JE850765:JE850830 TA850765:TA850830 ACW850765:ACW850830 AMS850765:AMS850830 AWO850765:AWO850830 BGK850765:BGK850830 BQG850765:BQG850830 CAC850765:CAC850830 CJY850765:CJY850830 CTU850765:CTU850830 DDQ850765:DDQ850830 DNM850765:DNM850830 DXI850765:DXI850830 EHE850765:EHE850830 ERA850765:ERA850830 FAW850765:FAW850830 FKS850765:FKS850830 FUO850765:FUO850830 GEK850765:GEK850830 GOG850765:GOG850830 GYC850765:GYC850830 HHY850765:HHY850830 HRU850765:HRU850830 IBQ850765:IBQ850830 ILM850765:ILM850830 IVI850765:IVI850830 JFE850765:JFE850830 JPA850765:JPA850830 JYW850765:JYW850830 KIS850765:KIS850830 KSO850765:KSO850830 LCK850765:LCK850830 LMG850765:LMG850830 LWC850765:LWC850830 MFY850765:MFY850830 MPU850765:MPU850830 MZQ850765:MZQ850830 NJM850765:NJM850830 NTI850765:NTI850830 ODE850765:ODE850830 ONA850765:ONA850830 OWW850765:OWW850830 PGS850765:PGS850830 PQO850765:PQO850830 QAK850765:QAK850830 QKG850765:QKG850830 QUC850765:QUC850830 RDY850765:RDY850830 RNU850765:RNU850830 RXQ850765:RXQ850830 SHM850765:SHM850830 SRI850765:SRI850830 TBE850765:TBE850830 TLA850765:TLA850830 TUW850765:TUW850830 UES850765:UES850830 UOO850765:UOO850830 UYK850765:UYK850830 VIG850765:VIG850830 VSC850765:VSC850830 WBY850765:WBY850830 WLU850765:WLU850830 WVQ850765:WVQ850830 I916301:I916366 JE916301:JE916366 TA916301:TA916366 ACW916301:ACW916366 AMS916301:AMS916366 AWO916301:AWO916366 BGK916301:BGK916366 BQG916301:BQG916366 CAC916301:CAC916366 CJY916301:CJY916366 CTU916301:CTU916366 DDQ916301:DDQ916366 DNM916301:DNM916366 DXI916301:DXI916366 EHE916301:EHE916366 ERA916301:ERA916366 FAW916301:FAW916366 FKS916301:FKS916366 FUO916301:FUO916366 GEK916301:GEK916366 GOG916301:GOG916366 GYC916301:GYC916366 HHY916301:HHY916366 HRU916301:HRU916366 IBQ916301:IBQ916366 ILM916301:ILM916366 IVI916301:IVI916366 JFE916301:JFE916366 JPA916301:JPA916366 JYW916301:JYW916366 KIS916301:KIS916366 KSO916301:KSO916366 LCK916301:LCK916366 LMG916301:LMG916366 LWC916301:LWC916366 MFY916301:MFY916366 MPU916301:MPU916366 MZQ916301:MZQ916366 NJM916301:NJM916366 NTI916301:NTI916366 ODE916301:ODE916366 ONA916301:ONA916366 OWW916301:OWW916366 PGS916301:PGS916366 PQO916301:PQO916366 QAK916301:QAK916366 QKG916301:QKG916366 QUC916301:QUC916366 RDY916301:RDY916366 RNU916301:RNU916366 RXQ916301:RXQ916366 SHM916301:SHM916366 SRI916301:SRI916366 TBE916301:TBE916366 TLA916301:TLA916366 TUW916301:TUW916366 UES916301:UES916366 UOO916301:UOO916366 UYK916301:UYK916366 VIG916301:VIG916366 VSC916301:VSC916366 WBY916301:WBY916366 WLU916301:WLU916366 WVQ916301:WVQ916366 I981837:I981902 JE981837:JE981902 TA981837:TA981902 ACW981837:ACW981902 AMS981837:AMS981902 AWO981837:AWO981902 BGK981837:BGK981902 BQG981837:BQG981902 CAC981837:CAC981902 CJY981837:CJY981902 CTU981837:CTU981902 DDQ981837:DDQ981902 DNM981837:DNM981902 DXI981837:DXI981902 EHE981837:EHE981902 ERA981837:ERA981902 FAW981837:FAW981902 FKS981837:FKS981902 FUO981837:FUO981902 GEK981837:GEK981902 GOG981837:GOG981902 GYC981837:GYC981902 HHY981837:HHY981902 HRU981837:HRU981902 IBQ981837:IBQ981902 ILM981837:ILM981902 IVI981837:IVI981902 JFE981837:JFE981902 JPA981837:JPA981902 JYW981837:JYW981902 KIS981837:KIS981902 KSO981837:KSO981902 LCK981837:LCK981902 LMG981837:LMG981902 LWC981837:LWC981902 MFY981837:MFY981902 MPU981837:MPU981902 MZQ981837:MZQ981902 NJM981837:NJM981902 NTI981837:NTI981902 ODE981837:ODE981902 ONA981837:ONA981902 OWW981837:OWW981902 PGS981837:PGS981902 PQO981837:PQO981902 QAK981837:QAK981902 QKG981837:QKG981902 QUC981837:QUC981902 RDY981837:RDY981902 RNU981837:RNU981902 RXQ981837:RXQ981902 SHM981837:SHM981902 SRI981837:SRI981902 TBE981837:TBE981902 TLA981837:TLA981902 TUW981837:TUW981902 UES981837:UES981902 UOO981837:UOO981902 UYK981837:UYK981902 VIG981837:VIG981902 VSC981837:VSC981902 WBY981837:WBY981902 WLU981837:WLU981902 WVQ981837:WVQ981902 I1047373:I1047438 JE1047373:JE1047438 TA1047373:TA1047438 ACW1047373:ACW1047438 AMS1047373:AMS1047438 AWO1047373:AWO1047438 BGK1047373:BGK1047438 BQG1047373:BQG1047438 CAC1047373:CAC1047438 CJY1047373:CJY1047438 CTU1047373:CTU1047438 DDQ1047373:DDQ1047438 DNM1047373:DNM1047438 DXI1047373:DXI1047438 EHE1047373:EHE1047438 ERA1047373:ERA1047438 FAW1047373:FAW1047438 FKS1047373:FKS1047438 FUO1047373:FUO1047438 GEK1047373:GEK1047438 GOG1047373:GOG1047438 GYC1047373:GYC1047438 HHY1047373:HHY1047438 HRU1047373:HRU1047438 IBQ1047373:IBQ1047438 ILM1047373:ILM1047438 IVI1047373:IVI1047438 JFE1047373:JFE1047438 JPA1047373:JPA1047438 JYW1047373:JYW1047438 KIS1047373:KIS1047438 KSO1047373:KSO1047438 LCK1047373:LCK1047438 LMG1047373:LMG1047438 LWC1047373:LWC1047438 MFY1047373:MFY1047438 MPU1047373:MPU1047438 MZQ1047373:MZQ1047438 NJM1047373:NJM1047438 NTI1047373:NTI1047438 ODE1047373:ODE1047438 ONA1047373:ONA1047438 OWW1047373:OWW1047438 PGS1047373:PGS1047438 PQO1047373:PQO1047438 QAK1047373:QAK1047438 QKG1047373:QKG1047438 QUC1047373:QUC1047438 RDY1047373:RDY1047438 RNU1047373:RNU1047438 RXQ1047373:RXQ1047438 SHM1047373:SHM1047438 SRI1047373:SRI1047438 TBE1047373:TBE1047438 TLA1047373:TLA1047438 TUW1047373:TUW1047438 UES1047373:UES1047438 UOO1047373:UOO1047438 UYK1047373:UYK1047438 VIG1047373:VIG1047438 VSC1047373:VSC1047438 WBY1047373:WBY1047438 WLU1047373:WLU1047438 WVQ1047373:WVQ1047438 WVQ983012:WVQ983077 I65508:I65573 JE65508:JE65573 TA65508:TA65573 ACW65508:ACW65573 AMS65508:AMS65573 AWO65508:AWO65573 BGK65508:BGK65573 BQG65508:BQG65573 CAC65508:CAC65573 CJY65508:CJY65573 CTU65508:CTU65573 DDQ65508:DDQ65573 DNM65508:DNM65573 DXI65508:DXI65573 EHE65508:EHE65573 ERA65508:ERA65573 FAW65508:FAW65573 FKS65508:FKS65573 FUO65508:FUO65573 GEK65508:GEK65573 GOG65508:GOG65573 GYC65508:GYC65573 HHY65508:HHY65573 HRU65508:HRU65573 IBQ65508:IBQ65573 ILM65508:ILM65573 IVI65508:IVI65573 JFE65508:JFE65573 JPA65508:JPA65573 JYW65508:JYW65573 KIS65508:KIS65573 KSO65508:KSO65573 LCK65508:LCK65573 LMG65508:LMG65573 LWC65508:LWC65573 MFY65508:MFY65573 MPU65508:MPU65573 MZQ65508:MZQ65573 NJM65508:NJM65573 NTI65508:NTI65573 ODE65508:ODE65573 ONA65508:ONA65573 OWW65508:OWW65573 PGS65508:PGS65573 PQO65508:PQO65573 QAK65508:QAK65573 QKG65508:QKG65573 QUC65508:QUC65573 RDY65508:RDY65573 RNU65508:RNU65573 RXQ65508:RXQ65573 SHM65508:SHM65573 SRI65508:SRI65573 TBE65508:TBE65573 TLA65508:TLA65573 TUW65508:TUW65573 UES65508:UES65573 UOO65508:UOO65573 UYK65508:UYK65573 VIG65508:VIG65573 VSC65508:VSC65573 WBY65508:WBY65573 WLU65508:WLU65573 WVQ65508:WVQ65573 I131044:I131109 JE131044:JE131109 TA131044:TA131109 ACW131044:ACW131109 AMS131044:AMS131109 AWO131044:AWO131109 BGK131044:BGK131109 BQG131044:BQG131109 CAC131044:CAC131109 CJY131044:CJY131109 CTU131044:CTU131109 DDQ131044:DDQ131109 DNM131044:DNM131109 DXI131044:DXI131109 EHE131044:EHE131109 ERA131044:ERA131109 FAW131044:FAW131109 FKS131044:FKS131109 FUO131044:FUO131109 GEK131044:GEK131109 GOG131044:GOG131109 GYC131044:GYC131109 HHY131044:HHY131109 HRU131044:HRU131109 IBQ131044:IBQ131109 ILM131044:ILM131109 IVI131044:IVI131109 JFE131044:JFE131109 JPA131044:JPA131109 JYW131044:JYW131109 KIS131044:KIS131109 KSO131044:KSO131109 LCK131044:LCK131109 LMG131044:LMG131109 LWC131044:LWC131109 MFY131044:MFY131109 MPU131044:MPU131109 MZQ131044:MZQ131109 NJM131044:NJM131109 NTI131044:NTI131109 ODE131044:ODE131109 ONA131044:ONA131109 OWW131044:OWW131109 PGS131044:PGS131109 PQO131044:PQO131109 QAK131044:QAK131109 QKG131044:QKG131109 QUC131044:QUC131109 RDY131044:RDY131109 RNU131044:RNU131109 RXQ131044:RXQ131109 SHM131044:SHM131109 SRI131044:SRI131109 TBE131044:TBE131109 TLA131044:TLA131109 TUW131044:TUW131109 UES131044:UES131109 UOO131044:UOO131109 UYK131044:UYK131109 VIG131044:VIG131109 VSC131044:VSC131109 WBY131044:WBY131109 WLU131044:WLU131109 WVQ131044:WVQ131109 I196580:I196645 JE196580:JE196645 TA196580:TA196645 ACW196580:ACW196645 AMS196580:AMS196645 AWO196580:AWO196645 BGK196580:BGK196645 BQG196580:BQG196645 CAC196580:CAC196645 CJY196580:CJY196645 CTU196580:CTU196645 DDQ196580:DDQ196645 DNM196580:DNM196645 DXI196580:DXI196645 EHE196580:EHE196645 ERA196580:ERA196645 FAW196580:FAW196645 FKS196580:FKS196645 FUO196580:FUO196645 GEK196580:GEK196645 GOG196580:GOG196645 GYC196580:GYC196645 HHY196580:HHY196645 HRU196580:HRU196645 IBQ196580:IBQ196645 ILM196580:ILM196645 IVI196580:IVI196645 JFE196580:JFE196645 JPA196580:JPA196645 JYW196580:JYW196645 KIS196580:KIS196645 KSO196580:KSO196645 LCK196580:LCK196645 LMG196580:LMG196645 LWC196580:LWC196645 MFY196580:MFY196645 MPU196580:MPU196645 MZQ196580:MZQ196645 NJM196580:NJM196645 NTI196580:NTI196645 ODE196580:ODE196645 ONA196580:ONA196645 OWW196580:OWW196645 PGS196580:PGS196645 PQO196580:PQO196645 QAK196580:QAK196645 QKG196580:QKG196645 QUC196580:QUC196645 RDY196580:RDY196645 RNU196580:RNU196645 RXQ196580:RXQ196645 SHM196580:SHM196645 SRI196580:SRI196645 TBE196580:TBE196645 TLA196580:TLA196645 TUW196580:TUW196645 UES196580:UES196645 UOO196580:UOO196645 UYK196580:UYK196645 VIG196580:VIG196645 VSC196580:VSC196645 WBY196580:WBY196645 WLU196580:WLU196645 WVQ196580:WVQ196645 I262116:I262181 JE262116:JE262181 TA262116:TA262181 ACW262116:ACW262181 AMS262116:AMS262181 AWO262116:AWO262181 BGK262116:BGK262181 BQG262116:BQG262181 CAC262116:CAC262181 CJY262116:CJY262181 CTU262116:CTU262181 DDQ262116:DDQ262181 DNM262116:DNM262181 DXI262116:DXI262181 EHE262116:EHE262181 ERA262116:ERA262181 FAW262116:FAW262181 FKS262116:FKS262181 FUO262116:FUO262181 GEK262116:GEK262181 GOG262116:GOG262181 GYC262116:GYC262181 HHY262116:HHY262181 HRU262116:HRU262181 IBQ262116:IBQ262181 ILM262116:ILM262181 IVI262116:IVI262181 JFE262116:JFE262181 JPA262116:JPA262181 JYW262116:JYW262181 KIS262116:KIS262181 KSO262116:KSO262181 LCK262116:LCK262181 LMG262116:LMG262181 LWC262116:LWC262181 MFY262116:MFY262181 MPU262116:MPU262181 MZQ262116:MZQ262181 NJM262116:NJM262181 NTI262116:NTI262181 ODE262116:ODE262181 ONA262116:ONA262181 OWW262116:OWW262181 PGS262116:PGS262181 PQO262116:PQO262181 QAK262116:QAK262181 QKG262116:QKG262181 QUC262116:QUC262181 RDY262116:RDY262181 RNU262116:RNU262181 RXQ262116:RXQ262181 SHM262116:SHM262181 SRI262116:SRI262181 TBE262116:TBE262181 TLA262116:TLA262181 TUW262116:TUW262181 UES262116:UES262181 UOO262116:UOO262181 UYK262116:UYK262181 VIG262116:VIG262181 VSC262116:VSC262181 WBY262116:WBY262181 WLU262116:WLU262181 WVQ262116:WVQ262181 I327652:I327717 JE327652:JE327717 TA327652:TA327717 ACW327652:ACW327717 AMS327652:AMS327717 AWO327652:AWO327717 BGK327652:BGK327717 BQG327652:BQG327717 CAC327652:CAC327717 CJY327652:CJY327717 CTU327652:CTU327717 DDQ327652:DDQ327717 DNM327652:DNM327717 DXI327652:DXI327717 EHE327652:EHE327717 ERA327652:ERA327717 FAW327652:FAW327717 FKS327652:FKS327717 FUO327652:FUO327717 GEK327652:GEK327717 GOG327652:GOG327717 GYC327652:GYC327717 HHY327652:HHY327717 HRU327652:HRU327717 IBQ327652:IBQ327717 ILM327652:ILM327717 IVI327652:IVI327717 JFE327652:JFE327717 JPA327652:JPA327717 JYW327652:JYW327717 KIS327652:KIS327717 KSO327652:KSO327717 LCK327652:LCK327717 LMG327652:LMG327717 LWC327652:LWC327717 MFY327652:MFY327717 MPU327652:MPU327717 MZQ327652:MZQ327717 NJM327652:NJM327717 NTI327652:NTI327717 ODE327652:ODE327717 ONA327652:ONA327717 OWW327652:OWW327717 PGS327652:PGS327717 PQO327652:PQO327717 QAK327652:QAK327717 QKG327652:QKG327717 QUC327652:QUC327717 RDY327652:RDY327717 RNU327652:RNU327717 RXQ327652:RXQ327717 SHM327652:SHM327717 SRI327652:SRI327717 TBE327652:TBE327717 TLA327652:TLA327717 TUW327652:TUW327717 UES327652:UES327717 UOO327652:UOO327717 UYK327652:UYK327717 VIG327652:VIG327717 VSC327652:VSC327717 WBY327652:WBY327717 WLU327652:WLU327717 WVQ327652:WVQ327717 I393188:I393253 JE393188:JE393253 TA393188:TA393253 ACW393188:ACW393253 AMS393188:AMS393253 AWO393188:AWO393253 BGK393188:BGK393253 BQG393188:BQG393253 CAC393188:CAC393253 CJY393188:CJY393253 CTU393188:CTU393253 DDQ393188:DDQ393253 DNM393188:DNM393253 DXI393188:DXI393253 EHE393188:EHE393253 ERA393188:ERA393253 FAW393188:FAW393253 FKS393188:FKS393253 FUO393188:FUO393253 GEK393188:GEK393253 GOG393188:GOG393253 GYC393188:GYC393253 HHY393188:HHY393253 HRU393188:HRU393253 IBQ393188:IBQ393253 ILM393188:ILM393253 IVI393188:IVI393253 JFE393188:JFE393253 JPA393188:JPA393253 JYW393188:JYW393253 KIS393188:KIS393253 KSO393188:KSO393253 LCK393188:LCK393253 LMG393188:LMG393253 LWC393188:LWC393253 MFY393188:MFY393253 MPU393188:MPU393253 MZQ393188:MZQ393253 NJM393188:NJM393253 NTI393188:NTI393253 ODE393188:ODE393253 ONA393188:ONA393253 OWW393188:OWW393253 PGS393188:PGS393253 PQO393188:PQO393253 QAK393188:QAK393253 QKG393188:QKG393253 QUC393188:QUC393253 RDY393188:RDY393253 RNU393188:RNU393253 RXQ393188:RXQ393253 SHM393188:SHM393253 SRI393188:SRI393253 TBE393188:TBE393253 TLA393188:TLA393253 TUW393188:TUW393253 UES393188:UES393253 UOO393188:UOO393253 UYK393188:UYK393253 VIG393188:VIG393253 VSC393188:VSC393253 WBY393188:WBY393253 WLU393188:WLU393253 WVQ393188:WVQ393253 I458724:I458789 JE458724:JE458789 TA458724:TA458789 ACW458724:ACW458789 AMS458724:AMS458789 AWO458724:AWO458789 BGK458724:BGK458789 BQG458724:BQG458789 CAC458724:CAC458789 CJY458724:CJY458789 CTU458724:CTU458789 DDQ458724:DDQ458789 DNM458724:DNM458789 DXI458724:DXI458789 EHE458724:EHE458789 ERA458724:ERA458789 FAW458724:FAW458789 FKS458724:FKS458789 FUO458724:FUO458789 GEK458724:GEK458789 GOG458724:GOG458789 GYC458724:GYC458789 HHY458724:HHY458789 HRU458724:HRU458789 IBQ458724:IBQ458789 ILM458724:ILM458789 IVI458724:IVI458789 JFE458724:JFE458789 JPA458724:JPA458789 JYW458724:JYW458789 KIS458724:KIS458789 KSO458724:KSO458789 LCK458724:LCK458789 LMG458724:LMG458789 LWC458724:LWC458789 MFY458724:MFY458789 MPU458724:MPU458789 MZQ458724:MZQ458789 NJM458724:NJM458789 NTI458724:NTI458789 ODE458724:ODE458789 ONA458724:ONA458789 OWW458724:OWW458789 PGS458724:PGS458789 PQO458724:PQO458789 QAK458724:QAK458789 QKG458724:QKG458789 QUC458724:QUC458789 RDY458724:RDY458789 RNU458724:RNU458789 RXQ458724:RXQ458789 SHM458724:SHM458789 SRI458724:SRI458789 TBE458724:TBE458789 TLA458724:TLA458789 TUW458724:TUW458789 UES458724:UES458789 UOO458724:UOO458789 UYK458724:UYK458789 VIG458724:VIG458789 VSC458724:VSC458789 WBY458724:WBY458789 WLU458724:WLU458789 WVQ458724:WVQ458789 I524260:I524325 JE524260:JE524325 TA524260:TA524325 ACW524260:ACW524325 AMS524260:AMS524325 AWO524260:AWO524325 BGK524260:BGK524325 BQG524260:BQG524325 CAC524260:CAC524325 CJY524260:CJY524325 CTU524260:CTU524325 DDQ524260:DDQ524325 DNM524260:DNM524325 DXI524260:DXI524325 EHE524260:EHE524325 ERA524260:ERA524325 FAW524260:FAW524325 FKS524260:FKS524325 FUO524260:FUO524325 GEK524260:GEK524325 GOG524260:GOG524325 GYC524260:GYC524325 HHY524260:HHY524325 HRU524260:HRU524325 IBQ524260:IBQ524325 ILM524260:ILM524325 IVI524260:IVI524325 JFE524260:JFE524325 JPA524260:JPA524325 JYW524260:JYW524325 KIS524260:KIS524325 KSO524260:KSO524325 LCK524260:LCK524325 LMG524260:LMG524325 LWC524260:LWC524325 MFY524260:MFY524325 MPU524260:MPU524325 MZQ524260:MZQ524325 NJM524260:NJM524325 NTI524260:NTI524325 ODE524260:ODE524325 ONA524260:ONA524325 OWW524260:OWW524325 PGS524260:PGS524325 PQO524260:PQO524325 QAK524260:QAK524325 QKG524260:QKG524325 QUC524260:QUC524325 RDY524260:RDY524325 RNU524260:RNU524325 RXQ524260:RXQ524325 SHM524260:SHM524325 SRI524260:SRI524325 TBE524260:TBE524325 TLA524260:TLA524325 TUW524260:TUW524325 UES524260:UES524325 UOO524260:UOO524325 UYK524260:UYK524325 VIG524260:VIG524325 VSC524260:VSC524325 WBY524260:WBY524325 WLU524260:WLU524325 WVQ524260:WVQ524325 I589796:I589861 JE589796:JE589861 TA589796:TA589861 ACW589796:ACW589861 AMS589796:AMS589861 AWO589796:AWO589861 BGK589796:BGK589861 BQG589796:BQG589861 CAC589796:CAC589861 CJY589796:CJY589861 CTU589796:CTU589861 DDQ589796:DDQ589861 DNM589796:DNM589861 DXI589796:DXI589861 EHE589796:EHE589861 ERA589796:ERA589861 FAW589796:FAW589861 FKS589796:FKS589861 FUO589796:FUO589861 GEK589796:GEK589861 GOG589796:GOG589861 GYC589796:GYC589861 HHY589796:HHY589861 HRU589796:HRU589861 IBQ589796:IBQ589861 ILM589796:ILM589861 IVI589796:IVI589861 JFE589796:JFE589861 JPA589796:JPA589861 JYW589796:JYW589861 KIS589796:KIS589861 KSO589796:KSO589861 LCK589796:LCK589861 LMG589796:LMG589861 LWC589796:LWC589861 MFY589796:MFY589861 MPU589796:MPU589861 MZQ589796:MZQ589861 NJM589796:NJM589861 NTI589796:NTI589861 ODE589796:ODE589861 ONA589796:ONA589861 OWW589796:OWW589861 PGS589796:PGS589861 PQO589796:PQO589861 QAK589796:QAK589861 QKG589796:QKG589861 QUC589796:QUC589861 RDY589796:RDY589861 RNU589796:RNU589861 RXQ589796:RXQ589861 SHM589796:SHM589861 SRI589796:SRI589861 TBE589796:TBE589861 TLA589796:TLA589861 TUW589796:TUW589861 UES589796:UES589861 UOO589796:UOO589861 UYK589796:UYK589861 VIG589796:VIG589861 VSC589796:VSC589861 WBY589796:WBY589861 WLU589796:WLU589861 WVQ589796:WVQ589861 I655332:I655397 JE655332:JE655397 TA655332:TA655397 ACW655332:ACW655397 AMS655332:AMS655397 AWO655332:AWO655397 BGK655332:BGK655397 BQG655332:BQG655397 CAC655332:CAC655397 CJY655332:CJY655397 CTU655332:CTU655397 DDQ655332:DDQ655397 DNM655332:DNM655397 DXI655332:DXI655397 EHE655332:EHE655397 ERA655332:ERA655397 FAW655332:FAW655397 FKS655332:FKS655397 FUO655332:FUO655397 GEK655332:GEK655397 GOG655332:GOG655397 GYC655332:GYC655397 HHY655332:HHY655397 HRU655332:HRU655397 IBQ655332:IBQ655397 ILM655332:ILM655397 IVI655332:IVI655397 JFE655332:JFE655397 JPA655332:JPA655397 JYW655332:JYW655397 KIS655332:KIS655397 KSO655332:KSO655397 LCK655332:LCK655397 LMG655332:LMG655397 LWC655332:LWC655397 MFY655332:MFY655397 MPU655332:MPU655397 MZQ655332:MZQ655397 NJM655332:NJM655397 NTI655332:NTI655397 ODE655332:ODE655397 ONA655332:ONA655397 OWW655332:OWW655397 PGS655332:PGS655397 PQO655332:PQO655397 QAK655332:QAK655397 QKG655332:QKG655397 QUC655332:QUC655397 RDY655332:RDY655397 RNU655332:RNU655397 RXQ655332:RXQ655397 SHM655332:SHM655397 SRI655332:SRI655397 TBE655332:TBE655397 TLA655332:TLA655397 TUW655332:TUW655397 UES655332:UES655397 UOO655332:UOO655397 UYK655332:UYK655397 VIG655332:VIG655397 VSC655332:VSC655397 WBY655332:WBY655397 WLU655332:WLU655397 WVQ655332:WVQ655397 I720868:I720933 JE720868:JE720933 TA720868:TA720933 ACW720868:ACW720933 AMS720868:AMS720933 AWO720868:AWO720933 BGK720868:BGK720933 BQG720868:BQG720933 CAC720868:CAC720933 CJY720868:CJY720933 CTU720868:CTU720933 DDQ720868:DDQ720933 DNM720868:DNM720933 DXI720868:DXI720933 EHE720868:EHE720933 ERA720868:ERA720933 FAW720868:FAW720933 FKS720868:FKS720933 FUO720868:FUO720933 GEK720868:GEK720933 GOG720868:GOG720933 GYC720868:GYC720933 HHY720868:HHY720933 HRU720868:HRU720933 IBQ720868:IBQ720933 ILM720868:ILM720933 IVI720868:IVI720933 JFE720868:JFE720933 JPA720868:JPA720933 JYW720868:JYW720933 KIS720868:KIS720933 KSO720868:KSO720933 LCK720868:LCK720933 LMG720868:LMG720933 LWC720868:LWC720933 MFY720868:MFY720933 MPU720868:MPU720933 MZQ720868:MZQ720933 NJM720868:NJM720933 NTI720868:NTI720933 ODE720868:ODE720933 ONA720868:ONA720933 OWW720868:OWW720933 PGS720868:PGS720933 PQO720868:PQO720933 QAK720868:QAK720933 QKG720868:QKG720933 QUC720868:QUC720933 RDY720868:RDY720933 RNU720868:RNU720933 RXQ720868:RXQ720933 SHM720868:SHM720933 SRI720868:SRI720933 TBE720868:TBE720933 TLA720868:TLA720933 TUW720868:TUW720933 UES720868:UES720933 UOO720868:UOO720933 UYK720868:UYK720933 VIG720868:VIG720933 VSC720868:VSC720933 WBY720868:WBY720933 WLU720868:WLU720933 WVQ720868:WVQ720933 I786404:I786469 JE786404:JE786469 TA786404:TA786469 ACW786404:ACW786469 AMS786404:AMS786469 AWO786404:AWO786469 BGK786404:BGK786469 BQG786404:BQG786469 CAC786404:CAC786469 CJY786404:CJY786469 CTU786404:CTU786469 DDQ786404:DDQ786469 DNM786404:DNM786469 DXI786404:DXI786469 EHE786404:EHE786469 ERA786404:ERA786469 FAW786404:FAW786469 FKS786404:FKS786469 FUO786404:FUO786469 GEK786404:GEK786469 GOG786404:GOG786469 GYC786404:GYC786469 HHY786404:HHY786469 HRU786404:HRU786469 IBQ786404:IBQ786469 ILM786404:ILM786469 IVI786404:IVI786469 JFE786404:JFE786469 JPA786404:JPA786469 JYW786404:JYW786469 KIS786404:KIS786469 KSO786404:KSO786469 LCK786404:LCK786469 LMG786404:LMG786469 LWC786404:LWC786469 MFY786404:MFY786469 MPU786404:MPU786469 MZQ786404:MZQ786469 NJM786404:NJM786469 NTI786404:NTI786469 ODE786404:ODE786469 ONA786404:ONA786469 OWW786404:OWW786469 PGS786404:PGS786469 PQO786404:PQO786469 QAK786404:QAK786469 QKG786404:QKG786469 QUC786404:QUC786469 RDY786404:RDY786469 RNU786404:RNU786469 RXQ786404:RXQ786469 SHM786404:SHM786469 SRI786404:SRI786469 TBE786404:TBE786469 TLA786404:TLA786469 TUW786404:TUW786469 UES786404:UES786469 UOO786404:UOO786469 UYK786404:UYK786469 VIG786404:VIG786469 VSC786404:VSC786469 WBY786404:WBY786469 WLU786404:WLU786469 WVQ786404:WVQ786469 I851940:I852005 JE851940:JE852005 TA851940:TA852005 ACW851940:ACW852005 AMS851940:AMS852005 AWO851940:AWO852005 BGK851940:BGK852005 BQG851940:BQG852005 CAC851940:CAC852005 CJY851940:CJY852005 CTU851940:CTU852005 DDQ851940:DDQ852005 DNM851940:DNM852005 DXI851940:DXI852005 EHE851940:EHE852005 ERA851940:ERA852005 FAW851940:FAW852005 FKS851940:FKS852005 FUO851940:FUO852005 GEK851940:GEK852005 GOG851940:GOG852005 GYC851940:GYC852005 HHY851940:HHY852005 HRU851940:HRU852005 IBQ851940:IBQ852005 ILM851940:ILM852005 IVI851940:IVI852005 JFE851940:JFE852005 JPA851940:JPA852005 JYW851940:JYW852005 KIS851940:KIS852005 KSO851940:KSO852005 LCK851940:LCK852005 LMG851940:LMG852005 LWC851940:LWC852005 MFY851940:MFY852005 MPU851940:MPU852005 MZQ851940:MZQ852005 NJM851940:NJM852005 NTI851940:NTI852005 ODE851940:ODE852005 ONA851940:ONA852005 OWW851940:OWW852005 PGS851940:PGS852005 PQO851940:PQO852005 QAK851940:QAK852005 QKG851940:QKG852005 QUC851940:QUC852005 RDY851940:RDY852005 RNU851940:RNU852005 RXQ851940:RXQ852005 SHM851940:SHM852005 SRI851940:SRI852005 TBE851940:TBE852005 TLA851940:TLA852005 TUW851940:TUW852005 UES851940:UES852005 UOO851940:UOO852005 UYK851940:UYK852005 VIG851940:VIG852005 VSC851940:VSC852005 WBY851940:WBY852005 WLU851940:WLU852005 WVQ851940:WVQ852005 I917476:I917541 JE917476:JE917541 TA917476:TA917541 ACW917476:ACW917541 AMS917476:AMS917541 AWO917476:AWO917541 BGK917476:BGK917541 BQG917476:BQG917541 CAC917476:CAC917541 CJY917476:CJY917541 CTU917476:CTU917541 DDQ917476:DDQ917541 DNM917476:DNM917541 DXI917476:DXI917541 EHE917476:EHE917541 ERA917476:ERA917541 FAW917476:FAW917541 FKS917476:FKS917541 FUO917476:FUO917541 GEK917476:GEK917541 GOG917476:GOG917541 GYC917476:GYC917541 HHY917476:HHY917541 HRU917476:HRU917541 IBQ917476:IBQ917541 ILM917476:ILM917541 IVI917476:IVI917541 JFE917476:JFE917541 JPA917476:JPA917541 JYW917476:JYW917541 KIS917476:KIS917541 KSO917476:KSO917541 LCK917476:LCK917541 LMG917476:LMG917541 LWC917476:LWC917541 MFY917476:MFY917541 MPU917476:MPU917541 MZQ917476:MZQ917541 NJM917476:NJM917541 NTI917476:NTI917541 ODE917476:ODE917541 ONA917476:ONA917541 OWW917476:OWW917541 PGS917476:PGS917541 PQO917476:PQO917541 QAK917476:QAK917541 QKG917476:QKG917541 QUC917476:QUC917541 RDY917476:RDY917541 RNU917476:RNU917541 RXQ917476:RXQ917541 SHM917476:SHM917541 SRI917476:SRI917541 TBE917476:TBE917541 TLA917476:TLA917541 TUW917476:TUW917541 UES917476:UES917541 UOO917476:UOO917541 UYK917476:UYK917541 VIG917476:VIG917541 VSC917476:VSC917541 WBY917476:WBY917541 WLU917476:WLU917541 WVQ917476:WVQ917541 I983012:I983077 JE983012:JE983077 TA983012:TA983077 ACW983012:ACW983077 AMS983012:AMS983077 AWO983012:AWO983077 BGK983012:BGK983077 BQG983012:BQG983077 CAC983012:CAC983077 CJY983012:CJY983077 CTU983012:CTU983077 DDQ983012:DDQ983077 DNM983012:DNM983077 DXI983012:DXI983077 EHE983012:EHE983077 ERA983012:ERA983077 FAW983012:FAW983077 FKS983012:FKS983077 FUO983012:FUO983077 GEK983012:GEK983077 GOG983012:GOG983077 GYC983012:GYC983077 HHY983012:HHY983077 HRU983012:HRU983077 IBQ983012:IBQ983077 ILM983012:ILM983077 IVI983012:IVI983077 JFE983012:JFE983077 JPA983012:JPA983077 JYW983012:JYW983077 KIS983012:KIS983077 KSO983012:KSO983077 LCK983012:LCK983077 LMG983012:LMG983077 LWC983012:LWC983077 MFY983012:MFY983077 MPU983012:MPU983077 MZQ983012:MZQ983077 NJM983012:NJM983077 NTI983012:NTI983077 ODE983012:ODE983077 ONA983012:ONA983077 OWW983012:OWW983077 PGS983012:PGS983077 PQO983012:PQO983077 QAK983012:QAK983077 QKG983012:QKG983077 QUC983012:QUC983077 RDY983012:RDY983077 RNU983012:RNU983077 RXQ983012:RXQ983077 SHM983012:SHM983077 SRI983012:SRI983077 TBE983012:TBE983077 TLA983012:TLA983077 TUW983012:TUW983077 UES983012:UES983077 UOO983012:UOO983077 UYK983012:UYK983077 VIG983012:VIG983077 VSC983012:VSC983077 WBY983012:WBY983077 WLU983012:WLU983077 WVQ2:WVQ57 JE2:JE57 TA2:TA57 ACW2:ACW57 AMS2:AMS57 AWO2:AWO57 BGK2:BGK57 BQG2:BQG57 CAC2:CAC57 CJY2:CJY57 CTU2:CTU57 DDQ2:DDQ57 DNM2:DNM57 DXI2:DXI57 EHE2:EHE57 ERA2:ERA57 FAW2:FAW57 FKS2:FKS57 FUO2:FUO57 GEK2:GEK57 GOG2:GOG57 GYC2:GYC57 HHY2:HHY57 HRU2:HRU57 IBQ2:IBQ57 ILM2:ILM57 IVI2:IVI57 JFE2:JFE57 JPA2:JPA57 JYW2:JYW57 KIS2:KIS57 KSO2:KSO57 LCK2:LCK57 LMG2:LMG57 LWC2:LWC57 MFY2:MFY57 MPU2:MPU57 MZQ2:MZQ57 NJM2:NJM57 NTI2:NTI57 ODE2:ODE57 ONA2:ONA57 OWW2:OWW57 PGS2:PGS57 PQO2:PQO57 QAK2:QAK57 QKG2:QKG57 QUC2:QUC57 RDY2:RDY57 RNU2:RNU57 RXQ2:RXQ57 SHM2:SHM57 SRI2:SRI57 TBE2:TBE57 TLA2:TLA57 TUW2:TUW57 UES2:UES57 UOO2:UOO57 UYK2:UYK57 VIG2:VIG57 VSC2:VSC57 WBY2:WBY57 WLU2:WLU57 I2:I470" xr:uid="{05963B4E-059F-4CF7-B993-5147E64F364A}">
      <formula1>$AN$5:$AN$6</formula1>
    </dataValidation>
    <dataValidation type="list" allowBlank="1" showInputMessage="1" showErrorMessage="1" sqref="J64333:J64398 JF64333:JF64398 TB64333:TB64398 ACX64333:ACX64398 AMT64333:AMT64398 AWP64333:AWP64398 BGL64333:BGL64398 BQH64333:BQH64398 CAD64333:CAD64398 CJZ64333:CJZ64398 CTV64333:CTV64398 DDR64333:DDR64398 DNN64333:DNN64398 DXJ64333:DXJ64398 EHF64333:EHF64398 ERB64333:ERB64398 FAX64333:FAX64398 FKT64333:FKT64398 FUP64333:FUP64398 GEL64333:GEL64398 GOH64333:GOH64398 GYD64333:GYD64398 HHZ64333:HHZ64398 HRV64333:HRV64398 IBR64333:IBR64398 ILN64333:ILN64398 IVJ64333:IVJ64398 JFF64333:JFF64398 JPB64333:JPB64398 JYX64333:JYX64398 KIT64333:KIT64398 KSP64333:KSP64398 LCL64333:LCL64398 LMH64333:LMH64398 LWD64333:LWD64398 MFZ64333:MFZ64398 MPV64333:MPV64398 MZR64333:MZR64398 NJN64333:NJN64398 NTJ64333:NTJ64398 ODF64333:ODF64398 ONB64333:ONB64398 OWX64333:OWX64398 PGT64333:PGT64398 PQP64333:PQP64398 QAL64333:QAL64398 QKH64333:QKH64398 QUD64333:QUD64398 RDZ64333:RDZ64398 RNV64333:RNV64398 RXR64333:RXR64398 SHN64333:SHN64398 SRJ64333:SRJ64398 TBF64333:TBF64398 TLB64333:TLB64398 TUX64333:TUX64398 UET64333:UET64398 UOP64333:UOP64398 UYL64333:UYL64398 VIH64333:VIH64398 VSD64333:VSD64398 WBZ64333:WBZ64398 WLV64333:WLV64398 WVR64333:WVR64398 J129869:J129934 JF129869:JF129934 TB129869:TB129934 ACX129869:ACX129934 AMT129869:AMT129934 AWP129869:AWP129934 BGL129869:BGL129934 BQH129869:BQH129934 CAD129869:CAD129934 CJZ129869:CJZ129934 CTV129869:CTV129934 DDR129869:DDR129934 DNN129869:DNN129934 DXJ129869:DXJ129934 EHF129869:EHF129934 ERB129869:ERB129934 FAX129869:FAX129934 FKT129869:FKT129934 FUP129869:FUP129934 GEL129869:GEL129934 GOH129869:GOH129934 GYD129869:GYD129934 HHZ129869:HHZ129934 HRV129869:HRV129934 IBR129869:IBR129934 ILN129869:ILN129934 IVJ129869:IVJ129934 JFF129869:JFF129934 JPB129869:JPB129934 JYX129869:JYX129934 KIT129869:KIT129934 KSP129869:KSP129934 LCL129869:LCL129934 LMH129869:LMH129934 LWD129869:LWD129934 MFZ129869:MFZ129934 MPV129869:MPV129934 MZR129869:MZR129934 NJN129869:NJN129934 NTJ129869:NTJ129934 ODF129869:ODF129934 ONB129869:ONB129934 OWX129869:OWX129934 PGT129869:PGT129934 PQP129869:PQP129934 QAL129869:QAL129934 QKH129869:QKH129934 QUD129869:QUD129934 RDZ129869:RDZ129934 RNV129869:RNV129934 RXR129869:RXR129934 SHN129869:SHN129934 SRJ129869:SRJ129934 TBF129869:TBF129934 TLB129869:TLB129934 TUX129869:TUX129934 UET129869:UET129934 UOP129869:UOP129934 UYL129869:UYL129934 VIH129869:VIH129934 VSD129869:VSD129934 WBZ129869:WBZ129934 WLV129869:WLV129934 WVR129869:WVR129934 J195405:J195470 JF195405:JF195470 TB195405:TB195470 ACX195405:ACX195470 AMT195405:AMT195470 AWP195405:AWP195470 BGL195405:BGL195470 BQH195405:BQH195470 CAD195405:CAD195470 CJZ195405:CJZ195470 CTV195405:CTV195470 DDR195405:DDR195470 DNN195405:DNN195470 DXJ195405:DXJ195470 EHF195405:EHF195470 ERB195405:ERB195470 FAX195405:FAX195470 FKT195405:FKT195470 FUP195405:FUP195470 GEL195405:GEL195470 GOH195405:GOH195470 GYD195405:GYD195470 HHZ195405:HHZ195470 HRV195405:HRV195470 IBR195405:IBR195470 ILN195405:ILN195470 IVJ195405:IVJ195470 JFF195405:JFF195470 JPB195405:JPB195470 JYX195405:JYX195470 KIT195405:KIT195470 KSP195405:KSP195470 LCL195405:LCL195470 LMH195405:LMH195470 LWD195405:LWD195470 MFZ195405:MFZ195470 MPV195405:MPV195470 MZR195405:MZR195470 NJN195405:NJN195470 NTJ195405:NTJ195470 ODF195405:ODF195470 ONB195405:ONB195470 OWX195405:OWX195470 PGT195405:PGT195470 PQP195405:PQP195470 QAL195405:QAL195470 QKH195405:QKH195470 QUD195405:QUD195470 RDZ195405:RDZ195470 RNV195405:RNV195470 RXR195405:RXR195470 SHN195405:SHN195470 SRJ195405:SRJ195470 TBF195405:TBF195470 TLB195405:TLB195470 TUX195405:TUX195470 UET195405:UET195470 UOP195405:UOP195470 UYL195405:UYL195470 VIH195405:VIH195470 VSD195405:VSD195470 WBZ195405:WBZ195470 WLV195405:WLV195470 WVR195405:WVR195470 J260941:J261006 JF260941:JF261006 TB260941:TB261006 ACX260941:ACX261006 AMT260941:AMT261006 AWP260941:AWP261006 BGL260941:BGL261006 BQH260941:BQH261006 CAD260941:CAD261006 CJZ260941:CJZ261006 CTV260941:CTV261006 DDR260941:DDR261006 DNN260941:DNN261006 DXJ260941:DXJ261006 EHF260941:EHF261006 ERB260941:ERB261006 FAX260941:FAX261006 FKT260941:FKT261006 FUP260941:FUP261006 GEL260941:GEL261006 GOH260941:GOH261006 GYD260941:GYD261006 HHZ260941:HHZ261006 HRV260941:HRV261006 IBR260941:IBR261006 ILN260941:ILN261006 IVJ260941:IVJ261006 JFF260941:JFF261006 JPB260941:JPB261006 JYX260941:JYX261006 KIT260941:KIT261006 KSP260941:KSP261006 LCL260941:LCL261006 LMH260941:LMH261006 LWD260941:LWD261006 MFZ260941:MFZ261006 MPV260941:MPV261006 MZR260941:MZR261006 NJN260941:NJN261006 NTJ260941:NTJ261006 ODF260941:ODF261006 ONB260941:ONB261006 OWX260941:OWX261006 PGT260941:PGT261006 PQP260941:PQP261006 QAL260941:QAL261006 QKH260941:QKH261006 QUD260941:QUD261006 RDZ260941:RDZ261006 RNV260941:RNV261006 RXR260941:RXR261006 SHN260941:SHN261006 SRJ260941:SRJ261006 TBF260941:TBF261006 TLB260941:TLB261006 TUX260941:TUX261006 UET260941:UET261006 UOP260941:UOP261006 UYL260941:UYL261006 VIH260941:VIH261006 VSD260941:VSD261006 WBZ260941:WBZ261006 WLV260941:WLV261006 WVR260941:WVR261006 J326477:J326542 JF326477:JF326542 TB326477:TB326542 ACX326477:ACX326542 AMT326477:AMT326542 AWP326477:AWP326542 BGL326477:BGL326542 BQH326477:BQH326542 CAD326477:CAD326542 CJZ326477:CJZ326542 CTV326477:CTV326542 DDR326477:DDR326542 DNN326477:DNN326542 DXJ326477:DXJ326542 EHF326477:EHF326542 ERB326477:ERB326542 FAX326477:FAX326542 FKT326477:FKT326542 FUP326477:FUP326542 GEL326477:GEL326542 GOH326477:GOH326542 GYD326477:GYD326542 HHZ326477:HHZ326542 HRV326477:HRV326542 IBR326477:IBR326542 ILN326477:ILN326542 IVJ326477:IVJ326542 JFF326477:JFF326542 JPB326477:JPB326542 JYX326477:JYX326542 KIT326477:KIT326542 KSP326477:KSP326542 LCL326477:LCL326542 LMH326477:LMH326542 LWD326477:LWD326542 MFZ326477:MFZ326542 MPV326477:MPV326542 MZR326477:MZR326542 NJN326477:NJN326542 NTJ326477:NTJ326542 ODF326477:ODF326542 ONB326477:ONB326542 OWX326477:OWX326542 PGT326477:PGT326542 PQP326477:PQP326542 QAL326477:QAL326542 QKH326477:QKH326542 QUD326477:QUD326542 RDZ326477:RDZ326542 RNV326477:RNV326542 RXR326477:RXR326542 SHN326477:SHN326542 SRJ326477:SRJ326542 TBF326477:TBF326542 TLB326477:TLB326542 TUX326477:TUX326542 UET326477:UET326542 UOP326477:UOP326542 UYL326477:UYL326542 VIH326477:VIH326542 VSD326477:VSD326542 WBZ326477:WBZ326542 WLV326477:WLV326542 WVR326477:WVR326542 J392013:J392078 JF392013:JF392078 TB392013:TB392078 ACX392013:ACX392078 AMT392013:AMT392078 AWP392013:AWP392078 BGL392013:BGL392078 BQH392013:BQH392078 CAD392013:CAD392078 CJZ392013:CJZ392078 CTV392013:CTV392078 DDR392013:DDR392078 DNN392013:DNN392078 DXJ392013:DXJ392078 EHF392013:EHF392078 ERB392013:ERB392078 FAX392013:FAX392078 FKT392013:FKT392078 FUP392013:FUP392078 GEL392013:GEL392078 GOH392013:GOH392078 GYD392013:GYD392078 HHZ392013:HHZ392078 HRV392013:HRV392078 IBR392013:IBR392078 ILN392013:ILN392078 IVJ392013:IVJ392078 JFF392013:JFF392078 JPB392013:JPB392078 JYX392013:JYX392078 KIT392013:KIT392078 KSP392013:KSP392078 LCL392013:LCL392078 LMH392013:LMH392078 LWD392013:LWD392078 MFZ392013:MFZ392078 MPV392013:MPV392078 MZR392013:MZR392078 NJN392013:NJN392078 NTJ392013:NTJ392078 ODF392013:ODF392078 ONB392013:ONB392078 OWX392013:OWX392078 PGT392013:PGT392078 PQP392013:PQP392078 QAL392013:QAL392078 QKH392013:QKH392078 QUD392013:QUD392078 RDZ392013:RDZ392078 RNV392013:RNV392078 RXR392013:RXR392078 SHN392013:SHN392078 SRJ392013:SRJ392078 TBF392013:TBF392078 TLB392013:TLB392078 TUX392013:TUX392078 UET392013:UET392078 UOP392013:UOP392078 UYL392013:UYL392078 VIH392013:VIH392078 VSD392013:VSD392078 WBZ392013:WBZ392078 WLV392013:WLV392078 WVR392013:WVR392078 J457549:J457614 JF457549:JF457614 TB457549:TB457614 ACX457549:ACX457614 AMT457549:AMT457614 AWP457549:AWP457614 BGL457549:BGL457614 BQH457549:BQH457614 CAD457549:CAD457614 CJZ457549:CJZ457614 CTV457549:CTV457614 DDR457549:DDR457614 DNN457549:DNN457614 DXJ457549:DXJ457614 EHF457549:EHF457614 ERB457549:ERB457614 FAX457549:FAX457614 FKT457549:FKT457614 FUP457549:FUP457614 GEL457549:GEL457614 GOH457549:GOH457614 GYD457549:GYD457614 HHZ457549:HHZ457614 HRV457549:HRV457614 IBR457549:IBR457614 ILN457549:ILN457614 IVJ457549:IVJ457614 JFF457549:JFF457614 JPB457549:JPB457614 JYX457549:JYX457614 KIT457549:KIT457614 KSP457549:KSP457614 LCL457549:LCL457614 LMH457549:LMH457614 LWD457549:LWD457614 MFZ457549:MFZ457614 MPV457549:MPV457614 MZR457549:MZR457614 NJN457549:NJN457614 NTJ457549:NTJ457614 ODF457549:ODF457614 ONB457549:ONB457614 OWX457549:OWX457614 PGT457549:PGT457614 PQP457549:PQP457614 QAL457549:QAL457614 QKH457549:QKH457614 QUD457549:QUD457614 RDZ457549:RDZ457614 RNV457549:RNV457614 RXR457549:RXR457614 SHN457549:SHN457614 SRJ457549:SRJ457614 TBF457549:TBF457614 TLB457549:TLB457614 TUX457549:TUX457614 UET457549:UET457614 UOP457549:UOP457614 UYL457549:UYL457614 VIH457549:VIH457614 VSD457549:VSD457614 WBZ457549:WBZ457614 WLV457549:WLV457614 WVR457549:WVR457614 J523085:J523150 JF523085:JF523150 TB523085:TB523150 ACX523085:ACX523150 AMT523085:AMT523150 AWP523085:AWP523150 BGL523085:BGL523150 BQH523085:BQH523150 CAD523085:CAD523150 CJZ523085:CJZ523150 CTV523085:CTV523150 DDR523085:DDR523150 DNN523085:DNN523150 DXJ523085:DXJ523150 EHF523085:EHF523150 ERB523085:ERB523150 FAX523085:FAX523150 FKT523085:FKT523150 FUP523085:FUP523150 GEL523085:GEL523150 GOH523085:GOH523150 GYD523085:GYD523150 HHZ523085:HHZ523150 HRV523085:HRV523150 IBR523085:IBR523150 ILN523085:ILN523150 IVJ523085:IVJ523150 JFF523085:JFF523150 JPB523085:JPB523150 JYX523085:JYX523150 KIT523085:KIT523150 KSP523085:KSP523150 LCL523085:LCL523150 LMH523085:LMH523150 LWD523085:LWD523150 MFZ523085:MFZ523150 MPV523085:MPV523150 MZR523085:MZR523150 NJN523085:NJN523150 NTJ523085:NTJ523150 ODF523085:ODF523150 ONB523085:ONB523150 OWX523085:OWX523150 PGT523085:PGT523150 PQP523085:PQP523150 QAL523085:QAL523150 QKH523085:QKH523150 QUD523085:QUD523150 RDZ523085:RDZ523150 RNV523085:RNV523150 RXR523085:RXR523150 SHN523085:SHN523150 SRJ523085:SRJ523150 TBF523085:TBF523150 TLB523085:TLB523150 TUX523085:TUX523150 UET523085:UET523150 UOP523085:UOP523150 UYL523085:UYL523150 VIH523085:VIH523150 VSD523085:VSD523150 WBZ523085:WBZ523150 WLV523085:WLV523150 WVR523085:WVR523150 J588621:J588686 JF588621:JF588686 TB588621:TB588686 ACX588621:ACX588686 AMT588621:AMT588686 AWP588621:AWP588686 BGL588621:BGL588686 BQH588621:BQH588686 CAD588621:CAD588686 CJZ588621:CJZ588686 CTV588621:CTV588686 DDR588621:DDR588686 DNN588621:DNN588686 DXJ588621:DXJ588686 EHF588621:EHF588686 ERB588621:ERB588686 FAX588621:FAX588686 FKT588621:FKT588686 FUP588621:FUP588686 GEL588621:GEL588686 GOH588621:GOH588686 GYD588621:GYD588686 HHZ588621:HHZ588686 HRV588621:HRV588686 IBR588621:IBR588686 ILN588621:ILN588686 IVJ588621:IVJ588686 JFF588621:JFF588686 JPB588621:JPB588686 JYX588621:JYX588686 KIT588621:KIT588686 KSP588621:KSP588686 LCL588621:LCL588686 LMH588621:LMH588686 LWD588621:LWD588686 MFZ588621:MFZ588686 MPV588621:MPV588686 MZR588621:MZR588686 NJN588621:NJN588686 NTJ588621:NTJ588686 ODF588621:ODF588686 ONB588621:ONB588686 OWX588621:OWX588686 PGT588621:PGT588686 PQP588621:PQP588686 QAL588621:QAL588686 QKH588621:QKH588686 QUD588621:QUD588686 RDZ588621:RDZ588686 RNV588621:RNV588686 RXR588621:RXR588686 SHN588621:SHN588686 SRJ588621:SRJ588686 TBF588621:TBF588686 TLB588621:TLB588686 TUX588621:TUX588686 UET588621:UET588686 UOP588621:UOP588686 UYL588621:UYL588686 VIH588621:VIH588686 VSD588621:VSD588686 WBZ588621:WBZ588686 WLV588621:WLV588686 WVR588621:WVR588686 J654157:J654222 JF654157:JF654222 TB654157:TB654222 ACX654157:ACX654222 AMT654157:AMT654222 AWP654157:AWP654222 BGL654157:BGL654222 BQH654157:BQH654222 CAD654157:CAD654222 CJZ654157:CJZ654222 CTV654157:CTV654222 DDR654157:DDR654222 DNN654157:DNN654222 DXJ654157:DXJ654222 EHF654157:EHF654222 ERB654157:ERB654222 FAX654157:FAX654222 FKT654157:FKT654222 FUP654157:FUP654222 GEL654157:GEL654222 GOH654157:GOH654222 GYD654157:GYD654222 HHZ654157:HHZ654222 HRV654157:HRV654222 IBR654157:IBR654222 ILN654157:ILN654222 IVJ654157:IVJ654222 JFF654157:JFF654222 JPB654157:JPB654222 JYX654157:JYX654222 KIT654157:KIT654222 KSP654157:KSP654222 LCL654157:LCL654222 LMH654157:LMH654222 LWD654157:LWD654222 MFZ654157:MFZ654222 MPV654157:MPV654222 MZR654157:MZR654222 NJN654157:NJN654222 NTJ654157:NTJ654222 ODF654157:ODF654222 ONB654157:ONB654222 OWX654157:OWX654222 PGT654157:PGT654222 PQP654157:PQP654222 QAL654157:QAL654222 QKH654157:QKH654222 QUD654157:QUD654222 RDZ654157:RDZ654222 RNV654157:RNV654222 RXR654157:RXR654222 SHN654157:SHN654222 SRJ654157:SRJ654222 TBF654157:TBF654222 TLB654157:TLB654222 TUX654157:TUX654222 UET654157:UET654222 UOP654157:UOP654222 UYL654157:UYL654222 VIH654157:VIH654222 VSD654157:VSD654222 WBZ654157:WBZ654222 WLV654157:WLV654222 WVR654157:WVR654222 J719693:J719758 JF719693:JF719758 TB719693:TB719758 ACX719693:ACX719758 AMT719693:AMT719758 AWP719693:AWP719758 BGL719693:BGL719758 BQH719693:BQH719758 CAD719693:CAD719758 CJZ719693:CJZ719758 CTV719693:CTV719758 DDR719693:DDR719758 DNN719693:DNN719758 DXJ719693:DXJ719758 EHF719693:EHF719758 ERB719693:ERB719758 FAX719693:FAX719758 FKT719693:FKT719758 FUP719693:FUP719758 GEL719693:GEL719758 GOH719693:GOH719758 GYD719693:GYD719758 HHZ719693:HHZ719758 HRV719693:HRV719758 IBR719693:IBR719758 ILN719693:ILN719758 IVJ719693:IVJ719758 JFF719693:JFF719758 JPB719693:JPB719758 JYX719693:JYX719758 KIT719693:KIT719758 KSP719693:KSP719758 LCL719693:LCL719758 LMH719693:LMH719758 LWD719693:LWD719758 MFZ719693:MFZ719758 MPV719693:MPV719758 MZR719693:MZR719758 NJN719693:NJN719758 NTJ719693:NTJ719758 ODF719693:ODF719758 ONB719693:ONB719758 OWX719693:OWX719758 PGT719693:PGT719758 PQP719693:PQP719758 QAL719693:QAL719758 QKH719693:QKH719758 QUD719693:QUD719758 RDZ719693:RDZ719758 RNV719693:RNV719758 RXR719693:RXR719758 SHN719693:SHN719758 SRJ719693:SRJ719758 TBF719693:TBF719758 TLB719693:TLB719758 TUX719693:TUX719758 UET719693:UET719758 UOP719693:UOP719758 UYL719693:UYL719758 VIH719693:VIH719758 VSD719693:VSD719758 WBZ719693:WBZ719758 WLV719693:WLV719758 WVR719693:WVR719758 J785229:J785294 JF785229:JF785294 TB785229:TB785294 ACX785229:ACX785294 AMT785229:AMT785294 AWP785229:AWP785294 BGL785229:BGL785294 BQH785229:BQH785294 CAD785229:CAD785294 CJZ785229:CJZ785294 CTV785229:CTV785294 DDR785229:DDR785294 DNN785229:DNN785294 DXJ785229:DXJ785294 EHF785229:EHF785294 ERB785229:ERB785294 FAX785229:FAX785294 FKT785229:FKT785294 FUP785229:FUP785294 GEL785229:GEL785294 GOH785229:GOH785294 GYD785229:GYD785294 HHZ785229:HHZ785294 HRV785229:HRV785294 IBR785229:IBR785294 ILN785229:ILN785294 IVJ785229:IVJ785294 JFF785229:JFF785294 JPB785229:JPB785294 JYX785229:JYX785294 KIT785229:KIT785294 KSP785229:KSP785294 LCL785229:LCL785294 LMH785229:LMH785294 LWD785229:LWD785294 MFZ785229:MFZ785294 MPV785229:MPV785294 MZR785229:MZR785294 NJN785229:NJN785294 NTJ785229:NTJ785294 ODF785229:ODF785294 ONB785229:ONB785294 OWX785229:OWX785294 PGT785229:PGT785294 PQP785229:PQP785294 QAL785229:QAL785294 QKH785229:QKH785294 QUD785229:QUD785294 RDZ785229:RDZ785294 RNV785229:RNV785294 RXR785229:RXR785294 SHN785229:SHN785294 SRJ785229:SRJ785294 TBF785229:TBF785294 TLB785229:TLB785294 TUX785229:TUX785294 UET785229:UET785294 UOP785229:UOP785294 UYL785229:UYL785294 VIH785229:VIH785294 VSD785229:VSD785294 WBZ785229:WBZ785294 WLV785229:WLV785294 WVR785229:WVR785294 J850765:J850830 JF850765:JF850830 TB850765:TB850830 ACX850765:ACX850830 AMT850765:AMT850830 AWP850765:AWP850830 BGL850765:BGL850830 BQH850765:BQH850830 CAD850765:CAD850830 CJZ850765:CJZ850830 CTV850765:CTV850830 DDR850765:DDR850830 DNN850765:DNN850830 DXJ850765:DXJ850830 EHF850765:EHF850830 ERB850765:ERB850830 FAX850765:FAX850830 FKT850765:FKT850830 FUP850765:FUP850830 GEL850765:GEL850830 GOH850765:GOH850830 GYD850765:GYD850830 HHZ850765:HHZ850830 HRV850765:HRV850830 IBR850765:IBR850830 ILN850765:ILN850830 IVJ850765:IVJ850830 JFF850765:JFF850830 JPB850765:JPB850830 JYX850765:JYX850830 KIT850765:KIT850830 KSP850765:KSP850830 LCL850765:LCL850830 LMH850765:LMH850830 LWD850765:LWD850830 MFZ850765:MFZ850830 MPV850765:MPV850830 MZR850765:MZR850830 NJN850765:NJN850830 NTJ850765:NTJ850830 ODF850765:ODF850830 ONB850765:ONB850830 OWX850765:OWX850830 PGT850765:PGT850830 PQP850765:PQP850830 QAL850765:QAL850830 QKH850765:QKH850830 QUD850765:QUD850830 RDZ850765:RDZ850830 RNV850765:RNV850830 RXR850765:RXR850830 SHN850765:SHN850830 SRJ850765:SRJ850830 TBF850765:TBF850830 TLB850765:TLB850830 TUX850765:TUX850830 UET850765:UET850830 UOP850765:UOP850830 UYL850765:UYL850830 VIH850765:VIH850830 VSD850765:VSD850830 WBZ850765:WBZ850830 WLV850765:WLV850830 WVR850765:WVR850830 J916301:J916366 JF916301:JF916366 TB916301:TB916366 ACX916301:ACX916366 AMT916301:AMT916366 AWP916301:AWP916366 BGL916301:BGL916366 BQH916301:BQH916366 CAD916301:CAD916366 CJZ916301:CJZ916366 CTV916301:CTV916366 DDR916301:DDR916366 DNN916301:DNN916366 DXJ916301:DXJ916366 EHF916301:EHF916366 ERB916301:ERB916366 FAX916301:FAX916366 FKT916301:FKT916366 FUP916301:FUP916366 GEL916301:GEL916366 GOH916301:GOH916366 GYD916301:GYD916366 HHZ916301:HHZ916366 HRV916301:HRV916366 IBR916301:IBR916366 ILN916301:ILN916366 IVJ916301:IVJ916366 JFF916301:JFF916366 JPB916301:JPB916366 JYX916301:JYX916366 KIT916301:KIT916366 KSP916301:KSP916366 LCL916301:LCL916366 LMH916301:LMH916366 LWD916301:LWD916366 MFZ916301:MFZ916366 MPV916301:MPV916366 MZR916301:MZR916366 NJN916301:NJN916366 NTJ916301:NTJ916366 ODF916301:ODF916366 ONB916301:ONB916366 OWX916301:OWX916366 PGT916301:PGT916366 PQP916301:PQP916366 QAL916301:QAL916366 QKH916301:QKH916366 QUD916301:QUD916366 RDZ916301:RDZ916366 RNV916301:RNV916366 RXR916301:RXR916366 SHN916301:SHN916366 SRJ916301:SRJ916366 TBF916301:TBF916366 TLB916301:TLB916366 TUX916301:TUX916366 UET916301:UET916366 UOP916301:UOP916366 UYL916301:UYL916366 VIH916301:VIH916366 VSD916301:VSD916366 WBZ916301:WBZ916366 WLV916301:WLV916366 WVR916301:WVR916366 J981837:J981902 JF981837:JF981902 TB981837:TB981902 ACX981837:ACX981902 AMT981837:AMT981902 AWP981837:AWP981902 BGL981837:BGL981902 BQH981837:BQH981902 CAD981837:CAD981902 CJZ981837:CJZ981902 CTV981837:CTV981902 DDR981837:DDR981902 DNN981837:DNN981902 DXJ981837:DXJ981902 EHF981837:EHF981902 ERB981837:ERB981902 FAX981837:FAX981902 FKT981837:FKT981902 FUP981837:FUP981902 GEL981837:GEL981902 GOH981837:GOH981902 GYD981837:GYD981902 HHZ981837:HHZ981902 HRV981837:HRV981902 IBR981837:IBR981902 ILN981837:ILN981902 IVJ981837:IVJ981902 JFF981837:JFF981902 JPB981837:JPB981902 JYX981837:JYX981902 KIT981837:KIT981902 KSP981837:KSP981902 LCL981837:LCL981902 LMH981837:LMH981902 LWD981837:LWD981902 MFZ981837:MFZ981902 MPV981837:MPV981902 MZR981837:MZR981902 NJN981837:NJN981902 NTJ981837:NTJ981902 ODF981837:ODF981902 ONB981837:ONB981902 OWX981837:OWX981902 PGT981837:PGT981902 PQP981837:PQP981902 QAL981837:QAL981902 QKH981837:QKH981902 QUD981837:QUD981902 RDZ981837:RDZ981902 RNV981837:RNV981902 RXR981837:RXR981902 SHN981837:SHN981902 SRJ981837:SRJ981902 TBF981837:TBF981902 TLB981837:TLB981902 TUX981837:TUX981902 UET981837:UET981902 UOP981837:UOP981902 UYL981837:UYL981902 VIH981837:VIH981902 VSD981837:VSD981902 WBZ981837:WBZ981902 WLV981837:WLV981902 WVR981837:WVR981902 J1047373:J1047438 JF1047373:JF1047438 TB1047373:TB1047438 ACX1047373:ACX1047438 AMT1047373:AMT1047438 AWP1047373:AWP1047438 BGL1047373:BGL1047438 BQH1047373:BQH1047438 CAD1047373:CAD1047438 CJZ1047373:CJZ1047438 CTV1047373:CTV1047438 DDR1047373:DDR1047438 DNN1047373:DNN1047438 DXJ1047373:DXJ1047438 EHF1047373:EHF1047438 ERB1047373:ERB1047438 FAX1047373:FAX1047438 FKT1047373:FKT1047438 FUP1047373:FUP1047438 GEL1047373:GEL1047438 GOH1047373:GOH1047438 GYD1047373:GYD1047438 HHZ1047373:HHZ1047438 HRV1047373:HRV1047438 IBR1047373:IBR1047438 ILN1047373:ILN1047438 IVJ1047373:IVJ1047438 JFF1047373:JFF1047438 JPB1047373:JPB1047438 JYX1047373:JYX1047438 KIT1047373:KIT1047438 KSP1047373:KSP1047438 LCL1047373:LCL1047438 LMH1047373:LMH1047438 LWD1047373:LWD1047438 MFZ1047373:MFZ1047438 MPV1047373:MPV1047438 MZR1047373:MZR1047438 NJN1047373:NJN1047438 NTJ1047373:NTJ1047438 ODF1047373:ODF1047438 ONB1047373:ONB1047438 OWX1047373:OWX1047438 PGT1047373:PGT1047438 PQP1047373:PQP1047438 QAL1047373:QAL1047438 QKH1047373:QKH1047438 QUD1047373:QUD1047438 RDZ1047373:RDZ1047438 RNV1047373:RNV1047438 RXR1047373:RXR1047438 SHN1047373:SHN1047438 SRJ1047373:SRJ1047438 TBF1047373:TBF1047438 TLB1047373:TLB1047438 TUX1047373:TUX1047438 UET1047373:UET1047438 UOP1047373:UOP1047438 UYL1047373:UYL1047438 VIH1047373:VIH1047438 VSD1047373:VSD1047438 WBZ1047373:WBZ1047438 WLV1047373:WLV1047438 WVR1047373:WVR1047438" xr:uid="{9181F8DD-8539-4187-AC8A-386662F2B0ED}">
      <formula1>$AP$2:$AP$15</formula1>
    </dataValidation>
    <dataValidation type="list" allowBlank="1" showInputMessage="1" showErrorMessage="1" sqref="K64333:K64398 JG64333:JG64398 TC64333:TC64398 ACY64333:ACY64398 AMU64333:AMU64398 AWQ64333:AWQ64398 BGM64333:BGM64398 BQI64333:BQI64398 CAE64333:CAE64398 CKA64333:CKA64398 CTW64333:CTW64398 DDS64333:DDS64398 DNO64333:DNO64398 DXK64333:DXK64398 EHG64333:EHG64398 ERC64333:ERC64398 FAY64333:FAY64398 FKU64333:FKU64398 FUQ64333:FUQ64398 GEM64333:GEM64398 GOI64333:GOI64398 GYE64333:GYE64398 HIA64333:HIA64398 HRW64333:HRW64398 IBS64333:IBS64398 ILO64333:ILO64398 IVK64333:IVK64398 JFG64333:JFG64398 JPC64333:JPC64398 JYY64333:JYY64398 KIU64333:KIU64398 KSQ64333:KSQ64398 LCM64333:LCM64398 LMI64333:LMI64398 LWE64333:LWE64398 MGA64333:MGA64398 MPW64333:MPW64398 MZS64333:MZS64398 NJO64333:NJO64398 NTK64333:NTK64398 ODG64333:ODG64398 ONC64333:ONC64398 OWY64333:OWY64398 PGU64333:PGU64398 PQQ64333:PQQ64398 QAM64333:QAM64398 QKI64333:QKI64398 QUE64333:QUE64398 REA64333:REA64398 RNW64333:RNW64398 RXS64333:RXS64398 SHO64333:SHO64398 SRK64333:SRK64398 TBG64333:TBG64398 TLC64333:TLC64398 TUY64333:TUY64398 UEU64333:UEU64398 UOQ64333:UOQ64398 UYM64333:UYM64398 VII64333:VII64398 VSE64333:VSE64398 WCA64333:WCA64398 WLW64333:WLW64398 WVS64333:WVS64398 K129869:K129934 JG129869:JG129934 TC129869:TC129934 ACY129869:ACY129934 AMU129869:AMU129934 AWQ129869:AWQ129934 BGM129869:BGM129934 BQI129869:BQI129934 CAE129869:CAE129934 CKA129869:CKA129934 CTW129869:CTW129934 DDS129869:DDS129934 DNO129869:DNO129934 DXK129869:DXK129934 EHG129869:EHG129934 ERC129869:ERC129934 FAY129869:FAY129934 FKU129869:FKU129934 FUQ129869:FUQ129934 GEM129869:GEM129934 GOI129869:GOI129934 GYE129869:GYE129934 HIA129869:HIA129934 HRW129869:HRW129934 IBS129869:IBS129934 ILO129869:ILO129934 IVK129869:IVK129934 JFG129869:JFG129934 JPC129869:JPC129934 JYY129869:JYY129934 KIU129869:KIU129934 KSQ129869:KSQ129934 LCM129869:LCM129934 LMI129869:LMI129934 LWE129869:LWE129934 MGA129869:MGA129934 MPW129869:MPW129934 MZS129869:MZS129934 NJO129869:NJO129934 NTK129869:NTK129934 ODG129869:ODG129934 ONC129869:ONC129934 OWY129869:OWY129934 PGU129869:PGU129934 PQQ129869:PQQ129934 QAM129869:QAM129934 QKI129869:QKI129934 QUE129869:QUE129934 REA129869:REA129934 RNW129869:RNW129934 RXS129869:RXS129934 SHO129869:SHO129934 SRK129869:SRK129934 TBG129869:TBG129934 TLC129869:TLC129934 TUY129869:TUY129934 UEU129869:UEU129934 UOQ129869:UOQ129934 UYM129869:UYM129934 VII129869:VII129934 VSE129869:VSE129934 WCA129869:WCA129934 WLW129869:WLW129934 WVS129869:WVS129934 K195405:K195470 JG195405:JG195470 TC195405:TC195470 ACY195405:ACY195470 AMU195405:AMU195470 AWQ195405:AWQ195470 BGM195405:BGM195470 BQI195405:BQI195470 CAE195405:CAE195470 CKA195405:CKA195470 CTW195405:CTW195470 DDS195405:DDS195470 DNO195405:DNO195470 DXK195405:DXK195470 EHG195405:EHG195470 ERC195405:ERC195470 FAY195405:FAY195470 FKU195405:FKU195470 FUQ195405:FUQ195470 GEM195405:GEM195470 GOI195405:GOI195470 GYE195405:GYE195470 HIA195405:HIA195470 HRW195405:HRW195470 IBS195405:IBS195470 ILO195405:ILO195470 IVK195405:IVK195470 JFG195405:JFG195470 JPC195405:JPC195470 JYY195405:JYY195470 KIU195405:KIU195470 KSQ195405:KSQ195470 LCM195405:LCM195470 LMI195405:LMI195470 LWE195405:LWE195470 MGA195405:MGA195470 MPW195405:MPW195470 MZS195405:MZS195470 NJO195405:NJO195470 NTK195405:NTK195470 ODG195405:ODG195470 ONC195405:ONC195470 OWY195405:OWY195470 PGU195405:PGU195470 PQQ195405:PQQ195470 QAM195405:QAM195470 QKI195405:QKI195470 QUE195405:QUE195470 REA195405:REA195470 RNW195405:RNW195470 RXS195405:RXS195470 SHO195405:SHO195470 SRK195405:SRK195470 TBG195405:TBG195470 TLC195405:TLC195470 TUY195405:TUY195470 UEU195405:UEU195470 UOQ195405:UOQ195470 UYM195405:UYM195470 VII195405:VII195470 VSE195405:VSE195470 WCA195405:WCA195470 WLW195405:WLW195470 WVS195405:WVS195470 K260941:K261006 JG260941:JG261006 TC260941:TC261006 ACY260941:ACY261006 AMU260941:AMU261006 AWQ260941:AWQ261006 BGM260941:BGM261006 BQI260941:BQI261006 CAE260941:CAE261006 CKA260941:CKA261006 CTW260941:CTW261006 DDS260941:DDS261006 DNO260941:DNO261006 DXK260941:DXK261006 EHG260941:EHG261006 ERC260941:ERC261006 FAY260941:FAY261006 FKU260941:FKU261006 FUQ260941:FUQ261006 GEM260941:GEM261006 GOI260941:GOI261006 GYE260941:GYE261006 HIA260941:HIA261006 HRW260941:HRW261006 IBS260941:IBS261006 ILO260941:ILO261006 IVK260941:IVK261006 JFG260941:JFG261006 JPC260941:JPC261006 JYY260941:JYY261006 KIU260941:KIU261006 KSQ260941:KSQ261006 LCM260941:LCM261006 LMI260941:LMI261006 LWE260941:LWE261006 MGA260941:MGA261006 MPW260941:MPW261006 MZS260941:MZS261006 NJO260941:NJO261006 NTK260941:NTK261006 ODG260941:ODG261006 ONC260941:ONC261006 OWY260941:OWY261006 PGU260941:PGU261006 PQQ260941:PQQ261006 QAM260941:QAM261006 QKI260941:QKI261006 QUE260941:QUE261006 REA260941:REA261006 RNW260941:RNW261006 RXS260941:RXS261006 SHO260941:SHO261006 SRK260941:SRK261006 TBG260941:TBG261006 TLC260941:TLC261006 TUY260941:TUY261006 UEU260941:UEU261006 UOQ260941:UOQ261006 UYM260941:UYM261006 VII260941:VII261006 VSE260941:VSE261006 WCA260941:WCA261006 WLW260941:WLW261006 WVS260941:WVS261006 K326477:K326542 JG326477:JG326542 TC326477:TC326542 ACY326477:ACY326542 AMU326477:AMU326542 AWQ326477:AWQ326542 BGM326477:BGM326542 BQI326477:BQI326542 CAE326477:CAE326542 CKA326477:CKA326542 CTW326477:CTW326542 DDS326477:DDS326542 DNO326477:DNO326542 DXK326477:DXK326542 EHG326477:EHG326542 ERC326477:ERC326542 FAY326477:FAY326542 FKU326477:FKU326542 FUQ326477:FUQ326542 GEM326477:GEM326542 GOI326477:GOI326542 GYE326477:GYE326542 HIA326477:HIA326542 HRW326477:HRW326542 IBS326477:IBS326542 ILO326477:ILO326542 IVK326477:IVK326542 JFG326477:JFG326542 JPC326477:JPC326542 JYY326477:JYY326542 KIU326477:KIU326542 KSQ326477:KSQ326542 LCM326477:LCM326542 LMI326477:LMI326542 LWE326477:LWE326542 MGA326477:MGA326542 MPW326477:MPW326542 MZS326477:MZS326542 NJO326477:NJO326542 NTK326477:NTK326542 ODG326477:ODG326542 ONC326477:ONC326542 OWY326477:OWY326542 PGU326477:PGU326542 PQQ326477:PQQ326542 QAM326477:QAM326542 QKI326477:QKI326542 QUE326477:QUE326542 REA326477:REA326542 RNW326477:RNW326542 RXS326477:RXS326542 SHO326477:SHO326542 SRK326477:SRK326542 TBG326477:TBG326542 TLC326477:TLC326542 TUY326477:TUY326542 UEU326477:UEU326542 UOQ326477:UOQ326542 UYM326477:UYM326542 VII326477:VII326542 VSE326477:VSE326542 WCA326477:WCA326542 WLW326477:WLW326542 WVS326477:WVS326542 K392013:K392078 JG392013:JG392078 TC392013:TC392078 ACY392013:ACY392078 AMU392013:AMU392078 AWQ392013:AWQ392078 BGM392013:BGM392078 BQI392013:BQI392078 CAE392013:CAE392078 CKA392013:CKA392078 CTW392013:CTW392078 DDS392013:DDS392078 DNO392013:DNO392078 DXK392013:DXK392078 EHG392013:EHG392078 ERC392013:ERC392078 FAY392013:FAY392078 FKU392013:FKU392078 FUQ392013:FUQ392078 GEM392013:GEM392078 GOI392013:GOI392078 GYE392013:GYE392078 HIA392013:HIA392078 HRW392013:HRW392078 IBS392013:IBS392078 ILO392013:ILO392078 IVK392013:IVK392078 JFG392013:JFG392078 JPC392013:JPC392078 JYY392013:JYY392078 KIU392013:KIU392078 KSQ392013:KSQ392078 LCM392013:LCM392078 LMI392013:LMI392078 LWE392013:LWE392078 MGA392013:MGA392078 MPW392013:MPW392078 MZS392013:MZS392078 NJO392013:NJO392078 NTK392013:NTK392078 ODG392013:ODG392078 ONC392013:ONC392078 OWY392013:OWY392078 PGU392013:PGU392078 PQQ392013:PQQ392078 QAM392013:QAM392078 QKI392013:QKI392078 QUE392013:QUE392078 REA392013:REA392078 RNW392013:RNW392078 RXS392013:RXS392078 SHO392013:SHO392078 SRK392013:SRK392078 TBG392013:TBG392078 TLC392013:TLC392078 TUY392013:TUY392078 UEU392013:UEU392078 UOQ392013:UOQ392078 UYM392013:UYM392078 VII392013:VII392078 VSE392013:VSE392078 WCA392013:WCA392078 WLW392013:WLW392078 WVS392013:WVS392078 K457549:K457614 JG457549:JG457614 TC457549:TC457614 ACY457549:ACY457614 AMU457549:AMU457614 AWQ457549:AWQ457614 BGM457549:BGM457614 BQI457549:BQI457614 CAE457549:CAE457614 CKA457549:CKA457614 CTW457549:CTW457614 DDS457549:DDS457614 DNO457549:DNO457614 DXK457549:DXK457614 EHG457549:EHG457614 ERC457549:ERC457614 FAY457549:FAY457614 FKU457549:FKU457614 FUQ457549:FUQ457614 GEM457549:GEM457614 GOI457549:GOI457614 GYE457549:GYE457614 HIA457549:HIA457614 HRW457549:HRW457614 IBS457549:IBS457614 ILO457549:ILO457614 IVK457549:IVK457614 JFG457549:JFG457614 JPC457549:JPC457614 JYY457549:JYY457614 KIU457549:KIU457614 KSQ457549:KSQ457614 LCM457549:LCM457614 LMI457549:LMI457614 LWE457549:LWE457614 MGA457549:MGA457614 MPW457549:MPW457614 MZS457549:MZS457614 NJO457549:NJO457614 NTK457549:NTK457614 ODG457549:ODG457614 ONC457549:ONC457614 OWY457549:OWY457614 PGU457549:PGU457614 PQQ457549:PQQ457614 QAM457549:QAM457614 QKI457549:QKI457614 QUE457549:QUE457614 REA457549:REA457614 RNW457549:RNW457614 RXS457549:RXS457614 SHO457549:SHO457614 SRK457549:SRK457614 TBG457549:TBG457614 TLC457549:TLC457614 TUY457549:TUY457614 UEU457549:UEU457614 UOQ457549:UOQ457614 UYM457549:UYM457614 VII457549:VII457614 VSE457549:VSE457614 WCA457549:WCA457614 WLW457549:WLW457614 WVS457549:WVS457614 K523085:K523150 JG523085:JG523150 TC523085:TC523150 ACY523085:ACY523150 AMU523085:AMU523150 AWQ523085:AWQ523150 BGM523085:BGM523150 BQI523085:BQI523150 CAE523085:CAE523150 CKA523085:CKA523150 CTW523085:CTW523150 DDS523085:DDS523150 DNO523085:DNO523150 DXK523085:DXK523150 EHG523085:EHG523150 ERC523085:ERC523150 FAY523085:FAY523150 FKU523085:FKU523150 FUQ523085:FUQ523150 GEM523085:GEM523150 GOI523085:GOI523150 GYE523085:GYE523150 HIA523085:HIA523150 HRW523085:HRW523150 IBS523085:IBS523150 ILO523085:ILO523150 IVK523085:IVK523150 JFG523085:JFG523150 JPC523085:JPC523150 JYY523085:JYY523150 KIU523085:KIU523150 KSQ523085:KSQ523150 LCM523085:LCM523150 LMI523085:LMI523150 LWE523085:LWE523150 MGA523085:MGA523150 MPW523085:MPW523150 MZS523085:MZS523150 NJO523085:NJO523150 NTK523085:NTK523150 ODG523085:ODG523150 ONC523085:ONC523150 OWY523085:OWY523150 PGU523085:PGU523150 PQQ523085:PQQ523150 QAM523085:QAM523150 QKI523085:QKI523150 QUE523085:QUE523150 REA523085:REA523150 RNW523085:RNW523150 RXS523085:RXS523150 SHO523085:SHO523150 SRK523085:SRK523150 TBG523085:TBG523150 TLC523085:TLC523150 TUY523085:TUY523150 UEU523085:UEU523150 UOQ523085:UOQ523150 UYM523085:UYM523150 VII523085:VII523150 VSE523085:VSE523150 WCA523085:WCA523150 WLW523085:WLW523150 WVS523085:WVS523150 K588621:K588686 JG588621:JG588686 TC588621:TC588686 ACY588621:ACY588686 AMU588621:AMU588686 AWQ588621:AWQ588686 BGM588621:BGM588686 BQI588621:BQI588686 CAE588621:CAE588686 CKA588621:CKA588686 CTW588621:CTW588686 DDS588621:DDS588686 DNO588621:DNO588686 DXK588621:DXK588686 EHG588621:EHG588686 ERC588621:ERC588686 FAY588621:FAY588686 FKU588621:FKU588686 FUQ588621:FUQ588686 GEM588621:GEM588686 GOI588621:GOI588686 GYE588621:GYE588686 HIA588621:HIA588686 HRW588621:HRW588686 IBS588621:IBS588686 ILO588621:ILO588686 IVK588621:IVK588686 JFG588621:JFG588686 JPC588621:JPC588686 JYY588621:JYY588686 KIU588621:KIU588686 KSQ588621:KSQ588686 LCM588621:LCM588686 LMI588621:LMI588686 LWE588621:LWE588686 MGA588621:MGA588686 MPW588621:MPW588686 MZS588621:MZS588686 NJO588621:NJO588686 NTK588621:NTK588686 ODG588621:ODG588686 ONC588621:ONC588686 OWY588621:OWY588686 PGU588621:PGU588686 PQQ588621:PQQ588686 QAM588621:QAM588686 QKI588621:QKI588686 QUE588621:QUE588686 REA588621:REA588686 RNW588621:RNW588686 RXS588621:RXS588686 SHO588621:SHO588686 SRK588621:SRK588686 TBG588621:TBG588686 TLC588621:TLC588686 TUY588621:TUY588686 UEU588621:UEU588686 UOQ588621:UOQ588686 UYM588621:UYM588686 VII588621:VII588686 VSE588621:VSE588686 WCA588621:WCA588686 WLW588621:WLW588686 WVS588621:WVS588686 K654157:K654222 JG654157:JG654222 TC654157:TC654222 ACY654157:ACY654222 AMU654157:AMU654222 AWQ654157:AWQ654222 BGM654157:BGM654222 BQI654157:BQI654222 CAE654157:CAE654222 CKA654157:CKA654222 CTW654157:CTW654222 DDS654157:DDS654222 DNO654157:DNO654222 DXK654157:DXK654222 EHG654157:EHG654222 ERC654157:ERC654222 FAY654157:FAY654222 FKU654157:FKU654222 FUQ654157:FUQ654222 GEM654157:GEM654222 GOI654157:GOI654222 GYE654157:GYE654222 HIA654157:HIA654222 HRW654157:HRW654222 IBS654157:IBS654222 ILO654157:ILO654222 IVK654157:IVK654222 JFG654157:JFG654222 JPC654157:JPC654222 JYY654157:JYY654222 KIU654157:KIU654222 KSQ654157:KSQ654222 LCM654157:LCM654222 LMI654157:LMI654222 LWE654157:LWE654222 MGA654157:MGA654222 MPW654157:MPW654222 MZS654157:MZS654222 NJO654157:NJO654222 NTK654157:NTK654222 ODG654157:ODG654222 ONC654157:ONC654222 OWY654157:OWY654222 PGU654157:PGU654222 PQQ654157:PQQ654222 QAM654157:QAM654222 QKI654157:QKI654222 QUE654157:QUE654222 REA654157:REA654222 RNW654157:RNW654222 RXS654157:RXS654222 SHO654157:SHO654222 SRK654157:SRK654222 TBG654157:TBG654222 TLC654157:TLC654222 TUY654157:TUY654222 UEU654157:UEU654222 UOQ654157:UOQ654222 UYM654157:UYM654222 VII654157:VII654222 VSE654157:VSE654222 WCA654157:WCA654222 WLW654157:WLW654222 WVS654157:WVS654222 K719693:K719758 JG719693:JG719758 TC719693:TC719758 ACY719693:ACY719758 AMU719693:AMU719758 AWQ719693:AWQ719758 BGM719693:BGM719758 BQI719693:BQI719758 CAE719693:CAE719758 CKA719693:CKA719758 CTW719693:CTW719758 DDS719693:DDS719758 DNO719693:DNO719758 DXK719693:DXK719758 EHG719693:EHG719758 ERC719693:ERC719758 FAY719693:FAY719758 FKU719693:FKU719758 FUQ719693:FUQ719758 GEM719693:GEM719758 GOI719693:GOI719758 GYE719693:GYE719758 HIA719693:HIA719758 HRW719693:HRW719758 IBS719693:IBS719758 ILO719693:ILO719758 IVK719693:IVK719758 JFG719693:JFG719758 JPC719693:JPC719758 JYY719693:JYY719758 KIU719693:KIU719758 KSQ719693:KSQ719758 LCM719693:LCM719758 LMI719693:LMI719758 LWE719693:LWE719758 MGA719693:MGA719758 MPW719693:MPW719758 MZS719693:MZS719758 NJO719693:NJO719758 NTK719693:NTK719758 ODG719693:ODG719758 ONC719693:ONC719758 OWY719693:OWY719758 PGU719693:PGU719758 PQQ719693:PQQ719758 QAM719693:QAM719758 QKI719693:QKI719758 QUE719693:QUE719758 REA719693:REA719758 RNW719693:RNW719758 RXS719693:RXS719758 SHO719693:SHO719758 SRK719693:SRK719758 TBG719693:TBG719758 TLC719693:TLC719758 TUY719693:TUY719758 UEU719693:UEU719758 UOQ719693:UOQ719758 UYM719693:UYM719758 VII719693:VII719758 VSE719693:VSE719758 WCA719693:WCA719758 WLW719693:WLW719758 WVS719693:WVS719758 K785229:K785294 JG785229:JG785294 TC785229:TC785294 ACY785229:ACY785294 AMU785229:AMU785294 AWQ785229:AWQ785294 BGM785229:BGM785294 BQI785229:BQI785294 CAE785229:CAE785294 CKA785229:CKA785294 CTW785229:CTW785294 DDS785229:DDS785294 DNO785229:DNO785294 DXK785229:DXK785294 EHG785229:EHG785294 ERC785229:ERC785294 FAY785229:FAY785294 FKU785229:FKU785294 FUQ785229:FUQ785294 GEM785229:GEM785294 GOI785229:GOI785294 GYE785229:GYE785294 HIA785229:HIA785294 HRW785229:HRW785294 IBS785229:IBS785294 ILO785229:ILO785294 IVK785229:IVK785294 JFG785229:JFG785294 JPC785229:JPC785294 JYY785229:JYY785294 KIU785229:KIU785294 KSQ785229:KSQ785294 LCM785229:LCM785294 LMI785229:LMI785294 LWE785229:LWE785294 MGA785229:MGA785294 MPW785229:MPW785294 MZS785229:MZS785294 NJO785229:NJO785294 NTK785229:NTK785294 ODG785229:ODG785294 ONC785229:ONC785294 OWY785229:OWY785294 PGU785229:PGU785294 PQQ785229:PQQ785294 QAM785229:QAM785294 QKI785229:QKI785294 QUE785229:QUE785294 REA785229:REA785294 RNW785229:RNW785294 RXS785229:RXS785294 SHO785229:SHO785294 SRK785229:SRK785294 TBG785229:TBG785294 TLC785229:TLC785294 TUY785229:TUY785294 UEU785229:UEU785294 UOQ785229:UOQ785294 UYM785229:UYM785294 VII785229:VII785294 VSE785229:VSE785294 WCA785229:WCA785294 WLW785229:WLW785294 WVS785229:WVS785294 K850765:K850830 JG850765:JG850830 TC850765:TC850830 ACY850765:ACY850830 AMU850765:AMU850830 AWQ850765:AWQ850830 BGM850765:BGM850830 BQI850765:BQI850830 CAE850765:CAE850830 CKA850765:CKA850830 CTW850765:CTW850830 DDS850765:DDS850830 DNO850765:DNO850830 DXK850765:DXK850830 EHG850765:EHG850830 ERC850765:ERC850830 FAY850765:FAY850830 FKU850765:FKU850830 FUQ850765:FUQ850830 GEM850765:GEM850830 GOI850765:GOI850830 GYE850765:GYE850830 HIA850765:HIA850830 HRW850765:HRW850830 IBS850765:IBS850830 ILO850765:ILO850830 IVK850765:IVK850830 JFG850765:JFG850830 JPC850765:JPC850830 JYY850765:JYY850830 KIU850765:KIU850830 KSQ850765:KSQ850830 LCM850765:LCM850830 LMI850765:LMI850830 LWE850765:LWE850830 MGA850765:MGA850830 MPW850765:MPW850830 MZS850765:MZS850830 NJO850765:NJO850830 NTK850765:NTK850830 ODG850765:ODG850830 ONC850765:ONC850830 OWY850765:OWY850830 PGU850765:PGU850830 PQQ850765:PQQ850830 QAM850765:QAM850830 QKI850765:QKI850830 QUE850765:QUE850830 REA850765:REA850830 RNW850765:RNW850830 RXS850765:RXS850830 SHO850765:SHO850830 SRK850765:SRK850830 TBG850765:TBG850830 TLC850765:TLC850830 TUY850765:TUY850830 UEU850765:UEU850830 UOQ850765:UOQ850830 UYM850765:UYM850830 VII850765:VII850830 VSE850765:VSE850830 WCA850765:WCA850830 WLW850765:WLW850830 WVS850765:WVS850830 K916301:K916366 JG916301:JG916366 TC916301:TC916366 ACY916301:ACY916366 AMU916301:AMU916366 AWQ916301:AWQ916366 BGM916301:BGM916366 BQI916301:BQI916366 CAE916301:CAE916366 CKA916301:CKA916366 CTW916301:CTW916366 DDS916301:DDS916366 DNO916301:DNO916366 DXK916301:DXK916366 EHG916301:EHG916366 ERC916301:ERC916366 FAY916301:FAY916366 FKU916301:FKU916366 FUQ916301:FUQ916366 GEM916301:GEM916366 GOI916301:GOI916366 GYE916301:GYE916366 HIA916301:HIA916366 HRW916301:HRW916366 IBS916301:IBS916366 ILO916301:ILO916366 IVK916301:IVK916366 JFG916301:JFG916366 JPC916301:JPC916366 JYY916301:JYY916366 KIU916301:KIU916366 KSQ916301:KSQ916366 LCM916301:LCM916366 LMI916301:LMI916366 LWE916301:LWE916366 MGA916301:MGA916366 MPW916301:MPW916366 MZS916301:MZS916366 NJO916301:NJO916366 NTK916301:NTK916366 ODG916301:ODG916366 ONC916301:ONC916366 OWY916301:OWY916366 PGU916301:PGU916366 PQQ916301:PQQ916366 QAM916301:QAM916366 QKI916301:QKI916366 QUE916301:QUE916366 REA916301:REA916366 RNW916301:RNW916366 RXS916301:RXS916366 SHO916301:SHO916366 SRK916301:SRK916366 TBG916301:TBG916366 TLC916301:TLC916366 TUY916301:TUY916366 UEU916301:UEU916366 UOQ916301:UOQ916366 UYM916301:UYM916366 VII916301:VII916366 VSE916301:VSE916366 WCA916301:WCA916366 WLW916301:WLW916366 WVS916301:WVS916366 K981837:K981902 JG981837:JG981902 TC981837:TC981902 ACY981837:ACY981902 AMU981837:AMU981902 AWQ981837:AWQ981902 BGM981837:BGM981902 BQI981837:BQI981902 CAE981837:CAE981902 CKA981837:CKA981902 CTW981837:CTW981902 DDS981837:DDS981902 DNO981837:DNO981902 DXK981837:DXK981902 EHG981837:EHG981902 ERC981837:ERC981902 FAY981837:FAY981902 FKU981837:FKU981902 FUQ981837:FUQ981902 GEM981837:GEM981902 GOI981837:GOI981902 GYE981837:GYE981902 HIA981837:HIA981902 HRW981837:HRW981902 IBS981837:IBS981902 ILO981837:ILO981902 IVK981837:IVK981902 JFG981837:JFG981902 JPC981837:JPC981902 JYY981837:JYY981902 KIU981837:KIU981902 KSQ981837:KSQ981902 LCM981837:LCM981902 LMI981837:LMI981902 LWE981837:LWE981902 MGA981837:MGA981902 MPW981837:MPW981902 MZS981837:MZS981902 NJO981837:NJO981902 NTK981837:NTK981902 ODG981837:ODG981902 ONC981837:ONC981902 OWY981837:OWY981902 PGU981837:PGU981902 PQQ981837:PQQ981902 QAM981837:QAM981902 QKI981837:QKI981902 QUE981837:QUE981902 REA981837:REA981902 RNW981837:RNW981902 RXS981837:RXS981902 SHO981837:SHO981902 SRK981837:SRK981902 TBG981837:TBG981902 TLC981837:TLC981902 TUY981837:TUY981902 UEU981837:UEU981902 UOQ981837:UOQ981902 UYM981837:UYM981902 VII981837:VII981902 VSE981837:VSE981902 WCA981837:WCA981902 WLW981837:WLW981902 WVS981837:WVS981902 K1047373:K1047438 JG1047373:JG1047438 TC1047373:TC1047438 ACY1047373:ACY1047438 AMU1047373:AMU1047438 AWQ1047373:AWQ1047438 BGM1047373:BGM1047438 BQI1047373:BQI1047438 CAE1047373:CAE1047438 CKA1047373:CKA1047438 CTW1047373:CTW1047438 DDS1047373:DDS1047438 DNO1047373:DNO1047438 DXK1047373:DXK1047438 EHG1047373:EHG1047438 ERC1047373:ERC1047438 FAY1047373:FAY1047438 FKU1047373:FKU1047438 FUQ1047373:FUQ1047438 GEM1047373:GEM1047438 GOI1047373:GOI1047438 GYE1047373:GYE1047438 HIA1047373:HIA1047438 HRW1047373:HRW1047438 IBS1047373:IBS1047438 ILO1047373:ILO1047438 IVK1047373:IVK1047438 JFG1047373:JFG1047438 JPC1047373:JPC1047438 JYY1047373:JYY1047438 KIU1047373:KIU1047438 KSQ1047373:KSQ1047438 LCM1047373:LCM1047438 LMI1047373:LMI1047438 LWE1047373:LWE1047438 MGA1047373:MGA1047438 MPW1047373:MPW1047438 MZS1047373:MZS1047438 NJO1047373:NJO1047438 NTK1047373:NTK1047438 ODG1047373:ODG1047438 ONC1047373:ONC1047438 OWY1047373:OWY1047438 PGU1047373:PGU1047438 PQQ1047373:PQQ1047438 QAM1047373:QAM1047438 QKI1047373:QKI1047438 QUE1047373:QUE1047438 REA1047373:REA1047438 RNW1047373:RNW1047438 RXS1047373:RXS1047438 SHO1047373:SHO1047438 SRK1047373:SRK1047438 TBG1047373:TBG1047438 TLC1047373:TLC1047438 TUY1047373:TUY1047438 UEU1047373:UEU1047438 UOQ1047373:UOQ1047438 UYM1047373:UYM1047438 VII1047373:VII1047438 VSE1047373:VSE1047438 WCA1047373:WCA1047438 WLW1047373:WLW1047438 WVS1047373:WVS1047438" xr:uid="{35C55C57-B75F-400F-9EDA-02775533965F}">
      <formula1>$AR$2:$AR$24</formula1>
    </dataValidation>
    <dataValidation type="list" allowBlank="1" showInputMessage="1" showErrorMessage="1" sqref="Y64333:AA64398 JU64333:JW64398 TQ64333:TS64398 ADM64333:ADO64398 ANI64333:ANK64398 AXE64333:AXG64398 BHA64333:BHC64398 BQW64333:BQY64398 CAS64333:CAU64398 CKO64333:CKQ64398 CUK64333:CUM64398 DEG64333:DEI64398 DOC64333:DOE64398 DXY64333:DYA64398 EHU64333:EHW64398 ERQ64333:ERS64398 FBM64333:FBO64398 FLI64333:FLK64398 FVE64333:FVG64398 GFA64333:GFC64398 GOW64333:GOY64398 GYS64333:GYU64398 HIO64333:HIQ64398 HSK64333:HSM64398 ICG64333:ICI64398 IMC64333:IME64398 IVY64333:IWA64398 JFU64333:JFW64398 JPQ64333:JPS64398 JZM64333:JZO64398 KJI64333:KJK64398 KTE64333:KTG64398 LDA64333:LDC64398 LMW64333:LMY64398 LWS64333:LWU64398 MGO64333:MGQ64398 MQK64333:MQM64398 NAG64333:NAI64398 NKC64333:NKE64398 NTY64333:NUA64398 ODU64333:ODW64398 ONQ64333:ONS64398 OXM64333:OXO64398 PHI64333:PHK64398 PRE64333:PRG64398 QBA64333:QBC64398 QKW64333:QKY64398 QUS64333:QUU64398 REO64333:REQ64398 ROK64333:ROM64398 RYG64333:RYI64398 SIC64333:SIE64398 SRY64333:SSA64398 TBU64333:TBW64398 TLQ64333:TLS64398 TVM64333:TVO64398 UFI64333:UFK64398 UPE64333:UPG64398 UZA64333:UZC64398 VIW64333:VIY64398 VSS64333:VSU64398 WCO64333:WCQ64398 WMK64333:WMM64398 WWG64333:WWI64398 Y129869:AA129934 JU129869:JW129934 TQ129869:TS129934 ADM129869:ADO129934 ANI129869:ANK129934 AXE129869:AXG129934 BHA129869:BHC129934 BQW129869:BQY129934 CAS129869:CAU129934 CKO129869:CKQ129934 CUK129869:CUM129934 DEG129869:DEI129934 DOC129869:DOE129934 DXY129869:DYA129934 EHU129869:EHW129934 ERQ129869:ERS129934 FBM129869:FBO129934 FLI129869:FLK129934 FVE129869:FVG129934 GFA129869:GFC129934 GOW129869:GOY129934 GYS129869:GYU129934 HIO129869:HIQ129934 HSK129869:HSM129934 ICG129869:ICI129934 IMC129869:IME129934 IVY129869:IWA129934 JFU129869:JFW129934 JPQ129869:JPS129934 JZM129869:JZO129934 KJI129869:KJK129934 KTE129869:KTG129934 LDA129869:LDC129934 LMW129869:LMY129934 LWS129869:LWU129934 MGO129869:MGQ129934 MQK129869:MQM129934 NAG129869:NAI129934 NKC129869:NKE129934 NTY129869:NUA129934 ODU129869:ODW129934 ONQ129869:ONS129934 OXM129869:OXO129934 PHI129869:PHK129934 PRE129869:PRG129934 QBA129869:QBC129934 QKW129869:QKY129934 QUS129869:QUU129934 REO129869:REQ129934 ROK129869:ROM129934 RYG129869:RYI129934 SIC129869:SIE129934 SRY129869:SSA129934 TBU129869:TBW129934 TLQ129869:TLS129934 TVM129869:TVO129934 UFI129869:UFK129934 UPE129869:UPG129934 UZA129869:UZC129934 VIW129869:VIY129934 VSS129869:VSU129934 WCO129869:WCQ129934 WMK129869:WMM129934 WWG129869:WWI129934 Y195405:AA195470 JU195405:JW195470 TQ195405:TS195470 ADM195405:ADO195470 ANI195405:ANK195470 AXE195405:AXG195470 BHA195405:BHC195470 BQW195405:BQY195470 CAS195405:CAU195470 CKO195405:CKQ195470 CUK195405:CUM195470 DEG195405:DEI195470 DOC195405:DOE195470 DXY195405:DYA195470 EHU195405:EHW195470 ERQ195405:ERS195470 FBM195405:FBO195470 FLI195405:FLK195470 FVE195405:FVG195470 GFA195405:GFC195470 GOW195405:GOY195470 GYS195405:GYU195470 HIO195405:HIQ195470 HSK195405:HSM195470 ICG195405:ICI195470 IMC195405:IME195470 IVY195405:IWA195470 JFU195405:JFW195470 JPQ195405:JPS195470 JZM195405:JZO195470 KJI195405:KJK195470 KTE195405:KTG195470 LDA195405:LDC195470 LMW195405:LMY195470 LWS195405:LWU195470 MGO195405:MGQ195470 MQK195405:MQM195470 NAG195405:NAI195470 NKC195405:NKE195470 NTY195405:NUA195470 ODU195405:ODW195470 ONQ195405:ONS195470 OXM195405:OXO195470 PHI195405:PHK195470 PRE195405:PRG195470 QBA195405:QBC195470 QKW195405:QKY195470 QUS195405:QUU195470 REO195405:REQ195470 ROK195405:ROM195470 RYG195405:RYI195470 SIC195405:SIE195470 SRY195405:SSA195470 TBU195405:TBW195470 TLQ195405:TLS195470 TVM195405:TVO195470 UFI195405:UFK195470 UPE195405:UPG195470 UZA195405:UZC195470 VIW195405:VIY195470 VSS195405:VSU195470 WCO195405:WCQ195470 WMK195405:WMM195470 WWG195405:WWI195470 Y260941:AA261006 JU260941:JW261006 TQ260941:TS261006 ADM260941:ADO261006 ANI260941:ANK261006 AXE260941:AXG261006 BHA260941:BHC261006 BQW260941:BQY261006 CAS260941:CAU261006 CKO260941:CKQ261006 CUK260941:CUM261006 DEG260941:DEI261006 DOC260941:DOE261006 DXY260941:DYA261006 EHU260941:EHW261006 ERQ260941:ERS261006 FBM260941:FBO261006 FLI260941:FLK261006 FVE260941:FVG261006 GFA260941:GFC261006 GOW260941:GOY261006 GYS260941:GYU261006 HIO260941:HIQ261006 HSK260941:HSM261006 ICG260941:ICI261006 IMC260941:IME261006 IVY260941:IWA261006 JFU260941:JFW261006 JPQ260941:JPS261006 JZM260941:JZO261006 KJI260941:KJK261006 KTE260941:KTG261006 LDA260941:LDC261006 LMW260941:LMY261006 LWS260941:LWU261006 MGO260941:MGQ261006 MQK260941:MQM261006 NAG260941:NAI261006 NKC260941:NKE261006 NTY260941:NUA261006 ODU260941:ODW261006 ONQ260941:ONS261006 OXM260941:OXO261006 PHI260941:PHK261006 PRE260941:PRG261006 QBA260941:QBC261006 QKW260941:QKY261006 QUS260941:QUU261006 REO260941:REQ261006 ROK260941:ROM261006 RYG260941:RYI261006 SIC260941:SIE261006 SRY260941:SSA261006 TBU260941:TBW261006 TLQ260941:TLS261006 TVM260941:TVO261006 UFI260941:UFK261006 UPE260941:UPG261006 UZA260941:UZC261006 VIW260941:VIY261006 VSS260941:VSU261006 WCO260941:WCQ261006 WMK260941:WMM261006 WWG260941:WWI261006 Y326477:AA326542 JU326477:JW326542 TQ326477:TS326542 ADM326477:ADO326542 ANI326477:ANK326542 AXE326477:AXG326542 BHA326477:BHC326542 BQW326477:BQY326542 CAS326477:CAU326542 CKO326477:CKQ326542 CUK326477:CUM326542 DEG326477:DEI326542 DOC326477:DOE326542 DXY326477:DYA326542 EHU326477:EHW326542 ERQ326477:ERS326542 FBM326477:FBO326542 FLI326477:FLK326542 FVE326477:FVG326542 GFA326477:GFC326542 GOW326477:GOY326542 GYS326477:GYU326542 HIO326477:HIQ326542 HSK326477:HSM326542 ICG326477:ICI326542 IMC326477:IME326542 IVY326477:IWA326542 JFU326477:JFW326542 JPQ326477:JPS326542 JZM326477:JZO326542 KJI326477:KJK326542 KTE326477:KTG326542 LDA326477:LDC326542 LMW326477:LMY326542 LWS326477:LWU326542 MGO326477:MGQ326542 MQK326477:MQM326542 NAG326477:NAI326542 NKC326477:NKE326542 NTY326477:NUA326542 ODU326477:ODW326542 ONQ326477:ONS326542 OXM326477:OXO326542 PHI326477:PHK326542 PRE326477:PRG326542 QBA326477:QBC326542 QKW326477:QKY326542 QUS326477:QUU326542 REO326477:REQ326542 ROK326477:ROM326542 RYG326477:RYI326542 SIC326477:SIE326542 SRY326477:SSA326542 TBU326477:TBW326542 TLQ326477:TLS326542 TVM326477:TVO326542 UFI326477:UFK326542 UPE326477:UPG326542 UZA326477:UZC326542 VIW326477:VIY326542 VSS326477:VSU326542 WCO326477:WCQ326542 WMK326477:WMM326542 WWG326477:WWI326542 Y392013:AA392078 JU392013:JW392078 TQ392013:TS392078 ADM392013:ADO392078 ANI392013:ANK392078 AXE392013:AXG392078 BHA392013:BHC392078 BQW392013:BQY392078 CAS392013:CAU392078 CKO392013:CKQ392078 CUK392013:CUM392078 DEG392013:DEI392078 DOC392013:DOE392078 DXY392013:DYA392078 EHU392013:EHW392078 ERQ392013:ERS392078 FBM392013:FBO392078 FLI392013:FLK392078 FVE392013:FVG392078 GFA392013:GFC392078 GOW392013:GOY392078 GYS392013:GYU392078 HIO392013:HIQ392078 HSK392013:HSM392078 ICG392013:ICI392078 IMC392013:IME392078 IVY392013:IWA392078 JFU392013:JFW392078 JPQ392013:JPS392078 JZM392013:JZO392078 KJI392013:KJK392078 KTE392013:KTG392078 LDA392013:LDC392078 LMW392013:LMY392078 LWS392013:LWU392078 MGO392013:MGQ392078 MQK392013:MQM392078 NAG392013:NAI392078 NKC392013:NKE392078 NTY392013:NUA392078 ODU392013:ODW392078 ONQ392013:ONS392078 OXM392013:OXO392078 PHI392013:PHK392078 PRE392013:PRG392078 QBA392013:QBC392078 QKW392013:QKY392078 QUS392013:QUU392078 REO392013:REQ392078 ROK392013:ROM392078 RYG392013:RYI392078 SIC392013:SIE392078 SRY392013:SSA392078 TBU392013:TBW392078 TLQ392013:TLS392078 TVM392013:TVO392078 UFI392013:UFK392078 UPE392013:UPG392078 UZA392013:UZC392078 VIW392013:VIY392078 VSS392013:VSU392078 WCO392013:WCQ392078 WMK392013:WMM392078 WWG392013:WWI392078 Y457549:AA457614 JU457549:JW457614 TQ457549:TS457614 ADM457549:ADO457614 ANI457549:ANK457614 AXE457549:AXG457614 BHA457549:BHC457614 BQW457549:BQY457614 CAS457549:CAU457614 CKO457549:CKQ457614 CUK457549:CUM457614 DEG457549:DEI457614 DOC457549:DOE457614 DXY457549:DYA457614 EHU457549:EHW457614 ERQ457549:ERS457614 FBM457549:FBO457614 FLI457549:FLK457614 FVE457549:FVG457614 GFA457549:GFC457614 GOW457549:GOY457614 GYS457549:GYU457614 HIO457549:HIQ457614 HSK457549:HSM457614 ICG457549:ICI457614 IMC457549:IME457614 IVY457549:IWA457614 JFU457549:JFW457614 JPQ457549:JPS457614 JZM457549:JZO457614 KJI457549:KJK457614 KTE457549:KTG457614 LDA457549:LDC457614 LMW457549:LMY457614 LWS457549:LWU457614 MGO457549:MGQ457614 MQK457549:MQM457614 NAG457549:NAI457614 NKC457549:NKE457614 NTY457549:NUA457614 ODU457549:ODW457614 ONQ457549:ONS457614 OXM457549:OXO457614 PHI457549:PHK457614 PRE457549:PRG457614 QBA457549:QBC457614 QKW457549:QKY457614 QUS457549:QUU457614 REO457549:REQ457614 ROK457549:ROM457614 RYG457549:RYI457614 SIC457549:SIE457614 SRY457549:SSA457614 TBU457549:TBW457614 TLQ457549:TLS457614 TVM457549:TVO457614 UFI457549:UFK457614 UPE457549:UPG457614 UZA457549:UZC457614 VIW457549:VIY457614 VSS457549:VSU457614 WCO457549:WCQ457614 WMK457549:WMM457614 WWG457549:WWI457614 Y523085:AA523150 JU523085:JW523150 TQ523085:TS523150 ADM523085:ADO523150 ANI523085:ANK523150 AXE523085:AXG523150 BHA523085:BHC523150 BQW523085:BQY523150 CAS523085:CAU523150 CKO523085:CKQ523150 CUK523085:CUM523150 DEG523085:DEI523150 DOC523085:DOE523150 DXY523085:DYA523150 EHU523085:EHW523150 ERQ523085:ERS523150 FBM523085:FBO523150 FLI523085:FLK523150 FVE523085:FVG523150 GFA523085:GFC523150 GOW523085:GOY523150 GYS523085:GYU523150 HIO523085:HIQ523150 HSK523085:HSM523150 ICG523085:ICI523150 IMC523085:IME523150 IVY523085:IWA523150 JFU523085:JFW523150 JPQ523085:JPS523150 JZM523085:JZO523150 KJI523085:KJK523150 KTE523085:KTG523150 LDA523085:LDC523150 LMW523085:LMY523150 LWS523085:LWU523150 MGO523085:MGQ523150 MQK523085:MQM523150 NAG523085:NAI523150 NKC523085:NKE523150 NTY523085:NUA523150 ODU523085:ODW523150 ONQ523085:ONS523150 OXM523085:OXO523150 PHI523085:PHK523150 PRE523085:PRG523150 QBA523085:QBC523150 QKW523085:QKY523150 QUS523085:QUU523150 REO523085:REQ523150 ROK523085:ROM523150 RYG523085:RYI523150 SIC523085:SIE523150 SRY523085:SSA523150 TBU523085:TBW523150 TLQ523085:TLS523150 TVM523085:TVO523150 UFI523085:UFK523150 UPE523085:UPG523150 UZA523085:UZC523150 VIW523085:VIY523150 VSS523085:VSU523150 WCO523085:WCQ523150 WMK523085:WMM523150 WWG523085:WWI523150 Y588621:AA588686 JU588621:JW588686 TQ588621:TS588686 ADM588621:ADO588686 ANI588621:ANK588686 AXE588621:AXG588686 BHA588621:BHC588686 BQW588621:BQY588686 CAS588621:CAU588686 CKO588621:CKQ588686 CUK588621:CUM588686 DEG588621:DEI588686 DOC588621:DOE588686 DXY588621:DYA588686 EHU588621:EHW588686 ERQ588621:ERS588686 FBM588621:FBO588686 FLI588621:FLK588686 FVE588621:FVG588686 GFA588621:GFC588686 GOW588621:GOY588686 GYS588621:GYU588686 HIO588621:HIQ588686 HSK588621:HSM588686 ICG588621:ICI588686 IMC588621:IME588686 IVY588621:IWA588686 JFU588621:JFW588686 JPQ588621:JPS588686 JZM588621:JZO588686 KJI588621:KJK588686 KTE588621:KTG588686 LDA588621:LDC588686 LMW588621:LMY588686 LWS588621:LWU588686 MGO588621:MGQ588686 MQK588621:MQM588686 NAG588621:NAI588686 NKC588621:NKE588686 NTY588621:NUA588686 ODU588621:ODW588686 ONQ588621:ONS588686 OXM588621:OXO588686 PHI588621:PHK588686 PRE588621:PRG588686 QBA588621:QBC588686 QKW588621:QKY588686 QUS588621:QUU588686 REO588621:REQ588686 ROK588621:ROM588686 RYG588621:RYI588686 SIC588621:SIE588686 SRY588621:SSA588686 TBU588621:TBW588686 TLQ588621:TLS588686 TVM588621:TVO588686 UFI588621:UFK588686 UPE588621:UPG588686 UZA588621:UZC588686 VIW588621:VIY588686 VSS588621:VSU588686 WCO588621:WCQ588686 WMK588621:WMM588686 WWG588621:WWI588686 Y654157:AA654222 JU654157:JW654222 TQ654157:TS654222 ADM654157:ADO654222 ANI654157:ANK654222 AXE654157:AXG654222 BHA654157:BHC654222 BQW654157:BQY654222 CAS654157:CAU654222 CKO654157:CKQ654222 CUK654157:CUM654222 DEG654157:DEI654222 DOC654157:DOE654222 DXY654157:DYA654222 EHU654157:EHW654222 ERQ654157:ERS654222 FBM654157:FBO654222 FLI654157:FLK654222 FVE654157:FVG654222 GFA654157:GFC654222 GOW654157:GOY654222 GYS654157:GYU654222 HIO654157:HIQ654222 HSK654157:HSM654222 ICG654157:ICI654222 IMC654157:IME654222 IVY654157:IWA654222 JFU654157:JFW654222 JPQ654157:JPS654222 JZM654157:JZO654222 KJI654157:KJK654222 KTE654157:KTG654222 LDA654157:LDC654222 LMW654157:LMY654222 LWS654157:LWU654222 MGO654157:MGQ654222 MQK654157:MQM654222 NAG654157:NAI654222 NKC654157:NKE654222 NTY654157:NUA654222 ODU654157:ODW654222 ONQ654157:ONS654222 OXM654157:OXO654222 PHI654157:PHK654222 PRE654157:PRG654222 QBA654157:QBC654222 QKW654157:QKY654222 QUS654157:QUU654222 REO654157:REQ654222 ROK654157:ROM654222 RYG654157:RYI654222 SIC654157:SIE654222 SRY654157:SSA654222 TBU654157:TBW654222 TLQ654157:TLS654222 TVM654157:TVO654222 UFI654157:UFK654222 UPE654157:UPG654222 UZA654157:UZC654222 VIW654157:VIY654222 VSS654157:VSU654222 WCO654157:WCQ654222 WMK654157:WMM654222 WWG654157:WWI654222 Y719693:AA719758 JU719693:JW719758 TQ719693:TS719758 ADM719693:ADO719758 ANI719693:ANK719758 AXE719693:AXG719758 BHA719693:BHC719758 BQW719693:BQY719758 CAS719693:CAU719758 CKO719693:CKQ719758 CUK719693:CUM719758 DEG719693:DEI719758 DOC719693:DOE719758 DXY719693:DYA719758 EHU719693:EHW719758 ERQ719693:ERS719758 FBM719693:FBO719758 FLI719693:FLK719758 FVE719693:FVG719758 GFA719693:GFC719758 GOW719693:GOY719758 GYS719693:GYU719758 HIO719693:HIQ719758 HSK719693:HSM719758 ICG719693:ICI719758 IMC719693:IME719758 IVY719693:IWA719758 JFU719693:JFW719758 JPQ719693:JPS719758 JZM719693:JZO719758 KJI719693:KJK719758 KTE719693:KTG719758 LDA719693:LDC719758 LMW719693:LMY719758 LWS719693:LWU719758 MGO719693:MGQ719758 MQK719693:MQM719758 NAG719693:NAI719758 NKC719693:NKE719758 NTY719693:NUA719758 ODU719693:ODW719758 ONQ719693:ONS719758 OXM719693:OXO719758 PHI719693:PHK719758 PRE719693:PRG719758 QBA719693:QBC719758 QKW719693:QKY719758 QUS719693:QUU719758 REO719693:REQ719758 ROK719693:ROM719758 RYG719693:RYI719758 SIC719693:SIE719758 SRY719693:SSA719758 TBU719693:TBW719758 TLQ719693:TLS719758 TVM719693:TVO719758 UFI719693:UFK719758 UPE719693:UPG719758 UZA719693:UZC719758 VIW719693:VIY719758 VSS719693:VSU719758 WCO719693:WCQ719758 WMK719693:WMM719758 WWG719693:WWI719758 Y785229:AA785294 JU785229:JW785294 TQ785229:TS785294 ADM785229:ADO785294 ANI785229:ANK785294 AXE785229:AXG785294 BHA785229:BHC785294 BQW785229:BQY785294 CAS785229:CAU785294 CKO785229:CKQ785294 CUK785229:CUM785294 DEG785229:DEI785294 DOC785229:DOE785294 DXY785229:DYA785294 EHU785229:EHW785294 ERQ785229:ERS785294 FBM785229:FBO785294 FLI785229:FLK785294 FVE785229:FVG785294 GFA785229:GFC785294 GOW785229:GOY785294 GYS785229:GYU785294 HIO785229:HIQ785294 HSK785229:HSM785294 ICG785229:ICI785294 IMC785229:IME785294 IVY785229:IWA785294 JFU785229:JFW785294 JPQ785229:JPS785294 JZM785229:JZO785294 KJI785229:KJK785294 KTE785229:KTG785294 LDA785229:LDC785294 LMW785229:LMY785294 LWS785229:LWU785294 MGO785229:MGQ785294 MQK785229:MQM785294 NAG785229:NAI785294 NKC785229:NKE785294 NTY785229:NUA785294 ODU785229:ODW785294 ONQ785229:ONS785294 OXM785229:OXO785294 PHI785229:PHK785294 PRE785229:PRG785294 QBA785229:QBC785294 QKW785229:QKY785294 QUS785229:QUU785294 REO785229:REQ785294 ROK785229:ROM785294 RYG785229:RYI785294 SIC785229:SIE785294 SRY785229:SSA785294 TBU785229:TBW785294 TLQ785229:TLS785294 TVM785229:TVO785294 UFI785229:UFK785294 UPE785229:UPG785294 UZA785229:UZC785294 VIW785229:VIY785294 VSS785229:VSU785294 WCO785229:WCQ785294 WMK785229:WMM785294 WWG785229:WWI785294 Y850765:AA850830 JU850765:JW850830 TQ850765:TS850830 ADM850765:ADO850830 ANI850765:ANK850830 AXE850765:AXG850830 BHA850765:BHC850830 BQW850765:BQY850830 CAS850765:CAU850830 CKO850765:CKQ850830 CUK850765:CUM850830 DEG850765:DEI850830 DOC850765:DOE850830 DXY850765:DYA850830 EHU850765:EHW850830 ERQ850765:ERS850830 FBM850765:FBO850830 FLI850765:FLK850830 FVE850765:FVG850830 GFA850765:GFC850830 GOW850765:GOY850830 GYS850765:GYU850830 HIO850765:HIQ850830 HSK850765:HSM850830 ICG850765:ICI850830 IMC850765:IME850830 IVY850765:IWA850830 JFU850765:JFW850830 JPQ850765:JPS850830 JZM850765:JZO850830 KJI850765:KJK850830 KTE850765:KTG850830 LDA850765:LDC850830 LMW850765:LMY850830 LWS850765:LWU850830 MGO850765:MGQ850830 MQK850765:MQM850830 NAG850765:NAI850830 NKC850765:NKE850830 NTY850765:NUA850830 ODU850765:ODW850830 ONQ850765:ONS850830 OXM850765:OXO850830 PHI850765:PHK850830 PRE850765:PRG850830 QBA850765:QBC850830 QKW850765:QKY850830 QUS850765:QUU850830 REO850765:REQ850830 ROK850765:ROM850830 RYG850765:RYI850830 SIC850765:SIE850830 SRY850765:SSA850830 TBU850765:TBW850830 TLQ850765:TLS850830 TVM850765:TVO850830 UFI850765:UFK850830 UPE850765:UPG850830 UZA850765:UZC850830 VIW850765:VIY850830 VSS850765:VSU850830 WCO850765:WCQ850830 WMK850765:WMM850830 WWG850765:WWI850830 Y916301:AA916366 JU916301:JW916366 TQ916301:TS916366 ADM916301:ADO916366 ANI916301:ANK916366 AXE916301:AXG916366 BHA916301:BHC916366 BQW916301:BQY916366 CAS916301:CAU916366 CKO916301:CKQ916366 CUK916301:CUM916366 DEG916301:DEI916366 DOC916301:DOE916366 DXY916301:DYA916366 EHU916301:EHW916366 ERQ916301:ERS916366 FBM916301:FBO916366 FLI916301:FLK916366 FVE916301:FVG916366 GFA916301:GFC916366 GOW916301:GOY916366 GYS916301:GYU916366 HIO916301:HIQ916366 HSK916301:HSM916366 ICG916301:ICI916366 IMC916301:IME916366 IVY916301:IWA916366 JFU916301:JFW916366 JPQ916301:JPS916366 JZM916301:JZO916366 KJI916301:KJK916366 KTE916301:KTG916366 LDA916301:LDC916366 LMW916301:LMY916366 LWS916301:LWU916366 MGO916301:MGQ916366 MQK916301:MQM916366 NAG916301:NAI916366 NKC916301:NKE916366 NTY916301:NUA916366 ODU916301:ODW916366 ONQ916301:ONS916366 OXM916301:OXO916366 PHI916301:PHK916366 PRE916301:PRG916366 QBA916301:QBC916366 QKW916301:QKY916366 QUS916301:QUU916366 REO916301:REQ916366 ROK916301:ROM916366 RYG916301:RYI916366 SIC916301:SIE916366 SRY916301:SSA916366 TBU916301:TBW916366 TLQ916301:TLS916366 TVM916301:TVO916366 UFI916301:UFK916366 UPE916301:UPG916366 UZA916301:UZC916366 VIW916301:VIY916366 VSS916301:VSU916366 WCO916301:WCQ916366 WMK916301:WMM916366 WWG916301:WWI916366 Y981837:AA981902 JU981837:JW981902 TQ981837:TS981902 ADM981837:ADO981902 ANI981837:ANK981902 AXE981837:AXG981902 BHA981837:BHC981902 BQW981837:BQY981902 CAS981837:CAU981902 CKO981837:CKQ981902 CUK981837:CUM981902 DEG981837:DEI981902 DOC981837:DOE981902 DXY981837:DYA981902 EHU981837:EHW981902 ERQ981837:ERS981902 FBM981837:FBO981902 FLI981837:FLK981902 FVE981837:FVG981902 GFA981837:GFC981902 GOW981837:GOY981902 GYS981837:GYU981902 HIO981837:HIQ981902 HSK981837:HSM981902 ICG981837:ICI981902 IMC981837:IME981902 IVY981837:IWA981902 JFU981837:JFW981902 JPQ981837:JPS981902 JZM981837:JZO981902 KJI981837:KJK981902 KTE981837:KTG981902 LDA981837:LDC981902 LMW981837:LMY981902 LWS981837:LWU981902 MGO981837:MGQ981902 MQK981837:MQM981902 NAG981837:NAI981902 NKC981837:NKE981902 NTY981837:NUA981902 ODU981837:ODW981902 ONQ981837:ONS981902 OXM981837:OXO981902 PHI981837:PHK981902 PRE981837:PRG981902 QBA981837:QBC981902 QKW981837:QKY981902 QUS981837:QUU981902 REO981837:REQ981902 ROK981837:ROM981902 RYG981837:RYI981902 SIC981837:SIE981902 SRY981837:SSA981902 TBU981837:TBW981902 TLQ981837:TLS981902 TVM981837:TVO981902 UFI981837:UFK981902 UPE981837:UPG981902 UZA981837:UZC981902 VIW981837:VIY981902 VSS981837:VSU981902 WCO981837:WCQ981902 WMK981837:WMM981902 WWG981837:WWI981902 Y1047373:AA1047438 JU1047373:JW1047438 TQ1047373:TS1047438 ADM1047373:ADO1047438 ANI1047373:ANK1047438 AXE1047373:AXG1047438 BHA1047373:BHC1047438 BQW1047373:BQY1047438 CAS1047373:CAU1047438 CKO1047373:CKQ1047438 CUK1047373:CUM1047438 DEG1047373:DEI1047438 DOC1047373:DOE1047438 DXY1047373:DYA1047438 EHU1047373:EHW1047438 ERQ1047373:ERS1047438 FBM1047373:FBO1047438 FLI1047373:FLK1047438 FVE1047373:FVG1047438 GFA1047373:GFC1047438 GOW1047373:GOY1047438 GYS1047373:GYU1047438 HIO1047373:HIQ1047438 HSK1047373:HSM1047438 ICG1047373:ICI1047438 IMC1047373:IME1047438 IVY1047373:IWA1047438 JFU1047373:JFW1047438 JPQ1047373:JPS1047438 JZM1047373:JZO1047438 KJI1047373:KJK1047438 KTE1047373:KTG1047438 LDA1047373:LDC1047438 LMW1047373:LMY1047438 LWS1047373:LWU1047438 MGO1047373:MGQ1047438 MQK1047373:MQM1047438 NAG1047373:NAI1047438 NKC1047373:NKE1047438 NTY1047373:NUA1047438 ODU1047373:ODW1047438 ONQ1047373:ONS1047438 OXM1047373:OXO1047438 PHI1047373:PHK1047438 PRE1047373:PRG1047438 QBA1047373:QBC1047438 QKW1047373:QKY1047438 QUS1047373:QUU1047438 REO1047373:REQ1047438 ROK1047373:ROM1047438 RYG1047373:RYI1047438 SIC1047373:SIE1047438 SRY1047373:SSA1047438 TBU1047373:TBW1047438 TLQ1047373:TLS1047438 TVM1047373:TVO1047438 UFI1047373:UFK1047438 UPE1047373:UPG1047438 UZA1047373:UZC1047438 VIW1047373:VIY1047438 VSS1047373:VSU1047438 WCO1047373:WCQ1047438 WMK1047373:WMM1047438 WWG1047373:WWI1047438 WWG983012:WWI983077 Y65508:AA65573 JU65508:JW65573 TQ65508:TS65573 ADM65508:ADO65573 ANI65508:ANK65573 AXE65508:AXG65573 BHA65508:BHC65573 BQW65508:BQY65573 CAS65508:CAU65573 CKO65508:CKQ65573 CUK65508:CUM65573 DEG65508:DEI65573 DOC65508:DOE65573 DXY65508:DYA65573 EHU65508:EHW65573 ERQ65508:ERS65573 FBM65508:FBO65573 FLI65508:FLK65573 FVE65508:FVG65573 GFA65508:GFC65573 GOW65508:GOY65573 GYS65508:GYU65573 HIO65508:HIQ65573 HSK65508:HSM65573 ICG65508:ICI65573 IMC65508:IME65573 IVY65508:IWA65573 JFU65508:JFW65573 JPQ65508:JPS65573 JZM65508:JZO65573 KJI65508:KJK65573 KTE65508:KTG65573 LDA65508:LDC65573 LMW65508:LMY65573 LWS65508:LWU65573 MGO65508:MGQ65573 MQK65508:MQM65573 NAG65508:NAI65573 NKC65508:NKE65573 NTY65508:NUA65573 ODU65508:ODW65573 ONQ65508:ONS65573 OXM65508:OXO65573 PHI65508:PHK65573 PRE65508:PRG65573 QBA65508:QBC65573 QKW65508:QKY65573 QUS65508:QUU65573 REO65508:REQ65573 ROK65508:ROM65573 RYG65508:RYI65573 SIC65508:SIE65573 SRY65508:SSA65573 TBU65508:TBW65573 TLQ65508:TLS65573 TVM65508:TVO65573 UFI65508:UFK65573 UPE65508:UPG65573 UZA65508:UZC65573 VIW65508:VIY65573 VSS65508:VSU65573 WCO65508:WCQ65573 WMK65508:WMM65573 WWG65508:WWI65573 Y131044:AA131109 JU131044:JW131109 TQ131044:TS131109 ADM131044:ADO131109 ANI131044:ANK131109 AXE131044:AXG131109 BHA131044:BHC131109 BQW131044:BQY131109 CAS131044:CAU131109 CKO131044:CKQ131109 CUK131044:CUM131109 DEG131044:DEI131109 DOC131044:DOE131109 DXY131044:DYA131109 EHU131044:EHW131109 ERQ131044:ERS131109 FBM131044:FBO131109 FLI131044:FLK131109 FVE131044:FVG131109 GFA131044:GFC131109 GOW131044:GOY131109 GYS131044:GYU131109 HIO131044:HIQ131109 HSK131044:HSM131109 ICG131044:ICI131109 IMC131044:IME131109 IVY131044:IWA131109 JFU131044:JFW131109 JPQ131044:JPS131109 JZM131044:JZO131109 KJI131044:KJK131109 KTE131044:KTG131109 LDA131044:LDC131109 LMW131044:LMY131109 LWS131044:LWU131109 MGO131044:MGQ131109 MQK131044:MQM131109 NAG131044:NAI131109 NKC131044:NKE131109 NTY131044:NUA131109 ODU131044:ODW131109 ONQ131044:ONS131109 OXM131044:OXO131109 PHI131044:PHK131109 PRE131044:PRG131109 QBA131044:QBC131109 QKW131044:QKY131109 QUS131044:QUU131109 REO131044:REQ131109 ROK131044:ROM131109 RYG131044:RYI131109 SIC131044:SIE131109 SRY131044:SSA131109 TBU131044:TBW131109 TLQ131044:TLS131109 TVM131044:TVO131109 UFI131044:UFK131109 UPE131044:UPG131109 UZA131044:UZC131109 VIW131044:VIY131109 VSS131044:VSU131109 WCO131044:WCQ131109 WMK131044:WMM131109 WWG131044:WWI131109 Y196580:AA196645 JU196580:JW196645 TQ196580:TS196645 ADM196580:ADO196645 ANI196580:ANK196645 AXE196580:AXG196645 BHA196580:BHC196645 BQW196580:BQY196645 CAS196580:CAU196645 CKO196580:CKQ196645 CUK196580:CUM196645 DEG196580:DEI196645 DOC196580:DOE196645 DXY196580:DYA196645 EHU196580:EHW196645 ERQ196580:ERS196645 FBM196580:FBO196645 FLI196580:FLK196645 FVE196580:FVG196645 GFA196580:GFC196645 GOW196580:GOY196645 GYS196580:GYU196645 HIO196580:HIQ196645 HSK196580:HSM196645 ICG196580:ICI196645 IMC196580:IME196645 IVY196580:IWA196645 JFU196580:JFW196645 JPQ196580:JPS196645 JZM196580:JZO196645 KJI196580:KJK196645 KTE196580:KTG196645 LDA196580:LDC196645 LMW196580:LMY196645 LWS196580:LWU196645 MGO196580:MGQ196645 MQK196580:MQM196645 NAG196580:NAI196645 NKC196580:NKE196645 NTY196580:NUA196645 ODU196580:ODW196645 ONQ196580:ONS196645 OXM196580:OXO196645 PHI196580:PHK196645 PRE196580:PRG196645 QBA196580:QBC196645 QKW196580:QKY196645 QUS196580:QUU196645 REO196580:REQ196645 ROK196580:ROM196645 RYG196580:RYI196645 SIC196580:SIE196645 SRY196580:SSA196645 TBU196580:TBW196645 TLQ196580:TLS196645 TVM196580:TVO196645 UFI196580:UFK196645 UPE196580:UPG196645 UZA196580:UZC196645 VIW196580:VIY196645 VSS196580:VSU196645 WCO196580:WCQ196645 WMK196580:WMM196645 WWG196580:WWI196645 Y262116:AA262181 JU262116:JW262181 TQ262116:TS262181 ADM262116:ADO262181 ANI262116:ANK262181 AXE262116:AXG262181 BHA262116:BHC262181 BQW262116:BQY262181 CAS262116:CAU262181 CKO262116:CKQ262181 CUK262116:CUM262181 DEG262116:DEI262181 DOC262116:DOE262181 DXY262116:DYA262181 EHU262116:EHW262181 ERQ262116:ERS262181 FBM262116:FBO262181 FLI262116:FLK262181 FVE262116:FVG262181 GFA262116:GFC262181 GOW262116:GOY262181 GYS262116:GYU262181 HIO262116:HIQ262181 HSK262116:HSM262181 ICG262116:ICI262181 IMC262116:IME262181 IVY262116:IWA262181 JFU262116:JFW262181 JPQ262116:JPS262181 JZM262116:JZO262181 KJI262116:KJK262181 KTE262116:KTG262181 LDA262116:LDC262181 LMW262116:LMY262181 LWS262116:LWU262181 MGO262116:MGQ262181 MQK262116:MQM262181 NAG262116:NAI262181 NKC262116:NKE262181 NTY262116:NUA262181 ODU262116:ODW262181 ONQ262116:ONS262181 OXM262116:OXO262181 PHI262116:PHK262181 PRE262116:PRG262181 QBA262116:QBC262181 QKW262116:QKY262181 QUS262116:QUU262181 REO262116:REQ262181 ROK262116:ROM262181 RYG262116:RYI262181 SIC262116:SIE262181 SRY262116:SSA262181 TBU262116:TBW262181 TLQ262116:TLS262181 TVM262116:TVO262181 UFI262116:UFK262181 UPE262116:UPG262181 UZA262116:UZC262181 VIW262116:VIY262181 VSS262116:VSU262181 WCO262116:WCQ262181 WMK262116:WMM262181 WWG262116:WWI262181 Y327652:AA327717 JU327652:JW327717 TQ327652:TS327717 ADM327652:ADO327717 ANI327652:ANK327717 AXE327652:AXG327717 BHA327652:BHC327717 BQW327652:BQY327717 CAS327652:CAU327717 CKO327652:CKQ327717 CUK327652:CUM327717 DEG327652:DEI327717 DOC327652:DOE327717 DXY327652:DYA327717 EHU327652:EHW327717 ERQ327652:ERS327717 FBM327652:FBO327717 FLI327652:FLK327717 FVE327652:FVG327717 GFA327652:GFC327717 GOW327652:GOY327717 GYS327652:GYU327717 HIO327652:HIQ327717 HSK327652:HSM327717 ICG327652:ICI327717 IMC327652:IME327717 IVY327652:IWA327717 JFU327652:JFW327717 JPQ327652:JPS327717 JZM327652:JZO327717 KJI327652:KJK327717 KTE327652:KTG327717 LDA327652:LDC327717 LMW327652:LMY327717 LWS327652:LWU327717 MGO327652:MGQ327717 MQK327652:MQM327717 NAG327652:NAI327717 NKC327652:NKE327717 NTY327652:NUA327717 ODU327652:ODW327717 ONQ327652:ONS327717 OXM327652:OXO327717 PHI327652:PHK327717 PRE327652:PRG327717 QBA327652:QBC327717 QKW327652:QKY327717 QUS327652:QUU327717 REO327652:REQ327717 ROK327652:ROM327717 RYG327652:RYI327717 SIC327652:SIE327717 SRY327652:SSA327717 TBU327652:TBW327717 TLQ327652:TLS327717 TVM327652:TVO327717 UFI327652:UFK327717 UPE327652:UPG327717 UZA327652:UZC327717 VIW327652:VIY327717 VSS327652:VSU327717 WCO327652:WCQ327717 WMK327652:WMM327717 WWG327652:WWI327717 Y393188:AA393253 JU393188:JW393253 TQ393188:TS393253 ADM393188:ADO393253 ANI393188:ANK393253 AXE393188:AXG393253 BHA393188:BHC393253 BQW393188:BQY393253 CAS393188:CAU393253 CKO393188:CKQ393253 CUK393188:CUM393253 DEG393188:DEI393253 DOC393188:DOE393253 DXY393188:DYA393253 EHU393188:EHW393253 ERQ393188:ERS393253 FBM393188:FBO393253 FLI393188:FLK393253 FVE393188:FVG393253 GFA393188:GFC393253 GOW393188:GOY393253 GYS393188:GYU393253 HIO393188:HIQ393253 HSK393188:HSM393253 ICG393188:ICI393253 IMC393188:IME393253 IVY393188:IWA393253 JFU393188:JFW393253 JPQ393188:JPS393253 JZM393188:JZO393253 KJI393188:KJK393253 KTE393188:KTG393253 LDA393188:LDC393253 LMW393188:LMY393253 LWS393188:LWU393253 MGO393188:MGQ393253 MQK393188:MQM393253 NAG393188:NAI393253 NKC393188:NKE393253 NTY393188:NUA393253 ODU393188:ODW393253 ONQ393188:ONS393253 OXM393188:OXO393253 PHI393188:PHK393253 PRE393188:PRG393253 QBA393188:QBC393253 QKW393188:QKY393253 QUS393188:QUU393253 REO393188:REQ393253 ROK393188:ROM393253 RYG393188:RYI393253 SIC393188:SIE393253 SRY393188:SSA393253 TBU393188:TBW393253 TLQ393188:TLS393253 TVM393188:TVO393253 UFI393188:UFK393253 UPE393188:UPG393253 UZA393188:UZC393253 VIW393188:VIY393253 VSS393188:VSU393253 WCO393188:WCQ393253 WMK393188:WMM393253 WWG393188:WWI393253 Y458724:AA458789 JU458724:JW458789 TQ458724:TS458789 ADM458724:ADO458789 ANI458724:ANK458789 AXE458724:AXG458789 BHA458724:BHC458789 BQW458724:BQY458789 CAS458724:CAU458789 CKO458724:CKQ458789 CUK458724:CUM458789 DEG458724:DEI458789 DOC458724:DOE458789 DXY458724:DYA458789 EHU458724:EHW458789 ERQ458724:ERS458789 FBM458724:FBO458789 FLI458724:FLK458789 FVE458724:FVG458789 GFA458724:GFC458789 GOW458724:GOY458789 GYS458724:GYU458789 HIO458724:HIQ458789 HSK458724:HSM458789 ICG458724:ICI458789 IMC458724:IME458789 IVY458724:IWA458789 JFU458724:JFW458789 JPQ458724:JPS458789 JZM458724:JZO458789 KJI458724:KJK458789 KTE458724:KTG458789 LDA458724:LDC458789 LMW458724:LMY458789 LWS458724:LWU458789 MGO458724:MGQ458789 MQK458724:MQM458789 NAG458724:NAI458789 NKC458724:NKE458789 NTY458724:NUA458789 ODU458724:ODW458789 ONQ458724:ONS458789 OXM458724:OXO458789 PHI458724:PHK458789 PRE458724:PRG458789 QBA458724:QBC458789 QKW458724:QKY458789 QUS458724:QUU458789 REO458724:REQ458789 ROK458724:ROM458789 RYG458724:RYI458789 SIC458724:SIE458789 SRY458724:SSA458789 TBU458724:TBW458789 TLQ458724:TLS458789 TVM458724:TVO458789 UFI458724:UFK458789 UPE458724:UPG458789 UZA458724:UZC458789 VIW458724:VIY458789 VSS458724:VSU458789 WCO458724:WCQ458789 WMK458724:WMM458789 WWG458724:WWI458789 Y524260:AA524325 JU524260:JW524325 TQ524260:TS524325 ADM524260:ADO524325 ANI524260:ANK524325 AXE524260:AXG524325 BHA524260:BHC524325 BQW524260:BQY524325 CAS524260:CAU524325 CKO524260:CKQ524325 CUK524260:CUM524325 DEG524260:DEI524325 DOC524260:DOE524325 DXY524260:DYA524325 EHU524260:EHW524325 ERQ524260:ERS524325 FBM524260:FBO524325 FLI524260:FLK524325 FVE524260:FVG524325 GFA524260:GFC524325 GOW524260:GOY524325 GYS524260:GYU524325 HIO524260:HIQ524325 HSK524260:HSM524325 ICG524260:ICI524325 IMC524260:IME524325 IVY524260:IWA524325 JFU524260:JFW524325 JPQ524260:JPS524325 JZM524260:JZO524325 KJI524260:KJK524325 KTE524260:KTG524325 LDA524260:LDC524325 LMW524260:LMY524325 LWS524260:LWU524325 MGO524260:MGQ524325 MQK524260:MQM524325 NAG524260:NAI524325 NKC524260:NKE524325 NTY524260:NUA524325 ODU524260:ODW524325 ONQ524260:ONS524325 OXM524260:OXO524325 PHI524260:PHK524325 PRE524260:PRG524325 QBA524260:QBC524325 QKW524260:QKY524325 QUS524260:QUU524325 REO524260:REQ524325 ROK524260:ROM524325 RYG524260:RYI524325 SIC524260:SIE524325 SRY524260:SSA524325 TBU524260:TBW524325 TLQ524260:TLS524325 TVM524260:TVO524325 UFI524260:UFK524325 UPE524260:UPG524325 UZA524260:UZC524325 VIW524260:VIY524325 VSS524260:VSU524325 WCO524260:WCQ524325 WMK524260:WMM524325 WWG524260:WWI524325 Y589796:AA589861 JU589796:JW589861 TQ589796:TS589861 ADM589796:ADO589861 ANI589796:ANK589861 AXE589796:AXG589861 BHA589796:BHC589861 BQW589796:BQY589861 CAS589796:CAU589861 CKO589796:CKQ589861 CUK589796:CUM589861 DEG589796:DEI589861 DOC589796:DOE589861 DXY589796:DYA589861 EHU589796:EHW589861 ERQ589796:ERS589861 FBM589796:FBO589861 FLI589796:FLK589861 FVE589796:FVG589861 GFA589796:GFC589861 GOW589796:GOY589861 GYS589796:GYU589861 HIO589796:HIQ589861 HSK589796:HSM589861 ICG589796:ICI589861 IMC589796:IME589861 IVY589796:IWA589861 JFU589796:JFW589861 JPQ589796:JPS589861 JZM589796:JZO589861 KJI589796:KJK589861 KTE589796:KTG589861 LDA589796:LDC589861 LMW589796:LMY589861 LWS589796:LWU589861 MGO589796:MGQ589861 MQK589796:MQM589861 NAG589796:NAI589861 NKC589796:NKE589861 NTY589796:NUA589861 ODU589796:ODW589861 ONQ589796:ONS589861 OXM589796:OXO589861 PHI589796:PHK589861 PRE589796:PRG589861 QBA589796:QBC589861 QKW589796:QKY589861 QUS589796:QUU589861 REO589796:REQ589861 ROK589796:ROM589861 RYG589796:RYI589861 SIC589796:SIE589861 SRY589796:SSA589861 TBU589796:TBW589861 TLQ589796:TLS589861 TVM589796:TVO589861 UFI589796:UFK589861 UPE589796:UPG589861 UZA589796:UZC589861 VIW589796:VIY589861 VSS589796:VSU589861 WCO589796:WCQ589861 WMK589796:WMM589861 WWG589796:WWI589861 Y655332:AA655397 JU655332:JW655397 TQ655332:TS655397 ADM655332:ADO655397 ANI655332:ANK655397 AXE655332:AXG655397 BHA655332:BHC655397 BQW655332:BQY655397 CAS655332:CAU655397 CKO655332:CKQ655397 CUK655332:CUM655397 DEG655332:DEI655397 DOC655332:DOE655397 DXY655332:DYA655397 EHU655332:EHW655397 ERQ655332:ERS655397 FBM655332:FBO655397 FLI655332:FLK655397 FVE655332:FVG655397 GFA655332:GFC655397 GOW655332:GOY655397 GYS655332:GYU655397 HIO655332:HIQ655397 HSK655332:HSM655397 ICG655332:ICI655397 IMC655332:IME655397 IVY655332:IWA655397 JFU655332:JFW655397 JPQ655332:JPS655397 JZM655332:JZO655397 KJI655332:KJK655397 KTE655332:KTG655397 LDA655332:LDC655397 LMW655332:LMY655397 LWS655332:LWU655397 MGO655332:MGQ655397 MQK655332:MQM655397 NAG655332:NAI655397 NKC655332:NKE655397 NTY655332:NUA655397 ODU655332:ODW655397 ONQ655332:ONS655397 OXM655332:OXO655397 PHI655332:PHK655397 PRE655332:PRG655397 QBA655332:QBC655397 QKW655332:QKY655397 QUS655332:QUU655397 REO655332:REQ655397 ROK655332:ROM655397 RYG655332:RYI655397 SIC655332:SIE655397 SRY655332:SSA655397 TBU655332:TBW655397 TLQ655332:TLS655397 TVM655332:TVO655397 UFI655332:UFK655397 UPE655332:UPG655397 UZA655332:UZC655397 VIW655332:VIY655397 VSS655332:VSU655397 WCO655332:WCQ655397 WMK655332:WMM655397 WWG655332:WWI655397 Y720868:AA720933 JU720868:JW720933 TQ720868:TS720933 ADM720868:ADO720933 ANI720868:ANK720933 AXE720868:AXG720933 BHA720868:BHC720933 BQW720868:BQY720933 CAS720868:CAU720933 CKO720868:CKQ720933 CUK720868:CUM720933 DEG720868:DEI720933 DOC720868:DOE720933 DXY720868:DYA720933 EHU720868:EHW720933 ERQ720868:ERS720933 FBM720868:FBO720933 FLI720868:FLK720933 FVE720868:FVG720933 GFA720868:GFC720933 GOW720868:GOY720933 GYS720868:GYU720933 HIO720868:HIQ720933 HSK720868:HSM720933 ICG720868:ICI720933 IMC720868:IME720933 IVY720868:IWA720933 JFU720868:JFW720933 JPQ720868:JPS720933 JZM720868:JZO720933 KJI720868:KJK720933 KTE720868:KTG720933 LDA720868:LDC720933 LMW720868:LMY720933 LWS720868:LWU720933 MGO720868:MGQ720933 MQK720868:MQM720933 NAG720868:NAI720933 NKC720868:NKE720933 NTY720868:NUA720933 ODU720868:ODW720933 ONQ720868:ONS720933 OXM720868:OXO720933 PHI720868:PHK720933 PRE720868:PRG720933 QBA720868:QBC720933 QKW720868:QKY720933 QUS720868:QUU720933 REO720868:REQ720933 ROK720868:ROM720933 RYG720868:RYI720933 SIC720868:SIE720933 SRY720868:SSA720933 TBU720868:TBW720933 TLQ720868:TLS720933 TVM720868:TVO720933 UFI720868:UFK720933 UPE720868:UPG720933 UZA720868:UZC720933 VIW720868:VIY720933 VSS720868:VSU720933 WCO720868:WCQ720933 WMK720868:WMM720933 WWG720868:WWI720933 Y786404:AA786469 JU786404:JW786469 TQ786404:TS786469 ADM786404:ADO786469 ANI786404:ANK786469 AXE786404:AXG786469 BHA786404:BHC786469 BQW786404:BQY786469 CAS786404:CAU786469 CKO786404:CKQ786469 CUK786404:CUM786469 DEG786404:DEI786469 DOC786404:DOE786469 DXY786404:DYA786469 EHU786404:EHW786469 ERQ786404:ERS786469 FBM786404:FBO786469 FLI786404:FLK786469 FVE786404:FVG786469 GFA786404:GFC786469 GOW786404:GOY786469 GYS786404:GYU786469 HIO786404:HIQ786469 HSK786404:HSM786469 ICG786404:ICI786469 IMC786404:IME786469 IVY786404:IWA786469 JFU786404:JFW786469 JPQ786404:JPS786469 JZM786404:JZO786469 KJI786404:KJK786469 KTE786404:KTG786469 LDA786404:LDC786469 LMW786404:LMY786469 LWS786404:LWU786469 MGO786404:MGQ786469 MQK786404:MQM786469 NAG786404:NAI786469 NKC786404:NKE786469 NTY786404:NUA786469 ODU786404:ODW786469 ONQ786404:ONS786469 OXM786404:OXO786469 PHI786404:PHK786469 PRE786404:PRG786469 QBA786404:QBC786469 QKW786404:QKY786469 QUS786404:QUU786469 REO786404:REQ786469 ROK786404:ROM786469 RYG786404:RYI786469 SIC786404:SIE786469 SRY786404:SSA786469 TBU786404:TBW786469 TLQ786404:TLS786469 TVM786404:TVO786469 UFI786404:UFK786469 UPE786404:UPG786469 UZA786404:UZC786469 VIW786404:VIY786469 VSS786404:VSU786469 WCO786404:WCQ786469 WMK786404:WMM786469 WWG786404:WWI786469 Y851940:AA852005 JU851940:JW852005 TQ851940:TS852005 ADM851940:ADO852005 ANI851940:ANK852005 AXE851940:AXG852005 BHA851940:BHC852005 BQW851940:BQY852005 CAS851940:CAU852005 CKO851940:CKQ852005 CUK851940:CUM852005 DEG851940:DEI852005 DOC851940:DOE852005 DXY851940:DYA852005 EHU851940:EHW852005 ERQ851940:ERS852005 FBM851940:FBO852005 FLI851940:FLK852005 FVE851940:FVG852005 GFA851940:GFC852005 GOW851940:GOY852005 GYS851940:GYU852005 HIO851940:HIQ852005 HSK851940:HSM852005 ICG851940:ICI852005 IMC851940:IME852005 IVY851940:IWA852005 JFU851940:JFW852005 JPQ851940:JPS852005 JZM851940:JZO852005 KJI851940:KJK852005 KTE851940:KTG852005 LDA851940:LDC852005 LMW851940:LMY852005 LWS851940:LWU852005 MGO851940:MGQ852005 MQK851940:MQM852005 NAG851940:NAI852005 NKC851940:NKE852005 NTY851940:NUA852005 ODU851940:ODW852005 ONQ851940:ONS852005 OXM851940:OXO852005 PHI851940:PHK852005 PRE851940:PRG852005 QBA851940:QBC852005 QKW851940:QKY852005 QUS851940:QUU852005 REO851940:REQ852005 ROK851940:ROM852005 RYG851940:RYI852005 SIC851940:SIE852005 SRY851940:SSA852005 TBU851940:TBW852005 TLQ851940:TLS852005 TVM851940:TVO852005 UFI851940:UFK852005 UPE851940:UPG852005 UZA851940:UZC852005 VIW851940:VIY852005 VSS851940:VSU852005 WCO851940:WCQ852005 WMK851940:WMM852005 WWG851940:WWI852005 Y917476:AA917541 JU917476:JW917541 TQ917476:TS917541 ADM917476:ADO917541 ANI917476:ANK917541 AXE917476:AXG917541 BHA917476:BHC917541 BQW917476:BQY917541 CAS917476:CAU917541 CKO917476:CKQ917541 CUK917476:CUM917541 DEG917476:DEI917541 DOC917476:DOE917541 DXY917476:DYA917541 EHU917476:EHW917541 ERQ917476:ERS917541 FBM917476:FBO917541 FLI917476:FLK917541 FVE917476:FVG917541 GFA917476:GFC917541 GOW917476:GOY917541 GYS917476:GYU917541 HIO917476:HIQ917541 HSK917476:HSM917541 ICG917476:ICI917541 IMC917476:IME917541 IVY917476:IWA917541 JFU917476:JFW917541 JPQ917476:JPS917541 JZM917476:JZO917541 KJI917476:KJK917541 KTE917476:KTG917541 LDA917476:LDC917541 LMW917476:LMY917541 LWS917476:LWU917541 MGO917476:MGQ917541 MQK917476:MQM917541 NAG917476:NAI917541 NKC917476:NKE917541 NTY917476:NUA917541 ODU917476:ODW917541 ONQ917476:ONS917541 OXM917476:OXO917541 PHI917476:PHK917541 PRE917476:PRG917541 QBA917476:QBC917541 QKW917476:QKY917541 QUS917476:QUU917541 REO917476:REQ917541 ROK917476:ROM917541 RYG917476:RYI917541 SIC917476:SIE917541 SRY917476:SSA917541 TBU917476:TBW917541 TLQ917476:TLS917541 TVM917476:TVO917541 UFI917476:UFK917541 UPE917476:UPG917541 UZA917476:UZC917541 VIW917476:VIY917541 VSS917476:VSU917541 WCO917476:WCQ917541 WMK917476:WMM917541 WWG917476:WWI917541 Y983012:AA983077 JU983012:JW983077 TQ983012:TS983077 ADM983012:ADO983077 ANI983012:ANK983077 AXE983012:AXG983077 BHA983012:BHC983077 BQW983012:BQY983077 CAS983012:CAU983077 CKO983012:CKQ983077 CUK983012:CUM983077 DEG983012:DEI983077 DOC983012:DOE983077 DXY983012:DYA983077 EHU983012:EHW983077 ERQ983012:ERS983077 FBM983012:FBO983077 FLI983012:FLK983077 FVE983012:FVG983077 GFA983012:GFC983077 GOW983012:GOY983077 GYS983012:GYU983077 HIO983012:HIQ983077 HSK983012:HSM983077 ICG983012:ICI983077 IMC983012:IME983077 IVY983012:IWA983077 JFU983012:JFW983077 JPQ983012:JPS983077 JZM983012:JZO983077 KJI983012:KJK983077 KTE983012:KTG983077 LDA983012:LDC983077 LMW983012:LMY983077 LWS983012:LWU983077 MGO983012:MGQ983077 MQK983012:MQM983077 NAG983012:NAI983077 NKC983012:NKE983077 NTY983012:NUA983077 ODU983012:ODW983077 ONQ983012:ONS983077 OXM983012:OXO983077 PHI983012:PHK983077 PRE983012:PRG983077 QBA983012:QBC983077 QKW983012:QKY983077 QUS983012:QUU983077 REO983012:REQ983077 ROK983012:ROM983077 RYG983012:RYI983077 SIC983012:SIE983077 SRY983012:SSA983077 TBU983012:TBW983077 TLQ983012:TLS983077 TVM983012:TVO983077 UFI983012:UFK983077 UPE983012:UPG983077 UZA983012:UZC983077 VIW983012:VIY983077 VSS983012:VSU983077 WCO983012:WCQ983077 WMK983012:WMM983077 WWG2:WWI57 JU2:JW57 TQ2:TS57 ADM2:ADO57 ANI2:ANK57 AXE2:AXG57 BHA2:BHC57 BQW2:BQY57 CAS2:CAU57 CKO2:CKQ57 CUK2:CUM57 DEG2:DEI57 DOC2:DOE57 DXY2:DYA57 EHU2:EHW57 ERQ2:ERS57 FBM2:FBO57 FLI2:FLK57 FVE2:FVG57 GFA2:GFC57 GOW2:GOY57 GYS2:GYU57 HIO2:HIQ57 HSK2:HSM57 ICG2:ICI57 IMC2:IME57 IVY2:IWA57 JFU2:JFW57 JPQ2:JPS57 JZM2:JZO57 KJI2:KJK57 KTE2:KTG57 LDA2:LDC57 LMW2:LMY57 LWS2:LWU57 MGO2:MGQ57 MQK2:MQM57 NAG2:NAI57 NKC2:NKE57 NTY2:NUA57 ODU2:ODW57 ONQ2:ONS57 OXM2:OXO57 PHI2:PHK57 PRE2:PRG57 QBA2:QBC57 QKW2:QKY57 QUS2:QUU57 REO2:REQ57 ROK2:ROM57 RYG2:RYI57 SIC2:SIE57 SRY2:SSA57 TBU2:TBW57 TLQ2:TLS57 TVM2:TVO57 UFI2:UFK57 UPE2:UPG57 UZA2:UZC57 VIW2:VIY57 VSS2:VSU57 WCO2:WCQ57 WMK2:WMM57" xr:uid="{ECB089D5-385C-406A-9C27-FA8E30AE8656}">
      <formula1>$AV$2:$AV$20</formula1>
    </dataValidation>
    <dataValidation type="list" allowBlank="1" showInputMessage="1" showErrorMessage="1" sqref="H64333:H64398 JD64333:JD64398 SZ64333:SZ64398 ACV64333:ACV64398 AMR64333:AMR64398 AWN64333:AWN64398 BGJ64333:BGJ64398 BQF64333:BQF64398 CAB64333:CAB64398 CJX64333:CJX64398 CTT64333:CTT64398 DDP64333:DDP64398 DNL64333:DNL64398 DXH64333:DXH64398 EHD64333:EHD64398 EQZ64333:EQZ64398 FAV64333:FAV64398 FKR64333:FKR64398 FUN64333:FUN64398 GEJ64333:GEJ64398 GOF64333:GOF64398 GYB64333:GYB64398 HHX64333:HHX64398 HRT64333:HRT64398 IBP64333:IBP64398 ILL64333:ILL64398 IVH64333:IVH64398 JFD64333:JFD64398 JOZ64333:JOZ64398 JYV64333:JYV64398 KIR64333:KIR64398 KSN64333:KSN64398 LCJ64333:LCJ64398 LMF64333:LMF64398 LWB64333:LWB64398 MFX64333:MFX64398 MPT64333:MPT64398 MZP64333:MZP64398 NJL64333:NJL64398 NTH64333:NTH64398 ODD64333:ODD64398 OMZ64333:OMZ64398 OWV64333:OWV64398 PGR64333:PGR64398 PQN64333:PQN64398 QAJ64333:QAJ64398 QKF64333:QKF64398 QUB64333:QUB64398 RDX64333:RDX64398 RNT64333:RNT64398 RXP64333:RXP64398 SHL64333:SHL64398 SRH64333:SRH64398 TBD64333:TBD64398 TKZ64333:TKZ64398 TUV64333:TUV64398 UER64333:UER64398 UON64333:UON64398 UYJ64333:UYJ64398 VIF64333:VIF64398 VSB64333:VSB64398 WBX64333:WBX64398 WLT64333:WLT64398 WVP64333:WVP64398 H129869:H129934 JD129869:JD129934 SZ129869:SZ129934 ACV129869:ACV129934 AMR129869:AMR129934 AWN129869:AWN129934 BGJ129869:BGJ129934 BQF129869:BQF129934 CAB129869:CAB129934 CJX129869:CJX129934 CTT129869:CTT129934 DDP129869:DDP129934 DNL129869:DNL129934 DXH129869:DXH129934 EHD129869:EHD129934 EQZ129869:EQZ129934 FAV129869:FAV129934 FKR129869:FKR129934 FUN129869:FUN129934 GEJ129869:GEJ129934 GOF129869:GOF129934 GYB129869:GYB129934 HHX129869:HHX129934 HRT129869:HRT129934 IBP129869:IBP129934 ILL129869:ILL129934 IVH129869:IVH129934 JFD129869:JFD129934 JOZ129869:JOZ129934 JYV129869:JYV129934 KIR129869:KIR129934 KSN129869:KSN129934 LCJ129869:LCJ129934 LMF129869:LMF129934 LWB129869:LWB129934 MFX129869:MFX129934 MPT129869:MPT129934 MZP129869:MZP129934 NJL129869:NJL129934 NTH129869:NTH129934 ODD129869:ODD129934 OMZ129869:OMZ129934 OWV129869:OWV129934 PGR129869:PGR129934 PQN129869:PQN129934 QAJ129869:QAJ129934 QKF129869:QKF129934 QUB129869:QUB129934 RDX129869:RDX129934 RNT129869:RNT129934 RXP129869:RXP129934 SHL129869:SHL129934 SRH129869:SRH129934 TBD129869:TBD129934 TKZ129869:TKZ129934 TUV129869:TUV129934 UER129869:UER129934 UON129869:UON129934 UYJ129869:UYJ129934 VIF129869:VIF129934 VSB129869:VSB129934 WBX129869:WBX129934 WLT129869:WLT129934 WVP129869:WVP129934 H195405:H195470 JD195405:JD195470 SZ195405:SZ195470 ACV195405:ACV195470 AMR195405:AMR195470 AWN195405:AWN195470 BGJ195405:BGJ195470 BQF195405:BQF195470 CAB195405:CAB195470 CJX195405:CJX195470 CTT195405:CTT195470 DDP195405:DDP195470 DNL195405:DNL195470 DXH195405:DXH195470 EHD195405:EHD195470 EQZ195405:EQZ195470 FAV195405:FAV195470 FKR195405:FKR195470 FUN195405:FUN195470 GEJ195405:GEJ195470 GOF195405:GOF195470 GYB195405:GYB195470 HHX195405:HHX195470 HRT195405:HRT195470 IBP195405:IBP195470 ILL195405:ILL195470 IVH195405:IVH195470 JFD195405:JFD195470 JOZ195405:JOZ195470 JYV195405:JYV195470 KIR195405:KIR195470 KSN195405:KSN195470 LCJ195405:LCJ195470 LMF195405:LMF195470 LWB195405:LWB195470 MFX195405:MFX195470 MPT195405:MPT195470 MZP195405:MZP195470 NJL195405:NJL195470 NTH195405:NTH195470 ODD195405:ODD195470 OMZ195405:OMZ195470 OWV195405:OWV195470 PGR195405:PGR195470 PQN195405:PQN195470 QAJ195405:QAJ195470 QKF195405:QKF195470 QUB195405:QUB195470 RDX195405:RDX195470 RNT195405:RNT195470 RXP195405:RXP195470 SHL195405:SHL195470 SRH195405:SRH195470 TBD195405:TBD195470 TKZ195405:TKZ195470 TUV195405:TUV195470 UER195405:UER195470 UON195405:UON195470 UYJ195405:UYJ195470 VIF195405:VIF195470 VSB195405:VSB195470 WBX195405:WBX195470 WLT195405:WLT195470 WVP195405:WVP195470 H260941:H261006 JD260941:JD261006 SZ260941:SZ261006 ACV260941:ACV261006 AMR260941:AMR261006 AWN260941:AWN261006 BGJ260941:BGJ261006 BQF260941:BQF261006 CAB260941:CAB261006 CJX260941:CJX261006 CTT260941:CTT261006 DDP260941:DDP261006 DNL260941:DNL261006 DXH260941:DXH261006 EHD260941:EHD261006 EQZ260941:EQZ261006 FAV260941:FAV261006 FKR260941:FKR261006 FUN260941:FUN261006 GEJ260941:GEJ261006 GOF260941:GOF261006 GYB260941:GYB261006 HHX260941:HHX261006 HRT260941:HRT261006 IBP260941:IBP261006 ILL260941:ILL261006 IVH260941:IVH261006 JFD260941:JFD261006 JOZ260941:JOZ261006 JYV260941:JYV261006 KIR260941:KIR261006 KSN260941:KSN261006 LCJ260941:LCJ261006 LMF260941:LMF261006 LWB260941:LWB261006 MFX260941:MFX261006 MPT260941:MPT261006 MZP260941:MZP261006 NJL260941:NJL261006 NTH260941:NTH261006 ODD260941:ODD261006 OMZ260941:OMZ261006 OWV260941:OWV261006 PGR260941:PGR261006 PQN260941:PQN261006 QAJ260941:QAJ261006 QKF260941:QKF261006 QUB260941:QUB261006 RDX260941:RDX261006 RNT260941:RNT261006 RXP260941:RXP261006 SHL260941:SHL261006 SRH260941:SRH261006 TBD260941:TBD261006 TKZ260941:TKZ261006 TUV260941:TUV261006 UER260941:UER261006 UON260941:UON261006 UYJ260941:UYJ261006 VIF260941:VIF261006 VSB260941:VSB261006 WBX260941:WBX261006 WLT260941:WLT261006 WVP260941:WVP261006 H326477:H326542 JD326477:JD326542 SZ326477:SZ326542 ACV326477:ACV326542 AMR326477:AMR326542 AWN326477:AWN326542 BGJ326477:BGJ326542 BQF326477:BQF326542 CAB326477:CAB326542 CJX326477:CJX326542 CTT326477:CTT326542 DDP326477:DDP326542 DNL326477:DNL326542 DXH326477:DXH326542 EHD326477:EHD326542 EQZ326477:EQZ326542 FAV326477:FAV326542 FKR326477:FKR326542 FUN326477:FUN326542 GEJ326477:GEJ326542 GOF326477:GOF326542 GYB326477:GYB326542 HHX326477:HHX326542 HRT326477:HRT326542 IBP326477:IBP326542 ILL326477:ILL326542 IVH326477:IVH326542 JFD326477:JFD326542 JOZ326477:JOZ326542 JYV326477:JYV326542 KIR326477:KIR326542 KSN326477:KSN326542 LCJ326477:LCJ326542 LMF326477:LMF326542 LWB326477:LWB326542 MFX326477:MFX326542 MPT326477:MPT326542 MZP326477:MZP326542 NJL326477:NJL326542 NTH326477:NTH326542 ODD326477:ODD326542 OMZ326477:OMZ326542 OWV326477:OWV326542 PGR326477:PGR326542 PQN326477:PQN326542 QAJ326477:QAJ326542 QKF326477:QKF326542 QUB326477:QUB326542 RDX326477:RDX326542 RNT326477:RNT326542 RXP326477:RXP326542 SHL326477:SHL326542 SRH326477:SRH326542 TBD326477:TBD326542 TKZ326477:TKZ326542 TUV326477:TUV326542 UER326477:UER326542 UON326477:UON326542 UYJ326477:UYJ326542 VIF326477:VIF326542 VSB326477:VSB326542 WBX326477:WBX326542 WLT326477:WLT326542 WVP326477:WVP326542 H392013:H392078 JD392013:JD392078 SZ392013:SZ392078 ACV392013:ACV392078 AMR392013:AMR392078 AWN392013:AWN392078 BGJ392013:BGJ392078 BQF392013:BQF392078 CAB392013:CAB392078 CJX392013:CJX392078 CTT392013:CTT392078 DDP392013:DDP392078 DNL392013:DNL392078 DXH392013:DXH392078 EHD392013:EHD392078 EQZ392013:EQZ392078 FAV392013:FAV392078 FKR392013:FKR392078 FUN392013:FUN392078 GEJ392013:GEJ392078 GOF392013:GOF392078 GYB392013:GYB392078 HHX392013:HHX392078 HRT392013:HRT392078 IBP392013:IBP392078 ILL392013:ILL392078 IVH392013:IVH392078 JFD392013:JFD392078 JOZ392013:JOZ392078 JYV392013:JYV392078 KIR392013:KIR392078 KSN392013:KSN392078 LCJ392013:LCJ392078 LMF392013:LMF392078 LWB392013:LWB392078 MFX392013:MFX392078 MPT392013:MPT392078 MZP392013:MZP392078 NJL392013:NJL392078 NTH392013:NTH392078 ODD392013:ODD392078 OMZ392013:OMZ392078 OWV392013:OWV392078 PGR392013:PGR392078 PQN392013:PQN392078 QAJ392013:QAJ392078 QKF392013:QKF392078 QUB392013:QUB392078 RDX392013:RDX392078 RNT392013:RNT392078 RXP392013:RXP392078 SHL392013:SHL392078 SRH392013:SRH392078 TBD392013:TBD392078 TKZ392013:TKZ392078 TUV392013:TUV392078 UER392013:UER392078 UON392013:UON392078 UYJ392013:UYJ392078 VIF392013:VIF392078 VSB392013:VSB392078 WBX392013:WBX392078 WLT392013:WLT392078 WVP392013:WVP392078 H457549:H457614 JD457549:JD457614 SZ457549:SZ457614 ACV457549:ACV457614 AMR457549:AMR457614 AWN457549:AWN457614 BGJ457549:BGJ457614 BQF457549:BQF457614 CAB457549:CAB457614 CJX457549:CJX457614 CTT457549:CTT457614 DDP457549:DDP457614 DNL457549:DNL457614 DXH457549:DXH457614 EHD457549:EHD457614 EQZ457549:EQZ457614 FAV457549:FAV457614 FKR457549:FKR457614 FUN457549:FUN457614 GEJ457549:GEJ457614 GOF457549:GOF457614 GYB457549:GYB457614 HHX457549:HHX457614 HRT457549:HRT457614 IBP457549:IBP457614 ILL457549:ILL457614 IVH457549:IVH457614 JFD457549:JFD457614 JOZ457549:JOZ457614 JYV457549:JYV457614 KIR457549:KIR457614 KSN457549:KSN457614 LCJ457549:LCJ457614 LMF457549:LMF457614 LWB457549:LWB457614 MFX457549:MFX457614 MPT457549:MPT457614 MZP457549:MZP457614 NJL457549:NJL457614 NTH457549:NTH457614 ODD457549:ODD457614 OMZ457549:OMZ457614 OWV457549:OWV457614 PGR457549:PGR457614 PQN457549:PQN457614 QAJ457549:QAJ457614 QKF457549:QKF457614 QUB457549:QUB457614 RDX457549:RDX457614 RNT457549:RNT457614 RXP457549:RXP457614 SHL457549:SHL457614 SRH457549:SRH457614 TBD457549:TBD457614 TKZ457549:TKZ457614 TUV457549:TUV457614 UER457549:UER457614 UON457549:UON457614 UYJ457549:UYJ457614 VIF457549:VIF457614 VSB457549:VSB457614 WBX457549:WBX457614 WLT457549:WLT457614 WVP457549:WVP457614 H523085:H523150 JD523085:JD523150 SZ523085:SZ523150 ACV523085:ACV523150 AMR523085:AMR523150 AWN523085:AWN523150 BGJ523085:BGJ523150 BQF523085:BQF523150 CAB523085:CAB523150 CJX523085:CJX523150 CTT523085:CTT523150 DDP523085:DDP523150 DNL523085:DNL523150 DXH523085:DXH523150 EHD523085:EHD523150 EQZ523085:EQZ523150 FAV523085:FAV523150 FKR523085:FKR523150 FUN523085:FUN523150 GEJ523085:GEJ523150 GOF523085:GOF523150 GYB523085:GYB523150 HHX523085:HHX523150 HRT523085:HRT523150 IBP523085:IBP523150 ILL523085:ILL523150 IVH523085:IVH523150 JFD523085:JFD523150 JOZ523085:JOZ523150 JYV523085:JYV523150 KIR523085:KIR523150 KSN523085:KSN523150 LCJ523085:LCJ523150 LMF523085:LMF523150 LWB523085:LWB523150 MFX523085:MFX523150 MPT523085:MPT523150 MZP523085:MZP523150 NJL523085:NJL523150 NTH523085:NTH523150 ODD523085:ODD523150 OMZ523085:OMZ523150 OWV523085:OWV523150 PGR523085:PGR523150 PQN523085:PQN523150 QAJ523085:QAJ523150 QKF523085:QKF523150 QUB523085:QUB523150 RDX523085:RDX523150 RNT523085:RNT523150 RXP523085:RXP523150 SHL523085:SHL523150 SRH523085:SRH523150 TBD523085:TBD523150 TKZ523085:TKZ523150 TUV523085:TUV523150 UER523085:UER523150 UON523085:UON523150 UYJ523085:UYJ523150 VIF523085:VIF523150 VSB523085:VSB523150 WBX523085:WBX523150 WLT523085:WLT523150 WVP523085:WVP523150 H588621:H588686 JD588621:JD588686 SZ588621:SZ588686 ACV588621:ACV588686 AMR588621:AMR588686 AWN588621:AWN588686 BGJ588621:BGJ588686 BQF588621:BQF588686 CAB588621:CAB588686 CJX588621:CJX588686 CTT588621:CTT588686 DDP588621:DDP588686 DNL588621:DNL588686 DXH588621:DXH588686 EHD588621:EHD588686 EQZ588621:EQZ588686 FAV588621:FAV588686 FKR588621:FKR588686 FUN588621:FUN588686 GEJ588621:GEJ588686 GOF588621:GOF588686 GYB588621:GYB588686 HHX588621:HHX588686 HRT588621:HRT588686 IBP588621:IBP588686 ILL588621:ILL588686 IVH588621:IVH588686 JFD588621:JFD588686 JOZ588621:JOZ588686 JYV588621:JYV588686 KIR588621:KIR588686 KSN588621:KSN588686 LCJ588621:LCJ588686 LMF588621:LMF588686 LWB588621:LWB588686 MFX588621:MFX588686 MPT588621:MPT588686 MZP588621:MZP588686 NJL588621:NJL588686 NTH588621:NTH588686 ODD588621:ODD588686 OMZ588621:OMZ588686 OWV588621:OWV588686 PGR588621:PGR588686 PQN588621:PQN588686 QAJ588621:QAJ588686 QKF588621:QKF588686 QUB588621:QUB588686 RDX588621:RDX588686 RNT588621:RNT588686 RXP588621:RXP588686 SHL588621:SHL588686 SRH588621:SRH588686 TBD588621:TBD588686 TKZ588621:TKZ588686 TUV588621:TUV588686 UER588621:UER588686 UON588621:UON588686 UYJ588621:UYJ588686 VIF588621:VIF588686 VSB588621:VSB588686 WBX588621:WBX588686 WLT588621:WLT588686 WVP588621:WVP588686 H654157:H654222 JD654157:JD654222 SZ654157:SZ654222 ACV654157:ACV654222 AMR654157:AMR654222 AWN654157:AWN654222 BGJ654157:BGJ654222 BQF654157:BQF654222 CAB654157:CAB654222 CJX654157:CJX654222 CTT654157:CTT654222 DDP654157:DDP654222 DNL654157:DNL654222 DXH654157:DXH654222 EHD654157:EHD654222 EQZ654157:EQZ654222 FAV654157:FAV654222 FKR654157:FKR654222 FUN654157:FUN654222 GEJ654157:GEJ654222 GOF654157:GOF654222 GYB654157:GYB654222 HHX654157:HHX654222 HRT654157:HRT654222 IBP654157:IBP654222 ILL654157:ILL654222 IVH654157:IVH654222 JFD654157:JFD654222 JOZ654157:JOZ654222 JYV654157:JYV654222 KIR654157:KIR654222 KSN654157:KSN654222 LCJ654157:LCJ654222 LMF654157:LMF654222 LWB654157:LWB654222 MFX654157:MFX654222 MPT654157:MPT654222 MZP654157:MZP654222 NJL654157:NJL654222 NTH654157:NTH654222 ODD654157:ODD654222 OMZ654157:OMZ654222 OWV654157:OWV654222 PGR654157:PGR654222 PQN654157:PQN654222 QAJ654157:QAJ654222 QKF654157:QKF654222 QUB654157:QUB654222 RDX654157:RDX654222 RNT654157:RNT654222 RXP654157:RXP654222 SHL654157:SHL654222 SRH654157:SRH654222 TBD654157:TBD654222 TKZ654157:TKZ654222 TUV654157:TUV654222 UER654157:UER654222 UON654157:UON654222 UYJ654157:UYJ654222 VIF654157:VIF654222 VSB654157:VSB654222 WBX654157:WBX654222 WLT654157:WLT654222 WVP654157:WVP654222 H719693:H719758 JD719693:JD719758 SZ719693:SZ719758 ACV719693:ACV719758 AMR719693:AMR719758 AWN719693:AWN719758 BGJ719693:BGJ719758 BQF719693:BQF719758 CAB719693:CAB719758 CJX719693:CJX719758 CTT719693:CTT719758 DDP719693:DDP719758 DNL719693:DNL719758 DXH719693:DXH719758 EHD719693:EHD719758 EQZ719693:EQZ719758 FAV719693:FAV719758 FKR719693:FKR719758 FUN719693:FUN719758 GEJ719693:GEJ719758 GOF719693:GOF719758 GYB719693:GYB719758 HHX719693:HHX719758 HRT719693:HRT719758 IBP719693:IBP719758 ILL719693:ILL719758 IVH719693:IVH719758 JFD719693:JFD719758 JOZ719693:JOZ719758 JYV719693:JYV719758 KIR719693:KIR719758 KSN719693:KSN719758 LCJ719693:LCJ719758 LMF719693:LMF719758 LWB719693:LWB719758 MFX719693:MFX719758 MPT719693:MPT719758 MZP719693:MZP719758 NJL719693:NJL719758 NTH719693:NTH719758 ODD719693:ODD719758 OMZ719693:OMZ719758 OWV719693:OWV719758 PGR719693:PGR719758 PQN719693:PQN719758 QAJ719693:QAJ719758 QKF719693:QKF719758 QUB719693:QUB719758 RDX719693:RDX719758 RNT719693:RNT719758 RXP719693:RXP719758 SHL719693:SHL719758 SRH719693:SRH719758 TBD719693:TBD719758 TKZ719693:TKZ719758 TUV719693:TUV719758 UER719693:UER719758 UON719693:UON719758 UYJ719693:UYJ719758 VIF719693:VIF719758 VSB719693:VSB719758 WBX719693:WBX719758 WLT719693:WLT719758 WVP719693:WVP719758 H785229:H785294 JD785229:JD785294 SZ785229:SZ785294 ACV785229:ACV785294 AMR785229:AMR785294 AWN785229:AWN785294 BGJ785229:BGJ785294 BQF785229:BQF785294 CAB785229:CAB785294 CJX785229:CJX785294 CTT785229:CTT785294 DDP785229:DDP785294 DNL785229:DNL785294 DXH785229:DXH785294 EHD785229:EHD785294 EQZ785229:EQZ785294 FAV785229:FAV785294 FKR785229:FKR785294 FUN785229:FUN785294 GEJ785229:GEJ785294 GOF785229:GOF785294 GYB785229:GYB785294 HHX785229:HHX785294 HRT785229:HRT785294 IBP785229:IBP785294 ILL785229:ILL785294 IVH785229:IVH785294 JFD785229:JFD785294 JOZ785229:JOZ785294 JYV785229:JYV785294 KIR785229:KIR785294 KSN785229:KSN785294 LCJ785229:LCJ785294 LMF785229:LMF785294 LWB785229:LWB785294 MFX785229:MFX785294 MPT785229:MPT785294 MZP785229:MZP785294 NJL785229:NJL785294 NTH785229:NTH785294 ODD785229:ODD785294 OMZ785229:OMZ785294 OWV785229:OWV785294 PGR785229:PGR785294 PQN785229:PQN785294 QAJ785229:QAJ785294 QKF785229:QKF785294 QUB785229:QUB785294 RDX785229:RDX785294 RNT785229:RNT785294 RXP785229:RXP785294 SHL785229:SHL785294 SRH785229:SRH785294 TBD785229:TBD785294 TKZ785229:TKZ785294 TUV785229:TUV785294 UER785229:UER785294 UON785229:UON785294 UYJ785229:UYJ785294 VIF785229:VIF785294 VSB785229:VSB785294 WBX785229:WBX785294 WLT785229:WLT785294 WVP785229:WVP785294 H850765:H850830 JD850765:JD850830 SZ850765:SZ850830 ACV850765:ACV850830 AMR850765:AMR850830 AWN850765:AWN850830 BGJ850765:BGJ850830 BQF850765:BQF850830 CAB850765:CAB850830 CJX850765:CJX850830 CTT850765:CTT850830 DDP850765:DDP850830 DNL850765:DNL850830 DXH850765:DXH850830 EHD850765:EHD850830 EQZ850765:EQZ850830 FAV850765:FAV850830 FKR850765:FKR850830 FUN850765:FUN850830 GEJ850765:GEJ850830 GOF850765:GOF850830 GYB850765:GYB850830 HHX850765:HHX850830 HRT850765:HRT850830 IBP850765:IBP850830 ILL850765:ILL850830 IVH850765:IVH850830 JFD850765:JFD850830 JOZ850765:JOZ850830 JYV850765:JYV850830 KIR850765:KIR850830 KSN850765:KSN850830 LCJ850765:LCJ850830 LMF850765:LMF850830 LWB850765:LWB850830 MFX850765:MFX850830 MPT850765:MPT850830 MZP850765:MZP850830 NJL850765:NJL850830 NTH850765:NTH850830 ODD850765:ODD850830 OMZ850765:OMZ850830 OWV850765:OWV850830 PGR850765:PGR850830 PQN850765:PQN850830 QAJ850765:QAJ850830 QKF850765:QKF850830 QUB850765:QUB850830 RDX850765:RDX850830 RNT850765:RNT850830 RXP850765:RXP850830 SHL850765:SHL850830 SRH850765:SRH850830 TBD850765:TBD850830 TKZ850765:TKZ850830 TUV850765:TUV850830 UER850765:UER850830 UON850765:UON850830 UYJ850765:UYJ850830 VIF850765:VIF850830 VSB850765:VSB850830 WBX850765:WBX850830 WLT850765:WLT850830 WVP850765:WVP850830 H916301:H916366 JD916301:JD916366 SZ916301:SZ916366 ACV916301:ACV916366 AMR916301:AMR916366 AWN916301:AWN916366 BGJ916301:BGJ916366 BQF916301:BQF916366 CAB916301:CAB916366 CJX916301:CJX916366 CTT916301:CTT916366 DDP916301:DDP916366 DNL916301:DNL916366 DXH916301:DXH916366 EHD916301:EHD916366 EQZ916301:EQZ916366 FAV916301:FAV916366 FKR916301:FKR916366 FUN916301:FUN916366 GEJ916301:GEJ916366 GOF916301:GOF916366 GYB916301:GYB916366 HHX916301:HHX916366 HRT916301:HRT916366 IBP916301:IBP916366 ILL916301:ILL916366 IVH916301:IVH916366 JFD916301:JFD916366 JOZ916301:JOZ916366 JYV916301:JYV916366 KIR916301:KIR916366 KSN916301:KSN916366 LCJ916301:LCJ916366 LMF916301:LMF916366 LWB916301:LWB916366 MFX916301:MFX916366 MPT916301:MPT916366 MZP916301:MZP916366 NJL916301:NJL916366 NTH916301:NTH916366 ODD916301:ODD916366 OMZ916301:OMZ916366 OWV916301:OWV916366 PGR916301:PGR916366 PQN916301:PQN916366 QAJ916301:QAJ916366 QKF916301:QKF916366 QUB916301:QUB916366 RDX916301:RDX916366 RNT916301:RNT916366 RXP916301:RXP916366 SHL916301:SHL916366 SRH916301:SRH916366 TBD916301:TBD916366 TKZ916301:TKZ916366 TUV916301:TUV916366 UER916301:UER916366 UON916301:UON916366 UYJ916301:UYJ916366 VIF916301:VIF916366 VSB916301:VSB916366 WBX916301:WBX916366 WLT916301:WLT916366 WVP916301:WVP916366 H981837:H981902 JD981837:JD981902 SZ981837:SZ981902 ACV981837:ACV981902 AMR981837:AMR981902 AWN981837:AWN981902 BGJ981837:BGJ981902 BQF981837:BQF981902 CAB981837:CAB981902 CJX981837:CJX981902 CTT981837:CTT981902 DDP981837:DDP981902 DNL981837:DNL981902 DXH981837:DXH981902 EHD981837:EHD981902 EQZ981837:EQZ981902 FAV981837:FAV981902 FKR981837:FKR981902 FUN981837:FUN981902 GEJ981837:GEJ981902 GOF981837:GOF981902 GYB981837:GYB981902 HHX981837:HHX981902 HRT981837:HRT981902 IBP981837:IBP981902 ILL981837:ILL981902 IVH981837:IVH981902 JFD981837:JFD981902 JOZ981837:JOZ981902 JYV981837:JYV981902 KIR981837:KIR981902 KSN981837:KSN981902 LCJ981837:LCJ981902 LMF981837:LMF981902 LWB981837:LWB981902 MFX981837:MFX981902 MPT981837:MPT981902 MZP981837:MZP981902 NJL981837:NJL981902 NTH981837:NTH981902 ODD981837:ODD981902 OMZ981837:OMZ981902 OWV981837:OWV981902 PGR981837:PGR981902 PQN981837:PQN981902 QAJ981837:QAJ981902 QKF981837:QKF981902 QUB981837:QUB981902 RDX981837:RDX981902 RNT981837:RNT981902 RXP981837:RXP981902 SHL981837:SHL981902 SRH981837:SRH981902 TBD981837:TBD981902 TKZ981837:TKZ981902 TUV981837:TUV981902 UER981837:UER981902 UON981837:UON981902 UYJ981837:UYJ981902 VIF981837:VIF981902 VSB981837:VSB981902 WBX981837:WBX981902 WLT981837:WLT981902 WVP981837:WVP981902 H1047373:H1047438 JD1047373:JD1047438 SZ1047373:SZ1047438 ACV1047373:ACV1047438 AMR1047373:AMR1047438 AWN1047373:AWN1047438 BGJ1047373:BGJ1047438 BQF1047373:BQF1047438 CAB1047373:CAB1047438 CJX1047373:CJX1047438 CTT1047373:CTT1047438 DDP1047373:DDP1047438 DNL1047373:DNL1047438 DXH1047373:DXH1047438 EHD1047373:EHD1047438 EQZ1047373:EQZ1047438 FAV1047373:FAV1047438 FKR1047373:FKR1047438 FUN1047373:FUN1047438 GEJ1047373:GEJ1047438 GOF1047373:GOF1047438 GYB1047373:GYB1047438 HHX1047373:HHX1047438 HRT1047373:HRT1047438 IBP1047373:IBP1047438 ILL1047373:ILL1047438 IVH1047373:IVH1047438 JFD1047373:JFD1047438 JOZ1047373:JOZ1047438 JYV1047373:JYV1047438 KIR1047373:KIR1047438 KSN1047373:KSN1047438 LCJ1047373:LCJ1047438 LMF1047373:LMF1047438 LWB1047373:LWB1047438 MFX1047373:MFX1047438 MPT1047373:MPT1047438 MZP1047373:MZP1047438 NJL1047373:NJL1047438 NTH1047373:NTH1047438 ODD1047373:ODD1047438 OMZ1047373:OMZ1047438 OWV1047373:OWV1047438 PGR1047373:PGR1047438 PQN1047373:PQN1047438 QAJ1047373:QAJ1047438 QKF1047373:QKF1047438 QUB1047373:QUB1047438 RDX1047373:RDX1047438 RNT1047373:RNT1047438 RXP1047373:RXP1047438 SHL1047373:SHL1047438 SRH1047373:SRH1047438 TBD1047373:TBD1047438 TKZ1047373:TKZ1047438 TUV1047373:TUV1047438 UER1047373:UER1047438 UON1047373:UON1047438 UYJ1047373:UYJ1047438 VIF1047373:VIF1047438 VSB1047373:VSB1047438 WBX1047373:WBX1047438 WLT1047373:WLT1047438 WVP1047373:WVP1047438" xr:uid="{D2FCE12A-CC54-462F-B2AF-D66356DE5E59}">
      <formula1>$AL$5:$AL$12</formula1>
    </dataValidation>
    <dataValidation type="list" allowBlank="1" showInputMessage="1" showErrorMessage="1" sqref="E64333:F64398 WVM983012:WVN983083 WLQ983012:WLR983083 WBU983012:WBV983083 VRY983012:VRZ983083 VIC983012:VID983083 UYG983012:UYH983083 UOK983012:UOL983083 UEO983012:UEP983083 TUS983012:TUT983083 TKW983012:TKX983083 TBA983012:TBB983083 SRE983012:SRF983083 SHI983012:SHJ983083 RXM983012:RXN983083 RNQ983012:RNR983083 RDU983012:RDV983083 QTY983012:QTZ983083 QKC983012:QKD983083 QAG983012:QAH983083 PQK983012:PQL983083 PGO983012:PGP983083 OWS983012:OWT983083 OMW983012:OMX983083 ODA983012:ODB983083 NTE983012:NTF983083 NJI983012:NJJ983083 MZM983012:MZN983083 MPQ983012:MPR983083 MFU983012:MFV983083 LVY983012:LVZ983083 LMC983012:LMD983083 LCG983012:LCH983083 KSK983012:KSL983083 KIO983012:KIP983083 JYS983012:JYT983083 JOW983012:JOX983083 JFA983012:JFB983083 IVE983012:IVF983083 ILI983012:ILJ983083 IBM983012:IBN983083 HRQ983012:HRR983083 HHU983012:HHV983083 GXY983012:GXZ983083 GOC983012:GOD983083 GEG983012:GEH983083 FUK983012:FUL983083 FKO983012:FKP983083 FAS983012:FAT983083 EQW983012:EQX983083 EHA983012:EHB983083 DXE983012:DXF983083 DNI983012:DNJ983083 DDM983012:DDN983083 CTQ983012:CTR983083 CJU983012:CJV983083 BZY983012:BZZ983083 BQC983012:BQD983083 BGG983012:BGH983083 AWK983012:AWL983083 AMO983012:AMP983083 ACS983012:ACT983083 SW983012:SX983083 JA983012:JB983083 E983012:F983083 WVM917476:WVN917547 WLQ917476:WLR917547 WBU917476:WBV917547 VRY917476:VRZ917547 VIC917476:VID917547 UYG917476:UYH917547 UOK917476:UOL917547 UEO917476:UEP917547 TUS917476:TUT917547 TKW917476:TKX917547 TBA917476:TBB917547 SRE917476:SRF917547 SHI917476:SHJ917547 RXM917476:RXN917547 RNQ917476:RNR917547 RDU917476:RDV917547 QTY917476:QTZ917547 QKC917476:QKD917547 QAG917476:QAH917547 PQK917476:PQL917547 PGO917476:PGP917547 OWS917476:OWT917547 OMW917476:OMX917547 ODA917476:ODB917547 NTE917476:NTF917547 NJI917476:NJJ917547 MZM917476:MZN917547 MPQ917476:MPR917547 MFU917476:MFV917547 LVY917476:LVZ917547 LMC917476:LMD917547 LCG917476:LCH917547 KSK917476:KSL917547 KIO917476:KIP917547 JYS917476:JYT917547 JOW917476:JOX917547 JFA917476:JFB917547 IVE917476:IVF917547 ILI917476:ILJ917547 IBM917476:IBN917547 HRQ917476:HRR917547 HHU917476:HHV917547 GXY917476:GXZ917547 GOC917476:GOD917547 GEG917476:GEH917547 FUK917476:FUL917547 FKO917476:FKP917547 FAS917476:FAT917547 EQW917476:EQX917547 EHA917476:EHB917547 DXE917476:DXF917547 DNI917476:DNJ917547 DDM917476:DDN917547 CTQ917476:CTR917547 CJU917476:CJV917547 BZY917476:BZZ917547 BQC917476:BQD917547 BGG917476:BGH917547 AWK917476:AWL917547 AMO917476:AMP917547 ACS917476:ACT917547 SW917476:SX917547 JA917476:JB917547 E917476:F917547 WVM851940:WVN852011 WLQ851940:WLR852011 WBU851940:WBV852011 VRY851940:VRZ852011 VIC851940:VID852011 UYG851940:UYH852011 UOK851940:UOL852011 UEO851940:UEP852011 TUS851940:TUT852011 TKW851940:TKX852011 TBA851940:TBB852011 SRE851940:SRF852011 SHI851940:SHJ852011 RXM851940:RXN852011 RNQ851940:RNR852011 RDU851940:RDV852011 QTY851940:QTZ852011 QKC851940:QKD852011 QAG851940:QAH852011 PQK851940:PQL852011 PGO851940:PGP852011 OWS851940:OWT852011 OMW851940:OMX852011 ODA851940:ODB852011 NTE851940:NTF852011 NJI851940:NJJ852011 MZM851940:MZN852011 MPQ851940:MPR852011 MFU851940:MFV852011 LVY851940:LVZ852011 LMC851940:LMD852011 LCG851940:LCH852011 KSK851940:KSL852011 KIO851940:KIP852011 JYS851940:JYT852011 JOW851940:JOX852011 JFA851940:JFB852011 IVE851940:IVF852011 ILI851940:ILJ852011 IBM851940:IBN852011 HRQ851940:HRR852011 HHU851940:HHV852011 GXY851940:GXZ852011 GOC851940:GOD852011 GEG851940:GEH852011 FUK851940:FUL852011 FKO851940:FKP852011 FAS851940:FAT852011 EQW851940:EQX852011 EHA851940:EHB852011 DXE851940:DXF852011 DNI851940:DNJ852011 DDM851940:DDN852011 CTQ851940:CTR852011 CJU851940:CJV852011 BZY851940:BZZ852011 BQC851940:BQD852011 BGG851940:BGH852011 AWK851940:AWL852011 AMO851940:AMP852011 ACS851940:ACT852011 SW851940:SX852011 JA851940:JB852011 E851940:F852011 WVM786404:WVN786475 WLQ786404:WLR786475 WBU786404:WBV786475 VRY786404:VRZ786475 VIC786404:VID786475 UYG786404:UYH786475 UOK786404:UOL786475 UEO786404:UEP786475 TUS786404:TUT786475 TKW786404:TKX786475 TBA786404:TBB786475 SRE786404:SRF786475 SHI786404:SHJ786475 RXM786404:RXN786475 RNQ786404:RNR786475 RDU786404:RDV786475 QTY786404:QTZ786475 QKC786404:QKD786475 QAG786404:QAH786475 PQK786404:PQL786475 PGO786404:PGP786475 OWS786404:OWT786475 OMW786404:OMX786475 ODA786404:ODB786475 NTE786404:NTF786475 NJI786404:NJJ786475 MZM786404:MZN786475 MPQ786404:MPR786475 MFU786404:MFV786475 LVY786404:LVZ786475 LMC786404:LMD786475 LCG786404:LCH786475 KSK786404:KSL786475 KIO786404:KIP786475 JYS786404:JYT786475 JOW786404:JOX786475 JFA786404:JFB786475 IVE786404:IVF786475 ILI786404:ILJ786475 IBM786404:IBN786475 HRQ786404:HRR786475 HHU786404:HHV786475 GXY786404:GXZ786475 GOC786404:GOD786475 GEG786404:GEH786475 FUK786404:FUL786475 FKO786404:FKP786475 FAS786404:FAT786475 EQW786404:EQX786475 EHA786404:EHB786475 DXE786404:DXF786475 DNI786404:DNJ786475 DDM786404:DDN786475 CTQ786404:CTR786475 CJU786404:CJV786475 BZY786404:BZZ786475 BQC786404:BQD786475 BGG786404:BGH786475 AWK786404:AWL786475 AMO786404:AMP786475 ACS786404:ACT786475 SW786404:SX786475 JA786404:JB786475 E786404:F786475 WVM720868:WVN720939 WLQ720868:WLR720939 WBU720868:WBV720939 VRY720868:VRZ720939 VIC720868:VID720939 UYG720868:UYH720939 UOK720868:UOL720939 UEO720868:UEP720939 TUS720868:TUT720939 TKW720868:TKX720939 TBA720868:TBB720939 SRE720868:SRF720939 SHI720868:SHJ720939 RXM720868:RXN720939 RNQ720868:RNR720939 RDU720868:RDV720939 QTY720868:QTZ720939 QKC720868:QKD720939 QAG720868:QAH720939 PQK720868:PQL720939 PGO720868:PGP720939 OWS720868:OWT720939 OMW720868:OMX720939 ODA720868:ODB720939 NTE720868:NTF720939 NJI720868:NJJ720939 MZM720868:MZN720939 MPQ720868:MPR720939 MFU720868:MFV720939 LVY720868:LVZ720939 LMC720868:LMD720939 LCG720868:LCH720939 KSK720868:KSL720939 KIO720868:KIP720939 JYS720868:JYT720939 JOW720868:JOX720939 JFA720868:JFB720939 IVE720868:IVF720939 ILI720868:ILJ720939 IBM720868:IBN720939 HRQ720868:HRR720939 HHU720868:HHV720939 GXY720868:GXZ720939 GOC720868:GOD720939 GEG720868:GEH720939 FUK720868:FUL720939 FKO720868:FKP720939 FAS720868:FAT720939 EQW720868:EQX720939 EHA720868:EHB720939 DXE720868:DXF720939 DNI720868:DNJ720939 DDM720868:DDN720939 CTQ720868:CTR720939 CJU720868:CJV720939 BZY720868:BZZ720939 BQC720868:BQD720939 BGG720868:BGH720939 AWK720868:AWL720939 AMO720868:AMP720939 ACS720868:ACT720939 SW720868:SX720939 JA720868:JB720939 E720868:F720939 WVM655332:WVN655403 WLQ655332:WLR655403 WBU655332:WBV655403 VRY655332:VRZ655403 VIC655332:VID655403 UYG655332:UYH655403 UOK655332:UOL655403 UEO655332:UEP655403 TUS655332:TUT655403 TKW655332:TKX655403 TBA655332:TBB655403 SRE655332:SRF655403 SHI655332:SHJ655403 RXM655332:RXN655403 RNQ655332:RNR655403 RDU655332:RDV655403 QTY655332:QTZ655403 QKC655332:QKD655403 QAG655332:QAH655403 PQK655332:PQL655403 PGO655332:PGP655403 OWS655332:OWT655403 OMW655332:OMX655403 ODA655332:ODB655403 NTE655332:NTF655403 NJI655332:NJJ655403 MZM655332:MZN655403 MPQ655332:MPR655403 MFU655332:MFV655403 LVY655332:LVZ655403 LMC655332:LMD655403 LCG655332:LCH655403 KSK655332:KSL655403 KIO655332:KIP655403 JYS655332:JYT655403 JOW655332:JOX655403 JFA655332:JFB655403 IVE655332:IVF655403 ILI655332:ILJ655403 IBM655332:IBN655403 HRQ655332:HRR655403 HHU655332:HHV655403 GXY655332:GXZ655403 GOC655332:GOD655403 GEG655332:GEH655403 FUK655332:FUL655403 FKO655332:FKP655403 FAS655332:FAT655403 EQW655332:EQX655403 EHA655332:EHB655403 DXE655332:DXF655403 DNI655332:DNJ655403 DDM655332:DDN655403 CTQ655332:CTR655403 CJU655332:CJV655403 BZY655332:BZZ655403 BQC655332:BQD655403 BGG655332:BGH655403 AWK655332:AWL655403 AMO655332:AMP655403 ACS655332:ACT655403 SW655332:SX655403 JA655332:JB655403 E655332:F655403 WVM589796:WVN589867 WLQ589796:WLR589867 WBU589796:WBV589867 VRY589796:VRZ589867 VIC589796:VID589867 UYG589796:UYH589867 UOK589796:UOL589867 UEO589796:UEP589867 TUS589796:TUT589867 TKW589796:TKX589867 TBA589796:TBB589867 SRE589796:SRF589867 SHI589796:SHJ589867 RXM589796:RXN589867 RNQ589796:RNR589867 RDU589796:RDV589867 QTY589796:QTZ589867 QKC589796:QKD589867 QAG589796:QAH589867 PQK589796:PQL589867 PGO589796:PGP589867 OWS589796:OWT589867 OMW589796:OMX589867 ODA589796:ODB589867 NTE589796:NTF589867 NJI589796:NJJ589867 MZM589796:MZN589867 MPQ589796:MPR589867 MFU589796:MFV589867 LVY589796:LVZ589867 LMC589796:LMD589867 LCG589796:LCH589867 KSK589796:KSL589867 KIO589796:KIP589867 JYS589796:JYT589867 JOW589796:JOX589867 JFA589796:JFB589867 IVE589796:IVF589867 ILI589796:ILJ589867 IBM589796:IBN589867 HRQ589796:HRR589867 HHU589796:HHV589867 GXY589796:GXZ589867 GOC589796:GOD589867 GEG589796:GEH589867 FUK589796:FUL589867 FKO589796:FKP589867 FAS589796:FAT589867 EQW589796:EQX589867 EHA589796:EHB589867 DXE589796:DXF589867 DNI589796:DNJ589867 DDM589796:DDN589867 CTQ589796:CTR589867 CJU589796:CJV589867 BZY589796:BZZ589867 BQC589796:BQD589867 BGG589796:BGH589867 AWK589796:AWL589867 AMO589796:AMP589867 ACS589796:ACT589867 SW589796:SX589867 JA589796:JB589867 E589796:F589867 WVM524260:WVN524331 WLQ524260:WLR524331 WBU524260:WBV524331 VRY524260:VRZ524331 VIC524260:VID524331 UYG524260:UYH524331 UOK524260:UOL524331 UEO524260:UEP524331 TUS524260:TUT524331 TKW524260:TKX524331 TBA524260:TBB524331 SRE524260:SRF524331 SHI524260:SHJ524331 RXM524260:RXN524331 RNQ524260:RNR524331 RDU524260:RDV524331 QTY524260:QTZ524331 QKC524260:QKD524331 QAG524260:QAH524331 PQK524260:PQL524331 PGO524260:PGP524331 OWS524260:OWT524331 OMW524260:OMX524331 ODA524260:ODB524331 NTE524260:NTF524331 NJI524260:NJJ524331 MZM524260:MZN524331 MPQ524260:MPR524331 MFU524260:MFV524331 LVY524260:LVZ524331 LMC524260:LMD524331 LCG524260:LCH524331 KSK524260:KSL524331 KIO524260:KIP524331 JYS524260:JYT524331 JOW524260:JOX524331 JFA524260:JFB524331 IVE524260:IVF524331 ILI524260:ILJ524331 IBM524260:IBN524331 HRQ524260:HRR524331 HHU524260:HHV524331 GXY524260:GXZ524331 GOC524260:GOD524331 GEG524260:GEH524331 FUK524260:FUL524331 FKO524260:FKP524331 FAS524260:FAT524331 EQW524260:EQX524331 EHA524260:EHB524331 DXE524260:DXF524331 DNI524260:DNJ524331 DDM524260:DDN524331 CTQ524260:CTR524331 CJU524260:CJV524331 BZY524260:BZZ524331 BQC524260:BQD524331 BGG524260:BGH524331 AWK524260:AWL524331 AMO524260:AMP524331 ACS524260:ACT524331 SW524260:SX524331 JA524260:JB524331 E524260:F524331 WVM458724:WVN458795 WLQ458724:WLR458795 WBU458724:WBV458795 VRY458724:VRZ458795 VIC458724:VID458795 UYG458724:UYH458795 UOK458724:UOL458795 UEO458724:UEP458795 TUS458724:TUT458795 TKW458724:TKX458795 TBA458724:TBB458795 SRE458724:SRF458795 SHI458724:SHJ458795 RXM458724:RXN458795 RNQ458724:RNR458795 RDU458724:RDV458795 QTY458724:QTZ458795 QKC458724:QKD458795 QAG458724:QAH458795 PQK458724:PQL458795 PGO458724:PGP458795 OWS458724:OWT458795 OMW458724:OMX458795 ODA458724:ODB458795 NTE458724:NTF458795 NJI458724:NJJ458795 MZM458724:MZN458795 MPQ458724:MPR458795 MFU458724:MFV458795 LVY458724:LVZ458795 LMC458724:LMD458795 LCG458724:LCH458795 KSK458724:KSL458795 KIO458724:KIP458795 JYS458724:JYT458795 JOW458724:JOX458795 JFA458724:JFB458795 IVE458724:IVF458795 ILI458724:ILJ458795 IBM458724:IBN458795 HRQ458724:HRR458795 HHU458724:HHV458795 GXY458724:GXZ458795 GOC458724:GOD458795 GEG458724:GEH458795 FUK458724:FUL458795 FKO458724:FKP458795 FAS458724:FAT458795 EQW458724:EQX458795 EHA458724:EHB458795 DXE458724:DXF458795 DNI458724:DNJ458795 DDM458724:DDN458795 CTQ458724:CTR458795 CJU458724:CJV458795 BZY458724:BZZ458795 BQC458724:BQD458795 BGG458724:BGH458795 AWK458724:AWL458795 AMO458724:AMP458795 ACS458724:ACT458795 SW458724:SX458795 JA458724:JB458795 E458724:F458795 WVM393188:WVN393259 WLQ393188:WLR393259 WBU393188:WBV393259 VRY393188:VRZ393259 VIC393188:VID393259 UYG393188:UYH393259 UOK393188:UOL393259 UEO393188:UEP393259 TUS393188:TUT393259 TKW393188:TKX393259 TBA393188:TBB393259 SRE393188:SRF393259 SHI393188:SHJ393259 RXM393188:RXN393259 RNQ393188:RNR393259 RDU393188:RDV393259 QTY393188:QTZ393259 QKC393188:QKD393259 QAG393188:QAH393259 PQK393188:PQL393259 PGO393188:PGP393259 OWS393188:OWT393259 OMW393188:OMX393259 ODA393188:ODB393259 NTE393188:NTF393259 NJI393188:NJJ393259 MZM393188:MZN393259 MPQ393188:MPR393259 MFU393188:MFV393259 LVY393188:LVZ393259 LMC393188:LMD393259 LCG393188:LCH393259 KSK393188:KSL393259 KIO393188:KIP393259 JYS393188:JYT393259 JOW393188:JOX393259 JFA393188:JFB393259 IVE393188:IVF393259 ILI393188:ILJ393259 IBM393188:IBN393259 HRQ393188:HRR393259 HHU393188:HHV393259 GXY393188:GXZ393259 GOC393188:GOD393259 GEG393188:GEH393259 FUK393188:FUL393259 FKO393188:FKP393259 FAS393188:FAT393259 EQW393188:EQX393259 EHA393188:EHB393259 DXE393188:DXF393259 DNI393188:DNJ393259 DDM393188:DDN393259 CTQ393188:CTR393259 CJU393188:CJV393259 BZY393188:BZZ393259 BQC393188:BQD393259 BGG393188:BGH393259 AWK393188:AWL393259 AMO393188:AMP393259 ACS393188:ACT393259 SW393188:SX393259 JA393188:JB393259 E393188:F393259 WVM327652:WVN327723 WLQ327652:WLR327723 WBU327652:WBV327723 VRY327652:VRZ327723 VIC327652:VID327723 UYG327652:UYH327723 UOK327652:UOL327723 UEO327652:UEP327723 TUS327652:TUT327723 TKW327652:TKX327723 TBA327652:TBB327723 SRE327652:SRF327723 SHI327652:SHJ327723 RXM327652:RXN327723 RNQ327652:RNR327723 RDU327652:RDV327723 QTY327652:QTZ327723 QKC327652:QKD327723 QAG327652:QAH327723 PQK327652:PQL327723 PGO327652:PGP327723 OWS327652:OWT327723 OMW327652:OMX327723 ODA327652:ODB327723 NTE327652:NTF327723 NJI327652:NJJ327723 MZM327652:MZN327723 MPQ327652:MPR327723 MFU327652:MFV327723 LVY327652:LVZ327723 LMC327652:LMD327723 LCG327652:LCH327723 KSK327652:KSL327723 KIO327652:KIP327723 JYS327652:JYT327723 JOW327652:JOX327723 JFA327652:JFB327723 IVE327652:IVF327723 ILI327652:ILJ327723 IBM327652:IBN327723 HRQ327652:HRR327723 HHU327652:HHV327723 GXY327652:GXZ327723 GOC327652:GOD327723 GEG327652:GEH327723 FUK327652:FUL327723 FKO327652:FKP327723 FAS327652:FAT327723 EQW327652:EQX327723 EHA327652:EHB327723 DXE327652:DXF327723 DNI327652:DNJ327723 DDM327652:DDN327723 CTQ327652:CTR327723 CJU327652:CJV327723 BZY327652:BZZ327723 BQC327652:BQD327723 BGG327652:BGH327723 AWK327652:AWL327723 AMO327652:AMP327723 ACS327652:ACT327723 SW327652:SX327723 JA327652:JB327723 E327652:F327723 WVM262116:WVN262187 WLQ262116:WLR262187 WBU262116:WBV262187 VRY262116:VRZ262187 VIC262116:VID262187 UYG262116:UYH262187 UOK262116:UOL262187 UEO262116:UEP262187 TUS262116:TUT262187 TKW262116:TKX262187 TBA262116:TBB262187 SRE262116:SRF262187 SHI262116:SHJ262187 RXM262116:RXN262187 RNQ262116:RNR262187 RDU262116:RDV262187 QTY262116:QTZ262187 QKC262116:QKD262187 QAG262116:QAH262187 PQK262116:PQL262187 PGO262116:PGP262187 OWS262116:OWT262187 OMW262116:OMX262187 ODA262116:ODB262187 NTE262116:NTF262187 NJI262116:NJJ262187 MZM262116:MZN262187 MPQ262116:MPR262187 MFU262116:MFV262187 LVY262116:LVZ262187 LMC262116:LMD262187 LCG262116:LCH262187 KSK262116:KSL262187 KIO262116:KIP262187 JYS262116:JYT262187 JOW262116:JOX262187 JFA262116:JFB262187 IVE262116:IVF262187 ILI262116:ILJ262187 IBM262116:IBN262187 HRQ262116:HRR262187 HHU262116:HHV262187 GXY262116:GXZ262187 GOC262116:GOD262187 GEG262116:GEH262187 FUK262116:FUL262187 FKO262116:FKP262187 FAS262116:FAT262187 EQW262116:EQX262187 EHA262116:EHB262187 DXE262116:DXF262187 DNI262116:DNJ262187 DDM262116:DDN262187 CTQ262116:CTR262187 CJU262116:CJV262187 BZY262116:BZZ262187 BQC262116:BQD262187 BGG262116:BGH262187 AWK262116:AWL262187 AMO262116:AMP262187 ACS262116:ACT262187 SW262116:SX262187 JA262116:JB262187 E262116:F262187 WVM196580:WVN196651 WLQ196580:WLR196651 WBU196580:WBV196651 VRY196580:VRZ196651 VIC196580:VID196651 UYG196580:UYH196651 UOK196580:UOL196651 UEO196580:UEP196651 TUS196580:TUT196651 TKW196580:TKX196651 TBA196580:TBB196651 SRE196580:SRF196651 SHI196580:SHJ196651 RXM196580:RXN196651 RNQ196580:RNR196651 RDU196580:RDV196651 QTY196580:QTZ196651 QKC196580:QKD196651 QAG196580:QAH196651 PQK196580:PQL196651 PGO196580:PGP196651 OWS196580:OWT196651 OMW196580:OMX196651 ODA196580:ODB196651 NTE196580:NTF196651 NJI196580:NJJ196651 MZM196580:MZN196651 MPQ196580:MPR196651 MFU196580:MFV196651 LVY196580:LVZ196651 LMC196580:LMD196651 LCG196580:LCH196651 KSK196580:KSL196651 KIO196580:KIP196651 JYS196580:JYT196651 JOW196580:JOX196651 JFA196580:JFB196651 IVE196580:IVF196651 ILI196580:ILJ196651 IBM196580:IBN196651 HRQ196580:HRR196651 HHU196580:HHV196651 GXY196580:GXZ196651 GOC196580:GOD196651 GEG196580:GEH196651 FUK196580:FUL196651 FKO196580:FKP196651 FAS196580:FAT196651 EQW196580:EQX196651 EHA196580:EHB196651 DXE196580:DXF196651 DNI196580:DNJ196651 DDM196580:DDN196651 CTQ196580:CTR196651 CJU196580:CJV196651 BZY196580:BZZ196651 BQC196580:BQD196651 BGG196580:BGH196651 AWK196580:AWL196651 AMO196580:AMP196651 ACS196580:ACT196651 SW196580:SX196651 JA196580:JB196651 E196580:F196651 WVM131044:WVN131115 WLQ131044:WLR131115 WBU131044:WBV131115 VRY131044:VRZ131115 VIC131044:VID131115 UYG131044:UYH131115 UOK131044:UOL131115 UEO131044:UEP131115 TUS131044:TUT131115 TKW131044:TKX131115 TBA131044:TBB131115 SRE131044:SRF131115 SHI131044:SHJ131115 RXM131044:RXN131115 RNQ131044:RNR131115 RDU131044:RDV131115 QTY131044:QTZ131115 QKC131044:QKD131115 QAG131044:QAH131115 PQK131044:PQL131115 PGO131044:PGP131115 OWS131044:OWT131115 OMW131044:OMX131115 ODA131044:ODB131115 NTE131044:NTF131115 NJI131044:NJJ131115 MZM131044:MZN131115 MPQ131044:MPR131115 MFU131044:MFV131115 LVY131044:LVZ131115 LMC131044:LMD131115 LCG131044:LCH131115 KSK131044:KSL131115 KIO131044:KIP131115 JYS131044:JYT131115 JOW131044:JOX131115 JFA131044:JFB131115 IVE131044:IVF131115 ILI131044:ILJ131115 IBM131044:IBN131115 HRQ131044:HRR131115 HHU131044:HHV131115 GXY131044:GXZ131115 GOC131044:GOD131115 GEG131044:GEH131115 FUK131044:FUL131115 FKO131044:FKP131115 FAS131044:FAT131115 EQW131044:EQX131115 EHA131044:EHB131115 DXE131044:DXF131115 DNI131044:DNJ131115 DDM131044:DDN131115 CTQ131044:CTR131115 CJU131044:CJV131115 BZY131044:BZZ131115 BQC131044:BQD131115 BGG131044:BGH131115 AWK131044:AWL131115 AMO131044:AMP131115 ACS131044:ACT131115 SW131044:SX131115 JA131044:JB131115 E131044:F131115 WVM65508:WVN65579 WLQ65508:WLR65579 WBU65508:WBV65579 VRY65508:VRZ65579 VIC65508:VID65579 UYG65508:UYH65579 UOK65508:UOL65579 UEO65508:UEP65579 TUS65508:TUT65579 TKW65508:TKX65579 TBA65508:TBB65579 SRE65508:SRF65579 SHI65508:SHJ65579 RXM65508:RXN65579 RNQ65508:RNR65579 RDU65508:RDV65579 QTY65508:QTZ65579 QKC65508:QKD65579 QAG65508:QAH65579 PQK65508:PQL65579 PGO65508:PGP65579 OWS65508:OWT65579 OMW65508:OMX65579 ODA65508:ODB65579 NTE65508:NTF65579 NJI65508:NJJ65579 MZM65508:MZN65579 MPQ65508:MPR65579 MFU65508:MFV65579 LVY65508:LVZ65579 LMC65508:LMD65579 LCG65508:LCH65579 KSK65508:KSL65579 KIO65508:KIP65579 JYS65508:JYT65579 JOW65508:JOX65579 JFA65508:JFB65579 IVE65508:IVF65579 ILI65508:ILJ65579 IBM65508:IBN65579 HRQ65508:HRR65579 HHU65508:HHV65579 GXY65508:GXZ65579 GOC65508:GOD65579 GEG65508:GEH65579 FUK65508:FUL65579 FKO65508:FKP65579 FAS65508:FAT65579 EQW65508:EQX65579 EHA65508:EHB65579 DXE65508:DXF65579 DNI65508:DNJ65579 DDM65508:DDN65579 CTQ65508:CTR65579 CJU65508:CJV65579 BZY65508:BZZ65579 BQC65508:BQD65579 BGG65508:BGH65579 AWK65508:AWL65579 AMO65508:AMP65579 ACS65508:ACT65579 SW65508:SX65579 JA65508:JB65579 E65508:F65579 JA64333:JB64398 WVM1047373:WVN1047438 WLQ1047373:WLR1047438 WBU1047373:WBV1047438 VRY1047373:VRZ1047438 VIC1047373:VID1047438 UYG1047373:UYH1047438 UOK1047373:UOL1047438 UEO1047373:UEP1047438 TUS1047373:TUT1047438 TKW1047373:TKX1047438 TBA1047373:TBB1047438 SRE1047373:SRF1047438 SHI1047373:SHJ1047438 RXM1047373:RXN1047438 RNQ1047373:RNR1047438 RDU1047373:RDV1047438 QTY1047373:QTZ1047438 QKC1047373:QKD1047438 QAG1047373:QAH1047438 PQK1047373:PQL1047438 PGO1047373:PGP1047438 OWS1047373:OWT1047438 OMW1047373:OMX1047438 ODA1047373:ODB1047438 NTE1047373:NTF1047438 NJI1047373:NJJ1047438 MZM1047373:MZN1047438 MPQ1047373:MPR1047438 MFU1047373:MFV1047438 LVY1047373:LVZ1047438 LMC1047373:LMD1047438 LCG1047373:LCH1047438 KSK1047373:KSL1047438 KIO1047373:KIP1047438 JYS1047373:JYT1047438 JOW1047373:JOX1047438 JFA1047373:JFB1047438 IVE1047373:IVF1047438 ILI1047373:ILJ1047438 IBM1047373:IBN1047438 HRQ1047373:HRR1047438 HHU1047373:HHV1047438 GXY1047373:GXZ1047438 GOC1047373:GOD1047438 GEG1047373:GEH1047438 FUK1047373:FUL1047438 FKO1047373:FKP1047438 FAS1047373:FAT1047438 EQW1047373:EQX1047438 EHA1047373:EHB1047438 DXE1047373:DXF1047438 DNI1047373:DNJ1047438 DDM1047373:DDN1047438 CTQ1047373:CTR1047438 CJU1047373:CJV1047438 BZY1047373:BZZ1047438 BQC1047373:BQD1047438 BGG1047373:BGH1047438 AWK1047373:AWL1047438 AMO1047373:AMP1047438 ACS1047373:ACT1047438 SW1047373:SX1047438 JA1047373:JB1047438 E1047373:F1047438 WVM981837:WVN981902 WLQ981837:WLR981902 WBU981837:WBV981902 VRY981837:VRZ981902 VIC981837:VID981902 UYG981837:UYH981902 UOK981837:UOL981902 UEO981837:UEP981902 TUS981837:TUT981902 TKW981837:TKX981902 TBA981837:TBB981902 SRE981837:SRF981902 SHI981837:SHJ981902 RXM981837:RXN981902 RNQ981837:RNR981902 RDU981837:RDV981902 QTY981837:QTZ981902 QKC981837:QKD981902 QAG981837:QAH981902 PQK981837:PQL981902 PGO981837:PGP981902 OWS981837:OWT981902 OMW981837:OMX981902 ODA981837:ODB981902 NTE981837:NTF981902 NJI981837:NJJ981902 MZM981837:MZN981902 MPQ981837:MPR981902 MFU981837:MFV981902 LVY981837:LVZ981902 LMC981837:LMD981902 LCG981837:LCH981902 KSK981837:KSL981902 KIO981837:KIP981902 JYS981837:JYT981902 JOW981837:JOX981902 JFA981837:JFB981902 IVE981837:IVF981902 ILI981837:ILJ981902 IBM981837:IBN981902 HRQ981837:HRR981902 HHU981837:HHV981902 GXY981837:GXZ981902 GOC981837:GOD981902 GEG981837:GEH981902 FUK981837:FUL981902 FKO981837:FKP981902 FAS981837:FAT981902 EQW981837:EQX981902 EHA981837:EHB981902 DXE981837:DXF981902 DNI981837:DNJ981902 DDM981837:DDN981902 CTQ981837:CTR981902 CJU981837:CJV981902 BZY981837:BZZ981902 BQC981837:BQD981902 BGG981837:BGH981902 AWK981837:AWL981902 AMO981837:AMP981902 ACS981837:ACT981902 SW981837:SX981902 JA981837:JB981902 E981837:F981902 WVM916301:WVN916366 WLQ916301:WLR916366 WBU916301:WBV916366 VRY916301:VRZ916366 VIC916301:VID916366 UYG916301:UYH916366 UOK916301:UOL916366 UEO916301:UEP916366 TUS916301:TUT916366 TKW916301:TKX916366 TBA916301:TBB916366 SRE916301:SRF916366 SHI916301:SHJ916366 RXM916301:RXN916366 RNQ916301:RNR916366 RDU916301:RDV916366 QTY916301:QTZ916366 QKC916301:QKD916366 QAG916301:QAH916366 PQK916301:PQL916366 PGO916301:PGP916366 OWS916301:OWT916366 OMW916301:OMX916366 ODA916301:ODB916366 NTE916301:NTF916366 NJI916301:NJJ916366 MZM916301:MZN916366 MPQ916301:MPR916366 MFU916301:MFV916366 LVY916301:LVZ916366 LMC916301:LMD916366 LCG916301:LCH916366 KSK916301:KSL916366 KIO916301:KIP916366 JYS916301:JYT916366 JOW916301:JOX916366 JFA916301:JFB916366 IVE916301:IVF916366 ILI916301:ILJ916366 IBM916301:IBN916366 HRQ916301:HRR916366 HHU916301:HHV916366 GXY916301:GXZ916366 GOC916301:GOD916366 GEG916301:GEH916366 FUK916301:FUL916366 FKO916301:FKP916366 FAS916301:FAT916366 EQW916301:EQX916366 EHA916301:EHB916366 DXE916301:DXF916366 DNI916301:DNJ916366 DDM916301:DDN916366 CTQ916301:CTR916366 CJU916301:CJV916366 BZY916301:BZZ916366 BQC916301:BQD916366 BGG916301:BGH916366 AWK916301:AWL916366 AMO916301:AMP916366 ACS916301:ACT916366 SW916301:SX916366 JA916301:JB916366 E916301:F916366 WVM850765:WVN850830 WLQ850765:WLR850830 WBU850765:WBV850830 VRY850765:VRZ850830 VIC850765:VID850830 UYG850765:UYH850830 UOK850765:UOL850830 UEO850765:UEP850830 TUS850765:TUT850830 TKW850765:TKX850830 TBA850765:TBB850830 SRE850765:SRF850830 SHI850765:SHJ850830 RXM850765:RXN850830 RNQ850765:RNR850830 RDU850765:RDV850830 QTY850765:QTZ850830 QKC850765:QKD850830 QAG850765:QAH850830 PQK850765:PQL850830 PGO850765:PGP850830 OWS850765:OWT850830 OMW850765:OMX850830 ODA850765:ODB850830 NTE850765:NTF850830 NJI850765:NJJ850830 MZM850765:MZN850830 MPQ850765:MPR850830 MFU850765:MFV850830 LVY850765:LVZ850830 LMC850765:LMD850830 LCG850765:LCH850830 KSK850765:KSL850830 KIO850765:KIP850830 JYS850765:JYT850830 JOW850765:JOX850830 JFA850765:JFB850830 IVE850765:IVF850830 ILI850765:ILJ850830 IBM850765:IBN850830 HRQ850765:HRR850830 HHU850765:HHV850830 GXY850765:GXZ850830 GOC850765:GOD850830 GEG850765:GEH850830 FUK850765:FUL850830 FKO850765:FKP850830 FAS850765:FAT850830 EQW850765:EQX850830 EHA850765:EHB850830 DXE850765:DXF850830 DNI850765:DNJ850830 DDM850765:DDN850830 CTQ850765:CTR850830 CJU850765:CJV850830 BZY850765:BZZ850830 BQC850765:BQD850830 BGG850765:BGH850830 AWK850765:AWL850830 AMO850765:AMP850830 ACS850765:ACT850830 SW850765:SX850830 JA850765:JB850830 E850765:F850830 WVM785229:WVN785294 WLQ785229:WLR785294 WBU785229:WBV785294 VRY785229:VRZ785294 VIC785229:VID785294 UYG785229:UYH785294 UOK785229:UOL785294 UEO785229:UEP785294 TUS785229:TUT785294 TKW785229:TKX785294 TBA785229:TBB785294 SRE785229:SRF785294 SHI785229:SHJ785294 RXM785229:RXN785294 RNQ785229:RNR785294 RDU785229:RDV785294 QTY785229:QTZ785294 QKC785229:QKD785294 QAG785229:QAH785294 PQK785229:PQL785294 PGO785229:PGP785294 OWS785229:OWT785294 OMW785229:OMX785294 ODA785229:ODB785294 NTE785229:NTF785294 NJI785229:NJJ785294 MZM785229:MZN785294 MPQ785229:MPR785294 MFU785229:MFV785294 LVY785229:LVZ785294 LMC785229:LMD785294 LCG785229:LCH785294 KSK785229:KSL785294 KIO785229:KIP785294 JYS785229:JYT785294 JOW785229:JOX785294 JFA785229:JFB785294 IVE785229:IVF785294 ILI785229:ILJ785294 IBM785229:IBN785294 HRQ785229:HRR785294 HHU785229:HHV785294 GXY785229:GXZ785294 GOC785229:GOD785294 GEG785229:GEH785294 FUK785229:FUL785294 FKO785229:FKP785294 FAS785229:FAT785294 EQW785229:EQX785294 EHA785229:EHB785294 DXE785229:DXF785294 DNI785229:DNJ785294 DDM785229:DDN785294 CTQ785229:CTR785294 CJU785229:CJV785294 BZY785229:BZZ785294 BQC785229:BQD785294 BGG785229:BGH785294 AWK785229:AWL785294 AMO785229:AMP785294 ACS785229:ACT785294 SW785229:SX785294 JA785229:JB785294 E785229:F785294 WVM719693:WVN719758 WLQ719693:WLR719758 WBU719693:WBV719758 VRY719693:VRZ719758 VIC719693:VID719758 UYG719693:UYH719758 UOK719693:UOL719758 UEO719693:UEP719758 TUS719693:TUT719758 TKW719693:TKX719758 TBA719693:TBB719758 SRE719693:SRF719758 SHI719693:SHJ719758 RXM719693:RXN719758 RNQ719693:RNR719758 RDU719693:RDV719758 QTY719693:QTZ719758 QKC719693:QKD719758 QAG719693:QAH719758 PQK719693:PQL719758 PGO719693:PGP719758 OWS719693:OWT719758 OMW719693:OMX719758 ODA719693:ODB719758 NTE719693:NTF719758 NJI719693:NJJ719758 MZM719693:MZN719758 MPQ719693:MPR719758 MFU719693:MFV719758 LVY719693:LVZ719758 LMC719693:LMD719758 LCG719693:LCH719758 KSK719693:KSL719758 KIO719693:KIP719758 JYS719693:JYT719758 JOW719693:JOX719758 JFA719693:JFB719758 IVE719693:IVF719758 ILI719693:ILJ719758 IBM719693:IBN719758 HRQ719693:HRR719758 HHU719693:HHV719758 GXY719693:GXZ719758 GOC719693:GOD719758 GEG719693:GEH719758 FUK719693:FUL719758 FKO719693:FKP719758 FAS719693:FAT719758 EQW719693:EQX719758 EHA719693:EHB719758 DXE719693:DXF719758 DNI719693:DNJ719758 DDM719693:DDN719758 CTQ719693:CTR719758 CJU719693:CJV719758 BZY719693:BZZ719758 BQC719693:BQD719758 BGG719693:BGH719758 AWK719693:AWL719758 AMO719693:AMP719758 ACS719693:ACT719758 SW719693:SX719758 JA719693:JB719758 E719693:F719758 WVM654157:WVN654222 WLQ654157:WLR654222 WBU654157:WBV654222 VRY654157:VRZ654222 VIC654157:VID654222 UYG654157:UYH654222 UOK654157:UOL654222 UEO654157:UEP654222 TUS654157:TUT654222 TKW654157:TKX654222 TBA654157:TBB654222 SRE654157:SRF654222 SHI654157:SHJ654222 RXM654157:RXN654222 RNQ654157:RNR654222 RDU654157:RDV654222 QTY654157:QTZ654222 QKC654157:QKD654222 QAG654157:QAH654222 PQK654157:PQL654222 PGO654157:PGP654222 OWS654157:OWT654222 OMW654157:OMX654222 ODA654157:ODB654222 NTE654157:NTF654222 NJI654157:NJJ654222 MZM654157:MZN654222 MPQ654157:MPR654222 MFU654157:MFV654222 LVY654157:LVZ654222 LMC654157:LMD654222 LCG654157:LCH654222 KSK654157:KSL654222 KIO654157:KIP654222 JYS654157:JYT654222 JOW654157:JOX654222 JFA654157:JFB654222 IVE654157:IVF654222 ILI654157:ILJ654222 IBM654157:IBN654222 HRQ654157:HRR654222 HHU654157:HHV654222 GXY654157:GXZ654222 GOC654157:GOD654222 GEG654157:GEH654222 FUK654157:FUL654222 FKO654157:FKP654222 FAS654157:FAT654222 EQW654157:EQX654222 EHA654157:EHB654222 DXE654157:DXF654222 DNI654157:DNJ654222 DDM654157:DDN654222 CTQ654157:CTR654222 CJU654157:CJV654222 BZY654157:BZZ654222 BQC654157:BQD654222 BGG654157:BGH654222 AWK654157:AWL654222 AMO654157:AMP654222 ACS654157:ACT654222 SW654157:SX654222 JA654157:JB654222 E654157:F654222 WVM588621:WVN588686 WLQ588621:WLR588686 WBU588621:WBV588686 VRY588621:VRZ588686 VIC588621:VID588686 UYG588621:UYH588686 UOK588621:UOL588686 UEO588621:UEP588686 TUS588621:TUT588686 TKW588621:TKX588686 TBA588621:TBB588686 SRE588621:SRF588686 SHI588621:SHJ588686 RXM588621:RXN588686 RNQ588621:RNR588686 RDU588621:RDV588686 QTY588621:QTZ588686 QKC588621:QKD588686 QAG588621:QAH588686 PQK588621:PQL588686 PGO588621:PGP588686 OWS588621:OWT588686 OMW588621:OMX588686 ODA588621:ODB588686 NTE588621:NTF588686 NJI588621:NJJ588686 MZM588621:MZN588686 MPQ588621:MPR588686 MFU588621:MFV588686 LVY588621:LVZ588686 LMC588621:LMD588686 LCG588621:LCH588686 KSK588621:KSL588686 KIO588621:KIP588686 JYS588621:JYT588686 JOW588621:JOX588686 JFA588621:JFB588686 IVE588621:IVF588686 ILI588621:ILJ588686 IBM588621:IBN588686 HRQ588621:HRR588686 HHU588621:HHV588686 GXY588621:GXZ588686 GOC588621:GOD588686 GEG588621:GEH588686 FUK588621:FUL588686 FKO588621:FKP588686 FAS588621:FAT588686 EQW588621:EQX588686 EHA588621:EHB588686 DXE588621:DXF588686 DNI588621:DNJ588686 DDM588621:DDN588686 CTQ588621:CTR588686 CJU588621:CJV588686 BZY588621:BZZ588686 BQC588621:BQD588686 BGG588621:BGH588686 AWK588621:AWL588686 AMO588621:AMP588686 ACS588621:ACT588686 SW588621:SX588686 JA588621:JB588686 E588621:F588686 WVM523085:WVN523150 WLQ523085:WLR523150 WBU523085:WBV523150 VRY523085:VRZ523150 VIC523085:VID523150 UYG523085:UYH523150 UOK523085:UOL523150 UEO523085:UEP523150 TUS523085:TUT523150 TKW523085:TKX523150 TBA523085:TBB523150 SRE523085:SRF523150 SHI523085:SHJ523150 RXM523085:RXN523150 RNQ523085:RNR523150 RDU523085:RDV523150 QTY523085:QTZ523150 QKC523085:QKD523150 QAG523085:QAH523150 PQK523085:PQL523150 PGO523085:PGP523150 OWS523085:OWT523150 OMW523085:OMX523150 ODA523085:ODB523150 NTE523085:NTF523150 NJI523085:NJJ523150 MZM523085:MZN523150 MPQ523085:MPR523150 MFU523085:MFV523150 LVY523085:LVZ523150 LMC523085:LMD523150 LCG523085:LCH523150 KSK523085:KSL523150 KIO523085:KIP523150 JYS523085:JYT523150 JOW523085:JOX523150 JFA523085:JFB523150 IVE523085:IVF523150 ILI523085:ILJ523150 IBM523085:IBN523150 HRQ523085:HRR523150 HHU523085:HHV523150 GXY523085:GXZ523150 GOC523085:GOD523150 GEG523085:GEH523150 FUK523085:FUL523150 FKO523085:FKP523150 FAS523085:FAT523150 EQW523085:EQX523150 EHA523085:EHB523150 DXE523085:DXF523150 DNI523085:DNJ523150 DDM523085:DDN523150 CTQ523085:CTR523150 CJU523085:CJV523150 BZY523085:BZZ523150 BQC523085:BQD523150 BGG523085:BGH523150 AWK523085:AWL523150 AMO523085:AMP523150 ACS523085:ACT523150 SW523085:SX523150 JA523085:JB523150 E523085:F523150 WVM457549:WVN457614 WLQ457549:WLR457614 WBU457549:WBV457614 VRY457549:VRZ457614 VIC457549:VID457614 UYG457549:UYH457614 UOK457549:UOL457614 UEO457549:UEP457614 TUS457549:TUT457614 TKW457549:TKX457614 TBA457549:TBB457614 SRE457549:SRF457614 SHI457549:SHJ457614 RXM457549:RXN457614 RNQ457549:RNR457614 RDU457549:RDV457614 QTY457549:QTZ457614 QKC457549:QKD457614 QAG457549:QAH457614 PQK457549:PQL457614 PGO457549:PGP457614 OWS457549:OWT457614 OMW457549:OMX457614 ODA457549:ODB457614 NTE457549:NTF457614 NJI457549:NJJ457614 MZM457549:MZN457614 MPQ457549:MPR457614 MFU457549:MFV457614 LVY457549:LVZ457614 LMC457549:LMD457614 LCG457549:LCH457614 KSK457549:KSL457614 KIO457549:KIP457614 JYS457549:JYT457614 JOW457549:JOX457614 JFA457549:JFB457614 IVE457549:IVF457614 ILI457549:ILJ457614 IBM457549:IBN457614 HRQ457549:HRR457614 HHU457549:HHV457614 GXY457549:GXZ457614 GOC457549:GOD457614 GEG457549:GEH457614 FUK457549:FUL457614 FKO457549:FKP457614 FAS457549:FAT457614 EQW457549:EQX457614 EHA457549:EHB457614 DXE457549:DXF457614 DNI457549:DNJ457614 DDM457549:DDN457614 CTQ457549:CTR457614 CJU457549:CJV457614 BZY457549:BZZ457614 BQC457549:BQD457614 BGG457549:BGH457614 AWK457549:AWL457614 AMO457549:AMP457614 ACS457549:ACT457614 SW457549:SX457614 JA457549:JB457614 E457549:F457614 WVM392013:WVN392078 WLQ392013:WLR392078 WBU392013:WBV392078 VRY392013:VRZ392078 VIC392013:VID392078 UYG392013:UYH392078 UOK392013:UOL392078 UEO392013:UEP392078 TUS392013:TUT392078 TKW392013:TKX392078 TBA392013:TBB392078 SRE392013:SRF392078 SHI392013:SHJ392078 RXM392013:RXN392078 RNQ392013:RNR392078 RDU392013:RDV392078 QTY392013:QTZ392078 QKC392013:QKD392078 QAG392013:QAH392078 PQK392013:PQL392078 PGO392013:PGP392078 OWS392013:OWT392078 OMW392013:OMX392078 ODA392013:ODB392078 NTE392013:NTF392078 NJI392013:NJJ392078 MZM392013:MZN392078 MPQ392013:MPR392078 MFU392013:MFV392078 LVY392013:LVZ392078 LMC392013:LMD392078 LCG392013:LCH392078 KSK392013:KSL392078 KIO392013:KIP392078 JYS392013:JYT392078 JOW392013:JOX392078 JFA392013:JFB392078 IVE392013:IVF392078 ILI392013:ILJ392078 IBM392013:IBN392078 HRQ392013:HRR392078 HHU392013:HHV392078 GXY392013:GXZ392078 GOC392013:GOD392078 GEG392013:GEH392078 FUK392013:FUL392078 FKO392013:FKP392078 FAS392013:FAT392078 EQW392013:EQX392078 EHA392013:EHB392078 DXE392013:DXF392078 DNI392013:DNJ392078 DDM392013:DDN392078 CTQ392013:CTR392078 CJU392013:CJV392078 BZY392013:BZZ392078 BQC392013:BQD392078 BGG392013:BGH392078 AWK392013:AWL392078 AMO392013:AMP392078 ACS392013:ACT392078 SW392013:SX392078 JA392013:JB392078 E392013:F392078 WVM326477:WVN326542 WLQ326477:WLR326542 WBU326477:WBV326542 VRY326477:VRZ326542 VIC326477:VID326542 UYG326477:UYH326542 UOK326477:UOL326542 UEO326477:UEP326542 TUS326477:TUT326542 TKW326477:TKX326542 TBA326477:TBB326542 SRE326477:SRF326542 SHI326477:SHJ326542 RXM326477:RXN326542 RNQ326477:RNR326542 RDU326477:RDV326542 QTY326477:QTZ326542 QKC326477:QKD326542 QAG326477:QAH326542 PQK326477:PQL326542 PGO326477:PGP326542 OWS326477:OWT326542 OMW326477:OMX326542 ODA326477:ODB326542 NTE326477:NTF326542 NJI326477:NJJ326542 MZM326477:MZN326542 MPQ326477:MPR326542 MFU326477:MFV326542 LVY326477:LVZ326542 LMC326477:LMD326542 LCG326477:LCH326542 KSK326477:KSL326542 KIO326477:KIP326542 JYS326477:JYT326542 JOW326477:JOX326542 JFA326477:JFB326542 IVE326477:IVF326542 ILI326477:ILJ326542 IBM326477:IBN326542 HRQ326477:HRR326542 HHU326477:HHV326542 GXY326477:GXZ326542 GOC326477:GOD326542 GEG326477:GEH326542 FUK326477:FUL326542 FKO326477:FKP326542 FAS326477:FAT326542 EQW326477:EQX326542 EHA326477:EHB326542 DXE326477:DXF326542 DNI326477:DNJ326542 DDM326477:DDN326542 CTQ326477:CTR326542 CJU326477:CJV326542 BZY326477:BZZ326542 BQC326477:BQD326542 BGG326477:BGH326542 AWK326477:AWL326542 AMO326477:AMP326542 ACS326477:ACT326542 SW326477:SX326542 JA326477:JB326542 E326477:F326542 WVM260941:WVN261006 WLQ260941:WLR261006 WBU260941:WBV261006 VRY260941:VRZ261006 VIC260941:VID261006 UYG260941:UYH261006 UOK260941:UOL261006 UEO260941:UEP261006 TUS260941:TUT261006 TKW260941:TKX261006 TBA260941:TBB261006 SRE260941:SRF261006 SHI260941:SHJ261006 RXM260941:RXN261006 RNQ260941:RNR261006 RDU260941:RDV261006 QTY260941:QTZ261006 QKC260941:QKD261006 QAG260941:QAH261006 PQK260941:PQL261006 PGO260941:PGP261006 OWS260941:OWT261006 OMW260941:OMX261006 ODA260941:ODB261006 NTE260941:NTF261006 NJI260941:NJJ261006 MZM260941:MZN261006 MPQ260941:MPR261006 MFU260941:MFV261006 LVY260941:LVZ261006 LMC260941:LMD261006 LCG260941:LCH261006 KSK260941:KSL261006 KIO260941:KIP261006 JYS260941:JYT261006 JOW260941:JOX261006 JFA260941:JFB261006 IVE260941:IVF261006 ILI260941:ILJ261006 IBM260941:IBN261006 HRQ260941:HRR261006 HHU260941:HHV261006 GXY260941:GXZ261006 GOC260941:GOD261006 GEG260941:GEH261006 FUK260941:FUL261006 FKO260941:FKP261006 FAS260941:FAT261006 EQW260941:EQX261006 EHA260941:EHB261006 DXE260941:DXF261006 DNI260941:DNJ261006 DDM260941:DDN261006 CTQ260941:CTR261006 CJU260941:CJV261006 BZY260941:BZZ261006 BQC260941:BQD261006 BGG260941:BGH261006 AWK260941:AWL261006 AMO260941:AMP261006 ACS260941:ACT261006 SW260941:SX261006 JA260941:JB261006 E260941:F261006 WVM195405:WVN195470 WLQ195405:WLR195470 WBU195405:WBV195470 VRY195405:VRZ195470 VIC195405:VID195470 UYG195405:UYH195470 UOK195405:UOL195470 UEO195405:UEP195470 TUS195405:TUT195470 TKW195405:TKX195470 TBA195405:TBB195470 SRE195405:SRF195470 SHI195405:SHJ195470 RXM195405:RXN195470 RNQ195405:RNR195470 RDU195405:RDV195470 QTY195405:QTZ195470 QKC195405:QKD195470 QAG195405:QAH195470 PQK195405:PQL195470 PGO195405:PGP195470 OWS195405:OWT195470 OMW195405:OMX195470 ODA195405:ODB195470 NTE195405:NTF195470 NJI195405:NJJ195470 MZM195405:MZN195470 MPQ195405:MPR195470 MFU195405:MFV195470 LVY195405:LVZ195470 LMC195405:LMD195470 LCG195405:LCH195470 KSK195405:KSL195470 KIO195405:KIP195470 JYS195405:JYT195470 JOW195405:JOX195470 JFA195405:JFB195470 IVE195405:IVF195470 ILI195405:ILJ195470 IBM195405:IBN195470 HRQ195405:HRR195470 HHU195405:HHV195470 GXY195405:GXZ195470 GOC195405:GOD195470 GEG195405:GEH195470 FUK195405:FUL195470 FKO195405:FKP195470 FAS195405:FAT195470 EQW195405:EQX195470 EHA195405:EHB195470 DXE195405:DXF195470 DNI195405:DNJ195470 DDM195405:DDN195470 CTQ195405:CTR195470 CJU195405:CJV195470 BZY195405:BZZ195470 BQC195405:BQD195470 BGG195405:BGH195470 AWK195405:AWL195470 AMO195405:AMP195470 ACS195405:ACT195470 SW195405:SX195470 JA195405:JB195470 E195405:F195470 WVM129869:WVN129934 WLQ129869:WLR129934 WBU129869:WBV129934 VRY129869:VRZ129934 VIC129869:VID129934 UYG129869:UYH129934 UOK129869:UOL129934 UEO129869:UEP129934 TUS129869:TUT129934 TKW129869:TKX129934 TBA129869:TBB129934 SRE129869:SRF129934 SHI129869:SHJ129934 RXM129869:RXN129934 RNQ129869:RNR129934 RDU129869:RDV129934 QTY129869:QTZ129934 QKC129869:QKD129934 QAG129869:QAH129934 PQK129869:PQL129934 PGO129869:PGP129934 OWS129869:OWT129934 OMW129869:OMX129934 ODA129869:ODB129934 NTE129869:NTF129934 NJI129869:NJJ129934 MZM129869:MZN129934 MPQ129869:MPR129934 MFU129869:MFV129934 LVY129869:LVZ129934 LMC129869:LMD129934 LCG129869:LCH129934 KSK129869:KSL129934 KIO129869:KIP129934 JYS129869:JYT129934 JOW129869:JOX129934 JFA129869:JFB129934 IVE129869:IVF129934 ILI129869:ILJ129934 IBM129869:IBN129934 HRQ129869:HRR129934 HHU129869:HHV129934 GXY129869:GXZ129934 GOC129869:GOD129934 GEG129869:GEH129934 FUK129869:FUL129934 FKO129869:FKP129934 FAS129869:FAT129934 EQW129869:EQX129934 EHA129869:EHB129934 DXE129869:DXF129934 DNI129869:DNJ129934 DDM129869:DDN129934 CTQ129869:CTR129934 CJU129869:CJV129934 BZY129869:BZZ129934 BQC129869:BQD129934 BGG129869:BGH129934 AWK129869:AWL129934 AMO129869:AMP129934 ACS129869:ACT129934 SW129869:SX129934 JA129869:JB129934 E129869:F129934 WVM64333:WVN64398 WLQ64333:WLR64398 WBU64333:WBV64398 VRY64333:VRZ64398 VIC64333:VID64398 UYG64333:UYH64398 UOK64333:UOL64398 UEO64333:UEP64398 TUS64333:TUT64398 TKW64333:TKX64398 TBA64333:TBB64398 SRE64333:SRF64398 SHI64333:SHJ64398 RXM64333:RXN64398 RNQ64333:RNR64398 RDU64333:RDV64398 QTY64333:QTZ64398 QKC64333:QKD64398 QAG64333:QAH64398 PQK64333:PQL64398 PGO64333:PGP64398 OWS64333:OWT64398 OMW64333:OMX64398 ODA64333:ODB64398 NTE64333:NTF64398 NJI64333:NJJ64398 MZM64333:MZN64398 MPQ64333:MPR64398 MFU64333:MFV64398 LVY64333:LVZ64398 LMC64333:LMD64398 LCG64333:LCH64398 KSK64333:KSL64398 KIO64333:KIP64398 JYS64333:JYT64398 JOW64333:JOX64398 JFA64333:JFB64398 IVE64333:IVF64398 ILI64333:ILJ64398 IBM64333:IBN64398 HRQ64333:HRR64398 HHU64333:HHV64398 GXY64333:GXZ64398 GOC64333:GOD64398 GEG64333:GEH64398 FUK64333:FUL64398 FKO64333:FKP64398 FAS64333:FAT64398 EQW64333:EQX64398 EHA64333:EHB64398 DXE64333:DXF64398 DNI64333:DNJ64398 DDM64333:DDN64398 CTQ64333:CTR64398 CJU64333:CJV64398 BZY64333:BZZ64398 BQC64333:BQD64398 BGG64333:BGH64398 AWK64333:AWL64398 AMO64333:AMP64398 ACS64333:ACT64398 SW64333:SX64398 WVM2:WVN57 JA2:JB57 SW2:SX57 ACS2:ACT57 AMO2:AMP57 AWK2:AWL57 BGG2:BGH57 BQC2:BQD57 BZY2:BZZ57 CJU2:CJV57 CTQ2:CTR57 DDM2:DDN57 DNI2:DNJ57 DXE2:DXF57 EHA2:EHB57 EQW2:EQX57 FAS2:FAT57 FKO2:FKP57 FUK2:FUL57 GEG2:GEH57 GOC2:GOD57 GXY2:GXZ57 HHU2:HHV57 HRQ2:HRR57 IBM2:IBN57 ILI2:ILJ57 IVE2:IVF57 JFA2:JFB57 JOW2:JOX57 JYS2:JYT57 KIO2:KIP57 KSK2:KSL57 LCG2:LCH57 LMC2:LMD57 LVY2:LVZ57 MFU2:MFV57 MPQ2:MPR57 MZM2:MZN57 NJI2:NJJ57 NTE2:NTF57 ODA2:ODB57 OMW2:OMX57 OWS2:OWT57 PGO2:PGP57 PQK2:PQL57 QAG2:QAH57 QKC2:QKD57 QTY2:QTZ57 RDU2:RDV57 RNQ2:RNR57 RXM2:RXN57 SHI2:SHJ57 SRE2:SRF57 TBA2:TBB57 TKW2:TKX57 TUS2:TUT57 UEO2:UEP57 UOK2:UOL57 UYG2:UYH57 VIC2:VID57 VRY2:VRZ57 WBU2:WBV57 WLQ2:WLR57" xr:uid="{9B4213D4-7F77-4259-B7ED-BB32C86110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68DBC-D900-4B6B-AA91-F12DDB4DF846}">
  <dimension ref="A1:BA442"/>
  <sheetViews>
    <sheetView zoomScaleNormal="100" zoomScaleSheetLayoutView="100" workbookViewId="0">
      <selection activeCell="N33" sqref="N3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358</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350</v>
      </c>
      <c r="E2" s="146" t="s">
        <v>359</v>
      </c>
      <c r="F2" s="146" t="s">
        <v>360</v>
      </c>
      <c r="G2" s="148" t="s">
        <v>36</v>
      </c>
      <c r="H2" s="149" t="s">
        <v>164</v>
      </c>
      <c r="I2" s="127" t="s">
        <v>159</v>
      </c>
      <c r="J2" s="150" t="s">
        <v>38</v>
      </c>
      <c r="K2" s="127" t="s">
        <v>161</v>
      </c>
      <c r="L2" s="151">
        <v>1</v>
      </c>
      <c r="M2" s="152"/>
      <c r="N2" s="152">
        <v>1</v>
      </c>
      <c r="O2" s="152">
        <v>0.7</v>
      </c>
      <c r="P2" s="152">
        <v>0.6</v>
      </c>
      <c r="Q2" s="153">
        <f>IF(OR(O2="",P2=""),"",AVERAGE(O2,P2))</f>
        <v>0.64999999999999991</v>
      </c>
      <c r="R2" s="154">
        <v>18.3</v>
      </c>
      <c r="S2" s="149">
        <v>117</v>
      </c>
      <c r="T2" s="155">
        <f t="shared" ref="T2:T64" si="0">IF(H2="","",IF(OR(H2="GREEN",H2="GK"),IF(S2&gt;=$AX$2,VLOOKUP(S2,$AX$2:$AY$7,2,1),""),IF(S2&gt;=$AZ$2,VLOOKUP(S2,$AZ$2:$BA$7,2,1),"")))</f>
        <v>30</v>
      </c>
      <c r="U2" s="127">
        <v>84</v>
      </c>
      <c r="V2" s="155">
        <f t="shared" ref="V2:V64" si="1">IF(OR(N2="",U2="",T2=""),"",U2/N2*T2)</f>
        <v>2520</v>
      </c>
      <c r="W2" s="156">
        <v>8</v>
      </c>
      <c r="X2" s="157" t="s">
        <v>46</v>
      </c>
      <c r="Y2" s="157" t="s">
        <v>69</v>
      </c>
      <c r="Z2" s="157" t="s">
        <v>90</v>
      </c>
      <c r="AA2" s="157" t="s">
        <v>84</v>
      </c>
      <c r="AB2" s="53" t="s">
        <v>237</v>
      </c>
      <c r="AE2" s="64" t="s">
        <v>35</v>
      </c>
      <c r="AG2" s="67" t="s">
        <v>359</v>
      </c>
      <c r="AH2" s="67" t="s">
        <v>360</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361</v>
      </c>
      <c r="E3" s="158" t="s">
        <v>359</v>
      </c>
      <c r="F3" s="158" t="s">
        <v>360</v>
      </c>
      <c r="G3" s="161" t="s">
        <v>36</v>
      </c>
      <c r="H3" s="127" t="s">
        <v>164</v>
      </c>
      <c r="I3" s="127" t="s">
        <v>159</v>
      </c>
      <c r="J3" s="127" t="s">
        <v>38</v>
      </c>
      <c r="K3" s="127" t="s">
        <v>161</v>
      </c>
      <c r="L3" s="53">
        <v>2</v>
      </c>
      <c r="N3" s="53">
        <v>1</v>
      </c>
      <c r="O3" s="53">
        <v>0.65</v>
      </c>
      <c r="P3" s="34">
        <v>0.7</v>
      </c>
      <c r="Q3" s="162">
        <f t="shared" ref="Q3:Q42" si="2">IF(OR(O3="",P3=""),"",AVERAGE(O3,P3))</f>
        <v>0.67500000000000004</v>
      </c>
      <c r="R3" s="163">
        <v>17.100000000000001</v>
      </c>
      <c r="S3" s="163">
        <v>125</v>
      </c>
      <c r="T3" s="16">
        <f t="shared" si="0"/>
        <v>30</v>
      </c>
      <c r="U3" s="164">
        <v>84</v>
      </c>
      <c r="V3" s="38">
        <f t="shared" si="1"/>
        <v>2520</v>
      </c>
      <c r="W3" s="165">
        <v>8</v>
      </c>
      <c r="X3" s="166" t="s">
        <v>46</v>
      </c>
      <c r="Y3" s="166" t="s">
        <v>69</v>
      </c>
      <c r="Z3" s="166" t="s">
        <v>90</v>
      </c>
      <c r="AA3" s="157" t="s">
        <v>84</v>
      </c>
      <c r="AB3" s="53" t="s">
        <v>158</v>
      </c>
      <c r="AE3" s="22" t="s">
        <v>41</v>
      </c>
      <c r="AG3" s="67" t="s">
        <v>362</v>
      </c>
      <c r="AH3" s="67" t="s">
        <v>363</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361</v>
      </c>
      <c r="E4" s="158" t="s">
        <v>359</v>
      </c>
      <c r="F4" s="158" t="s">
        <v>360</v>
      </c>
      <c r="G4" s="161" t="s">
        <v>36</v>
      </c>
      <c r="H4" s="127" t="s">
        <v>164</v>
      </c>
      <c r="I4" s="127" t="s">
        <v>159</v>
      </c>
      <c r="J4" s="127" t="s">
        <v>38</v>
      </c>
      <c r="K4" s="127" t="s">
        <v>161</v>
      </c>
      <c r="L4" s="53">
        <v>3</v>
      </c>
      <c r="N4" s="53">
        <v>1</v>
      </c>
      <c r="O4" s="53">
        <v>0.7</v>
      </c>
      <c r="P4" s="34">
        <v>0.6</v>
      </c>
      <c r="Q4" s="75">
        <f t="shared" si="2"/>
        <v>0.64999999999999991</v>
      </c>
      <c r="R4" s="168">
        <v>18.100000000000001</v>
      </c>
      <c r="S4" s="168">
        <v>125</v>
      </c>
      <c r="T4" s="16">
        <f t="shared" si="0"/>
        <v>30</v>
      </c>
      <c r="U4" s="169">
        <v>84</v>
      </c>
      <c r="V4" s="38">
        <f t="shared" si="1"/>
        <v>2520</v>
      </c>
      <c r="W4" s="165">
        <v>8</v>
      </c>
      <c r="X4" s="166" t="s">
        <v>46</v>
      </c>
      <c r="Y4" s="166" t="s">
        <v>69</v>
      </c>
      <c r="Z4" s="166" t="s">
        <v>90</v>
      </c>
      <c r="AA4" s="157" t="s">
        <v>84</v>
      </c>
      <c r="AB4" s="53" t="s">
        <v>158</v>
      </c>
      <c r="AE4" s="22" t="s">
        <v>34</v>
      </c>
      <c r="AG4" s="67" t="s">
        <v>364</v>
      </c>
      <c r="AH4" s="67" t="s">
        <v>363</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361</v>
      </c>
      <c r="E5" s="158" t="s">
        <v>362</v>
      </c>
      <c r="F5" s="158" t="s">
        <v>363</v>
      </c>
      <c r="G5" s="161" t="s">
        <v>36</v>
      </c>
      <c r="H5" s="127" t="s">
        <v>164</v>
      </c>
      <c r="I5" s="127" t="s">
        <v>159</v>
      </c>
      <c r="J5" s="127" t="s">
        <v>38</v>
      </c>
      <c r="K5" s="127" t="s">
        <v>161</v>
      </c>
      <c r="L5" s="53">
        <v>1</v>
      </c>
      <c r="N5" s="53">
        <v>1</v>
      </c>
      <c r="O5" s="53">
        <v>0.8</v>
      </c>
      <c r="P5" s="53">
        <v>0.85</v>
      </c>
      <c r="Q5" s="75">
        <f t="shared" si="2"/>
        <v>0.82499999999999996</v>
      </c>
      <c r="R5" s="168">
        <v>14.3</v>
      </c>
      <c r="S5" s="168">
        <v>113</v>
      </c>
      <c r="T5" s="16">
        <f t="shared" si="0"/>
        <v>30</v>
      </c>
      <c r="U5" s="169">
        <v>128</v>
      </c>
      <c r="V5" s="38">
        <f t="shared" si="1"/>
        <v>3840</v>
      </c>
      <c r="W5" s="165">
        <v>4</v>
      </c>
      <c r="X5" s="166" t="s">
        <v>46</v>
      </c>
      <c r="Y5" s="166" t="s">
        <v>50</v>
      </c>
      <c r="Z5" s="166" t="s">
        <v>84</v>
      </c>
      <c r="AA5" s="157" t="s">
        <v>69</v>
      </c>
      <c r="AB5" s="53" t="s">
        <v>158</v>
      </c>
      <c r="AE5" s="22" t="s">
        <v>51</v>
      </c>
      <c r="AG5" s="67" t="s">
        <v>359</v>
      </c>
      <c r="AH5" s="67" t="s">
        <v>365</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361</v>
      </c>
      <c r="E6" s="158" t="s">
        <v>362</v>
      </c>
      <c r="F6" s="158" t="s">
        <v>363</v>
      </c>
      <c r="G6" s="161" t="s">
        <v>36</v>
      </c>
      <c r="H6" s="127" t="s">
        <v>164</v>
      </c>
      <c r="I6" s="127" t="s">
        <v>159</v>
      </c>
      <c r="J6" s="127" t="s">
        <v>38</v>
      </c>
      <c r="K6" s="127" t="s">
        <v>161</v>
      </c>
      <c r="L6" s="53">
        <v>2</v>
      </c>
      <c r="N6" s="53">
        <v>1</v>
      </c>
      <c r="O6" s="53">
        <v>0.8</v>
      </c>
      <c r="P6" s="53">
        <v>0.7</v>
      </c>
      <c r="Q6" s="75">
        <f t="shared" si="2"/>
        <v>0.75</v>
      </c>
      <c r="R6" s="168">
        <v>15.2</v>
      </c>
      <c r="S6" s="168">
        <v>119</v>
      </c>
      <c r="T6" s="16">
        <f t="shared" si="0"/>
        <v>30</v>
      </c>
      <c r="U6" s="169">
        <v>128</v>
      </c>
      <c r="V6" s="38">
        <f t="shared" si="1"/>
        <v>3840</v>
      </c>
      <c r="W6" s="165">
        <v>4</v>
      </c>
      <c r="X6" s="166" t="s">
        <v>46</v>
      </c>
      <c r="Y6" s="166" t="s">
        <v>50</v>
      </c>
      <c r="Z6" s="166" t="s">
        <v>84</v>
      </c>
      <c r="AA6" s="157" t="s">
        <v>69</v>
      </c>
      <c r="AB6" s="53" t="s">
        <v>158</v>
      </c>
      <c r="AE6" s="22" t="s">
        <v>56</v>
      </c>
      <c r="AG6" s="67" t="s">
        <v>211</v>
      </c>
      <c r="AH6" s="67" t="s">
        <v>366</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361</v>
      </c>
      <c r="E7" s="158" t="s">
        <v>362</v>
      </c>
      <c r="F7" s="158" t="s">
        <v>363</v>
      </c>
      <c r="G7" s="161" t="s">
        <v>36</v>
      </c>
      <c r="H7" s="127" t="s">
        <v>164</v>
      </c>
      <c r="I7" s="127" t="s">
        <v>159</v>
      </c>
      <c r="J7" s="127" t="s">
        <v>38</v>
      </c>
      <c r="K7" s="127" t="s">
        <v>161</v>
      </c>
      <c r="L7" s="53">
        <v>3</v>
      </c>
      <c r="N7" s="53">
        <v>1</v>
      </c>
      <c r="O7" s="53">
        <v>0.6</v>
      </c>
      <c r="P7" s="53">
        <v>0.75</v>
      </c>
      <c r="Q7" s="75">
        <f t="shared" si="2"/>
        <v>0.67500000000000004</v>
      </c>
      <c r="R7" s="168">
        <v>14.5</v>
      </c>
      <c r="S7" s="168">
        <v>119</v>
      </c>
      <c r="T7" s="16">
        <f t="shared" si="0"/>
        <v>30</v>
      </c>
      <c r="U7" s="169">
        <v>128</v>
      </c>
      <c r="V7" s="38">
        <f t="shared" si="1"/>
        <v>3840</v>
      </c>
      <c r="W7" s="165">
        <v>4</v>
      </c>
      <c r="X7" s="166" t="s">
        <v>46</v>
      </c>
      <c r="Y7" s="166" t="s">
        <v>50</v>
      </c>
      <c r="Z7" s="166" t="s">
        <v>84</v>
      </c>
      <c r="AA7" s="157" t="s">
        <v>69</v>
      </c>
      <c r="AB7" s="53" t="s">
        <v>158</v>
      </c>
      <c r="AE7" s="22" t="s">
        <v>61</v>
      </c>
      <c r="AG7" s="67" t="s">
        <v>367</v>
      </c>
      <c r="AH7" s="67" t="s">
        <v>366</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361</v>
      </c>
      <c r="E8" s="159" t="s">
        <v>364</v>
      </c>
      <c r="F8" s="158" t="s">
        <v>363</v>
      </c>
      <c r="G8" s="161" t="s">
        <v>36</v>
      </c>
      <c r="H8" s="127" t="s">
        <v>164</v>
      </c>
      <c r="I8" s="127" t="s">
        <v>159</v>
      </c>
      <c r="J8" s="127" t="s">
        <v>38</v>
      </c>
      <c r="K8" s="127" t="s">
        <v>161</v>
      </c>
      <c r="L8" s="53">
        <v>1</v>
      </c>
      <c r="N8" s="53">
        <v>1</v>
      </c>
      <c r="O8" s="53">
        <v>0.9</v>
      </c>
      <c r="P8" s="53">
        <v>1</v>
      </c>
      <c r="Q8" s="75">
        <f t="shared" si="2"/>
        <v>0.95</v>
      </c>
      <c r="R8" s="168">
        <v>12.9</v>
      </c>
      <c r="S8" s="168">
        <v>106</v>
      </c>
      <c r="T8" s="16">
        <f t="shared" si="0"/>
        <v>33</v>
      </c>
      <c r="U8" s="164">
        <v>98</v>
      </c>
      <c r="V8" s="38">
        <f t="shared" si="1"/>
        <v>3234</v>
      </c>
      <c r="W8" s="165">
        <v>4</v>
      </c>
      <c r="X8" s="166" t="s">
        <v>39</v>
      </c>
      <c r="Y8" s="172" t="s">
        <v>84</v>
      </c>
      <c r="Z8" s="166" t="s">
        <v>69</v>
      </c>
      <c r="AA8" s="157" t="s">
        <v>50</v>
      </c>
      <c r="AB8" s="53" t="s">
        <v>158</v>
      </c>
      <c r="AE8" s="22" t="s">
        <v>59</v>
      </c>
      <c r="AG8" s="67" t="s">
        <v>211</v>
      </c>
      <c r="AH8" s="67" t="s">
        <v>368</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361</v>
      </c>
      <c r="E9" s="159" t="s">
        <v>364</v>
      </c>
      <c r="F9" s="158" t="s">
        <v>363</v>
      </c>
      <c r="G9" s="161" t="s">
        <v>36</v>
      </c>
      <c r="H9" s="127" t="s">
        <v>164</v>
      </c>
      <c r="I9" s="127" t="s">
        <v>159</v>
      </c>
      <c r="J9" s="127" t="s">
        <v>38</v>
      </c>
      <c r="K9" s="127" t="s">
        <v>161</v>
      </c>
      <c r="L9" s="53">
        <v>2</v>
      </c>
      <c r="N9" s="53">
        <v>1</v>
      </c>
      <c r="O9" s="53">
        <v>0.8</v>
      </c>
      <c r="P9" s="53">
        <v>0.75</v>
      </c>
      <c r="Q9" s="75">
        <f t="shared" si="2"/>
        <v>0.77500000000000002</v>
      </c>
      <c r="R9" s="168">
        <v>13.3</v>
      </c>
      <c r="S9" s="168">
        <v>131</v>
      </c>
      <c r="T9" s="16">
        <f t="shared" si="0"/>
        <v>30</v>
      </c>
      <c r="U9" s="164">
        <v>98</v>
      </c>
      <c r="V9" s="38">
        <f t="shared" si="1"/>
        <v>2940</v>
      </c>
      <c r="W9" s="165">
        <v>4</v>
      </c>
      <c r="X9" s="166" t="s">
        <v>39</v>
      </c>
      <c r="Y9" s="172" t="s">
        <v>84</v>
      </c>
      <c r="Z9" s="166" t="s">
        <v>69</v>
      </c>
      <c r="AA9" s="157" t="s">
        <v>50</v>
      </c>
      <c r="AB9" s="53" t="s">
        <v>158</v>
      </c>
      <c r="AE9" s="22" t="s">
        <v>98</v>
      </c>
      <c r="AG9" s="67" t="s">
        <v>139</v>
      </c>
      <c r="AH9" s="67" t="s">
        <v>368</v>
      </c>
      <c r="AL9" s="73"/>
      <c r="AP9" s="23" t="s">
        <v>95</v>
      </c>
      <c r="AR9" s="23" t="s">
        <v>89</v>
      </c>
      <c r="AV9" s="23" t="s">
        <v>102</v>
      </c>
      <c r="AX9" s="31">
        <v>180</v>
      </c>
      <c r="AY9" s="32">
        <v>18</v>
      </c>
      <c r="AZ9" s="32">
        <v>181</v>
      </c>
      <c r="BA9" s="33">
        <v>16</v>
      </c>
    </row>
    <row r="10" spans="1:53" x14ac:dyDescent="0.15">
      <c r="A10" s="158" t="s">
        <v>34</v>
      </c>
      <c r="B10" s="158" t="s">
        <v>157</v>
      </c>
      <c r="C10" s="158">
        <v>2019</v>
      </c>
      <c r="D10" s="160" t="s">
        <v>361</v>
      </c>
      <c r="E10" s="159" t="s">
        <v>364</v>
      </c>
      <c r="F10" s="158" t="s">
        <v>363</v>
      </c>
      <c r="G10" s="161" t="s">
        <v>36</v>
      </c>
      <c r="H10" s="127" t="s">
        <v>164</v>
      </c>
      <c r="I10" s="127" t="s">
        <v>159</v>
      </c>
      <c r="J10" s="127" t="s">
        <v>38</v>
      </c>
      <c r="K10" s="127" t="s">
        <v>161</v>
      </c>
      <c r="L10" s="53">
        <v>3</v>
      </c>
      <c r="N10" s="53">
        <v>1</v>
      </c>
      <c r="O10" s="53">
        <v>0.85</v>
      </c>
      <c r="P10" s="53">
        <v>0.9</v>
      </c>
      <c r="Q10" s="75">
        <f t="shared" si="2"/>
        <v>0.875</v>
      </c>
      <c r="R10" s="168">
        <v>13.5</v>
      </c>
      <c r="S10" s="168">
        <v>132</v>
      </c>
      <c r="T10" s="16">
        <f t="shared" si="0"/>
        <v>30</v>
      </c>
      <c r="U10" s="164">
        <v>98</v>
      </c>
      <c r="V10" s="38">
        <f t="shared" si="1"/>
        <v>2940</v>
      </c>
      <c r="W10" s="165">
        <v>4</v>
      </c>
      <c r="X10" s="166" t="s">
        <v>39</v>
      </c>
      <c r="Y10" s="172" t="s">
        <v>84</v>
      </c>
      <c r="Z10" s="166" t="s">
        <v>69</v>
      </c>
      <c r="AA10" s="157" t="s">
        <v>50</v>
      </c>
      <c r="AB10" s="53" t="s">
        <v>158</v>
      </c>
      <c r="AE10" s="22" t="s">
        <v>103</v>
      </c>
      <c r="AG10" s="67" t="s">
        <v>133</v>
      </c>
      <c r="AH10" s="67" t="s">
        <v>369</v>
      </c>
      <c r="AL10" s="34"/>
      <c r="AP10" s="23" t="s">
        <v>100</v>
      </c>
      <c r="AR10" s="23" t="s">
        <v>123</v>
      </c>
      <c r="AV10" s="23" t="s">
        <v>106</v>
      </c>
    </row>
    <row r="11" spans="1:53" x14ac:dyDescent="0.15">
      <c r="A11" s="158" t="s">
        <v>34</v>
      </c>
      <c r="B11" s="158" t="s">
        <v>157</v>
      </c>
      <c r="C11" s="159">
        <v>2019</v>
      </c>
      <c r="D11" s="160" t="s">
        <v>361</v>
      </c>
      <c r="E11" s="159" t="s">
        <v>364</v>
      </c>
      <c r="F11" s="158" t="s">
        <v>363</v>
      </c>
      <c r="G11" s="161" t="s">
        <v>36</v>
      </c>
      <c r="H11" s="127" t="s">
        <v>160</v>
      </c>
      <c r="I11" s="127" t="s">
        <v>159</v>
      </c>
      <c r="J11" s="127" t="s">
        <v>38</v>
      </c>
      <c r="K11" s="127" t="s">
        <v>161</v>
      </c>
      <c r="L11" s="53">
        <v>1</v>
      </c>
      <c r="N11" s="53">
        <v>1</v>
      </c>
      <c r="O11" s="53">
        <v>0.7</v>
      </c>
      <c r="P11" s="53">
        <v>0.65</v>
      </c>
      <c r="Q11" s="75">
        <f t="shared" si="2"/>
        <v>0.67500000000000004</v>
      </c>
      <c r="R11" s="168">
        <v>16.5</v>
      </c>
      <c r="S11" s="168">
        <v>100</v>
      </c>
      <c r="T11" s="16">
        <f t="shared" si="0"/>
        <v>33</v>
      </c>
      <c r="U11" s="164">
        <v>128</v>
      </c>
      <c r="V11" s="38">
        <f t="shared" si="1"/>
        <v>4224</v>
      </c>
      <c r="W11" s="165">
        <v>4</v>
      </c>
      <c r="X11" s="166" t="s">
        <v>39</v>
      </c>
      <c r="Y11" s="172" t="s">
        <v>84</v>
      </c>
      <c r="Z11" s="166" t="s">
        <v>69</v>
      </c>
      <c r="AA11" s="172" t="s">
        <v>50</v>
      </c>
      <c r="AB11" s="53" t="s">
        <v>158</v>
      </c>
      <c r="AE11" s="22" t="s">
        <v>65</v>
      </c>
      <c r="AG11" s="23" t="s">
        <v>270</v>
      </c>
      <c r="AH11" s="23" t="s">
        <v>370</v>
      </c>
      <c r="AL11" s="34"/>
      <c r="AP11" s="23" t="s">
        <v>104</v>
      </c>
      <c r="AR11" s="23" t="s">
        <v>87</v>
      </c>
      <c r="AV11" s="23" t="s">
        <v>69</v>
      </c>
    </row>
    <row r="12" spans="1:53" x14ac:dyDescent="0.15">
      <c r="A12" s="158" t="s">
        <v>34</v>
      </c>
      <c r="B12" s="158" t="s">
        <v>157</v>
      </c>
      <c r="C12" s="158">
        <v>2019</v>
      </c>
      <c r="D12" s="160" t="s">
        <v>361</v>
      </c>
      <c r="E12" s="159" t="s">
        <v>364</v>
      </c>
      <c r="F12" s="158" t="s">
        <v>363</v>
      </c>
      <c r="G12" s="161" t="s">
        <v>36</v>
      </c>
      <c r="H12" s="127" t="s">
        <v>160</v>
      </c>
      <c r="I12" s="127" t="s">
        <v>159</v>
      </c>
      <c r="J12" s="127" t="s">
        <v>38</v>
      </c>
      <c r="K12" s="127" t="s">
        <v>161</v>
      </c>
      <c r="L12" s="53">
        <v>2</v>
      </c>
      <c r="N12" s="53">
        <v>1</v>
      </c>
      <c r="O12" s="53">
        <v>0.6</v>
      </c>
      <c r="P12" s="53">
        <v>0.6</v>
      </c>
      <c r="Q12" s="75">
        <f t="shared" si="2"/>
        <v>0.6</v>
      </c>
      <c r="R12" s="168">
        <v>16.8</v>
      </c>
      <c r="S12" s="168">
        <v>100</v>
      </c>
      <c r="T12" s="16">
        <f t="shared" si="0"/>
        <v>33</v>
      </c>
      <c r="U12" s="164">
        <v>128</v>
      </c>
      <c r="V12" s="38">
        <f t="shared" si="1"/>
        <v>4224</v>
      </c>
      <c r="W12" s="165">
        <v>4</v>
      </c>
      <c r="X12" s="166" t="s">
        <v>39</v>
      </c>
      <c r="Y12" s="172" t="s">
        <v>84</v>
      </c>
      <c r="Z12" s="166" t="s">
        <v>69</v>
      </c>
      <c r="AA12" s="172" t="s">
        <v>50</v>
      </c>
      <c r="AB12" s="53" t="s">
        <v>158</v>
      </c>
      <c r="AE12" s="22" t="s">
        <v>70</v>
      </c>
      <c r="AG12" s="23"/>
      <c r="AH12" s="23"/>
      <c r="AL12" s="34"/>
      <c r="AP12" s="23" t="s">
        <v>67</v>
      </c>
      <c r="AR12" s="23" t="s">
        <v>124</v>
      </c>
      <c r="AV12" s="23" t="s">
        <v>72</v>
      </c>
    </row>
    <row r="13" spans="1:53" x14ac:dyDescent="0.15">
      <c r="A13" s="158" t="s">
        <v>34</v>
      </c>
      <c r="B13" s="158" t="s">
        <v>157</v>
      </c>
      <c r="C13" s="159">
        <v>2019</v>
      </c>
      <c r="D13" s="160" t="s">
        <v>361</v>
      </c>
      <c r="E13" s="159" t="s">
        <v>364</v>
      </c>
      <c r="F13" s="158" t="s">
        <v>363</v>
      </c>
      <c r="G13" s="161" t="s">
        <v>36</v>
      </c>
      <c r="H13" s="127" t="s">
        <v>160</v>
      </c>
      <c r="I13" s="127" t="s">
        <v>159</v>
      </c>
      <c r="J13" s="127" t="s">
        <v>38</v>
      </c>
      <c r="K13" s="127" t="s">
        <v>161</v>
      </c>
      <c r="L13" s="53">
        <v>3</v>
      </c>
      <c r="N13" s="53">
        <v>1</v>
      </c>
      <c r="O13" s="53">
        <v>0.65</v>
      </c>
      <c r="P13" s="53">
        <v>0.6</v>
      </c>
      <c r="Q13" s="75">
        <f t="shared" si="2"/>
        <v>0.625</v>
      </c>
      <c r="R13" s="168">
        <v>16.600000000000001</v>
      </c>
      <c r="S13" s="168">
        <v>100</v>
      </c>
      <c r="T13" s="16">
        <f t="shared" si="0"/>
        <v>33</v>
      </c>
      <c r="U13" s="164">
        <v>128</v>
      </c>
      <c r="V13" s="38">
        <f t="shared" si="1"/>
        <v>4224</v>
      </c>
      <c r="W13" s="165">
        <v>4</v>
      </c>
      <c r="X13" s="166" t="s">
        <v>39</v>
      </c>
      <c r="Y13" s="172" t="s">
        <v>84</v>
      </c>
      <c r="Z13" s="166" t="s">
        <v>69</v>
      </c>
      <c r="AA13" s="172" t="s">
        <v>50</v>
      </c>
      <c r="AB13" s="53" t="s">
        <v>158</v>
      </c>
      <c r="AE13" s="22" t="s">
        <v>73</v>
      </c>
      <c r="AG13" s="28"/>
      <c r="AH13" s="28"/>
      <c r="AP13" s="23" t="s">
        <v>71</v>
      </c>
      <c r="AR13" s="23" t="s">
        <v>103</v>
      </c>
      <c r="AV13" s="23" t="s">
        <v>75</v>
      </c>
    </row>
    <row r="14" spans="1:53" x14ac:dyDescent="0.15">
      <c r="A14" s="158" t="s">
        <v>34</v>
      </c>
      <c r="B14" s="158" t="s">
        <v>157</v>
      </c>
      <c r="C14" s="158">
        <v>2019</v>
      </c>
      <c r="D14" s="160" t="s">
        <v>361</v>
      </c>
      <c r="E14" s="159" t="s">
        <v>359</v>
      </c>
      <c r="F14" s="158" t="s">
        <v>365</v>
      </c>
      <c r="G14" s="161" t="s">
        <v>36</v>
      </c>
      <c r="H14" s="127" t="s">
        <v>164</v>
      </c>
      <c r="I14" s="127" t="s">
        <v>159</v>
      </c>
      <c r="J14" s="127" t="s">
        <v>38</v>
      </c>
      <c r="K14" s="127" t="s">
        <v>161</v>
      </c>
      <c r="L14" s="53">
        <v>1</v>
      </c>
      <c r="N14" s="53">
        <v>1</v>
      </c>
      <c r="O14" s="53">
        <v>0.6</v>
      </c>
      <c r="P14" s="53">
        <v>0.55000000000000004</v>
      </c>
      <c r="Q14" s="75">
        <f t="shared" si="2"/>
        <v>0.57499999999999996</v>
      </c>
      <c r="R14" s="168">
        <v>17.5</v>
      </c>
      <c r="S14" s="168">
        <v>121</v>
      </c>
      <c r="T14" s="16">
        <f t="shared" si="0"/>
        <v>30</v>
      </c>
      <c r="U14" s="164">
        <v>75</v>
      </c>
      <c r="V14" s="38">
        <f t="shared" si="1"/>
        <v>2250</v>
      </c>
      <c r="W14" s="165">
        <v>4</v>
      </c>
      <c r="X14" s="166" t="s">
        <v>39</v>
      </c>
      <c r="Y14" s="172" t="s">
        <v>69</v>
      </c>
      <c r="Z14" s="172" t="s">
        <v>90</v>
      </c>
      <c r="AA14" s="172" t="s">
        <v>50</v>
      </c>
      <c r="AB14" s="53" t="s">
        <v>158</v>
      </c>
      <c r="AC14" s="34"/>
      <c r="AE14" s="22" t="s">
        <v>76</v>
      </c>
      <c r="AP14" s="23" t="s">
        <v>74</v>
      </c>
      <c r="AR14" s="23" t="s">
        <v>125</v>
      </c>
      <c r="AV14" s="23" t="s">
        <v>78</v>
      </c>
    </row>
    <row r="15" spans="1:53" x14ac:dyDescent="0.15">
      <c r="A15" s="158" t="s">
        <v>34</v>
      </c>
      <c r="B15" s="158" t="s">
        <v>157</v>
      </c>
      <c r="C15" s="159">
        <v>2019</v>
      </c>
      <c r="D15" s="160" t="s">
        <v>361</v>
      </c>
      <c r="E15" s="159" t="s">
        <v>359</v>
      </c>
      <c r="F15" s="158" t="s">
        <v>365</v>
      </c>
      <c r="G15" s="161" t="s">
        <v>36</v>
      </c>
      <c r="H15" s="127" t="s">
        <v>164</v>
      </c>
      <c r="I15" s="127" t="s">
        <v>159</v>
      </c>
      <c r="J15" s="127" t="s">
        <v>38</v>
      </c>
      <c r="K15" s="127" t="s">
        <v>161</v>
      </c>
      <c r="L15" s="53">
        <v>2</v>
      </c>
      <c r="N15" s="53">
        <v>1</v>
      </c>
      <c r="O15" s="53">
        <v>0.7</v>
      </c>
      <c r="P15" s="53">
        <v>0.6</v>
      </c>
      <c r="Q15" s="75">
        <f t="shared" si="2"/>
        <v>0.64999999999999991</v>
      </c>
      <c r="R15" s="168">
        <v>17.7</v>
      </c>
      <c r="S15" s="168">
        <v>118</v>
      </c>
      <c r="T15" s="16">
        <f t="shared" si="0"/>
        <v>30</v>
      </c>
      <c r="U15" s="164">
        <v>75</v>
      </c>
      <c r="V15" s="38">
        <f t="shared" si="1"/>
        <v>2250</v>
      </c>
      <c r="W15" s="165">
        <v>4</v>
      </c>
      <c r="X15" s="166" t="s">
        <v>39</v>
      </c>
      <c r="Y15" s="172" t="s">
        <v>69</v>
      </c>
      <c r="Z15" s="172" t="s">
        <v>90</v>
      </c>
      <c r="AA15" s="172" t="s">
        <v>50</v>
      </c>
      <c r="AB15" s="53" t="s">
        <v>158</v>
      </c>
      <c r="AC15" s="34"/>
      <c r="AE15" s="22" t="s">
        <v>79</v>
      </c>
      <c r="AP15" s="23" t="s">
        <v>77</v>
      </c>
      <c r="AR15" s="23" t="s">
        <v>94</v>
      </c>
      <c r="AV15" s="23" t="s">
        <v>107</v>
      </c>
    </row>
    <row r="16" spans="1:53" x14ac:dyDescent="0.15">
      <c r="A16" s="158" t="s">
        <v>34</v>
      </c>
      <c r="B16" s="158" t="s">
        <v>157</v>
      </c>
      <c r="C16" s="158">
        <v>2019</v>
      </c>
      <c r="D16" s="160" t="s">
        <v>361</v>
      </c>
      <c r="E16" s="159" t="s">
        <v>359</v>
      </c>
      <c r="F16" s="158" t="s">
        <v>365</v>
      </c>
      <c r="G16" s="161" t="s">
        <v>42</v>
      </c>
      <c r="H16" s="127" t="s">
        <v>164</v>
      </c>
      <c r="I16" s="127" t="s">
        <v>159</v>
      </c>
      <c r="J16" s="127" t="s">
        <v>38</v>
      </c>
      <c r="K16" s="127" t="s">
        <v>161</v>
      </c>
      <c r="L16" s="53">
        <v>3</v>
      </c>
      <c r="N16" s="53">
        <v>1</v>
      </c>
      <c r="O16" s="53">
        <v>0.7</v>
      </c>
      <c r="P16" s="53">
        <v>0.65</v>
      </c>
      <c r="Q16" s="75">
        <f t="shared" si="2"/>
        <v>0.67500000000000004</v>
      </c>
      <c r="R16" s="168">
        <v>16.8</v>
      </c>
      <c r="S16" s="168">
        <v>120</v>
      </c>
      <c r="T16" s="16">
        <f t="shared" si="0"/>
        <v>30</v>
      </c>
      <c r="U16" s="164">
        <v>75</v>
      </c>
      <c r="V16" s="38">
        <f t="shared" si="1"/>
        <v>2250</v>
      </c>
      <c r="W16" s="165">
        <v>4</v>
      </c>
      <c r="X16" s="166" t="s">
        <v>39</v>
      </c>
      <c r="Y16" s="172" t="s">
        <v>69</v>
      </c>
      <c r="Z16" s="172" t="s">
        <v>90</v>
      </c>
      <c r="AA16" s="172" t="s">
        <v>50</v>
      </c>
      <c r="AB16" s="53" t="s">
        <v>158</v>
      </c>
      <c r="AC16" s="34"/>
      <c r="AE16" s="22" t="s">
        <v>82</v>
      </c>
      <c r="AP16" s="23" t="s">
        <v>80</v>
      </c>
      <c r="AR16" s="23" t="s">
        <v>63</v>
      </c>
      <c r="AV16" s="23" t="s">
        <v>84</v>
      </c>
    </row>
    <row r="17" spans="1:48" x14ac:dyDescent="0.15">
      <c r="A17" s="158" t="s">
        <v>34</v>
      </c>
      <c r="B17" s="158" t="s">
        <v>157</v>
      </c>
      <c r="C17" s="158">
        <v>2019</v>
      </c>
      <c r="D17" s="160" t="s">
        <v>361</v>
      </c>
      <c r="E17" s="159" t="s">
        <v>270</v>
      </c>
      <c r="F17" s="158" t="s">
        <v>366</v>
      </c>
      <c r="G17" s="161" t="s">
        <v>42</v>
      </c>
      <c r="H17" s="127" t="s">
        <v>164</v>
      </c>
      <c r="I17" s="127" t="s">
        <v>159</v>
      </c>
      <c r="J17" s="127" t="s">
        <v>38</v>
      </c>
      <c r="K17" s="127" t="s">
        <v>161</v>
      </c>
      <c r="L17" s="53">
        <v>1</v>
      </c>
      <c r="N17" s="53">
        <v>7</v>
      </c>
      <c r="O17" s="53">
        <v>0.8</v>
      </c>
      <c r="P17" s="53">
        <v>0.7</v>
      </c>
      <c r="Q17" s="75">
        <f t="shared" si="2"/>
        <v>0.75</v>
      </c>
      <c r="R17" s="168">
        <v>15</v>
      </c>
      <c r="S17" s="168">
        <v>90</v>
      </c>
      <c r="T17" s="16">
        <f t="shared" si="0"/>
        <v>36</v>
      </c>
      <c r="U17" s="164">
        <v>398</v>
      </c>
      <c r="V17" s="38">
        <f t="shared" si="1"/>
        <v>2046.8571428571427</v>
      </c>
      <c r="W17" s="165">
        <v>2</v>
      </c>
      <c r="X17" s="166" t="s">
        <v>46</v>
      </c>
      <c r="Y17" s="172" t="s">
        <v>90</v>
      </c>
      <c r="Z17" s="172" t="s">
        <v>50</v>
      </c>
      <c r="AA17" s="172" t="s">
        <v>84</v>
      </c>
      <c r="AB17" s="53" t="s">
        <v>158</v>
      </c>
      <c r="AC17" s="34"/>
      <c r="AE17" s="22" t="s">
        <v>87</v>
      </c>
      <c r="AP17" s="27" t="s">
        <v>111</v>
      </c>
      <c r="AR17" s="23" t="s">
        <v>101</v>
      </c>
      <c r="AV17" s="23" t="s">
        <v>88</v>
      </c>
    </row>
    <row r="18" spans="1:48" x14ac:dyDescent="0.15">
      <c r="A18" s="158" t="s">
        <v>34</v>
      </c>
      <c r="B18" s="158" t="s">
        <v>157</v>
      </c>
      <c r="C18" s="159">
        <v>2019</v>
      </c>
      <c r="D18" s="160" t="s">
        <v>361</v>
      </c>
      <c r="E18" s="159" t="s">
        <v>270</v>
      </c>
      <c r="F18" s="158" t="s">
        <v>366</v>
      </c>
      <c r="G18" s="161" t="s">
        <v>42</v>
      </c>
      <c r="H18" s="127" t="s">
        <v>164</v>
      </c>
      <c r="I18" s="127" t="s">
        <v>159</v>
      </c>
      <c r="J18" s="127" t="s">
        <v>38</v>
      </c>
      <c r="K18" s="127" t="s">
        <v>161</v>
      </c>
      <c r="L18" s="53">
        <v>2</v>
      </c>
      <c r="N18" s="53">
        <v>7</v>
      </c>
      <c r="O18" s="53">
        <v>0.6</v>
      </c>
      <c r="P18" s="53">
        <v>0.55000000000000004</v>
      </c>
      <c r="Q18" s="75">
        <f t="shared" si="2"/>
        <v>0.57499999999999996</v>
      </c>
      <c r="R18" s="168">
        <v>16.600000000000001</v>
      </c>
      <c r="S18" s="168">
        <v>91</v>
      </c>
      <c r="T18" s="16">
        <f t="shared" si="0"/>
        <v>36</v>
      </c>
      <c r="U18" s="164">
        <v>398</v>
      </c>
      <c r="V18" s="38">
        <f t="shared" si="1"/>
        <v>2046.8571428571427</v>
      </c>
      <c r="W18" s="165">
        <v>2</v>
      </c>
      <c r="X18" s="166" t="s">
        <v>46</v>
      </c>
      <c r="Y18" s="172" t="s">
        <v>90</v>
      </c>
      <c r="Z18" s="172" t="s">
        <v>50</v>
      </c>
      <c r="AA18" s="172" t="s">
        <v>84</v>
      </c>
      <c r="AB18" s="53" t="s">
        <v>158</v>
      </c>
      <c r="AC18" s="34"/>
      <c r="AE18" s="35" t="s">
        <v>89</v>
      </c>
      <c r="AP18" s="27" t="s">
        <v>112</v>
      </c>
      <c r="AR18" s="23" t="s">
        <v>126</v>
      </c>
      <c r="AV18" s="23" t="s">
        <v>90</v>
      </c>
    </row>
    <row r="19" spans="1:48" x14ac:dyDescent="0.15">
      <c r="A19" s="158" t="s">
        <v>34</v>
      </c>
      <c r="B19" s="158" t="s">
        <v>157</v>
      </c>
      <c r="C19" s="158">
        <v>2019</v>
      </c>
      <c r="D19" s="160" t="s">
        <v>361</v>
      </c>
      <c r="E19" s="159" t="s">
        <v>270</v>
      </c>
      <c r="F19" s="158" t="s">
        <v>368</v>
      </c>
      <c r="G19" s="161" t="s">
        <v>42</v>
      </c>
      <c r="H19" s="127" t="s">
        <v>164</v>
      </c>
      <c r="I19" s="127" t="s">
        <v>159</v>
      </c>
      <c r="J19" s="127" t="s">
        <v>38</v>
      </c>
      <c r="K19" s="127" t="s">
        <v>161</v>
      </c>
      <c r="L19" s="53">
        <v>3</v>
      </c>
      <c r="N19" s="53">
        <v>7</v>
      </c>
      <c r="O19" s="53">
        <v>0.55000000000000004</v>
      </c>
      <c r="P19" s="53">
        <v>0.6</v>
      </c>
      <c r="Q19" s="75">
        <f t="shared" si="2"/>
        <v>0.57499999999999996</v>
      </c>
      <c r="R19" s="168">
        <v>16.3</v>
      </c>
      <c r="S19" s="168">
        <v>90</v>
      </c>
      <c r="T19" s="16">
        <f t="shared" si="0"/>
        <v>36</v>
      </c>
      <c r="U19" s="164">
        <v>398</v>
      </c>
      <c r="V19" s="38">
        <f t="shared" si="1"/>
        <v>2046.8571428571427</v>
      </c>
      <c r="W19" s="165">
        <v>2</v>
      </c>
      <c r="X19" s="166" t="s">
        <v>46</v>
      </c>
      <c r="Y19" s="172" t="s">
        <v>90</v>
      </c>
      <c r="Z19" s="172" t="s">
        <v>50</v>
      </c>
      <c r="AA19" s="172" t="s">
        <v>84</v>
      </c>
      <c r="AB19" s="53" t="s">
        <v>158</v>
      </c>
      <c r="AE19" s="35"/>
      <c r="AP19" s="27" t="s">
        <v>113</v>
      </c>
      <c r="AR19" s="23" t="s">
        <v>105</v>
      </c>
      <c r="AV19" s="27" t="s">
        <v>135</v>
      </c>
    </row>
    <row r="20" spans="1:48" x14ac:dyDescent="0.15">
      <c r="A20" s="158" t="s">
        <v>34</v>
      </c>
      <c r="B20" s="158" t="s">
        <v>157</v>
      </c>
      <c r="C20" s="159">
        <v>2019</v>
      </c>
      <c r="D20" s="160" t="s">
        <v>361</v>
      </c>
      <c r="E20" s="159" t="s">
        <v>211</v>
      </c>
      <c r="F20" s="158" t="s">
        <v>368</v>
      </c>
      <c r="G20" s="161" t="s">
        <v>42</v>
      </c>
      <c r="H20" s="127" t="s">
        <v>164</v>
      </c>
      <c r="I20" s="127" t="s">
        <v>159</v>
      </c>
      <c r="J20" s="127" t="s">
        <v>38</v>
      </c>
      <c r="K20" s="127" t="s">
        <v>161</v>
      </c>
      <c r="L20" s="53">
        <v>1</v>
      </c>
      <c r="N20" s="53">
        <v>4</v>
      </c>
      <c r="O20" s="53">
        <v>0.5</v>
      </c>
      <c r="P20" s="53">
        <v>0.5</v>
      </c>
      <c r="Q20" s="75">
        <f t="shared" si="2"/>
        <v>0.5</v>
      </c>
      <c r="R20" s="168">
        <v>13.1</v>
      </c>
      <c r="S20" s="168">
        <v>87</v>
      </c>
      <c r="T20" s="16">
        <f t="shared" si="0"/>
        <v>36</v>
      </c>
      <c r="U20" s="164">
        <v>377</v>
      </c>
      <c r="V20" s="38">
        <f t="shared" si="1"/>
        <v>3393</v>
      </c>
      <c r="W20" s="165">
        <v>1</v>
      </c>
      <c r="X20" s="166" t="s">
        <v>46</v>
      </c>
      <c r="Y20" s="172" t="s">
        <v>84</v>
      </c>
      <c r="Z20" s="172" t="s">
        <v>90</v>
      </c>
      <c r="AA20" s="172" t="s">
        <v>50</v>
      </c>
      <c r="AB20" s="53" t="s">
        <v>158</v>
      </c>
      <c r="AE20" s="28"/>
      <c r="AP20" s="27" t="s">
        <v>114</v>
      </c>
      <c r="AR20" s="23" t="s">
        <v>68</v>
      </c>
      <c r="AV20" s="27" t="s">
        <v>136</v>
      </c>
    </row>
    <row r="21" spans="1:48" x14ac:dyDescent="0.15">
      <c r="A21" s="158" t="s">
        <v>34</v>
      </c>
      <c r="B21" s="158" t="s">
        <v>157</v>
      </c>
      <c r="C21" s="158">
        <v>2019</v>
      </c>
      <c r="D21" s="160" t="s">
        <v>361</v>
      </c>
      <c r="E21" s="159" t="s">
        <v>211</v>
      </c>
      <c r="F21" s="158" t="s">
        <v>368</v>
      </c>
      <c r="G21" s="161" t="s">
        <v>42</v>
      </c>
      <c r="H21" s="127" t="s">
        <v>164</v>
      </c>
      <c r="I21" s="127" t="s">
        <v>159</v>
      </c>
      <c r="J21" s="127" t="s">
        <v>38</v>
      </c>
      <c r="K21" s="127" t="s">
        <v>161</v>
      </c>
      <c r="L21" s="53">
        <v>2</v>
      </c>
      <c r="N21" s="53">
        <v>4</v>
      </c>
      <c r="O21" s="53">
        <v>0.45</v>
      </c>
      <c r="P21" s="34">
        <v>0.5</v>
      </c>
      <c r="Q21" s="75">
        <f t="shared" si="2"/>
        <v>0.47499999999999998</v>
      </c>
      <c r="R21" s="168">
        <v>12.5</v>
      </c>
      <c r="S21" s="168">
        <v>92</v>
      </c>
      <c r="T21" s="16">
        <f t="shared" si="0"/>
        <v>36</v>
      </c>
      <c r="U21" s="164">
        <v>377</v>
      </c>
      <c r="V21" s="38">
        <f t="shared" si="1"/>
        <v>3393</v>
      </c>
      <c r="W21" s="165">
        <v>1</v>
      </c>
      <c r="X21" s="166" t="s">
        <v>46</v>
      </c>
      <c r="Y21" s="172" t="s">
        <v>84</v>
      </c>
      <c r="Z21" s="172" t="s">
        <v>90</v>
      </c>
      <c r="AA21" s="172" t="s">
        <v>50</v>
      </c>
      <c r="AB21" s="53" t="s">
        <v>158</v>
      </c>
      <c r="AP21" s="27" t="s">
        <v>115</v>
      </c>
      <c r="AR21" s="23" t="s">
        <v>83</v>
      </c>
      <c r="AV21" s="23"/>
    </row>
    <row r="22" spans="1:48" x14ac:dyDescent="0.15">
      <c r="A22" s="158" t="s">
        <v>34</v>
      </c>
      <c r="B22" s="158" t="s">
        <v>157</v>
      </c>
      <c r="C22" s="159">
        <v>2019</v>
      </c>
      <c r="D22" s="160" t="s">
        <v>361</v>
      </c>
      <c r="E22" s="159" t="s">
        <v>211</v>
      </c>
      <c r="F22" s="158" t="s">
        <v>368</v>
      </c>
      <c r="G22" s="161" t="s">
        <v>42</v>
      </c>
      <c r="H22" s="127" t="s">
        <v>164</v>
      </c>
      <c r="I22" s="127" t="s">
        <v>159</v>
      </c>
      <c r="J22" s="127" t="s">
        <v>38</v>
      </c>
      <c r="K22" s="127" t="s">
        <v>161</v>
      </c>
      <c r="L22" s="53">
        <v>3</v>
      </c>
      <c r="N22" s="53">
        <v>4</v>
      </c>
      <c r="O22" s="53">
        <v>0.5</v>
      </c>
      <c r="P22" s="34">
        <v>0.4</v>
      </c>
      <c r="Q22" s="75">
        <f t="shared" si="2"/>
        <v>0.45</v>
      </c>
      <c r="R22" s="168">
        <v>13.3</v>
      </c>
      <c r="S22" s="168">
        <v>85</v>
      </c>
      <c r="T22" s="16">
        <f t="shared" si="0"/>
        <v>36</v>
      </c>
      <c r="U22" s="164">
        <v>377</v>
      </c>
      <c r="V22" s="38">
        <f t="shared" si="1"/>
        <v>3393</v>
      </c>
      <c r="W22" s="165">
        <v>1</v>
      </c>
      <c r="X22" s="166" t="s">
        <v>46</v>
      </c>
      <c r="Y22" s="172" t="s">
        <v>84</v>
      </c>
      <c r="Z22" s="172" t="s">
        <v>90</v>
      </c>
      <c r="AA22" s="172" t="s">
        <v>50</v>
      </c>
      <c r="AB22" s="53" t="s">
        <v>158</v>
      </c>
      <c r="AP22" s="27" t="s">
        <v>137</v>
      </c>
      <c r="AR22" s="23" t="s">
        <v>61</v>
      </c>
      <c r="AV22" s="23"/>
    </row>
    <row r="23" spans="1:48" x14ac:dyDescent="0.15">
      <c r="A23" s="158" t="s">
        <v>34</v>
      </c>
      <c r="B23" s="158" t="s">
        <v>157</v>
      </c>
      <c r="C23" s="158">
        <v>2019</v>
      </c>
      <c r="D23" s="160" t="s">
        <v>361</v>
      </c>
      <c r="E23" s="159" t="s">
        <v>139</v>
      </c>
      <c r="F23" s="158" t="s">
        <v>368</v>
      </c>
      <c r="G23" s="161" t="s">
        <v>36</v>
      </c>
      <c r="H23" s="127" t="s">
        <v>164</v>
      </c>
      <c r="I23" s="127" t="s">
        <v>159</v>
      </c>
      <c r="J23" s="127" t="s">
        <v>38</v>
      </c>
      <c r="K23" s="127" t="s">
        <v>161</v>
      </c>
      <c r="L23" s="53">
        <v>1</v>
      </c>
      <c r="N23" s="53">
        <v>1</v>
      </c>
      <c r="O23" s="53">
        <v>1.2</v>
      </c>
      <c r="P23" s="34">
        <v>0.95</v>
      </c>
      <c r="Q23" s="75">
        <f t="shared" si="2"/>
        <v>1.075</v>
      </c>
      <c r="R23" s="168">
        <v>13.2</v>
      </c>
      <c r="S23" s="168">
        <v>123</v>
      </c>
      <c r="T23" s="16">
        <f t="shared" si="0"/>
        <v>30</v>
      </c>
      <c r="U23" s="164">
        <v>108</v>
      </c>
      <c r="V23" s="38">
        <f t="shared" si="1"/>
        <v>3240</v>
      </c>
      <c r="W23" s="165">
        <v>6</v>
      </c>
      <c r="X23" s="166" t="s">
        <v>46</v>
      </c>
      <c r="Y23" s="172" t="s">
        <v>84</v>
      </c>
      <c r="Z23" s="172" t="s">
        <v>90</v>
      </c>
      <c r="AA23" s="172" t="s">
        <v>60</v>
      </c>
      <c r="AB23" s="53" t="s">
        <v>158</v>
      </c>
      <c r="AP23" s="27" t="s">
        <v>138</v>
      </c>
      <c r="AR23" s="23" t="s">
        <v>91</v>
      </c>
      <c r="AV23" s="23"/>
    </row>
    <row r="24" spans="1:48" x14ac:dyDescent="0.15">
      <c r="A24" s="158" t="s">
        <v>34</v>
      </c>
      <c r="B24" s="158" t="s">
        <v>157</v>
      </c>
      <c r="C24" s="159">
        <v>2019</v>
      </c>
      <c r="D24" s="160" t="s">
        <v>361</v>
      </c>
      <c r="E24" s="159" t="s">
        <v>139</v>
      </c>
      <c r="F24" s="158" t="s">
        <v>368</v>
      </c>
      <c r="G24" s="161" t="s">
        <v>36</v>
      </c>
      <c r="H24" s="127" t="s">
        <v>164</v>
      </c>
      <c r="I24" s="127" t="s">
        <v>159</v>
      </c>
      <c r="J24" s="127" t="s">
        <v>38</v>
      </c>
      <c r="K24" s="127" t="s">
        <v>161</v>
      </c>
      <c r="L24" s="53">
        <v>2</v>
      </c>
      <c r="N24" s="53">
        <v>1</v>
      </c>
      <c r="O24" s="53">
        <v>0.85</v>
      </c>
      <c r="P24" s="34">
        <v>0.9</v>
      </c>
      <c r="Q24" s="75">
        <f t="shared" si="2"/>
        <v>0.875</v>
      </c>
      <c r="R24" s="168">
        <v>14.1</v>
      </c>
      <c r="S24" s="168">
        <v>125</v>
      </c>
      <c r="T24" s="16">
        <f t="shared" si="0"/>
        <v>30</v>
      </c>
      <c r="U24" s="164">
        <v>108</v>
      </c>
      <c r="V24" s="38">
        <f t="shared" si="1"/>
        <v>3240</v>
      </c>
      <c r="W24" s="165">
        <v>6</v>
      </c>
      <c r="X24" s="166" t="s">
        <v>46</v>
      </c>
      <c r="Y24" s="172" t="s">
        <v>84</v>
      </c>
      <c r="Z24" s="172" t="s">
        <v>90</v>
      </c>
      <c r="AA24" s="172" t="s">
        <v>60</v>
      </c>
      <c r="AB24" s="53" t="s">
        <v>158</v>
      </c>
      <c r="AP24" s="27" t="s">
        <v>116</v>
      </c>
      <c r="AR24" s="27" t="s">
        <v>92</v>
      </c>
      <c r="AV24" s="23"/>
    </row>
    <row r="25" spans="1:48" x14ac:dyDescent="0.15">
      <c r="A25" s="158" t="s">
        <v>34</v>
      </c>
      <c r="B25" s="158" t="s">
        <v>157</v>
      </c>
      <c r="C25" s="158">
        <v>2019</v>
      </c>
      <c r="D25" s="160" t="s">
        <v>361</v>
      </c>
      <c r="E25" s="159" t="s">
        <v>139</v>
      </c>
      <c r="F25" s="158" t="s">
        <v>369</v>
      </c>
      <c r="G25" s="161" t="s">
        <v>36</v>
      </c>
      <c r="H25" s="127" t="s">
        <v>164</v>
      </c>
      <c r="I25" s="127" t="s">
        <v>159</v>
      </c>
      <c r="J25" s="127" t="s">
        <v>38</v>
      </c>
      <c r="K25" s="127" t="s">
        <v>161</v>
      </c>
      <c r="L25" s="53">
        <v>3</v>
      </c>
      <c r="N25" s="53">
        <v>1</v>
      </c>
      <c r="O25" s="53">
        <v>0.9</v>
      </c>
      <c r="P25" s="53">
        <v>1.1000000000000001</v>
      </c>
      <c r="Q25" s="75">
        <f t="shared" si="2"/>
        <v>1</v>
      </c>
      <c r="R25" s="168">
        <v>13.4</v>
      </c>
      <c r="S25" s="168">
        <v>123</v>
      </c>
      <c r="T25" s="16">
        <f t="shared" si="0"/>
        <v>30</v>
      </c>
      <c r="U25" s="164">
        <v>108</v>
      </c>
      <c r="V25" s="38">
        <f t="shared" si="1"/>
        <v>3240</v>
      </c>
      <c r="W25" s="165">
        <v>6</v>
      </c>
      <c r="X25" s="166" t="s">
        <v>46</v>
      </c>
      <c r="Y25" s="172" t="s">
        <v>84</v>
      </c>
      <c r="Z25" s="172" t="s">
        <v>90</v>
      </c>
      <c r="AA25" s="172" t="s">
        <v>60</v>
      </c>
      <c r="AB25" s="53" t="s">
        <v>158</v>
      </c>
      <c r="AP25" s="27" t="s">
        <v>117</v>
      </c>
      <c r="AR25" s="23" t="s">
        <v>153</v>
      </c>
      <c r="AV25" s="27"/>
    </row>
    <row r="26" spans="1:48" x14ac:dyDescent="0.15">
      <c r="A26" s="158" t="s">
        <v>34</v>
      </c>
      <c r="B26" s="158" t="s">
        <v>157</v>
      </c>
      <c r="C26" s="159">
        <v>2019</v>
      </c>
      <c r="D26" s="160" t="s">
        <v>361</v>
      </c>
      <c r="E26" s="159" t="s">
        <v>133</v>
      </c>
      <c r="F26" s="158" t="s">
        <v>369</v>
      </c>
      <c r="G26" s="161" t="s">
        <v>36</v>
      </c>
      <c r="H26" s="127" t="s">
        <v>164</v>
      </c>
      <c r="I26" s="127" t="s">
        <v>159</v>
      </c>
      <c r="J26" s="127" t="s">
        <v>38</v>
      </c>
      <c r="K26" s="127" t="s">
        <v>161</v>
      </c>
      <c r="L26" s="53">
        <v>1</v>
      </c>
      <c r="N26" s="53">
        <v>1</v>
      </c>
      <c r="O26" s="34">
        <v>0.45</v>
      </c>
      <c r="P26" s="53">
        <v>0.5</v>
      </c>
      <c r="Q26" s="75">
        <f t="shared" si="2"/>
        <v>0.47499999999999998</v>
      </c>
      <c r="R26" s="168">
        <v>15.1</v>
      </c>
      <c r="S26" s="168">
        <v>116</v>
      </c>
      <c r="T26" s="16">
        <f t="shared" si="0"/>
        <v>30</v>
      </c>
      <c r="U26" s="164">
        <v>98</v>
      </c>
      <c r="V26" s="38">
        <f t="shared" si="1"/>
        <v>2940</v>
      </c>
      <c r="W26" s="165">
        <v>16</v>
      </c>
      <c r="X26" s="166" t="s">
        <v>46</v>
      </c>
      <c r="Y26" s="172" t="s">
        <v>84</v>
      </c>
      <c r="Z26" s="172" t="s">
        <v>55</v>
      </c>
      <c r="AA26" s="172" t="s">
        <v>90</v>
      </c>
      <c r="AB26" s="53" t="s">
        <v>158</v>
      </c>
      <c r="AP26" s="27" t="s">
        <v>118</v>
      </c>
      <c r="AR26" s="23"/>
    </row>
    <row r="27" spans="1:48" x14ac:dyDescent="0.15">
      <c r="A27" s="158" t="s">
        <v>34</v>
      </c>
      <c r="B27" s="158" t="s">
        <v>157</v>
      </c>
      <c r="C27" s="158">
        <v>2019</v>
      </c>
      <c r="D27" s="160" t="s">
        <v>361</v>
      </c>
      <c r="E27" s="159" t="s">
        <v>133</v>
      </c>
      <c r="F27" s="158" t="s">
        <v>369</v>
      </c>
      <c r="G27" s="161" t="s">
        <v>36</v>
      </c>
      <c r="H27" s="127" t="s">
        <v>164</v>
      </c>
      <c r="I27" s="127" t="s">
        <v>159</v>
      </c>
      <c r="J27" s="127" t="s">
        <v>38</v>
      </c>
      <c r="K27" s="127" t="s">
        <v>161</v>
      </c>
      <c r="L27" s="53">
        <v>2</v>
      </c>
      <c r="N27" s="53">
        <v>1</v>
      </c>
      <c r="O27" s="34">
        <v>0.5</v>
      </c>
      <c r="P27" s="53">
        <v>0.45</v>
      </c>
      <c r="Q27" s="75">
        <f t="shared" si="2"/>
        <v>0.47499999999999998</v>
      </c>
      <c r="R27" s="168">
        <v>14.9</v>
      </c>
      <c r="S27" s="168">
        <v>115</v>
      </c>
      <c r="T27" s="16">
        <f t="shared" si="0"/>
        <v>30</v>
      </c>
      <c r="U27" s="164">
        <v>98</v>
      </c>
      <c r="V27" s="38">
        <f t="shared" si="1"/>
        <v>2940</v>
      </c>
      <c r="W27" s="165">
        <v>16</v>
      </c>
      <c r="X27" s="166" t="s">
        <v>46</v>
      </c>
      <c r="Y27" s="172" t="s">
        <v>84</v>
      </c>
      <c r="Z27" s="172" t="s">
        <v>55</v>
      </c>
      <c r="AA27" s="172" t="s">
        <v>90</v>
      </c>
      <c r="AB27" s="53" t="s">
        <v>158</v>
      </c>
      <c r="AR27" s="23"/>
    </row>
    <row r="28" spans="1:48" x14ac:dyDescent="0.15">
      <c r="A28" s="158" t="s">
        <v>34</v>
      </c>
      <c r="B28" s="158" t="s">
        <v>157</v>
      </c>
      <c r="C28" s="158">
        <v>2019</v>
      </c>
      <c r="D28" s="160" t="s">
        <v>361</v>
      </c>
      <c r="E28" s="159" t="s">
        <v>133</v>
      </c>
      <c r="F28" s="158" t="s">
        <v>369</v>
      </c>
      <c r="G28" s="161" t="s">
        <v>36</v>
      </c>
      <c r="H28" s="127" t="s">
        <v>164</v>
      </c>
      <c r="I28" s="127" t="s">
        <v>159</v>
      </c>
      <c r="J28" s="127" t="s">
        <v>38</v>
      </c>
      <c r="K28" s="127" t="s">
        <v>161</v>
      </c>
      <c r="L28" s="53">
        <v>3</v>
      </c>
      <c r="N28" s="53">
        <v>1</v>
      </c>
      <c r="O28" s="53">
        <v>0.6</v>
      </c>
      <c r="P28" s="53">
        <v>0.5</v>
      </c>
      <c r="Q28" s="75">
        <f t="shared" si="2"/>
        <v>0.55000000000000004</v>
      </c>
      <c r="R28" s="168">
        <v>13.8</v>
      </c>
      <c r="S28" s="168">
        <v>125</v>
      </c>
      <c r="T28" s="16">
        <f t="shared" si="0"/>
        <v>30</v>
      </c>
      <c r="U28" s="164">
        <v>98</v>
      </c>
      <c r="V28" s="38">
        <f t="shared" si="1"/>
        <v>2940</v>
      </c>
      <c r="W28" s="165">
        <v>16</v>
      </c>
      <c r="X28" s="166" t="s">
        <v>46</v>
      </c>
      <c r="Y28" s="172" t="s">
        <v>84</v>
      </c>
      <c r="Z28" s="172" t="s">
        <v>55</v>
      </c>
      <c r="AA28" s="172" t="s">
        <v>90</v>
      </c>
      <c r="AB28" s="53" t="s">
        <v>158</v>
      </c>
      <c r="AR28" s="28"/>
    </row>
    <row r="29" spans="1:48" x14ac:dyDescent="0.15">
      <c r="A29" s="158" t="s">
        <v>34</v>
      </c>
      <c r="B29" s="158" t="s">
        <v>157</v>
      </c>
      <c r="C29" s="159">
        <v>2019</v>
      </c>
      <c r="D29" s="160" t="s">
        <v>361</v>
      </c>
      <c r="E29" s="159" t="s">
        <v>270</v>
      </c>
      <c r="F29" s="158" t="s">
        <v>370</v>
      </c>
      <c r="G29" s="161" t="s">
        <v>36</v>
      </c>
      <c r="H29" s="127" t="s">
        <v>164</v>
      </c>
      <c r="I29" s="127" t="s">
        <v>159</v>
      </c>
      <c r="J29" s="127" t="s">
        <v>38</v>
      </c>
      <c r="K29" s="127" t="s">
        <v>161</v>
      </c>
      <c r="L29" s="53">
        <v>1</v>
      </c>
      <c r="N29" s="53">
        <v>7</v>
      </c>
      <c r="O29" s="53">
        <v>0.5</v>
      </c>
      <c r="P29" s="53">
        <v>0.45</v>
      </c>
      <c r="Q29" s="75">
        <f t="shared" si="2"/>
        <v>0.47499999999999998</v>
      </c>
      <c r="R29" s="168">
        <v>13.8</v>
      </c>
      <c r="S29" s="168">
        <v>91</v>
      </c>
      <c r="T29" s="16">
        <f t="shared" si="0"/>
        <v>36</v>
      </c>
      <c r="U29" s="164">
        <v>398</v>
      </c>
      <c r="V29" s="38">
        <f t="shared" si="1"/>
        <v>2046.8571428571427</v>
      </c>
      <c r="W29" s="165">
        <v>2</v>
      </c>
      <c r="X29" s="166" t="s">
        <v>39</v>
      </c>
      <c r="Y29" s="172" t="s">
        <v>50</v>
      </c>
      <c r="Z29" s="172" t="s">
        <v>90</v>
      </c>
      <c r="AA29" s="172" t="s">
        <v>84</v>
      </c>
      <c r="AB29" s="53" t="s">
        <v>158</v>
      </c>
    </row>
    <row r="30" spans="1:48" x14ac:dyDescent="0.15">
      <c r="A30" s="158" t="s">
        <v>34</v>
      </c>
      <c r="B30" s="158" t="s">
        <v>157</v>
      </c>
      <c r="C30" s="158">
        <v>2019</v>
      </c>
      <c r="D30" s="160" t="s">
        <v>361</v>
      </c>
      <c r="E30" s="159" t="s">
        <v>270</v>
      </c>
      <c r="F30" s="158" t="s">
        <v>370</v>
      </c>
      <c r="G30" s="161" t="s">
        <v>36</v>
      </c>
      <c r="H30" s="127" t="s">
        <v>164</v>
      </c>
      <c r="I30" s="127" t="s">
        <v>159</v>
      </c>
      <c r="J30" s="127" t="s">
        <v>38</v>
      </c>
      <c r="K30" s="127" t="s">
        <v>161</v>
      </c>
      <c r="L30" s="53">
        <v>2</v>
      </c>
      <c r="N30" s="53">
        <v>7</v>
      </c>
      <c r="O30" s="53">
        <v>0.45</v>
      </c>
      <c r="P30" s="53">
        <v>0.5</v>
      </c>
      <c r="Q30" s="75">
        <f t="shared" si="2"/>
        <v>0.47499999999999998</v>
      </c>
      <c r="R30" s="168">
        <v>14.9</v>
      </c>
      <c r="S30" s="168">
        <v>92</v>
      </c>
      <c r="T30" s="16">
        <f t="shared" si="0"/>
        <v>36</v>
      </c>
      <c r="U30" s="164">
        <v>398</v>
      </c>
      <c r="V30" s="38">
        <f t="shared" si="1"/>
        <v>2046.8571428571427</v>
      </c>
      <c r="W30" s="165">
        <v>2</v>
      </c>
      <c r="X30" s="166" t="s">
        <v>39</v>
      </c>
      <c r="Y30" s="172" t="s">
        <v>50</v>
      </c>
      <c r="Z30" s="172" t="s">
        <v>90</v>
      </c>
      <c r="AA30" s="172" t="s">
        <v>84</v>
      </c>
      <c r="AB30" s="53" t="s">
        <v>158</v>
      </c>
    </row>
    <row r="31" spans="1:48" ht="14.25" customHeight="1" x14ac:dyDescent="0.15">
      <c r="A31" s="158" t="s">
        <v>34</v>
      </c>
      <c r="B31" s="158" t="s">
        <v>157</v>
      </c>
      <c r="C31" s="159">
        <v>2019</v>
      </c>
      <c r="D31" s="160" t="s">
        <v>350</v>
      </c>
      <c r="E31" s="159" t="s">
        <v>270</v>
      </c>
      <c r="F31" s="158" t="s">
        <v>370</v>
      </c>
      <c r="G31" s="161" t="s">
        <v>36</v>
      </c>
      <c r="H31" s="127" t="s">
        <v>164</v>
      </c>
      <c r="I31" s="127" t="s">
        <v>159</v>
      </c>
      <c r="J31" s="127" t="s">
        <v>38</v>
      </c>
      <c r="K31" s="127" t="s">
        <v>161</v>
      </c>
      <c r="L31" s="53">
        <v>3</v>
      </c>
      <c r="N31" s="53">
        <v>7</v>
      </c>
      <c r="O31" s="53">
        <v>0.5</v>
      </c>
      <c r="P31" s="53">
        <v>0.5</v>
      </c>
      <c r="Q31" s="75">
        <f t="shared" si="2"/>
        <v>0.5</v>
      </c>
      <c r="R31" s="168">
        <v>14.7</v>
      </c>
      <c r="S31" s="168">
        <v>89</v>
      </c>
      <c r="T31" s="16">
        <f t="shared" si="0"/>
        <v>36</v>
      </c>
      <c r="U31" s="164">
        <v>398</v>
      </c>
      <c r="V31" s="38">
        <f t="shared" si="1"/>
        <v>2046.8571428571427</v>
      </c>
      <c r="W31" s="165">
        <v>2</v>
      </c>
      <c r="X31" s="166" t="s">
        <v>39</v>
      </c>
      <c r="Y31" s="172" t="s">
        <v>50</v>
      </c>
      <c r="Z31" s="172" t="s">
        <v>90</v>
      </c>
      <c r="AA31" s="172" t="s">
        <v>84</v>
      </c>
      <c r="AB31" s="53" t="s">
        <v>158</v>
      </c>
    </row>
    <row r="32" spans="1:48" x14ac:dyDescent="0.15">
      <c r="A32" s="158"/>
      <c r="B32" s="158"/>
      <c r="C32" s="158"/>
      <c r="D32" s="160"/>
      <c r="E32" s="159"/>
      <c r="F32" s="158"/>
      <c r="G32" s="161"/>
      <c r="H32" s="127"/>
      <c r="I32" s="127"/>
      <c r="J32" s="127"/>
      <c r="K32" s="127"/>
      <c r="Q32" s="75"/>
      <c r="R32" s="168"/>
      <c r="S32" s="168"/>
      <c r="U32" s="164"/>
      <c r="V32" s="38"/>
      <c r="W32" s="165"/>
      <c r="X32" s="166"/>
      <c r="Y32" s="172"/>
      <c r="Z32" s="172"/>
      <c r="AA32" s="172"/>
    </row>
    <row r="33" spans="1:27" x14ac:dyDescent="0.15">
      <c r="A33" s="158"/>
      <c r="B33" s="158"/>
      <c r="C33" s="159"/>
      <c r="D33" s="160"/>
      <c r="E33" s="159"/>
      <c r="F33" s="158"/>
      <c r="G33" s="161"/>
      <c r="H33" s="127"/>
      <c r="I33" s="127"/>
      <c r="J33" s="127"/>
      <c r="K33" s="127"/>
      <c r="P33" s="34"/>
      <c r="Q33" s="75"/>
      <c r="R33" s="168"/>
      <c r="S33" s="168"/>
      <c r="U33" s="164"/>
      <c r="V33" s="38"/>
      <c r="W33" s="165"/>
      <c r="X33" s="166"/>
      <c r="Y33" s="172"/>
      <c r="Z33" s="172"/>
      <c r="AA33" s="172"/>
    </row>
    <row r="34" spans="1:27" x14ac:dyDescent="0.15">
      <c r="A34" s="158"/>
      <c r="B34" s="158"/>
      <c r="C34" s="158"/>
      <c r="D34" s="160"/>
      <c r="E34" s="159"/>
      <c r="F34" s="158"/>
      <c r="G34" s="161"/>
      <c r="H34" s="127"/>
      <c r="I34" s="127"/>
      <c r="J34" s="127"/>
      <c r="K34" s="127"/>
      <c r="Q34" s="75"/>
      <c r="R34" s="168"/>
      <c r="S34" s="168"/>
      <c r="U34" s="164"/>
      <c r="V34" s="38"/>
      <c r="W34" s="165"/>
      <c r="X34" s="166"/>
      <c r="Y34" s="172"/>
      <c r="Z34" s="172"/>
      <c r="AA34" s="172"/>
    </row>
    <row r="35" spans="1:27" x14ac:dyDescent="0.15">
      <c r="A35" s="158"/>
      <c r="B35" s="158"/>
      <c r="C35" s="159"/>
      <c r="D35" s="160"/>
      <c r="E35" s="159"/>
      <c r="F35" s="158"/>
      <c r="G35" s="161"/>
      <c r="H35" s="127"/>
      <c r="I35" s="127"/>
      <c r="J35" s="127"/>
      <c r="K35" s="127"/>
      <c r="Q35" s="75"/>
      <c r="R35" s="168"/>
      <c r="S35" s="168"/>
      <c r="U35" s="164"/>
      <c r="V35" s="38"/>
      <c r="W35" s="165"/>
      <c r="X35" s="166"/>
      <c r="Y35" s="172"/>
      <c r="Z35" s="172"/>
      <c r="AA35" s="172"/>
    </row>
    <row r="36" spans="1:27" x14ac:dyDescent="0.15">
      <c r="A36" s="158"/>
      <c r="B36" s="158"/>
      <c r="C36" s="158"/>
      <c r="D36" s="160"/>
      <c r="E36" s="159"/>
      <c r="F36" s="158"/>
      <c r="G36" s="161"/>
      <c r="H36" s="127"/>
      <c r="I36" s="127"/>
      <c r="J36" s="127"/>
      <c r="K36" s="127"/>
      <c r="Q36" s="75"/>
      <c r="R36" s="168"/>
      <c r="S36" s="168"/>
      <c r="U36" s="164"/>
      <c r="V36" s="38"/>
      <c r="W36" s="165"/>
      <c r="X36" s="166"/>
      <c r="Y36" s="172"/>
      <c r="Z36" s="172"/>
      <c r="AA36" s="172"/>
    </row>
    <row r="37" spans="1:27" x14ac:dyDescent="0.15">
      <c r="A37" s="158"/>
      <c r="B37" s="158"/>
      <c r="C37" s="159"/>
      <c r="D37" s="160"/>
      <c r="E37" s="159"/>
      <c r="F37" s="158"/>
      <c r="G37" s="161"/>
      <c r="H37" s="127"/>
      <c r="I37" s="127"/>
      <c r="J37" s="127"/>
      <c r="K37" s="127"/>
      <c r="Q37" s="75"/>
      <c r="R37" s="168"/>
      <c r="S37" s="168"/>
      <c r="U37" s="164"/>
      <c r="V37" s="38"/>
      <c r="W37" s="165"/>
      <c r="X37" s="166"/>
      <c r="Y37" s="172"/>
      <c r="Z37" s="172"/>
      <c r="AA37" s="172"/>
    </row>
    <row r="38" spans="1:27" x14ac:dyDescent="0.15">
      <c r="A38" s="158"/>
      <c r="B38" s="158"/>
      <c r="C38" s="158"/>
      <c r="D38" s="160"/>
      <c r="E38" s="159"/>
      <c r="F38" s="158"/>
      <c r="G38" s="161"/>
      <c r="H38" s="127"/>
      <c r="I38" s="127"/>
      <c r="J38" s="127"/>
      <c r="K38" s="127"/>
      <c r="Q38" s="75"/>
      <c r="R38" s="168"/>
      <c r="S38" s="168"/>
      <c r="U38" s="164"/>
      <c r="V38" s="38"/>
      <c r="W38" s="165"/>
      <c r="X38" s="166"/>
      <c r="Y38" s="172"/>
      <c r="Z38" s="172"/>
      <c r="AA38" s="172"/>
    </row>
    <row r="39" spans="1:27" ht="12.75" customHeight="1" x14ac:dyDescent="0.15">
      <c r="A39" s="158"/>
      <c r="B39" s="158"/>
      <c r="C39" s="159"/>
      <c r="D39" s="160"/>
      <c r="E39" s="159"/>
      <c r="F39" s="158"/>
      <c r="G39" s="161"/>
      <c r="H39" s="127"/>
      <c r="I39" s="127"/>
      <c r="J39" s="127"/>
      <c r="K39" s="127"/>
      <c r="Q39" s="75"/>
      <c r="R39" s="168"/>
      <c r="S39" s="168"/>
      <c r="U39" s="164"/>
      <c r="V39" s="38"/>
      <c r="W39" s="165"/>
      <c r="X39" s="166"/>
      <c r="Y39" s="172"/>
      <c r="Z39" s="172"/>
      <c r="AA39" s="172"/>
    </row>
    <row r="40" spans="1:27" ht="12.75" customHeight="1" x14ac:dyDescent="0.15">
      <c r="A40" s="127"/>
      <c r="B40" s="158"/>
      <c r="C40" s="159"/>
      <c r="D40" s="160"/>
      <c r="E40" s="159"/>
      <c r="F40" s="158"/>
      <c r="G40" s="161"/>
      <c r="H40" s="127"/>
      <c r="I40" s="127"/>
      <c r="J40" s="127"/>
      <c r="K40" s="127"/>
      <c r="Q40" s="75" t="str">
        <f t="shared" si="2"/>
        <v/>
      </c>
      <c r="R40" s="168"/>
      <c r="S40" s="168"/>
      <c r="T40" s="16" t="str">
        <f t="shared" si="0"/>
        <v/>
      </c>
      <c r="U40" s="164"/>
      <c r="V40" s="38" t="str">
        <f t="shared" si="1"/>
        <v/>
      </c>
      <c r="X40" s="166"/>
      <c r="Y40" s="173"/>
      <c r="Z40" s="173"/>
      <c r="AA40" s="173"/>
    </row>
    <row r="41" spans="1:27" ht="12.75" customHeight="1" x14ac:dyDescent="0.15">
      <c r="A41" s="127"/>
      <c r="B41" s="158"/>
      <c r="C41" s="159"/>
      <c r="D41" s="160"/>
      <c r="E41" s="159"/>
      <c r="F41" s="158"/>
      <c r="G41" s="161"/>
      <c r="H41" s="127"/>
      <c r="I41" s="127"/>
      <c r="J41" s="127"/>
      <c r="K41" s="127"/>
      <c r="Q41" s="75" t="str">
        <f t="shared" si="2"/>
        <v/>
      </c>
      <c r="R41" s="168"/>
      <c r="S41" s="168"/>
      <c r="T41" s="16" t="str">
        <f t="shared" si="0"/>
        <v/>
      </c>
      <c r="U41" s="164"/>
      <c r="V41" s="38" t="str">
        <f t="shared" si="1"/>
        <v/>
      </c>
      <c r="X41" s="166"/>
      <c r="Y41" s="173"/>
      <c r="Z41" s="173"/>
      <c r="AA41" s="173"/>
    </row>
    <row r="42" spans="1:27" ht="12.75" customHeight="1" x14ac:dyDescent="0.15">
      <c r="A42" s="127"/>
      <c r="B42" s="158"/>
      <c r="C42" s="159"/>
      <c r="D42" s="160"/>
      <c r="E42" s="159"/>
      <c r="F42" s="158"/>
      <c r="G42" s="161"/>
      <c r="H42" s="127"/>
      <c r="I42" s="127"/>
      <c r="J42" s="127"/>
      <c r="K42" s="127"/>
      <c r="Q42" s="75" t="str">
        <f t="shared" si="2"/>
        <v/>
      </c>
      <c r="R42" s="168"/>
      <c r="S42" s="168"/>
      <c r="T42" s="16" t="str">
        <f t="shared" si="0"/>
        <v/>
      </c>
      <c r="U42" s="164"/>
      <c r="V42" s="38" t="str">
        <f t="shared" si="1"/>
        <v/>
      </c>
      <c r="X42" s="166"/>
      <c r="Y42" s="173"/>
      <c r="Z42" s="173"/>
      <c r="AA42" s="173"/>
    </row>
    <row r="43" spans="1:27" x14ac:dyDescent="0.15">
      <c r="B43" s="158"/>
      <c r="C43" s="159"/>
      <c r="D43" s="160"/>
      <c r="E43" s="159"/>
      <c r="F43" s="158"/>
      <c r="G43" s="161"/>
      <c r="H43" s="127"/>
      <c r="I43" s="127"/>
      <c r="K43" s="127"/>
      <c r="Q43" s="75"/>
      <c r="R43" s="168"/>
      <c r="S43" s="168"/>
      <c r="U43" s="164"/>
      <c r="X43" s="166"/>
      <c r="Y43" s="173"/>
      <c r="Z43" s="173"/>
      <c r="AA43" s="173"/>
    </row>
    <row r="44" spans="1:27" x14ac:dyDescent="0.15">
      <c r="B44" s="158"/>
      <c r="C44" s="158"/>
      <c r="D44" s="160"/>
      <c r="E44" s="159"/>
      <c r="F44" s="158"/>
      <c r="G44" s="161"/>
      <c r="H44" s="127"/>
      <c r="I44" s="127"/>
      <c r="K44" s="127"/>
      <c r="Q44" s="75"/>
      <c r="R44" s="168"/>
      <c r="S44" s="168"/>
      <c r="U44" s="164"/>
      <c r="X44" s="166"/>
      <c r="Y44" s="173"/>
      <c r="Z44" s="173"/>
      <c r="AA44" s="173"/>
    </row>
    <row r="45" spans="1:27" x14ac:dyDescent="0.15">
      <c r="B45" s="158"/>
      <c r="C45" s="159"/>
      <c r="D45" s="160"/>
      <c r="E45" s="159"/>
      <c r="F45" s="158"/>
      <c r="G45" s="161"/>
      <c r="H45" s="127"/>
      <c r="I45" s="127"/>
      <c r="K45" s="127"/>
      <c r="Q45" s="75"/>
      <c r="R45" s="168"/>
      <c r="S45" s="168"/>
      <c r="U45" s="164"/>
      <c r="X45" s="166"/>
      <c r="Y45" s="173"/>
      <c r="Z45" s="173"/>
      <c r="AA45" s="173"/>
    </row>
    <row r="46" spans="1:27" x14ac:dyDescent="0.15">
      <c r="B46" s="34"/>
      <c r="D46" s="174"/>
      <c r="F46" s="158"/>
      <c r="G46" s="161"/>
      <c r="H46" s="127"/>
      <c r="I46" s="127"/>
      <c r="K46" s="127"/>
      <c r="Q46" s="75"/>
      <c r="R46" s="168"/>
      <c r="S46" s="168"/>
      <c r="X46" s="166"/>
    </row>
    <row r="47" spans="1:27" x14ac:dyDescent="0.15">
      <c r="B47" s="34"/>
      <c r="D47" s="174"/>
      <c r="F47" s="158"/>
      <c r="G47" s="161"/>
      <c r="H47" s="127"/>
      <c r="I47" s="127"/>
      <c r="K47" s="127"/>
      <c r="Q47" s="75"/>
      <c r="R47" s="168"/>
      <c r="S47" s="168"/>
      <c r="X47" s="166"/>
    </row>
    <row r="48" spans="1:27" x14ac:dyDescent="0.15">
      <c r="B48" s="34"/>
      <c r="D48" s="174"/>
      <c r="F48" s="158"/>
      <c r="G48" s="161"/>
      <c r="H48" s="127"/>
      <c r="I48" s="127"/>
      <c r="K48" s="127"/>
      <c r="Q48" s="75"/>
      <c r="R48" s="168"/>
      <c r="S48" s="168"/>
      <c r="X48" s="166"/>
    </row>
    <row r="49" spans="4:24" x14ac:dyDescent="0.15">
      <c r="D49" s="174"/>
      <c r="F49" s="158"/>
      <c r="G49" s="161"/>
      <c r="K49" s="127"/>
      <c r="Q49" s="75"/>
      <c r="X49" s="166"/>
    </row>
    <row r="50" spans="4:24" x14ac:dyDescent="0.15">
      <c r="D50" s="174"/>
      <c r="F50" s="158"/>
      <c r="G50" s="161"/>
      <c r="K50" s="127"/>
      <c r="Q50" s="75"/>
      <c r="X50" s="166"/>
    </row>
    <row r="51" spans="4:24" x14ac:dyDescent="0.15">
      <c r="D51" s="174"/>
      <c r="F51" s="158"/>
      <c r="G51" s="161"/>
      <c r="K51" s="127"/>
      <c r="Q51" s="75"/>
      <c r="X51" s="166"/>
    </row>
    <row r="52" spans="4:24" x14ac:dyDescent="0.15">
      <c r="D52" s="174"/>
      <c r="F52" s="158"/>
      <c r="G52" s="161"/>
      <c r="K52" s="127"/>
      <c r="Q52" s="75"/>
      <c r="X52" s="166"/>
    </row>
    <row r="53" spans="4:24" x14ac:dyDescent="0.15">
      <c r="D53" s="174"/>
      <c r="F53" s="158"/>
      <c r="G53" s="161"/>
      <c r="K53" s="127"/>
      <c r="Q53" s="75"/>
      <c r="X53" s="166"/>
    </row>
    <row r="54" spans="4:24" x14ac:dyDescent="0.15">
      <c r="D54" s="174"/>
      <c r="F54" s="158"/>
      <c r="G54" s="161"/>
      <c r="K54" s="127"/>
      <c r="Q54" s="75"/>
      <c r="X54" s="166"/>
    </row>
    <row r="55" spans="4:24" x14ac:dyDescent="0.15">
      <c r="D55" s="174"/>
      <c r="F55" s="158"/>
      <c r="G55" s="161"/>
      <c r="K55" s="127"/>
      <c r="Q55" s="75"/>
      <c r="X55" s="166"/>
    </row>
    <row r="56" spans="4:24" x14ac:dyDescent="0.15">
      <c r="D56" s="174"/>
      <c r="F56" s="158"/>
      <c r="G56" s="161"/>
      <c r="K56" s="127"/>
      <c r="Q56" s="75"/>
      <c r="X56" s="166"/>
    </row>
    <row r="57" spans="4:24" x14ac:dyDescent="0.15">
      <c r="D57" s="174"/>
      <c r="F57" s="158"/>
      <c r="G57" s="161"/>
      <c r="K57" s="127"/>
      <c r="Q57" s="75"/>
      <c r="X57" s="166"/>
    </row>
    <row r="58" spans="4:24" x14ac:dyDescent="0.15">
      <c r="D58" s="174"/>
      <c r="F58" s="158"/>
      <c r="G58" s="161"/>
      <c r="K58" s="127"/>
      <c r="Q58" s="75"/>
      <c r="X58" s="166"/>
    </row>
    <row r="59" spans="4:24" x14ac:dyDescent="0.15">
      <c r="D59" s="174"/>
      <c r="F59" s="158"/>
      <c r="G59" s="161"/>
      <c r="K59" s="127"/>
      <c r="Q59" s="75"/>
      <c r="X59" s="166"/>
    </row>
    <row r="60" spans="4:24" x14ac:dyDescent="0.15">
      <c r="D60" s="174"/>
      <c r="F60" s="158"/>
      <c r="G60" s="161"/>
      <c r="K60" s="127"/>
      <c r="Q60" s="75"/>
      <c r="X60" s="166"/>
    </row>
    <row r="61" spans="4:24" x14ac:dyDescent="0.15">
      <c r="D61" s="174"/>
      <c r="F61" s="158"/>
      <c r="G61" s="161"/>
      <c r="K61" s="127"/>
      <c r="Q61" s="75" t="str">
        <f t="shared" ref="Q61:Q90" si="3">IF(OR(O61="",P61=""),"",AVERAGE(O61,P61))</f>
        <v/>
      </c>
      <c r="T61" s="16" t="str">
        <f t="shared" si="0"/>
        <v/>
      </c>
      <c r="V61" s="16" t="str">
        <f t="shared" si="1"/>
        <v/>
      </c>
      <c r="X61" s="166"/>
    </row>
    <row r="62" spans="4:24" x14ac:dyDescent="0.15">
      <c r="D62" s="174"/>
      <c r="F62" s="158"/>
      <c r="G62" s="161"/>
      <c r="K62" s="127"/>
      <c r="Q62" s="75" t="str">
        <f t="shared" si="3"/>
        <v/>
      </c>
      <c r="T62" s="16" t="str">
        <f t="shared" si="0"/>
        <v/>
      </c>
      <c r="V62" s="16" t="str">
        <f t="shared" si="1"/>
        <v/>
      </c>
      <c r="X62" s="166"/>
    </row>
    <row r="63" spans="4:24" x14ac:dyDescent="0.15">
      <c r="D63" s="174"/>
      <c r="F63" s="158"/>
      <c r="G63" s="161"/>
      <c r="K63" s="127"/>
      <c r="Q63" s="75" t="str">
        <f t="shared" si="3"/>
        <v/>
      </c>
      <c r="T63" s="16" t="str">
        <f t="shared" si="0"/>
        <v/>
      </c>
      <c r="V63" s="16" t="str">
        <f t="shared" si="1"/>
        <v/>
      </c>
      <c r="X63" s="166"/>
    </row>
    <row r="64" spans="4:24" x14ac:dyDescent="0.15">
      <c r="D64" s="174"/>
      <c r="F64" s="158"/>
      <c r="G64" s="161"/>
      <c r="K64" s="127"/>
      <c r="Q64" s="75" t="str">
        <f t="shared" si="3"/>
        <v/>
      </c>
      <c r="T64" s="16" t="str">
        <f t="shared" si="0"/>
        <v/>
      </c>
      <c r="V64" s="16" t="str">
        <f t="shared" si="1"/>
        <v/>
      </c>
      <c r="X64" s="166"/>
    </row>
    <row r="65" spans="4:24" x14ac:dyDescent="0.15">
      <c r="D65" s="174"/>
      <c r="F65" s="158"/>
      <c r="G65" s="161"/>
      <c r="K65" s="127"/>
      <c r="Q65" s="75" t="str">
        <f t="shared" si="3"/>
        <v/>
      </c>
      <c r="T65" s="16" t="str">
        <f t="shared" ref="T65:T90" si="4">IF(H65="","",IF(OR(H65="GREEN",H65="GK"),IF(S65&gt;=$AX$2,VLOOKUP(S65,$AX$2:$AY$7,2,1),""),IF(S65&gt;=$AZ$2,VLOOKUP(S65,$AZ$2:$BA$7,2,1),"")))</f>
        <v/>
      </c>
      <c r="V65" s="16" t="str">
        <f t="shared" ref="V65:V90" si="5">IF(OR(N65="",U65="",T65=""),"",U65/N65*T65)</f>
        <v/>
      </c>
      <c r="X65" s="166"/>
    </row>
    <row r="66" spans="4:24" x14ac:dyDescent="0.15">
      <c r="D66" s="174"/>
      <c r="F66" s="158"/>
      <c r="G66" s="161"/>
      <c r="K66" s="127"/>
      <c r="Q66" s="75" t="str">
        <f t="shared" si="3"/>
        <v/>
      </c>
      <c r="T66" s="16" t="str">
        <f t="shared" si="4"/>
        <v/>
      </c>
      <c r="V66" s="16" t="str">
        <f t="shared" si="5"/>
        <v/>
      </c>
      <c r="X66" s="166"/>
    </row>
    <row r="67" spans="4:24" x14ac:dyDescent="0.15">
      <c r="D67" s="174"/>
      <c r="F67" s="158"/>
      <c r="G67" s="161"/>
      <c r="K67" s="127"/>
      <c r="Q67" s="75" t="str">
        <f t="shared" si="3"/>
        <v/>
      </c>
      <c r="T67" s="16" t="str">
        <f t="shared" si="4"/>
        <v/>
      </c>
      <c r="V67" s="16" t="str">
        <f t="shared" si="5"/>
        <v/>
      </c>
      <c r="X67" s="166"/>
    </row>
    <row r="68" spans="4:24" x14ac:dyDescent="0.15">
      <c r="D68" s="174"/>
      <c r="F68" s="158"/>
      <c r="G68" s="161"/>
      <c r="K68" s="127"/>
      <c r="Q68" s="75" t="str">
        <f t="shared" si="3"/>
        <v/>
      </c>
      <c r="T68" s="16" t="str">
        <f t="shared" si="4"/>
        <v/>
      </c>
      <c r="V68" s="16" t="str">
        <f t="shared" si="5"/>
        <v/>
      </c>
      <c r="X68" s="166"/>
    </row>
    <row r="69" spans="4:24" x14ac:dyDescent="0.15">
      <c r="D69" s="174"/>
      <c r="F69" s="158"/>
      <c r="G69" s="161"/>
      <c r="K69" s="127"/>
      <c r="Q69" s="75" t="str">
        <f t="shared" si="3"/>
        <v/>
      </c>
      <c r="T69" s="16" t="str">
        <f t="shared" si="4"/>
        <v/>
      </c>
      <c r="V69" s="16" t="str">
        <f t="shared" si="5"/>
        <v/>
      </c>
      <c r="X69" s="166"/>
    </row>
    <row r="70" spans="4:24" x14ac:dyDescent="0.15">
      <c r="D70" s="174"/>
      <c r="F70" s="158"/>
      <c r="G70" s="161"/>
      <c r="K70" s="127"/>
      <c r="Q70" s="75" t="str">
        <f t="shared" si="3"/>
        <v/>
      </c>
      <c r="T70" s="16" t="str">
        <f t="shared" si="4"/>
        <v/>
      </c>
      <c r="V70" s="16" t="str">
        <f t="shared" si="5"/>
        <v/>
      </c>
      <c r="X70" s="166"/>
    </row>
    <row r="71" spans="4:24" x14ac:dyDescent="0.15">
      <c r="D71" s="174"/>
      <c r="F71" s="158"/>
      <c r="G71" s="161"/>
      <c r="K71" s="127"/>
      <c r="Q71" s="75" t="str">
        <f t="shared" si="3"/>
        <v/>
      </c>
      <c r="T71" s="16" t="str">
        <f t="shared" si="4"/>
        <v/>
      </c>
      <c r="V71" s="16" t="str">
        <f t="shared" si="5"/>
        <v/>
      </c>
      <c r="X71" s="166"/>
    </row>
    <row r="72" spans="4:24" x14ac:dyDescent="0.15">
      <c r="D72" s="174"/>
      <c r="F72" s="158"/>
      <c r="G72" s="161"/>
      <c r="K72" s="127"/>
      <c r="Q72" s="75" t="str">
        <f t="shared" si="3"/>
        <v/>
      </c>
      <c r="T72" s="16" t="str">
        <f t="shared" si="4"/>
        <v/>
      </c>
      <c r="V72" s="16" t="str">
        <f t="shared" si="5"/>
        <v/>
      </c>
      <c r="X72" s="166"/>
    </row>
    <row r="73" spans="4:24" x14ac:dyDescent="0.15">
      <c r="D73" s="174"/>
      <c r="F73" s="158"/>
      <c r="G73" s="161"/>
      <c r="K73" s="127"/>
      <c r="Q73" s="75" t="str">
        <f t="shared" si="3"/>
        <v/>
      </c>
      <c r="T73" s="16" t="str">
        <f t="shared" si="4"/>
        <v/>
      </c>
      <c r="V73" s="16" t="str">
        <f t="shared" si="5"/>
        <v/>
      </c>
      <c r="X73" s="166"/>
    </row>
    <row r="74" spans="4:24" x14ac:dyDescent="0.15">
      <c r="D74" s="174"/>
      <c r="F74" s="158"/>
      <c r="G74" s="161"/>
      <c r="K74" s="127"/>
      <c r="Q74" s="75" t="str">
        <f t="shared" si="3"/>
        <v/>
      </c>
      <c r="T74" s="16" t="str">
        <f t="shared" si="4"/>
        <v/>
      </c>
      <c r="V74" s="16" t="str">
        <f t="shared" si="5"/>
        <v/>
      </c>
      <c r="X74" s="166"/>
    </row>
    <row r="75" spans="4:24" x14ac:dyDescent="0.15">
      <c r="D75" s="174"/>
      <c r="F75" s="158"/>
      <c r="G75" s="161"/>
      <c r="K75" s="127"/>
      <c r="Q75" s="75" t="str">
        <f t="shared" si="3"/>
        <v/>
      </c>
      <c r="T75" s="16" t="str">
        <f t="shared" si="4"/>
        <v/>
      </c>
      <c r="V75" s="16" t="str">
        <f t="shared" si="5"/>
        <v/>
      </c>
      <c r="X75" s="166"/>
    </row>
    <row r="76" spans="4:24" x14ac:dyDescent="0.15">
      <c r="D76" s="174"/>
      <c r="F76" s="158"/>
      <c r="G76" s="161"/>
      <c r="K76" s="127"/>
      <c r="Q76" s="75" t="str">
        <f t="shared" si="3"/>
        <v/>
      </c>
      <c r="T76" s="16" t="str">
        <f t="shared" si="4"/>
        <v/>
      </c>
      <c r="V76" s="16" t="str">
        <f t="shared" si="5"/>
        <v/>
      </c>
      <c r="X76" s="166"/>
    </row>
    <row r="77" spans="4:24" x14ac:dyDescent="0.15">
      <c r="D77" s="174"/>
      <c r="F77" s="158"/>
      <c r="G77" s="161"/>
      <c r="K77" s="127"/>
      <c r="Q77" s="75" t="str">
        <f t="shared" si="3"/>
        <v/>
      </c>
      <c r="T77" s="16" t="str">
        <f t="shared" si="4"/>
        <v/>
      </c>
      <c r="V77" s="16" t="str">
        <f t="shared" si="5"/>
        <v/>
      </c>
      <c r="X77" s="166"/>
    </row>
    <row r="78" spans="4:24" x14ac:dyDescent="0.15">
      <c r="D78" s="174"/>
      <c r="F78" s="158"/>
      <c r="G78" s="161"/>
      <c r="K78" s="127"/>
      <c r="Q78" s="75" t="str">
        <f t="shared" si="3"/>
        <v/>
      </c>
      <c r="T78" s="16" t="str">
        <f t="shared" si="4"/>
        <v/>
      </c>
      <c r="V78" s="16" t="str">
        <f t="shared" si="5"/>
        <v/>
      </c>
      <c r="X78" s="166"/>
    </row>
    <row r="79" spans="4:24" x14ac:dyDescent="0.15">
      <c r="K79" s="127"/>
      <c r="Q79" s="75" t="str">
        <f t="shared" si="3"/>
        <v/>
      </c>
      <c r="T79" s="16" t="str">
        <f t="shared" si="4"/>
        <v/>
      </c>
      <c r="V79" s="16" t="str">
        <f t="shared" si="5"/>
        <v/>
      </c>
    </row>
    <row r="80" spans="4:24" x14ac:dyDescent="0.15">
      <c r="K80" s="127"/>
      <c r="Q80" s="75" t="str">
        <f t="shared" si="3"/>
        <v/>
      </c>
      <c r="T80" s="16" t="str">
        <f t="shared" si="4"/>
        <v/>
      </c>
      <c r="V80" s="16" t="str">
        <f t="shared" si="5"/>
        <v/>
      </c>
    </row>
    <row r="81" spans="11:22" x14ac:dyDescent="0.15">
      <c r="K81" s="127"/>
      <c r="Q81" s="75" t="str">
        <f t="shared" si="3"/>
        <v/>
      </c>
      <c r="T81" s="16" t="str">
        <f t="shared" si="4"/>
        <v/>
      </c>
      <c r="V81" s="16" t="str">
        <f t="shared" si="5"/>
        <v/>
      </c>
    </row>
    <row r="82" spans="11:22" x14ac:dyDescent="0.15">
      <c r="K82" s="127"/>
      <c r="Q82" s="75" t="str">
        <f t="shared" si="3"/>
        <v/>
      </c>
      <c r="T82" s="16" t="str">
        <f t="shared" si="4"/>
        <v/>
      </c>
      <c r="V82" s="16" t="str">
        <f t="shared" si="5"/>
        <v/>
      </c>
    </row>
    <row r="83" spans="11:22" x14ac:dyDescent="0.15">
      <c r="K83" s="127"/>
      <c r="Q83" s="75" t="str">
        <f t="shared" si="3"/>
        <v/>
      </c>
      <c r="T83" s="16" t="str">
        <f t="shared" si="4"/>
        <v/>
      </c>
      <c r="V83" s="16" t="str">
        <f t="shared" si="5"/>
        <v/>
      </c>
    </row>
    <row r="84" spans="11:22" x14ac:dyDescent="0.15">
      <c r="K84" s="127"/>
      <c r="Q84" s="75" t="str">
        <f t="shared" si="3"/>
        <v/>
      </c>
      <c r="T84" s="16" t="str">
        <f t="shared" si="4"/>
        <v/>
      </c>
      <c r="V84" s="16" t="str">
        <f t="shared" si="5"/>
        <v/>
      </c>
    </row>
    <row r="85" spans="11:22" x14ac:dyDescent="0.15">
      <c r="K85" s="127"/>
      <c r="Q85" s="75" t="str">
        <f t="shared" si="3"/>
        <v/>
      </c>
      <c r="T85" s="16" t="str">
        <f t="shared" si="4"/>
        <v/>
      </c>
      <c r="V85" s="16" t="str">
        <f t="shared" si="5"/>
        <v/>
      </c>
    </row>
    <row r="86" spans="11:22" x14ac:dyDescent="0.15">
      <c r="K86" s="127"/>
      <c r="Q86" s="75" t="str">
        <f t="shared" si="3"/>
        <v/>
      </c>
      <c r="T86" s="16" t="str">
        <f t="shared" si="4"/>
        <v/>
      </c>
      <c r="V86" s="16" t="str">
        <f t="shared" si="5"/>
        <v/>
      </c>
    </row>
    <row r="87" spans="11:22" x14ac:dyDescent="0.15">
      <c r="K87" s="127"/>
      <c r="Q87" s="75" t="str">
        <f t="shared" si="3"/>
        <v/>
      </c>
      <c r="T87" s="16" t="str">
        <f t="shared" si="4"/>
        <v/>
      </c>
      <c r="V87" s="16" t="str">
        <f t="shared" si="5"/>
        <v/>
      </c>
    </row>
    <row r="88" spans="11:22" x14ac:dyDescent="0.15">
      <c r="K88" s="127"/>
      <c r="Q88" s="75" t="str">
        <f t="shared" si="3"/>
        <v/>
      </c>
      <c r="T88" s="16" t="str">
        <f t="shared" si="4"/>
        <v/>
      </c>
      <c r="V88" s="16" t="str">
        <f t="shared" si="5"/>
        <v/>
      </c>
    </row>
    <row r="89" spans="11:22" x14ac:dyDescent="0.15">
      <c r="K89" s="127"/>
      <c r="Q89" s="75" t="str">
        <f t="shared" si="3"/>
        <v/>
      </c>
      <c r="T89" s="16" t="str">
        <f t="shared" si="4"/>
        <v/>
      </c>
      <c r="V89" s="16" t="str">
        <f t="shared" si="5"/>
        <v/>
      </c>
    </row>
    <row r="90" spans="11:22" x14ac:dyDescent="0.15">
      <c r="K90" s="127"/>
      <c r="Q90" s="75" t="str">
        <f t="shared" si="3"/>
        <v/>
      </c>
      <c r="T90" s="16" t="str">
        <f t="shared" si="4"/>
        <v/>
      </c>
      <c r="V90" s="16" t="str">
        <f t="shared" si="5"/>
        <v/>
      </c>
    </row>
    <row r="91" spans="11:22" x14ac:dyDescent="0.15">
      <c r="K91" s="127"/>
      <c r="Q91" s="75"/>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sheetData>
  <autoFilter ref="A1:BA1" xr:uid="{00000000-0009-0000-0000-000000000000}"/>
  <phoneticPr fontId="3"/>
  <dataValidations count="20">
    <dataValidation type="list" allowBlank="1" showInputMessage="1" showErrorMessage="1" sqref="K443:K490" xr:uid="{01220149-3C30-4706-A3EE-50E2CDF7A56F}">
      <formula1>$AR$2:$AR$24</formula1>
    </dataValidation>
    <dataValidation type="list" allowBlank="1" showInputMessage="1" showErrorMessage="1" sqref="F491:F64241" xr:uid="{B5E182AD-4701-4EF1-9999-7802028F80C3}">
      <formula1>$AH$2:$AH$8</formula1>
    </dataValidation>
    <dataValidation type="list" allowBlank="1" showInputMessage="1" showErrorMessage="1" sqref="E491:E64241" xr:uid="{6EAAB0E3-C318-49AE-B50E-C93C197AE404}">
      <formula1>$AG$2:$AG$9</formula1>
    </dataValidation>
    <dataValidation type="list" allowBlank="1" showInputMessage="1" showErrorMessage="1" sqref="H491:H64241" xr:uid="{7EB1811C-50DF-432A-B46E-CD9C9A868390}">
      <formula1>$AL$2:$AL$10</formula1>
    </dataValidation>
    <dataValidation type="list" allowBlank="1" showInputMessage="1" showErrorMessage="1" sqref="K491:K64241" xr:uid="{0C5D7626-CAB0-4661-9D26-12385675A7F6}">
      <formula1>$AR$2:$AR$27</formula1>
    </dataValidation>
    <dataValidation type="list" allowBlank="1" showInputMessage="1" showErrorMessage="1" sqref="Y491:AA64241" xr:uid="{FD6EA9C5-C75C-46F0-8409-CD16FCF72D57}">
      <formula1>$AV$2:$AV$25</formula1>
    </dataValidation>
    <dataValidation type="list" allowBlank="1" showInputMessage="1" showErrorMessage="1" sqref="I491:I64241" xr:uid="{CF55E624-FF90-49AF-846C-165E98993BDF}">
      <formula1>$AN$2:$AN$6</formula1>
    </dataValidation>
    <dataValidation type="list" allowBlank="1" showInputMessage="1" showErrorMessage="1" sqref="J491:J64241" xr:uid="{576F108D-BE01-47A2-838E-26DEAE4793CB}">
      <formula1>$AP$2:$AP$16</formula1>
    </dataValidation>
    <dataValidation type="list" allowBlank="1" showInputMessage="1" showErrorMessage="1" sqref="F2:F490" xr:uid="{2F41D324-BB17-4B67-822A-41569724B84D}">
      <formula1>$AH$2:$AH$11</formula1>
    </dataValidation>
    <dataValidation type="list" allowBlank="1" showInputMessage="1" showErrorMessage="1" sqref="E2:E490" xr:uid="{38DA6B77-B15A-48BD-95C0-AC6A8226BFFE}">
      <formula1>$AG$2:$AG$11</formula1>
    </dataValidation>
    <dataValidation type="decimal" allowBlank="1" showInputMessage="1" showErrorMessage="1" error="硬度を正しく入力して下さい。" sqref="O2:P490" xr:uid="{ECEC4565-7C5B-47B7-8449-9A8827BB38B7}">
      <formula1>0</formula1>
      <formula2>7</formula2>
    </dataValidation>
    <dataValidation type="list" allowBlank="1" showInputMessage="1" showErrorMessage="1" sqref="Y2:AA490" xr:uid="{DDE69BD7-E521-46EB-82B3-5E0541254F40}">
      <formula1>$AV$2:$AV$20</formula1>
    </dataValidation>
    <dataValidation type="list" allowBlank="1" showInputMessage="1" showErrorMessage="1" sqref="I2:I490" xr:uid="{D0689F30-F8A5-45D0-B961-B3FD517E3E1C}">
      <formula1>$AN$5:$AN$6</formula1>
    </dataValidation>
    <dataValidation type="list" allowBlank="1" showInputMessage="1" showErrorMessage="1" sqref="H2:H490" xr:uid="{6A3DF55D-D1EF-4415-A11E-6E79DDF170A0}">
      <formula1>$AL$2:$AL$8</formula1>
    </dataValidation>
    <dataValidation type="list" allowBlank="1" showInputMessage="1" showErrorMessage="1" sqref="A2:A490" xr:uid="{1239A5D5-F76C-45F4-BA5C-F7EE59E74CAF}">
      <formula1>$AE$2:$AE$18</formula1>
    </dataValidation>
    <dataValidation type="list" allowBlank="1" showInputMessage="1" showErrorMessage="1" sqref="X2:X490" xr:uid="{27AA4074-4092-47EF-A7DA-C10525793AC7}">
      <formula1>$AT$2:$AT$3</formula1>
    </dataValidation>
    <dataValidation type="list" allowBlank="1" showInputMessage="1" showErrorMessage="1" sqref="G2:G490" xr:uid="{262F9365-2FB0-4DFC-A07A-64320AC87EF1}">
      <formula1>$AJ$2:$AJ$4</formula1>
    </dataValidation>
    <dataValidation type="list" allowBlank="1" showInputMessage="1" showErrorMessage="1" sqref="J2:J490" xr:uid="{1E7871DF-3231-483B-A12E-0DACCD1F2592}">
      <formula1>$AP$2:$AP$26</formula1>
    </dataValidation>
    <dataValidation operator="equal" allowBlank="1" showInputMessage="1" showErrorMessage="1" sqref="B2:B45" xr:uid="{8F65687E-E6DC-48A5-A77B-2A03ABA0BC0D}"/>
    <dataValidation type="list" allowBlank="1" showInputMessage="1" showErrorMessage="1" sqref="K2:K442" xr:uid="{099066A1-1BF8-437B-8822-982C693FB5BC}">
      <formula1>$AR$2:$AR$25</formula1>
    </dataValidation>
  </dataValidations>
  <pageMargins left="0.7" right="0.7" top="0.75" bottom="0.75" header="0.3" footer="0.3"/>
  <pageSetup paperSize="8" scale="77" orientation="landscape" r:id="rId1"/>
  <headerFooter alignWithMargins="0"/>
  <rowBreaks count="1" manualBreakCount="1">
    <brk id="42"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C974-3DFF-4A4D-84CD-843A2E4C8AC2}">
  <dimension ref="A1:BA149"/>
  <sheetViews>
    <sheetView zoomScale="85" zoomScaleNormal="85" workbookViewId="0">
      <pane ySplit="1" topLeftCell="A2" activePane="bottomLeft" state="frozen"/>
      <selection pane="bottomLeft" activeCell="L79" sqref="L79"/>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1.5" style="53"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314</v>
      </c>
      <c r="V1" s="5" t="s">
        <v>20</v>
      </c>
      <c r="W1" s="56" t="s">
        <v>21</v>
      </c>
      <c r="X1" s="45" t="s">
        <v>22</v>
      </c>
      <c r="Y1" s="45" t="s">
        <v>23</v>
      </c>
      <c r="Z1" s="45" t="s">
        <v>371</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350</v>
      </c>
      <c r="E2" s="53" t="s">
        <v>372</v>
      </c>
      <c r="F2" s="53" t="s">
        <v>373</v>
      </c>
      <c r="G2" s="53" t="s">
        <v>36</v>
      </c>
      <c r="H2" s="53" t="s">
        <v>164</v>
      </c>
      <c r="I2" s="53" t="s">
        <v>159</v>
      </c>
      <c r="J2" s="53" t="s">
        <v>38</v>
      </c>
      <c r="K2" s="53" t="s">
        <v>161</v>
      </c>
      <c r="L2" s="53">
        <v>1</v>
      </c>
      <c r="N2" s="53">
        <v>1</v>
      </c>
      <c r="O2" s="53">
        <v>0.9</v>
      </c>
      <c r="P2" s="53">
        <v>0.9</v>
      </c>
      <c r="Q2" s="75">
        <f t="shared" ref="Q2:Q65" si="0">IF(OR(O2="",P2=""),"",AVERAGE(O2,P2))</f>
        <v>0.9</v>
      </c>
      <c r="R2" s="53">
        <v>14.3</v>
      </c>
      <c r="S2" s="53">
        <v>122</v>
      </c>
      <c r="T2" s="16">
        <f t="shared" ref="T2:T65" si="1">IF(H2="","",IF(OR(H2="GREEN",H2="GK"),IF(S2&gt;=$AX$2,VLOOKUP(S2,$AX$2:$AY$9,2,1),""),IF(S2&gt;=$AZ$2,VLOOKUP(S2,$AZ$2:$BA$9,2,1),"")))</f>
        <v>30</v>
      </c>
      <c r="U2" s="53">
        <v>103</v>
      </c>
      <c r="V2" s="16">
        <f t="shared" ref="V2:V65" si="2">IF(OR(N2="",U2="",T2=""),"",U2/N2*T2)</f>
        <v>3090</v>
      </c>
      <c r="W2" s="53">
        <v>1</v>
      </c>
      <c r="X2" s="53" t="s">
        <v>46</v>
      </c>
      <c r="Y2" s="53" t="s">
        <v>84</v>
      </c>
      <c r="Z2" s="53" t="s">
        <v>69</v>
      </c>
      <c r="AA2" s="53" t="s">
        <v>78</v>
      </c>
      <c r="AB2" s="53" t="s">
        <v>237</v>
      </c>
      <c r="AE2" s="64" t="s">
        <v>35</v>
      </c>
      <c r="AG2" s="177" t="s">
        <v>364</v>
      </c>
      <c r="AH2" s="67" t="s">
        <v>374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350</v>
      </c>
      <c r="E3" s="53" t="s">
        <v>372</v>
      </c>
      <c r="F3" s="53" t="s">
        <v>373</v>
      </c>
      <c r="G3" s="53" t="s">
        <v>36</v>
      </c>
      <c r="H3" s="53" t="s">
        <v>164</v>
      </c>
      <c r="I3" s="53" t="s">
        <v>159</v>
      </c>
      <c r="J3" s="53" t="s">
        <v>38</v>
      </c>
      <c r="K3" s="53" t="s">
        <v>161</v>
      </c>
      <c r="L3" s="53">
        <v>2</v>
      </c>
      <c r="N3" s="53">
        <v>1</v>
      </c>
      <c r="O3" s="53">
        <v>0.6</v>
      </c>
      <c r="P3" s="53">
        <v>0.65</v>
      </c>
      <c r="Q3" s="75">
        <f t="shared" si="0"/>
        <v>0.625</v>
      </c>
      <c r="R3" s="53">
        <v>14.3</v>
      </c>
      <c r="S3" s="53">
        <v>116</v>
      </c>
      <c r="T3" s="16">
        <f t="shared" si="1"/>
        <v>30</v>
      </c>
      <c r="U3" s="53">
        <v>103</v>
      </c>
      <c r="V3" s="16">
        <f t="shared" si="2"/>
        <v>3090</v>
      </c>
      <c r="W3" s="53">
        <v>1</v>
      </c>
      <c r="X3" s="53" t="s">
        <v>46</v>
      </c>
      <c r="Y3" s="53" t="s">
        <v>84</v>
      </c>
      <c r="Z3" s="53" t="s">
        <v>69</v>
      </c>
      <c r="AA3" s="53" t="s">
        <v>78</v>
      </c>
      <c r="AB3" s="53" t="s">
        <v>237</v>
      </c>
      <c r="AE3" s="22" t="s">
        <v>41</v>
      </c>
      <c r="AG3" s="178" t="s">
        <v>375</v>
      </c>
      <c r="AH3" s="67" t="s">
        <v>376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350</v>
      </c>
      <c r="E4" s="53" t="s">
        <v>372</v>
      </c>
      <c r="F4" s="53" t="s">
        <v>373</v>
      </c>
      <c r="G4" s="53" t="s">
        <v>36</v>
      </c>
      <c r="H4" s="53" t="s">
        <v>164</v>
      </c>
      <c r="I4" s="53" t="s">
        <v>159</v>
      </c>
      <c r="J4" s="53" t="s">
        <v>38</v>
      </c>
      <c r="K4" s="53" t="s">
        <v>161</v>
      </c>
      <c r="L4" s="53">
        <v>3</v>
      </c>
      <c r="N4" s="53">
        <v>1</v>
      </c>
      <c r="O4" s="53">
        <v>0.75</v>
      </c>
      <c r="P4" s="53">
        <v>0.7</v>
      </c>
      <c r="Q4" s="75">
        <f t="shared" si="0"/>
        <v>0.72499999999999998</v>
      </c>
      <c r="R4" s="53">
        <v>14.2</v>
      </c>
      <c r="S4" s="53">
        <v>116</v>
      </c>
      <c r="T4" s="16">
        <f t="shared" si="1"/>
        <v>30</v>
      </c>
      <c r="U4" s="53">
        <v>103</v>
      </c>
      <c r="V4" s="16">
        <f t="shared" si="2"/>
        <v>3090</v>
      </c>
      <c r="W4" s="53">
        <v>1</v>
      </c>
      <c r="X4" s="53" t="s">
        <v>46</v>
      </c>
      <c r="Y4" s="53" t="s">
        <v>84</v>
      </c>
      <c r="Z4" s="53" t="s">
        <v>69</v>
      </c>
      <c r="AA4" s="53" t="s">
        <v>78</v>
      </c>
      <c r="AB4" s="53" t="s">
        <v>237</v>
      </c>
      <c r="AE4" s="22" t="s">
        <v>34</v>
      </c>
      <c r="AG4" s="178" t="s">
        <v>377</v>
      </c>
      <c r="AH4" s="67" t="s">
        <v>378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350</v>
      </c>
      <c r="E5" s="53" t="s">
        <v>379</v>
      </c>
      <c r="F5" s="53" t="s">
        <v>380</v>
      </c>
      <c r="G5" s="53" t="s">
        <v>36</v>
      </c>
      <c r="H5" s="53" t="s">
        <v>164</v>
      </c>
      <c r="I5" s="53" t="s">
        <v>159</v>
      </c>
      <c r="J5" s="53" t="s">
        <v>38</v>
      </c>
      <c r="K5" s="53" t="s">
        <v>161</v>
      </c>
      <c r="L5" s="53">
        <v>1</v>
      </c>
      <c r="N5" s="53">
        <v>1</v>
      </c>
      <c r="O5" s="53">
        <v>0.55000000000000004</v>
      </c>
      <c r="P5" s="53">
        <v>0.45</v>
      </c>
      <c r="Q5" s="75">
        <f t="shared" si="0"/>
        <v>0.5</v>
      </c>
      <c r="R5" s="53">
        <v>14.9</v>
      </c>
      <c r="S5" s="53">
        <v>134</v>
      </c>
      <c r="T5" s="16">
        <f t="shared" si="1"/>
        <v>30</v>
      </c>
      <c r="U5" s="53">
        <v>84</v>
      </c>
      <c r="V5" s="16">
        <f t="shared" si="2"/>
        <v>2520</v>
      </c>
      <c r="W5" s="53">
        <v>2</v>
      </c>
      <c r="X5" s="53" t="s">
        <v>46</v>
      </c>
      <c r="Y5" s="53" t="s">
        <v>84</v>
      </c>
      <c r="Z5" s="53" t="s">
        <v>50</v>
      </c>
      <c r="AA5" s="53" t="s">
        <v>90</v>
      </c>
      <c r="AB5" s="53" t="s">
        <v>237</v>
      </c>
      <c r="AE5" s="22" t="s">
        <v>51</v>
      </c>
      <c r="AG5" s="178" t="s">
        <v>381</v>
      </c>
      <c r="AH5" s="67" t="s">
        <v>382</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350</v>
      </c>
      <c r="E6" s="53" t="s">
        <v>379</v>
      </c>
      <c r="F6" s="53" t="s">
        <v>380</v>
      </c>
      <c r="G6" s="53" t="s">
        <v>36</v>
      </c>
      <c r="H6" s="53" t="s">
        <v>164</v>
      </c>
      <c r="I6" s="53" t="s">
        <v>159</v>
      </c>
      <c r="J6" s="53" t="s">
        <v>38</v>
      </c>
      <c r="K6" s="53" t="s">
        <v>161</v>
      </c>
      <c r="L6" s="53">
        <v>2</v>
      </c>
      <c r="N6" s="53">
        <v>1</v>
      </c>
      <c r="O6" s="53">
        <v>0.55000000000000004</v>
      </c>
      <c r="P6" s="53">
        <v>0.45</v>
      </c>
      <c r="Q6" s="75">
        <f t="shared" si="0"/>
        <v>0.5</v>
      </c>
      <c r="R6" s="53">
        <v>14.5</v>
      </c>
      <c r="S6" s="53">
        <v>132</v>
      </c>
      <c r="T6" s="16">
        <f t="shared" si="1"/>
        <v>30</v>
      </c>
      <c r="U6" s="53">
        <v>84</v>
      </c>
      <c r="V6" s="16">
        <f t="shared" si="2"/>
        <v>2520</v>
      </c>
      <c r="W6" s="53">
        <v>2</v>
      </c>
      <c r="X6" s="53" t="s">
        <v>46</v>
      </c>
      <c r="Y6" s="53" t="s">
        <v>84</v>
      </c>
      <c r="Z6" s="53" t="s">
        <v>50</v>
      </c>
      <c r="AA6" s="53" t="s">
        <v>90</v>
      </c>
      <c r="AB6" s="53" t="s">
        <v>237</v>
      </c>
      <c r="AE6" s="22" t="s">
        <v>56</v>
      </c>
      <c r="AG6" s="178" t="s">
        <v>383</v>
      </c>
      <c r="AH6" s="67" t="s">
        <v>384</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350</v>
      </c>
      <c r="E7" s="53" t="s">
        <v>379</v>
      </c>
      <c r="F7" s="53" t="s">
        <v>380</v>
      </c>
      <c r="G7" s="53" t="s">
        <v>36</v>
      </c>
      <c r="H7" s="53" t="s">
        <v>164</v>
      </c>
      <c r="I7" s="53" t="s">
        <v>159</v>
      </c>
      <c r="J7" s="53" t="s">
        <v>38</v>
      </c>
      <c r="K7" s="53" t="s">
        <v>161</v>
      </c>
      <c r="L7" s="53">
        <v>3</v>
      </c>
      <c r="N7" s="53">
        <v>1</v>
      </c>
      <c r="O7" s="53">
        <v>0.55000000000000004</v>
      </c>
      <c r="P7" s="53">
        <v>0.45</v>
      </c>
      <c r="Q7" s="75">
        <f t="shared" si="0"/>
        <v>0.5</v>
      </c>
      <c r="R7" s="53">
        <v>14.6</v>
      </c>
      <c r="S7" s="53">
        <v>130</v>
      </c>
      <c r="T7" s="16">
        <f t="shared" si="1"/>
        <v>30</v>
      </c>
      <c r="U7" s="53">
        <v>84</v>
      </c>
      <c r="V7" s="16">
        <f t="shared" si="2"/>
        <v>2520</v>
      </c>
      <c r="W7" s="53">
        <v>2</v>
      </c>
      <c r="X7" s="53" t="s">
        <v>46</v>
      </c>
      <c r="Y7" s="53" t="s">
        <v>84</v>
      </c>
      <c r="Z7" s="53" t="s">
        <v>50</v>
      </c>
      <c r="AA7" s="53" t="s">
        <v>90</v>
      </c>
      <c r="AB7" s="53" t="s">
        <v>237</v>
      </c>
      <c r="AE7" s="22" t="s">
        <v>61</v>
      </c>
      <c r="AG7" s="178" t="s">
        <v>270</v>
      </c>
      <c r="AH7" s="67" t="s">
        <v>385</v>
      </c>
      <c r="AL7" s="34" t="s">
        <v>109</v>
      </c>
      <c r="AP7" s="23" t="s">
        <v>58</v>
      </c>
      <c r="AR7" s="23" t="s">
        <v>122</v>
      </c>
      <c r="AV7" s="23" t="s">
        <v>64</v>
      </c>
      <c r="AX7" s="24">
        <v>109</v>
      </c>
      <c r="AY7" s="25">
        <v>33</v>
      </c>
      <c r="AZ7" s="25">
        <v>113</v>
      </c>
      <c r="BA7" s="26">
        <v>30</v>
      </c>
    </row>
    <row r="8" spans="1:53" x14ac:dyDescent="0.15">
      <c r="A8" s="53" t="s">
        <v>34</v>
      </c>
      <c r="B8" s="53" t="s">
        <v>233</v>
      </c>
      <c r="C8" s="53">
        <v>2019</v>
      </c>
      <c r="D8" s="176" t="s">
        <v>350</v>
      </c>
      <c r="E8" s="53" t="s">
        <v>379</v>
      </c>
      <c r="F8" s="53" t="s">
        <v>380</v>
      </c>
      <c r="G8" s="53" t="s">
        <v>36</v>
      </c>
      <c r="H8" s="53" t="s">
        <v>127</v>
      </c>
      <c r="I8" s="53" t="s">
        <v>159</v>
      </c>
      <c r="J8" s="53" t="s">
        <v>80</v>
      </c>
      <c r="K8" s="53" t="s">
        <v>45</v>
      </c>
      <c r="L8" s="53">
        <v>1</v>
      </c>
      <c r="N8" s="53">
        <v>8</v>
      </c>
      <c r="O8" s="53">
        <v>0.45</v>
      </c>
      <c r="P8" s="53">
        <v>0.65</v>
      </c>
      <c r="Q8" s="75">
        <f t="shared" si="0"/>
        <v>0.55000000000000004</v>
      </c>
      <c r="R8" s="53">
        <v>10.9</v>
      </c>
      <c r="S8" s="53">
        <v>98</v>
      </c>
      <c r="T8" s="16">
        <f t="shared" si="1"/>
        <v>36</v>
      </c>
      <c r="U8" s="53">
        <v>321</v>
      </c>
      <c r="V8" s="16">
        <f t="shared" si="2"/>
        <v>1444.5</v>
      </c>
      <c r="W8" s="53">
        <v>2</v>
      </c>
      <c r="X8" s="53" t="s">
        <v>46</v>
      </c>
      <c r="Y8" s="53" t="s">
        <v>84</v>
      </c>
      <c r="Z8" s="53" t="s">
        <v>50</v>
      </c>
      <c r="AA8" s="53" t="s">
        <v>90</v>
      </c>
      <c r="AB8" s="53" t="s">
        <v>237</v>
      </c>
      <c r="AE8" s="22" t="s">
        <v>59</v>
      </c>
      <c r="AG8" s="178" t="s">
        <v>379</v>
      </c>
      <c r="AH8" s="67" t="s">
        <v>380</v>
      </c>
      <c r="AL8" s="34" t="s">
        <v>134</v>
      </c>
      <c r="AP8" s="23" t="s">
        <v>62</v>
      </c>
      <c r="AR8" s="23" t="s">
        <v>81</v>
      </c>
      <c r="AV8" s="23" t="s">
        <v>97</v>
      </c>
      <c r="AX8" s="24">
        <v>151</v>
      </c>
      <c r="AY8" s="25">
        <v>22</v>
      </c>
      <c r="AZ8" s="25">
        <v>152</v>
      </c>
      <c r="BA8" s="26">
        <v>18</v>
      </c>
    </row>
    <row r="9" spans="1:53" x14ac:dyDescent="0.15">
      <c r="A9" s="53" t="s">
        <v>34</v>
      </c>
      <c r="B9" s="53" t="s">
        <v>233</v>
      </c>
      <c r="C9" s="53">
        <v>2019</v>
      </c>
      <c r="D9" s="176" t="s">
        <v>350</v>
      </c>
      <c r="E9" s="53" t="s">
        <v>379</v>
      </c>
      <c r="F9" s="53" t="s">
        <v>380</v>
      </c>
      <c r="G9" s="53" t="s">
        <v>36</v>
      </c>
      <c r="H9" s="53" t="s">
        <v>127</v>
      </c>
      <c r="I9" s="53" t="s">
        <v>159</v>
      </c>
      <c r="J9" s="53" t="s">
        <v>80</v>
      </c>
      <c r="K9" s="53" t="s">
        <v>45</v>
      </c>
      <c r="L9" s="53">
        <v>2</v>
      </c>
      <c r="N9" s="53">
        <v>8</v>
      </c>
      <c r="O9" s="53">
        <v>0.55000000000000004</v>
      </c>
      <c r="P9" s="53">
        <v>0.5</v>
      </c>
      <c r="Q9" s="75">
        <f t="shared" si="0"/>
        <v>0.52500000000000002</v>
      </c>
      <c r="R9" s="53">
        <v>13.9</v>
      </c>
      <c r="S9" s="53">
        <v>95</v>
      </c>
      <c r="T9" s="16">
        <f t="shared" si="1"/>
        <v>36</v>
      </c>
      <c r="U9" s="53">
        <v>321</v>
      </c>
      <c r="V9" s="16">
        <f t="shared" si="2"/>
        <v>1444.5</v>
      </c>
      <c r="W9" s="53">
        <v>2</v>
      </c>
      <c r="X9" s="53" t="s">
        <v>46</v>
      </c>
      <c r="Y9" s="53" t="s">
        <v>84</v>
      </c>
      <c r="Z9" s="53" t="s">
        <v>50</v>
      </c>
      <c r="AA9" s="53" t="s">
        <v>90</v>
      </c>
      <c r="AB9" s="53" t="s">
        <v>237</v>
      </c>
      <c r="AE9" s="22" t="s">
        <v>98</v>
      </c>
      <c r="AG9" s="178" t="s">
        <v>386</v>
      </c>
      <c r="AH9" s="67" t="s">
        <v>387</v>
      </c>
      <c r="AL9" s="73"/>
      <c r="AP9" s="23" t="s">
        <v>95</v>
      </c>
      <c r="AR9" s="23" t="s">
        <v>89</v>
      </c>
      <c r="AV9" s="23" t="s">
        <v>102</v>
      </c>
      <c r="AX9" s="31">
        <v>180</v>
      </c>
      <c r="AY9" s="32">
        <v>18</v>
      </c>
      <c r="AZ9" s="32">
        <v>181</v>
      </c>
      <c r="BA9" s="33">
        <v>16</v>
      </c>
    </row>
    <row r="10" spans="1:53" x14ac:dyDescent="0.15">
      <c r="A10" s="53" t="s">
        <v>34</v>
      </c>
      <c r="B10" s="53" t="s">
        <v>233</v>
      </c>
      <c r="C10" s="53">
        <v>2019</v>
      </c>
      <c r="D10" s="176" t="s">
        <v>350</v>
      </c>
      <c r="E10" s="53" t="s">
        <v>379</v>
      </c>
      <c r="F10" s="53" t="s">
        <v>380</v>
      </c>
      <c r="G10" s="53" t="s">
        <v>36</v>
      </c>
      <c r="H10" s="53" t="s">
        <v>127</v>
      </c>
      <c r="I10" s="53" t="s">
        <v>159</v>
      </c>
      <c r="J10" s="53" t="s">
        <v>80</v>
      </c>
      <c r="K10" s="53" t="s">
        <v>45</v>
      </c>
      <c r="L10" s="53">
        <v>3</v>
      </c>
      <c r="N10" s="53">
        <v>8</v>
      </c>
      <c r="O10" s="53">
        <v>0.8</v>
      </c>
      <c r="P10" s="53">
        <v>0.8</v>
      </c>
      <c r="Q10" s="75">
        <f t="shared" si="0"/>
        <v>0.8</v>
      </c>
      <c r="R10" s="53">
        <v>11.4</v>
      </c>
      <c r="S10" s="53">
        <v>98</v>
      </c>
      <c r="T10" s="16">
        <f t="shared" si="1"/>
        <v>36</v>
      </c>
      <c r="U10" s="53">
        <v>321</v>
      </c>
      <c r="V10" s="16">
        <f t="shared" si="2"/>
        <v>1444.5</v>
      </c>
      <c r="W10" s="53">
        <v>2</v>
      </c>
      <c r="X10" s="53" t="s">
        <v>46</v>
      </c>
      <c r="Y10" s="53" t="s">
        <v>84</v>
      </c>
      <c r="Z10" s="53" t="s">
        <v>50</v>
      </c>
      <c r="AA10" s="53" t="s">
        <v>90</v>
      </c>
      <c r="AB10" s="53" t="s">
        <v>237</v>
      </c>
      <c r="AE10" s="22" t="s">
        <v>103</v>
      </c>
      <c r="AG10" s="178" t="s">
        <v>372</v>
      </c>
      <c r="AH10" s="67" t="s">
        <v>373</v>
      </c>
      <c r="AL10" s="34"/>
      <c r="AP10" s="23" t="s">
        <v>100</v>
      </c>
      <c r="AR10" s="23" t="s">
        <v>123</v>
      </c>
      <c r="AV10" s="23" t="s">
        <v>106</v>
      </c>
    </row>
    <row r="11" spans="1:53" x14ac:dyDescent="0.15">
      <c r="A11" s="53" t="s">
        <v>34</v>
      </c>
      <c r="B11" s="53" t="s">
        <v>233</v>
      </c>
      <c r="C11" s="53">
        <v>2019</v>
      </c>
      <c r="D11" s="176" t="s">
        <v>350</v>
      </c>
      <c r="E11" s="53" t="s">
        <v>211</v>
      </c>
      <c r="F11" s="53" t="s">
        <v>388</v>
      </c>
      <c r="G11" s="53" t="s">
        <v>36</v>
      </c>
      <c r="H11" s="53" t="s">
        <v>164</v>
      </c>
      <c r="I11" s="53" t="s">
        <v>159</v>
      </c>
      <c r="J11" s="53" t="s">
        <v>38</v>
      </c>
      <c r="K11" s="53" t="s">
        <v>161</v>
      </c>
      <c r="L11" s="53">
        <v>1</v>
      </c>
      <c r="N11" s="53">
        <v>1</v>
      </c>
      <c r="O11" s="53">
        <v>0.45</v>
      </c>
      <c r="P11" s="53">
        <v>0.55000000000000004</v>
      </c>
      <c r="Q11" s="75">
        <f t="shared" si="0"/>
        <v>0.5</v>
      </c>
      <c r="R11" s="53">
        <v>14.2</v>
      </c>
      <c r="S11" s="53">
        <v>126</v>
      </c>
      <c r="T11" s="16">
        <f t="shared" si="1"/>
        <v>30</v>
      </c>
      <c r="U11" s="53">
        <v>104</v>
      </c>
      <c r="V11" s="16">
        <f t="shared" si="2"/>
        <v>3120</v>
      </c>
      <c r="W11" s="53">
        <v>2</v>
      </c>
      <c r="X11" s="53" t="s">
        <v>39</v>
      </c>
      <c r="Y11" s="53" t="s">
        <v>84</v>
      </c>
      <c r="Z11" s="53" t="s">
        <v>90</v>
      </c>
      <c r="AA11" s="53" t="s">
        <v>69</v>
      </c>
      <c r="AB11" s="53" t="s">
        <v>237</v>
      </c>
      <c r="AE11" s="22" t="s">
        <v>65</v>
      </c>
      <c r="AG11" s="178" t="s">
        <v>211</v>
      </c>
      <c r="AH11" s="67" t="s">
        <v>388</v>
      </c>
      <c r="AL11" s="34"/>
      <c r="AP11" s="23" t="s">
        <v>104</v>
      </c>
      <c r="AR11" s="23" t="s">
        <v>87</v>
      </c>
      <c r="AV11" s="23" t="s">
        <v>69</v>
      </c>
    </row>
    <row r="12" spans="1:53" x14ac:dyDescent="0.15">
      <c r="A12" s="53" t="s">
        <v>34</v>
      </c>
      <c r="B12" s="53" t="s">
        <v>233</v>
      </c>
      <c r="C12" s="53">
        <v>2019</v>
      </c>
      <c r="D12" s="176" t="s">
        <v>350</v>
      </c>
      <c r="E12" s="53" t="s">
        <v>211</v>
      </c>
      <c r="F12" s="53" t="s">
        <v>388</v>
      </c>
      <c r="G12" s="53" t="s">
        <v>36</v>
      </c>
      <c r="H12" s="53" t="s">
        <v>164</v>
      </c>
      <c r="I12" s="53" t="s">
        <v>159</v>
      </c>
      <c r="J12" s="53" t="s">
        <v>38</v>
      </c>
      <c r="K12" s="53" t="s">
        <v>161</v>
      </c>
      <c r="L12" s="53">
        <v>2</v>
      </c>
      <c r="N12" s="53">
        <v>1</v>
      </c>
      <c r="O12" s="53">
        <v>0.75</v>
      </c>
      <c r="P12" s="53">
        <v>0.6</v>
      </c>
      <c r="Q12" s="75">
        <f t="shared" si="0"/>
        <v>0.67500000000000004</v>
      </c>
      <c r="R12" s="53">
        <v>14.2</v>
      </c>
      <c r="S12" s="53">
        <v>124</v>
      </c>
      <c r="T12" s="16">
        <f t="shared" si="1"/>
        <v>30</v>
      </c>
      <c r="U12" s="53">
        <v>104</v>
      </c>
      <c r="V12" s="16">
        <f t="shared" si="2"/>
        <v>3120</v>
      </c>
      <c r="W12" s="53">
        <v>2</v>
      </c>
      <c r="X12" s="53" t="s">
        <v>39</v>
      </c>
      <c r="Y12" s="53" t="s">
        <v>84</v>
      </c>
      <c r="Z12" s="53" t="s">
        <v>90</v>
      </c>
      <c r="AA12" s="53" t="s">
        <v>69</v>
      </c>
      <c r="AB12" s="53" t="s">
        <v>237</v>
      </c>
      <c r="AE12" s="22" t="s">
        <v>70</v>
      </c>
      <c r="AG12" s="28"/>
      <c r="AH12" s="23"/>
      <c r="AL12" s="34"/>
      <c r="AP12" s="23" t="s">
        <v>67</v>
      </c>
      <c r="AR12" s="23" t="s">
        <v>124</v>
      </c>
      <c r="AV12" s="23" t="s">
        <v>72</v>
      </c>
    </row>
    <row r="13" spans="1:53" x14ac:dyDescent="0.15">
      <c r="A13" s="53" t="s">
        <v>34</v>
      </c>
      <c r="B13" s="53" t="s">
        <v>233</v>
      </c>
      <c r="C13" s="53">
        <v>2019</v>
      </c>
      <c r="D13" s="176" t="s">
        <v>350</v>
      </c>
      <c r="E13" s="53" t="s">
        <v>211</v>
      </c>
      <c r="F13" s="53" t="s">
        <v>388</v>
      </c>
      <c r="G13" s="53" t="s">
        <v>36</v>
      </c>
      <c r="H13" s="53" t="s">
        <v>164</v>
      </c>
      <c r="I13" s="53" t="s">
        <v>159</v>
      </c>
      <c r="J13" s="53" t="s">
        <v>38</v>
      </c>
      <c r="K13" s="53" t="s">
        <v>161</v>
      </c>
      <c r="L13" s="53">
        <v>3</v>
      </c>
      <c r="N13" s="53">
        <v>1</v>
      </c>
      <c r="O13" s="53">
        <v>0.55000000000000004</v>
      </c>
      <c r="P13" s="53">
        <v>0.5</v>
      </c>
      <c r="Q13" s="75">
        <f t="shared" si="0"/>
        <v>0.52500000000000002</v>
      </c>
      <c r="R13" s="53">
        <v>14.1</v>
      </c>
      <c r="S13" s="53">
        <v>128</v>
      </c>
      <c r="T13" s="16">
        <f t="shared" si="1"/>
        <v>30</v>
      </c>
      <c r="U13" s="53">
        <v>104</v>
      </c>
      <c r="V13" s="16">
        <f t="shared" si="2"/>
        <v>3120</v>
      </c>
      <c r="W13" s="53">
        <v>2</v>
      </c>
      <c r="X13" s="53" t="s">
        <v>39</v>
      </c>
      <c r="Y13" s="53" t="s">
        <v>84</v>
      </c>
      <c r="Z13" s="53" t="s">
        <v>90</v>
      </c>
      <c r="AA13" s="53" t="s">
        <v>69</v>
      </c>
      <c r="AB13" s="53" t="s">
        <v>237</v>
      </c>
      <c r="AE13" s="22" t="s">
        <v>73</v>
      </c>
      <c r="AH13" s="28"/>
      <c r="AP13" s="23" t="s">
        <v>71</v>
      </c>
      <c r="AR13" s="23" t="s">
        <v>103</v>
      </c>
      <c r="AV13" s="23" t="s">
        <v>75</v>
      </c>
    </row>
    <row r="14" spans="1:53" x14ac:dyDescent="0.15">
      <c r="A14" s="53" t="s">
        <v>34</v>
      </c>
      <c r="B14" s="53" t="s">
        <v>233</v>
      </c>
      <c r="C14" s="53">
        <v>2019</v>
      </c>
      <c r="D14" s="176" t="s">
        <v>350</v>
      </c>
      <c r="E14" s="53" t="s">
        <v>211</v>
      </c>
      <c r="F14" s="53" t="s">
        <v>388</v>
      </c>
      <c r="G14" s="53" t="s">
        <v>36</v>
      </c>
      <c r="H14" s="53" t="s">
        <v>164</v>
      </c>
      <c r="I14" s="53" t="s">
        <v>159</v>
      </c>
      <c r="J14" s="53" t="s">
        <v>38</v>
      </c>
      <c r="K14" s="53" t="s">
        <v>161</v>
      </c>
      <c r="L14" s="53">
        <v>1</v>
      </c>
      <c r="N14" s="53">
        <v>4</v>
      </c>
      <c r="O14" s="53">
        <v>0.45</v>
      </c>
      <c r="P14" s="53">
        <v>0.55000000000000004</v>
      </c>
      <c r="Q14" s="75">
        <f t="shared" si="0"/>
        <v>0.5</v>
      </c>
      <c r="R14" s="53">
        <v>14.1</v>
      </c>
      <c r="S14" s="53">
        <v>91</v>
      </c>
      <c r="T14" s="16">
        <f t="shared" si="1"/>
        <v>36</v>
      </c>
      <c r="U14" s="53">
        <v>407</v>
      </c>
      <c r="V14" s="16">
        <f t="shared" si="2"/>
        <v>3663</v>
      </c>
      <c r="W14" s="53">
        <v>2</v>
      </c>
      <c r="X14" s="53" t="s">
        <v>39</v>
      </c>
      <c r="Y14" s="53" t="s">
        <v>84</v>
      </c>
      <c r="Z14" s="53" t="s">
        <v>90</v>
      </c>
      <c r="AA14" s="53" t="s">
        <v>69</v>
      </c>
      <c r="AB14" s="53" t="s">
        <v>237</v>
      </c>
      <c r="AE14" s="22" t="s">
        <v>76</v>
      </c>
      <c r="AG14" s="179"/>
      <c r="AP14" s="23" t="s">
        <v>74</v>
      </c>
      <c r="AR14" s="23" t="s">
        <v>125</v>
      </c>
      <c r="AV14" s="23" t="s">
        <v>78</v>
      </c>
    </row>
    <row r="15" spans="1:53" x14ac:dyDescent="0.15">
      <c r="A15" s="53" t="s">
        <v>34</v>
      </c>
      <c r="B15" s="53" t="s">
        <v>233</v>
      </c>
      <c r="C15" s="53">
        <v>2019</v>
      </c>
      <c r="D15" s="176" t="s">
        <v>350</v>
      </c>
      <c r="E15" s="53" t="s">
        <v>211</v>
      </c>
      <c r="F15" s="53" t="s">
        <v>388</v>
      </c>
      <c r="G15" s="53" t="s">
        <v>36</v>
      </c>
      <c r="H15" s="53" t="s">
        <v>164</v>
      </c>
      <c r="I15" s="53" t="s">
        <v>159</v>
      </c>
      <c r="J15" s="53" t="s">
        <v>38</v>
      </c>
      <c r="K15" s="53" t="s">
        <v>161</v>
      </c>
      <c r="L15" s="53">
        <v>2</v>
      </c>
      <c r="N15" s="53">
        <v>4</v>
      </c>
      <c r="O15" s="53">
        <v>0.2</v>
      </c>
      <c r="P15" s="53">
        <v>0.2</v>
      </c>
      <c r="Q15" s="75">
        <f t="shared" si="0"/>
        <v>0.2</v>
      </c>
      <c r="R15" s="53">
        <v>14.7</v>
      </c>
      <c r="S15" s="53">
        <v>88</v>
      </c>
      <c r="T15" s="16">
        <f t="shared" si="1"/>
        <v>36</v>
      </c>
      <c r="U15" s="53">
        <v>407</v>
      </c>
      <c r="V15" s="16">
        <f t="shared" si="2"/>
        <v>3663</v>
      </c>
      <c r="W15" s="53">
        <v>2</v>
      </c>
      <c r="X15" s="53" t="s">
        <v>39</v>
      </c>
      <c r="Y15" s="53" t="s">
        <v>84</v>
      </c>
      <c r="Z15" s="53" t="s">
        <v>90</v>
      </c>
      <c r="AA15" s="53" t="s">
        <v>69</v>
      </c>
      <c r="AB15" s="53" t="s">
        <v>237</v>
      </c>
      <c r="AE15" s="22" t="s">
        <v>79</v>
      </c>
      <c r="AP15" s="23" t="s">
        <v>77</v>
      </c>
      <c r="AR15" s="23" t="s">
        <v>94</v>
      </c>
      <c r="AV15" s="23" t="s">
        <v>107</v>
      </c>
    </row>
    <row r="16" spans="1:53" x14ac:dyDescent="0.15">
      <c r="A16" s="53" t="s">
        <v>34</v>
      </c>
      <c r="B16" s="53" t="s">
        <v>233</v>
      </c>
      <c r="C16" s="53">
        <v>2019</v>
      </c>
      <c r="D16" s="176" t="s">
        <v>350</v>
      </c>
      <c r="E16" s="53" t="s">
        <v>211</v>
      </c>
      <c r="F16" s="53" t="s">
        <v>388</v>
      </c>
      <c r="G16" s="53" t="s">
        <v>36</v>
      </c>
      <c r="H16" s="53" t="s">
        <v>164</v>
      </c>
      <c r="I16" s="53" t="s">
        <v>159</v>
      </c>
      <c r="J16" s="53" t="s">
        <v>38</v>
      </c>
      <c r="K16" s="53" t="s">
        <v>161</v>
      </c>
      <c r="L16" s="53">
        <v>3</v>
      </c>
      <c r="N16" s="53">
        <v>4</v>
      </c>
      <c r="O16" s="53">
        <v>0.6</v>
      </c>
      <c r="P16" s="53">
        <v>0.7</v>
      </c>
      <c r="Q16" s="75">
        <f t="shared" si="0"/>
        <v>0.64999999999999991</v>
      </c>
      <c r="R16" s="53">
        <v>14.9</v>
      </c>
      <c r="S16" s="53">
        <v>84</v>
      </c>
      <c r="T16" s="16">
        <f t="shared" si="1"/>
        <v>36</v>
      </c>
      <c r="U16" s="53">
        <v>407</v>
      </c>
      <c r="V16" s="16">
        <f t="shared" si="2"/>
        <v>3663</v>
      </c>
      <c r="W16" s="53">
        <v>2</v>
      </c>
      <c r="X16" s="53" t="s">
        <v>39</v>
      </c>
      <c r="Y16" s="53" t="s">
        <v>84</v>
      </c>
      <c r="Z16" s="53" t="s">
        <v>90</v>
      </c>
      <c r="AA16" s="53" t="s">
        <v>69</v>
      </c>
      <c r="AB16" s="53" t="s">
        <v>237</v>
      </c>
      <c r="AE16" s="22" t="s">
        <v>82</v>
      </c>
      <c r="AP16" s="23" t="s">
        <v>80</v>
      </c>
      <c r="AR16" s="23" t="s">
        <v>63</v>
      </c>
      <c r="AV16" s="23" t="s">
        <v>84</v>
      </c>
    </row>
    <row r="17" spans="1:48" x14ac:dyDescent="0.15">
      <c r="A17" s="53" t="s">
        <v>34</v>
      </c>
      <c r="B17" s="53" t="s">
        <v>233</v>
      </c>
      <c r="C17" s="53">
        <v>2019</v>
      </c>
      <c r="D17" s="176" t="s">
        <v>350</v>
      </c>
      <c r="E17" s="53" t="s">
        <v>386</v>
      </c>
      <c r="F17" s="53" t="s">
        <v>387</v>
      </c>
      <c r="G17" s="53" t="s">
        <v>36</v>
      </c>
      <c r="H17" s="53" t="s">
        <v>164</v>
      </c>
      <c r="I17" s="53" t="s">
        <v>159</v>
      </c>
      <c r="J17" s="53" t="s">
        <v>38</v>
      </c>
      <c r="K17" s="53" t="s">
        <v>161</v>
      </c>
      <c r="L17" s="53">
        <v>1</v>
      </c>
      <c r="N17" s="53">
        <v>1</v>
      </c>
      <c r="O17" s="53">
        <v>0.2</v>
      </c>
      <c r="P17" s="53">
        <v>0.6</v>
      </c>
      <c r="Q17" s="75">
        <f t="shared" si="0"/>
        <v>0.4</v>
      </c>
      <c r="R17" s="53">
        <v>10.4</v>
      </c>
      <c r="S17" s="53">
        <v>124</v>
      </c>
      <c r="T17" s="16">
        <f t="shared" si="1"/>
        <v>30</v>
      </c>
      <c r="U17" s="53">
        <v>81</v>
      </c>
      <c r="V17" s="16">
        <f t="shared" si="2"/>
        <v>2430</v>
      </c>
      <c r="W17" s="53">
        <v>5</v>
      </c>
      <c r="X17" s="53" t="s">
        <v>46</v>
      </c>
      <c r="Y17" s="53" t="s">
        <v>90</v>
      </c>
      <c r="Z17" s="53" t="s">
        <v>78</v>
      </c>
      <c r="AA17" s="53" t="s">
        <v>84</v>
      </c>
      <c r="AB17" s="53" t="s">
        <v>237</v>
      </c>
      <c r="AE17" s="22" t="s">
        <v>85</v>
      </c>
      <c r="AP17" s="27" t="s">
        <v>110</v>
      </c>
      <c r="AR17" s="23" t="s">
        <v>96</v>
      </c>
      <c r="AV17" s="23" t="s">
        <v>86</v>
      </c>
    </row>
    <row r="18" spans="1:48" x14ac:dyDescent="0.15">
      <c r="A18" s="53" t="s">
        <v>34</v>
      </c>
      <c r="B18" s="53" t="s">
        <v>233</v>
      </c>
      <c r="C18" s="53">
        <v>2019</v>
      </c>
      <c r="D18" s="176" t="s">
        <v>350</v>
      </c>
      <c r="E18" s="53" t="s">
        <v>386</v>
      </c>
      <c r="F18" s="53" t="s">
        <v>387</v>
      </c>
      <c r="G18" s="53" t="s">
        <v>36</v>
      </c>
      <c r="H18" s="53" t="s">
        <v>164</v>
      </c>
      <c r="I18" s="53" t="s">
        <v>159</v>
      </c>
      <c r="J18" s="53" t="s">
        <v>38</v>
      </c>
      <c r="K18" s="53" t="s">
        <v>161</v>
      </c>
      <c r="L18" s="53">
        <v>2</v>
      </c>
      <c r="N18" s="53">
        <v>1</v>
      </c>
      <c r="O18" s="53">
        <v>0.9</v>
      </c>
      <c r="P18" s="53">
        <v>0.85</v>
      </c>
      <c r="Q18" s="75">
        <f t="shared" si="0"/>
        <v>0.875</v>
      </c>
      <c r="R18" s="53">
        <v>14.1</v>
      </c>
      <c r="S18" s="53">
        <v>118</v>
      </c>
      <c r="T18" s="16">
        <f t="shared" si="1"/>
        <v>30</v>
      </c>
      <c r="U18" s="53">
        <v>81</v>
      </c>
      <c r="V18" s="16">
        <f t="shared" si="2"/>
        <v>2430</v>
      </c>
      <c r="W18" s="53">
        <v>5</v>
      </c>
      <c r="X18" s="53" t="s">
        <v>46</v>
      </c>
      <c r="Y18" s="53" t="s">
        <v>90</v>
      </c>
      <c r="Z18" s="53" t="s">
        <v>78</v>
      </c>
      <c r="AA18" s="53" t="s">
        <v>84</v>
      </c>
      <c r="AB18" s="53" t="s">
        <v>237</v>
      </c>
      <c r="AE18" s="22" t="s">
        <v>87</v>
      </c>
      <c r="AP18" s="27" t="s">
        <v>111</v>
      </c>
      <c r="AR18" s="23" t="s">
        <v>101</v>
      </c>
      <c r="AV18" s="23" t="s">
        <v>88</v>
      </c>
    </row>
    <row r="19" spans="1:48" x14ac:dyDescent="0.15">
      <c r="A19" s="53" t="s">
        <v>34</v>
      </c>
      <c r="B19" s="53" t="s">
        <v>233</v>
      </c>
      <c r="C19" s="53">
        <v>2019</v>
      </c>
      <c r="D19" s="176" t="s">
        <v>350</v>
      </c>
      <c r="E19" s="53" t="s">
        <v>386</v>
      </c>
      <c r="F19" s="53" t="s">
        <v>387</v>
      </c>
      <c r="G19" s="53" t="s">
        <v>36</v>
      </c>
      <c r="H19" s="53" t="s">
        <v>164</v>
      </c>
      <c r="I19" s="53" t="s">
        <v>159</v>
      </c>
      <c r="J19" s="53" t="s">
        <v>38</v>
      </c>
      <c r="K19" s="53" t="s">
        <v>161</v>
      </c>
      <c r="L19" s="53">
        <v>3</v>
      </c>
      <c r="N19" s="53">
        <v>1</v>
      </c>
      <c r="O19" s="53">
        <v>0.5</v>
      </c>
      <c r="P19" s="53">
        <v>0.6</v>
      </c>
      <c r="Q19" s="75">
        <f t="shared" si="0"/>
        <v>0.55000000000000004</v>
      </c>
      <c r="R19" s="53">
        <v>14.1</v>
      </c>
      <c r="S19" s="53">
        <v>120</v>
      </c>
      <c r="T19" s="16">
        <f t="shared" si="1"/>
        <v>30</v>
      </c>
      <c r="U19" s="53">
        <v>81</v>
      </c>
      <c r="V19" s="16">
        <f t="shared" si="2"/>
        <v>2430</v>
      </c>
      <c r="W19" s="53">
        <v>5</v>
      </c>
      <c r="X19" s="53" t="s">
        <v>46</v>
      </c>
      <c r="Y19" s="53" t="s">
        <v>90</v>
      </c>
      <c r="Z19" s="53" t="s">
        <v>78</v>
      </c>
      <c r="AA19" s="53" t="s">
        <v>84</v>
      </c>
      <c r="AB19" s="53" t="s">
        <v>237</v>
      </c>
      <c r="AE19" s="35" t="s">
        <v>89</v>
      </c>
      <c r="AP19" s="27" t="s">
        <v>112</v>
      </c>
      <c r="AR19" s="23" t="s">
        <v>126</v>
      </c>
      <c r="AV19" s="23" t="s">
        <v>90</v>
      </c>
    </row>
    <row r="20" spans="1:48" x14ac:dyDescent="0.15">
      <c r="A20" s="53" t="s">
        <v>34</v>
      </c>
      <c r="B20" s="53" t="s">
        <v>233</v>
      </c>
      <c r="C20" s="53">
        <v>2019</v>
      </c>
      <c r="D20" s="176" t="s">
        <v>350</v>
      </c>
      <c r="E20" s="53" t="s">
        <v>386</v>
      </c>
      <c r="F20" s="53" t="s">
        <v>387</v>
      </c>
      <c r="G20" s="53" t="s">
        <v>36</v>
      </c>
      <c r="H20" s="53" t="s">
        <v>164</v>
      </c>
      <c r="I20" s="53" t="s">
        <v>165</v>
      </c>
      <c r="J20" s="53" t="s">
        <v>38</v>
      </c>
      <c r="K20" s="53" t="s">
        <v>161</v>
      </c>
      <c r="L20" s="53">
        <v>1</v>
      </c>
      <c r="N20" s="53">
        <v>4</v>
      </c>
      <c r="O20" s="53">
        <v>1</v>
      </c>
      <c r="P20" s="53">
        <v>0.8</v>
      </c>
      <c r="Q20" s="75">
        <f t="shared" si="0"/>
        <v>0.9</v>
      </c>
      <c r="R20" s="53">
        <v>13.8</v>
      </c>
      <c r="S20" s="53">
        <v>93</v>
      </c>
      <c r="T20" s="16">
        <f t="shared" si="1"/>
        <v>36</v>
      </c>
      <c r="U20" s="53">
        <v>311</v>
      </c>
      <c r="V20" s="16">
        <f t="shared" si="2"/>
        <v>2799</v>
      </c>
      <c r="W20" s="53">
        <v>5</v>
      </c>
      <c r="X20" s="53" t="s">
        <v>46</v>
      </c>
      <c r="Y20" s="53" t="s">
        <v>90</v>
      </c>
      <c r="Z20" s="53" t="s">
        <v>78</v>
      </c>
      <c r="AA20" s="53" t="s">
        <v>84</v>
      </c>
      <c r="AB20" s="53" t="s">
        <v>237</v>
      </c>
      <c r="AP20" s="27" t="s">
        <v>113</v>
      </c>
      <c r="AR20" s="23" t="s">
        <v>105</v>
      </c>
      <c r="AV20" s="27" t="s">
        <v>135</v>
      </c>
    </row>
    <row r="21" spans="1:48" x14ac:dyDescent="0.15">
      <c r="A21" s="53" t="s">
        <v>34</v>
      </c>
      <c r="B21" s="53" t="s">
        <v>233</v>
      </c>
      <c r="C21" s="53">
        <v>2019</v>
      </c>
      <c r="D21" s="176" t="s">
        <v>350</v>
      </c>
      <c r="E21" s="53" t="s">
        <v>386</v>
      </c>
      <c r="F21" s="53" t="s">
        <v>387</v>
      </c>
      <c r="G21" s="53" t="s">
        <v>36</v>
      </c>
      <c r="H21" s="53" t="s">
        <v>164</v>
      </c>
      <c r="I21" s="53" t="s">
        <v>165</v>
      </c>
      <c r="J21" s="53" t="s">
        <v>38</v>
      </c>
      <c r="K21" s="53" t="s">
        <v>161</v>
      </c>
      <c r="L21" s="53">
        <v>2</v>
      </c>
      <c r="N21" s="53">
        <v>4</v>
      </c>
      <c r="O21" s="53">
        <v>0.95</v>
      </c>
      <c r="P21" s="53">
        <v>0.7</v>
      </c>
      <c r="Q21" s="75">
        <f t="shared" si="0"/>
        <v>0.82499999999999996</v>
      </c>
      <c r="R21" s="53">
        <v>13.5</v>
      </c>
      <c r="S21" s="53">
        <v>89</v>
      </c>
      <c r="T21" s="16">
        <f t="shared" si="1"/>
        <v>36</v>
      </c>
      <c r="U21" s="53">
        <v>311</v>
      </c>
      <c r="V21" s="16">
        <f t="shared" si="2"/>
        <v>2799</v>
      </c>
      <c r="W21" s="53">
        <v>5</v>
      </c>
      <c r="X21" s="53" t="s">
        <v>46</v>
      </c>
      <c r="Y21" s="53" t="s">
        <v>90</v>
      </c>
      <c r="Z21" s="53" t="s">
        <v>78</v>
      </c>
      <c r="AA21" s="53" t="s">
        <v>84</v>
      </c>
      <c r="AB21" s="53" t="s">
        <v>237</v>
      </c>
      <c r="AP21" s="27" t="s">
        <v>114</v>
      </c>
      <c r="AR21" s="23" t="s">
        <v>68</v>
      </c>
      <c r="AV21" s="27" t="s">
        <v>136</v>
      </c>
    </row>
    <row r="22" spans="1:48" x14ac:dyDescent="0.15">
      <c r="A22" s="53" t="s">
        <v>34</v>
      </c>
      <c r="B22" s="53" t="s">
        <v>233</v>
      </c>
      <c r="C22" s="53">
        <v>2019</v>
      </c>
      <c r="D22" s="176" t="s">
        <v>350</v>
      </c>
      <c r="E22" s="53" t="s">
        <v>386</v>
      </c>
      <c r="F22" s="53" t="s">
        <v>387</v>
      </c>
      <c r="G22" s="53" t="s">
        <v>36</v>
      </c>
      <c r="H22" s="53" t="s">
        <v>164</v>
      </c>
      <c r="I22" s="53" t="s">
        <v>165</v>
      </c>
      <c r="J22" s="53" t="s">
        <v>38</v>
      </c>
      <c r="K22" s="53" t="s">
        <v>161</v>
      </c>
      <c r="L22" s="53">
        <v>3</v>
      </c>
      <c r="N22" s="53">
        <v>4</v>
      </c>
      <c r="O22" s="53">
        <v>0.85</v>
      </c>
      <c r="P22" s="53">
        <v>0.9</v>
      </c>
      <c r="Q22" s="75">
        <f t="shared" si="0"/>
        <v>0.875</v>
      </c>
      <c r="R22" s="53">
        <v>15</v>
      </c>
      <c r="S22" s="53">
        <v>87</v>
      </c>
      <c r="T22" s="16">
        <f t="shared" si="1"/>
        <v>36</v>
      </c>
      <c r="U22" s="53">
        <v>311</v>
      </c>
      <c r="V22" s="16">
        <f t="shared" si="2"/>
        <v>2799</v>
      </c>
      <c r="W22" s="53">
        <v>5</v>
      </c>
      <c r="X22" s="53" t="s">
        <v>46</v>
      </c>
      <c r="Y22" s="53" t="s">
        <v>90</v>
      </c>
      <c r="Z22" s="53" t="s">
        <v>78</v>
      </c>
      <c r="AA22" s="53" t="s">
        <v>84</v>
      </c>
      <c r="AB22" s="53" t="s">
        <v>237</v>
      </c>
      <c r="AP22" s="27" t="s">
        <v>115</v>
      </c>
      <c r="AR22" s="23" t="s">
        <v>83</v>
      </c>
      <c r="AV22" s="27"/>
    </row>
    <row r="23" spans="1:48" x14ac:dyDescent="0.15">
      <c r="A23" s="53" t="s">
        <v>34</v>
      </c>
      <c r="B23" s="53" t="s">
        <v>233</v>
      </c>
      <c r="C23" s="53">
        <v>2019</v>
      </c>
      <c r="D23" s="176" t="s">
        <v>350</v>
      </c>
      <c r="E23" s="53" t="s">
        <v>386</v>
      </c>
      <c r="F23" s="53" t="s">
        <v>387</v>
      </c>
      <c r="G23" s="53" t="s">
        <v>36</v>
      </c>
      <c r="H23" s="53" t="s">
        <v>164</v>
      </c>
      <c r="I23" s="53" t="s">
        <v>159</v>
      </c>
      <c r="J23" s="53" t="s">
        <v>38</v>
      </c>
      <c r="K23" s="53" t="s">
        <v>161</v>
      </c>
      <c r="L23" s="53">
        <v>1</v>
      </c>
      <c r="N23" s="53">
        <v>8</v>
      </c>
      <c r="O23" s="53">
        <v>0.75</v>
      </c>
      <c r="P23" s="53">
        <v>0.7</v>
      </c>
      <c r="Q23" s="75">
        <f t="shared" si="0"/>
        <v>0.72499999999999998</v>
      </c>
      <c r="R23" s="53">
        <v>15.6</v>
      </c>
      <c r="S23" s="53">
        <v>102</v>
      </c>
      <c r="T23" s="16">
        <f t="shared" si="1"/>
        <v>33</v>
      </c>
      <c r="U23" s="53">
        <v>646</v>
      </c>
      <c r="V23" s="16">
        <f t="shared" si="2"/>
        <v>2664.75</v>
      </c>
      <c r="W23" s="53">
        <v>5</v>
      </c>
      <c r="X23" s="53" t="s">
        <v>46</v>
      </c>
      <c r="Y23" s="53" t="s">
        <v>90</v>
      </c>
      <c r="Z23" s="53" t="s">
        <v>78</v>
      </c>
      <c r="AA23" s="53" t="s">
        <v>84</v>
      </c>
      <c r="AB23" s="53" t="s">
        <v>237</v>
      </c>
      <c r="AP23" s="27" t="s">
        <v>117</v>
      </c>
      <c r="AR23" s="23" t="s">
        <v>153</v>
      </c>
    </row>
    <row r="24" spans="1:48" x14ac:dyDescent="0.15">
      <c r="A24" s="53" t="s">
        <v>34</v>
      </c>
      <c r="B24" s="53" t="s">
        <v>233</v>
      </c>
      <c r="C24" s="53">
        <v>2019</v>
      </c>
      <c r="D24" s="176" t="s">
        <v>350</v>
      </c>
      <c r="E24" s="53" t="s">
        <v>386</v>
      </c>
      <c r="F24" s="53" t="s">
        <v>387</v>
      </c>
      <c r="G24" s="53" t="s">
        <v>36</v>
      </c>
      <c r="H24" s="53" t="s">
        <v>164</v>
      </c>
      <c r="I24" s="53" t="s">
        <v>159</v>
      </c>
      <c r="J24" s="53" t="s">
        <v>38</v>
      </c>
      <c r="K24" s="53" t="s">
        <v>161</v>
      </c>
      <c r="L24" s="53">
        <v>2</v>
      </c>
      <c r="N24" s="53">
        <v>8</v>
      </c>
      <c r="O24" s="53">
        <v>0.2</v>
      </c>
      <c r="P24" s="53">
        <v>0.7</v>
      </c>
      <c r="Q24" s="75">
        <f t="shared" si="0"/>
        <v>0.44999999999999996</v>
      </c>
      <c r="R24" s="53">
        <v>14.9</v>
      </c>
      <c r="S24" s="53">
        <v>95</v>
      </c>
      <c r="T24" s="16">
        <f t="shared" si="1"/>
        <v>36</v>
      </c>
      <c r="U24" s="53">
        <v>646</v>
      </c>
      <c r="V24" s="16">
        <f t="shared" si="2"/>
        <v>2907</v>
      </c>
      <c r="W24" s="53">
        <v>5</v>
      </c>
      <c r="X24" s="53" t="s">
        <v>46</v>
      </c>
      <c r="Y24" s="53" t="s">
        <v>90</v>
      </c>
      <c r="Z24" s="53" t="s">
        <v>78</v>
      </c>
      <c r="AA24" s="53" t="s">
        <v>84</v>
      </c>
      <c r="AB24" s="53" t="s">
        <v>237</v>
      </c>
      <c r="AP24" s="27" t="s">
        <v>118</v>
      </c>
    </row>
    <row r="25" spans="1:48" x14ac:dyDescent="0.15">
      <c r="A25" s="53" t="s">
        <v>34</v>
      </c>
      <c r="B25" s="53" t="s">
        <v>233</v>
      </c>
      <c r="C25" s="53">
        <v>2019</v>
      </c>
      <c r="D25" s="176" t="s">
        <v>350</v>
      </c>
      <c r="E25" s="53" t="s">
        <v>386</v>
      </c>
      <c r="F25" s="53" t="s">
        <v>387</v>
      </c>
      <c r="G25" s="53" t="s">
        <v>36</v>
      </c>
      <c r="H25" s="53" t="s">
        <v>164</v>
      </c>
      <c r="I25" s="53" t="s">
        <v>159</v>
      </c>
      <c r="J25" s="53" t="s">
        <v>38</v>
      </c>
      <c r="K25" s="53" t="s">
        <v>161</v>
      </c>
      <c r="L25" s="53">
        <v>3</v>
      </c>
      <c r="N25" s="53">
        <v>8</v>
      </c>
      <c r="O25" s="53">
        <v>0.75</v>
      </c>
      <c r="P25" s="53">
        <v>0.7</v>
      </c>
      <c r="Q25" s="75">
        <f t="shared" si="0"/>
        <v>0.72499999999999998</v>
      </c>
      <c r="R25" s="53">
        <v>14.9</v>
      </c>
      <c r="S25" s="53">
        <v>93</v>
      </c>
      <c r="T25" s="16">
        <f t="shared" si="1"/>
        <v>36</v>
      </c>
      <c r="U25" s="53">
        <v>646</v>
      </c>
      <c r="V25" s="16">
        <f t="shared" si="2"/>
        <v>2907</v>
      </c>
      <c r="W25" s="53">
        <v>5</v>
      </c>
      <c r="X25" s="53" t="s">
        <v>46</v>
      </c>
      <c r="Y25" s="53" t="s">
        <v>90</v>
      </c>
      <c r="Z25" s="53" t="s">
        <v>78</v>
      </c>
      <c r="AA25" s="53" t="s">
        <v>84</v>
      </c>
      <c r="AB25" s="53" t="s">
        <v>237</v>
      </c>
    </row>
    <row r="26" spans="1:48" x14ac:dyDescent="0.15">
      <c r="A26" s="53" t="s">
        <v>34</v>
      </c>
      <c r="B26" s="53" t="s">
        <v>233</v>
      </c>
      <c r="C26" s="53">
        <v>2019</v>
      </c>
      <c r="D26" s="176" t="s">
        <v>350</v>
      </c>
      <c r="E26" s="53" t="s">
        <v>386</v>
      </c>
      <c r="F26" s="53" t="s">
        <v>387</v>
      </c>
      <c r="G26" s="53" t="s">
        <v>36</v>
      </c>
      <c r="H26" s="53" t="s">
        <v>164</v>
      </c>
      <c r="I26" s="53" t="s">
        <v>165</v>
      </c>
      <c r="J26" s="53" t="s">
        <v>38</v>
      </c>
      <c r="K26" s="53" t="s">
        <v>161</v>
      </c>
      <c r="L26" s="53">
        <v>1</v>
      </c>
      <c r="N26" s="53">
        <v>4</v>
      </c>
      <c r="O26" s="53">
        <v>0.55000000000000004</v>
      </c>
      <c r="P26" s="53">
        <v>0.45</v>
      </c>
      <c r="Q26" s="75">
        <f t="shared" si="0"/>
        <v>0.5</v>
      </c>
      <c r="R26" s="53">
        <v>14.4</v>
      </c>
      <c r="S26" s="53">
        <v>102</v>
      </c>
      <c r="T26" s="16">
        <f t="shared" si="1"/>
        <v>33</v>
      </c>
      <c r="U26" s="53">
        <v>429</v>
      </c>
      <c r="V26" s="16">
        <f t="shared" si="2"/>
        <v>3539.25</v>
      </c>
      <c r="W26" s="53">
        <v>5</v>
      </c>
      <c r="X26" s="53" t="s">
        <v>46</v>
      </c>
      <c r="Y26" s="53" t="s">
        <v>90</v>
      </c>
      <c r="Z26" s="53" t="s">
        <v>78</v>
      </c>
      <c r="AA26" s="53" t="s">
        <v>84</v>
      </c>
      <c r="AB26" s="53" t="s">
        <v>237</v>
      </c>
    </row>
    <row r="27" spans="1:48" x14ac:dyDescent="0.15">
      <c r="A27" s="53" t="s">
        <v>34</v>
      </c>
      <c r="B27" s="53" t="s">
        <v>233</v>
      </c>
      <c r="C27" s="53">
        <v>2019</v>
      </c>
      <c r="D27" s="176" t="s">
        <v>350</v>
      </c>
      <c r="E27" s="53" t="s">
        <v>386</v>
      </c>
      <c r="F27" s="53" t="s">
        <v>387</v>
      </c>
      <c r="G27" s="53" t="s">
        <v>36</v>
      </c>
      <c r="H27" s="53" t="s">
        <v>164</v>
      </c>
      <c r="I27" s="53" t="s">
        <v>165</v>
      </c>
      <c r="J27" s="53" t="s">
        <v>38</v>
      </c>
      <c r="K27" s="53" t="s">
        <v>161</v>
      </c>
      <c r="L27" s="53">
        <v>2</v>
      </c>
      <c r="N27" s="53">
        <v>4</v>
      </c>
      <c r="O27" s="53">
        <v>0.55000000000000004</v>
      </c>
      <c r="P27" s="53">
        <v>0.6</v>
      </c>
      <c r="Q27" s="75">
        <f t="shared" si="0"/>
        <v>0.57499999999999996</v>
      </c>
      <c r="R27" s="53">
        <v>12.7</v>
      </c>
      <c r="S27" s="53">
        <v>98</v>
      </c>
      <c r="T27" s="16">
        <f t="shared" si="1"/>
        <v>36</v>
      </c>
      <c r="U27" s="53">
        <v>429</v>
      </c>
      <c r="V27" s="16">
        <f t="shared" si="2"/>
        <v>3861</v>
      </c>
      <c r="W27" s="53">
        <v>5</v>
      </c>
      <c r="X27" s="53" t="s">
        <v>46</v>
      </c>
      <c r="Y27" s="53" t="s">
        <v>90</v>
      </c>
      <c r="Z27" s="53" t="s">
        <v>78</v>
      </c>
      <c r="AA27" s="53" t="s">
        <v>84</v>
      </c>
      <c r="AB27" s="53" t="s">
        <v>237</v>
      </c>
    </row>
    <row r="28" spans="1:48" x14ac:dyDescent="0.15">
      <c r="A28" s="53" t="s">
        <v>34</v>
      </c>
      <c r="B28" s="53" t="s">
        <v>233</v>
      </c>
      <c r="C28" s="53">
        <v>2019</v>
      </c>
      <c r="D28" s="176" t="s">
        <v>350</v>
      </c>
      <c r="E28" s="53" t="s">
        <v>386</v>
      </c>
      <c r="F28" s="53" t="s">
        <v>387</v>
      </c>
      <c r="G28" s="53" t="s">
        <v>36</v>
      </c>
      <c r="H28" s="53" t="s">
        <v>164</v>
      </c>
      <c r="I28" s="53" t="s">
        <v>165</v>
      </c>
      <c r="J28" s="53" t="s">
        <v>38</v>
      </c>
      <c r="K28" s="53" t="s">
        <v>161</v>
      </c>
      <c r="L28" s="53">
        <v>3</v>
      </c>
      <c r="N28" s="53">
        <v>4</v>
      </c>
      <c r="O28" s="53">
        <v>0.6</v>
      </c>
      <c r="P28" s="53">
        <v>0.5</v>
      </c>
      <c r="Q28" s="75">
        <f>IF(OR(O28="",P28=""),"",AVERAGE(O28,P28))</f>
        <v>0.55000000000000004</v>
      </c>
      <c r="R28" s="53">
        <v>13.5</v>
      </c>
      <c r="S28" s="53">
        <v>97</v>
      </c>
      <c r="T28" s="16">
        <f t="shared" si="1"/>
        <v>36</v>
      </c>
      <c r="U28" s="53">
        <v>429</v>
      </c>
      <c r="V28" s="16">
        <f t="shared" si="2"/>
        <v>3861</v>
      </c>
      <c r="W28" s="53">
        <v>5</v>
      </c>
      <c r="X28" s="53" t="s">
        <v>46</v>
      </c>
      <c r="Y28" s="53" t="s">
        <v>90</v>
      </c>
      <c r="Z28" s="53" t="s">
        <v>78</v>
      </c>
      <c r="AA28" s="53" t="s">
        <v>84</v>
      </c>
      <c r="AB28" s="53" t="s">
        <v>237</v>
      </c>
    </row>
    <row r="29" spans="1:48" x14ac:dyDescent="0.15">
      <c r="A29" s="53" t="s">
        <v>34</v>
      </c>
      <c r="B29" s="53" t="s">
        <v>233</v>
      </c>
      <c r="C29" s="53">
        <v>2019</v>
      </c>
      <c r="D29" s="176" t="s">
        <v>350</v>
      </c>
      <c r="E29" s="53" t="s">
        <v>377</v>
      </c>
      <c r="F29" s="53" t="s">
        <v>378</v>
      </c>
      <c r="G29" s="53" t="s">
        <v>36</v>
      </c>
      <c r="H29" s="53" t="s">
        <v>164</v>
      </c>
      <c r="I29" s="53" t="s">
        <v>159</v>
      </c>
      <c r="J29" s="53" t="s">
        <v>38</v>
      </c>
      <c r="K29" s="53" t="s">
        <v>161</v>
      </c>
      <c r="L29" s="53">
        <v>1</v>
      </c>
      <c r="N29" s="53">
        <v>1</v>
      </c>
      <c r="O29" s="53">
        <v>0.6</v>
      </c>
      <c r="P29" s="53">
        <v>0.7</v>
      </c>
      <c r="Q29" s="75">
        <f t="shared" si="0"/>
        <v>0.64999999999999991</v>
      </c>
      <c r="R29" s="53">
        <v>15.3</v>
      </c>
      <c r="S29" s="53">
        <v>146</v>
      </c>
      <c r="T29" s="16">
        <f t="shared" si="1"/>
        <v>30</v>
      </c>
      <c r="U29" s="53">
        <v>108</v>
      </c>
      <c r="V29" s="16">
        <f t="shared" si="2"/>
        <v>3240</v>
      </c>
      <c r="W29" s="53">
        <v>3</v>
      </c>
      <c r="X29" s="53" t="s">
        <v>46</v>
      </c>
      <c r="Y29" s="53" t="s">
        <v>84</v>
      </c>
      <c r="Z29" s="53" t="s">
        <v>50</v>
      </c>
      <c r="AA29" s="53" t="s">
        <v>78</v>
      </c>
      <c r="AB29" s="53" t="s">
        <v>237</v>
      </c>
    </row>
    <row r="30" spans="1:48" x14ac:dyDescent="0.15">
      <c r="A30" s="53" t="s">
        <v>34</v>
      </c>
      <c r="B30" s="53" t="s">
        <v>233</v>
      </c>
      <c r="C30" s="53">
        <v>2019</v>
      </c>
      <c r="D30" s="176" t="s">
        <v>350</v>
      </c>
      <c r="E30" s="53" t="s">
        <v>377</v>
      </c>
      <c r="F30" s="53" t="s">
        <v>378</v>
      </c>
      <c r="G30" s="53" t="s">
        <v>36</v>
      </c>
      <c r="H30" s="53" t="s">
        <v>164</v>
      </c>
      <c r="I30" s="53" t="s">
        <v>159</v>
      </c>
      <c r="J30" s="53" t="s">
        <v>38</v>
      </c>
      <c r="K30" s="53" t="s">
        <v>161</v>
      </c>
      <c r="L30" s="53">
        <v>2</v>
      </c>
      <c r="N30" s="53">
        <v>1</v>
      </c>
      <c r="O30" s="53">
        <v>0.55000000000000004</v>
      </c>
      <c r="P30" s="53">
        <v>0.65</v>
      </c>
      <c r="Q30" s="75">
        <f t="shared" si="0"/>
        <v>0.60000000000000009</v>
      </c>
      <c r="R30" s="53">
        <v>15.2</v>
      </c>
      <c r="S30" s="53">
        <v>134</v>
      </c>
      <c r="T30" s="16">
        <f t="shared" si="1"/>
        <v>30</v>
      </c>
      <c r="U30" s="53">
        <v>108</v>
      </c>
      <c r="V30" s="16">
        <f t="shared" si="2"/>
        <v>3240</v>
      </c>
      <c r="W30" s="53">
        <v>3</v>
      </c>
      <c r="X30" s="53" t="s">
        <v>46</v>
      </c>
      <c r="Y30" s="53" t="s">
        <v>84</v>
      </c>
      <c r="Z30" s="53" t="s">
        <v>50</v>
      </c>
      <c r="AA30" s="53" t="s">
        <v>78</v>
      </c>
      <c r="AB30" s="53" t="s">
        <v>237</v>
      </c>
    </row>
    <row r="31" spans="1:48" x14ac:dyDescent="0.15">
      <c r="A31" s="53" t="s">
        <v>34</v>
      </c>
      <c r="B31" s="53" t="s">
        <v>233</v>
      </c>
      <c r="C31" s="53">
        <v>2019</v>
      </c>
      <c r="D31" s="176" t="s">
        <v>350</v>
      </c>
      <c r="E31" s="53" t="s">
        <v>377</v>
      </c>
      <c r="F31" s="53" t="s">
        <v>378</v>
      </c>
      <c r="G31" s="53" t="s">
        <v>36</v>
      </c>
      <c r="H31" s="53" t="s">
        <v>164</v>
      </c>
      <c r="I31" s="53" t="s">
        <v>159</v>
      </c>
      <c r="J31" s="53" t="s">
        <v>38</v>
      </c>
      <c r="K31" s="53" t="s">
        <v>161</v>
      </c>
      <c r="L31" s="53">
        <v>3</v>
      </c>
      <c r="N31" s="53">
        <v>1</v>
      </c>
      <c r="O31" s="53">
        <v>0.98</v>
      </c>
      <c r="P31" s="53">
        <v>0.9</v>
      </c>
      <c r="Q31" s="75">
        <f t="shared" si="0"/>
        <v>0.94</v>
      </c>
      <c r="R31" s="53">
        <v>14.6</v>
      </c>
      <c r="S31" s="53">
        <v>144</v>
      </c>
      <c r="T31" s="16">
        <f t="shared" si="1"/>
        <v>30</v>
      </c>
      <c r="U31" s="53">
        <v>108</v>
      </c>
      <c r="V31" s="16">
        <f t="shared" si="2"/>
        <v>3240</v>
      </c>
      <c r="W31" s="53">
        <v>3</v>
      </c>
      <c r="X31" s="53" t="s">
        <v>46</v>
      </c>
      <c r="Y31" s="53" t="s">
        <v>84</v>
      </c>
      <c r="Z31" s="53" t="s">
        <v>50</v>
      </c>
      <c r="AA31" s="53" t="s">
        <v>78</v>
      </c>
      <c r="AB31" s="53" t="s">
        <v>237</v>
      </c>
    </row>
    <row r="32" spans="1:48" x14ac:dyDescent="0.15">
      <c r="A32" s="53" t="s">
        <v>34</v>
      </c>
      <c r="B32" s="53" t="s">
        <v>233</v>
      </c>
      <c r="C32" s="53">
        <v>2019</v>
      </c>
      <c r="D32" s="176" t="s">
        <v>350</v>
      </c>
      <c r="E32" s="53" t="s">
        <v>377</v>
      </c>
      <c r="F32" s="53" t="s">
        <v>378</v>
      </c>
      <c r="G32" s="53" t="s">
        <v>36</v>
      </c>
      <c r="H32" s="53" t="s">
        <v>127</v>
      </c>
      <c r="I32" s="53" t="s">
        <v>159</v>
      </c>
      <c r="J32" s="53" t="s">
        <v>80</v>
      </c>
      <c r="K32" s="53" t="s">
        <v>63</v>
      </c>
      <c r="L32" s="53">
        <v>1</v>
      </c>
      <c r="N32" s="53">
        <v>4</v>
      </c>
      <c r="O32" s="53">
        <v>0.75</v>
      </c>
      <c r="P32" s="53">
        <v>1</v>
      </c>
      <c r="Q32" s="75">
        <f t="shared" si="0"/>
        <v>0.875</v>
      </c>
      <c r="R32" s="53">
        <v>15.2</v>
      </c>
      <c r="S32" s="53">
        <v>100</v>
      </c>
      <c r="T32" s="16">
        <f t="shared" si="1"/>
        <v>33</v>
      </c>
      <c r="U32" s="53">
        <v>429</v>
      </c>
      <c r="V32" s="16">
        <f t="shared" si="2"/>
        <v>3539.25</v>
      </c>
      <c r="W32" s="53">
        <v>3</v>
      </c>
      <c r="X32" s="53" t="s">
        <v>46</v>
      </c>
      <c r="Y32" s="53" t="s">
        <v>84</v>
      </c>
      <c r="Z32" s="53" t="s">
        <v>50</v>
      </c>
      <c r="AA32" s="53" t="s">
        <v>78</v>
      </c>
      <c r="AB32" s="53" t="s">
        <v>237</v>
      </c>
    </row>
    <row r="33" spans="1:28" x14ac:dyDescent="0.15">
      <c r="A33" s="53" t="s">
        <v>34</v>
      </c>
      <c r="B33" s="53" t="s">
        <v>233</v>
      </c>
      <c r="C33" s="53">
        <v>2019</v>
      </c>
      <c r="D33" s="176" t="s">
        <v>350</v>
      </c>
      <c r="E33" s="53" t="s">
        <v>377</v>
      </c>
      <c r="F33" s="53" t="s">
        <v>378</v>
      </c>
      <c r="G33" s="53" t="s">
        <v>36</v>
      </c>
      <c r="H33" s="53" t="s">
        <v>127</v>
      </c>
      <c r="I33" s="53" t="s">
        <v>159</v>
      </c>
      <c r="J33" s="53" t="s">
        <v>80</v>
      </c>
      <c r="K33" s="53" t="s">
        <v>63</v>
      </c>
      <c r="L33" s="53">
        <v>2</v>
      </c>
      <c r="N33" s="53">
        <v>4</v>
      </c>
      <c r="O33" s="53">
        <v>1.8</v>
      </c>
      <c r="P33" s="53">
        <v>1</v>
      </c>
      <c r="Q33" s="75">
        <f t="shared" si="0"/>
        <v>1.4</v>
      </c>
      <c r="R33" s="53">
        <v>14.2</v>
      </c>
      <c r="S33" s="53">
        <v>94</v>
      </c>
      <c r="T33" s="16">
        <f t="shared" si="1"/>
        <v>36</v>
      </c>
      <c r="U33" s="53">
        <v>429</v>
      </c>
      <c r="V33" s="16">
        <f t="shared" si="2"/>
        <v>3861</v>
      </c>
      <c r="W33" s="53">
        <v>3</v>
      </c>
      <c r="X33" s="53" t="s">
        <v>46</v>
      </c>
      <c r="Y33" s="53" t="s">
        <v>84</v>
      </c>
      <c r="Z33" s="53" t="s">
        <v>50</v>
      </c>
      <c r="AA33" s="53" t="s">
        <v>78</v>
      </c>
      <c r="AB33" s="53" t="s">
        <v>237</v>
      </c>
    </row>
    <row r="34" spans="1:28" x14ac:dyDescent="0.15">
      <c r="A34" s="53" t="s">
        <v>34</v>
      </c>
      <c r="B34" s="53" t="s">
        <v>233</v>
      </c>
      <c r="C34" s="53">
        <v>2019</v>
      </c>
      <c r="D34" s="176" t="s">
        <v>350</v>
      </c>
      <c r="E34" s="53" t="s">
        <v>377</v>
      </c>
      <c r="F34" s="53" t="s">
        <v>378</v>
      </c>
      <c r="G34" s="53" t="s">
        <v>36</v>
      </c>
      <c r="H34" s="53" t="s">
        <v>127</v>
      </c>
      <c r="I34" s="53" t="s">
        <v>159</v>
      </c>
      <c r="J34" s="53" t="s">
        <v>80</v>
      </c>
      <c r="K34" s="53" t="s">
        <v>63</v>
      </c>
      <c r="L34" s="53">
        <v>3</v>
      </c>
      <c r="N34" s="53">
        <v>4</v>
      </c>
      <c r="O34" s="53">
        <v>0.8</v>
      </c>
      <c r="P34" s="53">
        <v>0.75</v>
      </c>
      <c r="Q34" s="75">
        <f>IF(OR(O34="",P34=""),"",AVERAGE(O34,P34))</f>
        <v>0.77500000000000002</v>
      </c>
      <c r="R34" s="53">
        <v>14.8</v>
      </c>
      <c r="S34" s="53">
        <v>90</v>
      </c>
      <c r="T34" s="16">
        <f t="shared" si="1"/>
        <v>36</v>
      </c>
      <c r="U34" s="53">
        <v>429</v>
      </c>
      <c r="V34" s="16">
        <f t="shared" si="2"/>
        <v>3861</v>
      </c>
      <c r="W34" s="53">
        <v>3</v>
      </c>
      <c r="X34" s="53" t="s">
        <v>46</v>
      </c>
      <c r="Y34" s="53" t="s">
        <v>84</v>
      </c>
      <c r="Z34" s="53" t="s">
        <v>50</v>
      </c>
      <c r="AA34" s="53" t="s">
        <v>78</v>
      </c>
      <c r="AB34" s="53" t="s">
        <v>237</v>
      </c>
    </row>
    <row r="35" spans="1:28" x14ac:dyDescent="0.15">
      <c r="A35" s="53" t="s">
        <v>34</v>
      </c>
      <c r="B35" s="53" t="s">
        <v>233</v>
      </c>
      <c r="C35" s="53">
        <v>2019</v>
      </c>
      <c r="D35" s="176" t="s">
        <v>350</v>
      </c>
      <c r="E35" s="53" t="s">
        <v>377</v>
      </c>
      <c r="F35" s="53" t="s">
        <v>378</v>
      </c>
      <c r="G35" s="53" t="s">
        <v>36</v>
      </c>
      <c r="H35" s="53" t="s">
        <v>127</v>
      </c>
      <c r="I35" s="53" t="s">
        <v>159</v>
      </c>
      <c r="J35" s="53" t="s">
        <v>80</v>
      </c>
      <c r="K35" s="53" t="s">
        <v>126</v>
      </c>
      <c r="L35" s="53">
        <v>1</v>
      </c>
      <c r="N35" s="53">
        <v>6</v>
      </c>
      <c r="O35" s="53">
        <v>0.45</v>
      </c>
      <c r="P35" s="53">
        <v>0.45</v>
      </c>
      <c r="Q35" s="75">
        <f t="shared" ref="Q35:Q36" si="3">IF(OR(O35="",P35=""),"",AVERAGE(O35,P35))</f>
        <v>0.45</v>
      </c>
      <c r="R35" s="53">
        <v>16.2</v>
      </c>
      <c r="S35" s="53">
        <v>61</v>
      </c>
      <c r="T35" s="16">
        <f t="shared" si="1"/>
        <v>50</v>
      </c>
      <c r="U35" s="53">
        <v>429</v>
      </c>
      <c r="V35" s="16">
        <f t="shared" si="2"/>
        <v>3575</v>
      </c>
      <c r="W35" s="53">
        <v>3</v>
      </c>
      <c r="X35" s="53" t="s">
        <v>46</v>
      </c>
      <c r="Y35" s="53" t="s">
        <v>84</v>
      </c>
      <c r="Z35" s="53" t="s">
        <v>50</v>
      </c>
      <c r="AA35" s="53" t="s">
        <v>78</v>
      </c>
      <c r="AB35" s="53" t="s">
        <v>237</v>
      </c>
    </row>
    <row r="36" spans="1:28" x14ac:dyDescent="0.15">
      <c r="A36" s="53" t="s">
        <v>34</v>
      </c>
      <c r="B36" s="53" t="s">
        <v>233</v>
      </c>
      <c r="C36" s="53">
        <v>2019</v>
      </c>
      <c r="D36" s="176" t="s">
        <v>350</v>
      </c>
      <c r="E36" s="53" t="s">
        <v>377</v>
      </c>
      <c r="F36" s="53" t="s">
        <v>378</v>
      </c>
      <c r="G36" s="53" t="s">
        <v>36</v>
      </c>
      <c r="H36" s="53" t="s">
        <v>127</v>
      </c>
      <c r="I36" s="53" t="s">
        <v>159</v>
      </c>
      <c r="J36" s="53" t="s">
        <v>80</v>
      </c>
      <c r="K36" s="53" t="s">
        <v>126</v>
      </c>
      <c r="L36" s="53">
        <v>2</v>
      </c>
      <c r="N36" s="53">
        <v>6</v>
      </c>
      <c r="O36" s="53">
        <v>0.45</v>
      </c>
      <c r="P36" s="53">
        <v>0.45</v>
      </c>
      <c r="Q36" s="75">
        <f t="shared" si="3"/>
        <v>0.45</v>
      </c>
      <c r="R36" s="53">
        <v>16.7</v>
      </c>
      <c r="S36" s="53">
        <v>57</v>
      </c>
      <c r="T36" s="16">
        <f t="shared" si="1"/>
        <v>50</v>
      </c>
      <c r="U36" s="53">
        <v>429</v>
      </c>
      <c r="V36" s="16">
        <f t="shared" si="2"/>
        <v>3575</v>
      </c>
      <c r="W36" s="53">
        <v>3</v>
      </c>
      <c r="X36" s="53" t="s">
        <v>46</v>
      </c>
      <c r="Y36" s="53" t="s">
        <v>84</v>
      </c>
      <c r="Z36" s="53" t="s">
        <v>50</v>
      </c>
      <c r="AA36" s="53" t="s">
        <v>78</v>
      </c>
      <c r="AB36" s="53" t="s">
        <v>237</v>
      </c>
    </row>
    <row r="37" spans="1:28" x14ac:dyDescent="0.15">
      <c r="A37" s="53" t="s">
        <v>34</v>
      </c>
      <c r="B37" s="53" t="s">
        <v>233</v>
      </c>
      <c r="C37" s="53">
        <v>2019</v>
      </c>
      <c r="D37" s="176" t="s">
        <v>350</v>
      </c>
      <c r="E37" s="53" t="s">
        <v>377</v>
      </c>
      <c r="F37" s="53" t="s">
        <v>378</v>
      </c>
      <c r="G37" s="53" t="s">
        <v>36</v>
      </c>
      <c r="H37" s="53" t="s">
        <v>127</v>
      </c>
      <c r="I37" s="53" t="s">
        <v>159</v>
      </c>
      <c r="J37" s="53" t="s">
        <v>80</v>
      </c>
      <c r="K37" s="53" t="s">
        <v>126</v>
      </c>
      <c r="L37" s="53">
        <v>3</v>
      </c>
      <c r="N37" s="53">
        <v>6</v>
      </c>
      <c r="O37" s="53">
        <v>0.45</v>
      </c>
      <c r="P37" s="53">
        <v>0.45</v>
      </c>
      <c r="Q37" s="75">
        <f>IF(OR(O37="",P37=""),"",AVERAGE(O37,P37))</f>
        <v>0.45</v>
      </c>
      <c r="R37" s="53">
        <v>19.8</v>
      </c>
      <c r="S37" s="53">
        <v>52</v>
      </c>
      <c r="T37" s="16">
        <f t="shared" si="1"/>
        <v>50</v>
      </c>
      <c r="U37" s="53">
        <v>429</v>
      </c>
      <c r="V37" s="16">
        <f t="shared" si="2"/>
        <v>3575</v>
      </c>
      <c r="W37" s="53">
        <v>3</v>
      </c>
      <c r="X37" s="53" t="s">
        <v>46</v>
      </c>
      <c r="Y37" s="53" t="s">
        <v>84</v>
      </c>
      <c r="Z37" s="53" t="s">
        <v>50</v>
      </c>
      <c r="AA37" s="53" t="s">
        <v>78</v>
      </c>
      <c r="AB37" s="53" t="s">
        <v>237</v>
      </c>
    </row>
    <row r="38" spans="1:28" x14ac:dyDescent="0.15">
      <c r="A38" s="53" t="s">
        <v>34</v>
      </c>
      <c r="B38" s="53" t="s">
        <v>233</v>
      </c>
      <c r="C38" s="53">
        <v>2019</v>
      </c>
      <c r="D38" s="176" t="s">
        <v>350</v>
      </c>
      <c r="E38" s="53" t="s">
        <v>377</v>
      </c>
      <c r="F38" s="53" t="s">
        <v>378</v>
      </c>
      <c r="G38" s="53" t="s">
        <v>36</v>
      </c>
      <c r="H38" s="53" t="s">
        <v>160</v>
      </c>
      <c r="I38" s="53" t="s">
        <v>159</v>
      </c>
      <c r="J38" s="53" t="s">
        <v>38</v>
      </c>
      <c r="K38" s="53" t="s">
        <v>161</v>
      </c>
      <c r="L38" s="53">
        <v>1</v>
      </c>
      <c r="N38" s="53">
        <v>1</v>
      </c>
      <c r="O38" s="53">
        <v>0.2</v>
      </c>
      <c r="P38" s="53">
        <v>0.8</v>
      </c>
      <c r="Q38" s="75">
        <f t="shared" ref="Q38:Q39" si="4">IF(OR(O38="",P38=""),"",AVERAGE(O38,P38))</f>
        <v>0.5</v>
      </c>
      <c r="R38" s="53">
        <v>14.8</v>
      </c>
      <c r="S38" s="53">
        <v>116</v>
      </c>
      <c r="T38" s="16">
        <f t="shared" si="1"/>
        <v>30</v>
      </c>
      <c r="U38" s="53">
        <v>149</v>
      </c>
      <c r="V38" s="16">
        <f t="shared" si="2"/>
        <v>4470</v>
      </c>
      <c r="W38" s="53">
        <v>1</v>
      </c>
      <c r="X38" s="53" t="s">
        <v>46</v>
      </c>
      <c r="Y38" s="53" t="s">
        <v>84</v>
      </c>
      <c r="Z38" s="53" t="s">
        <v>50</v>
      </c>
      <c r="AA38" s="53" t="s">
        <v>78</v>
      </c>
      <c r="AB38" s="53" t="s">
        <v>237</v>
      </c>
    </row>
    <row r="39" spans="1:28" x14ac:dyDescent="0.15">
      <c r="A39" s="53" t="s">
        <v>34</v>
      </c>
      <c r="B39" s="53" t="s">
        <v>233</v>
      </c>
      <c r="C39" s="53">
        <v>2019</v>
      </c>
      <c r="D39" s="176" t="s">
        <v>350</v>
      </c>
      <c r="E39" s="53" t="s">
        <v>377</v>
      </c>
      <c r="F39" s="53" t="s">
        <v>378</v>
      </c>
      <c r="G39" s="53" t="s">
        <v>36</v>
      </c>
      <c r="H39" s="53" t="s">
        <v>160</v>
      </c>
      <c r="I39" s="53" t="s">
        <v>159</v>
      </c>
      <c r="J39" s="53" t="s">
        <v>38</v>
      </c>
      <c r="K39" s="53" t="s">
        <v>161</v>
      </c>
      <c r="L39" s="53">
        <v>2</v>
      </c>
      <c r="N39" s="53">
        <v>1</v>
      </c>
      <c r="O39" s="53">
        <v>1.25</v>
      </c>
      <c r="P39" s="53">
        <v>1.3</v>
      </c>
      <c r="Q39" s="75">
        <f t="shared" si="4"/>
        <v>1.2749999999999999</v>
      </c>
      <c r="R39" s="53">
        <v>14.7</v>
      </c>
      <c r="S39" s="53">
        <v>122</v>
      </c>
      <c r="T39" s="16">
        <f t="shared" si="1"/>
        <v>30</v>
      </c>
      <c r="U39" s="53">
        <v>149</v>
      </c>
      <c r="V39" s="16">
        <f t="shared" si="2"/>
        <v>4470</v>
      </c>
      <c r="W39" s="53">
        <v>1</v>
      </c>
      <c r="X39" s="53" t="s">
        <v>46</v>
      </c>
      <c r="Y39" s="53" t="s">
        <v>84</v>
      </c>
      <c r="Z39" s="53" t="s">
        <v>50</v>
      </c>
      <c r="AA39" s="53" t="s">
        <v>78</v>
      </c>
      <c r="AB39" s="53" t="s">
        <v>237</v>
      </c>
    </row>
    <row r="40" spans="1:28" x14ac:dyDescent="0.15">
      <c r="A40" s="53" t="s">
        <v>34</v>
      </c>
      <c r="B40" s="53" t="s">
        <v>233</v>
      </c>
      <c r="C40" s="53">
        <v>2019</v>
      </c>
      <c r="D40" s="176" t="s">
        <v>350</v>
      </c>
      <c r="E40" s="53" t="s">
        <v>377</v>
      </c>
      <c r="F40" s="53" t="s">
        <v>378</v>
      </c>
      <c r="G40" s="53" t="s">
        <v>36</v>
      </c>
      <c r="H40" s="53" t="s">
        <v>160</v>
      </c>
      <c r="I40" s="53" t="s">
        <v>159</v>
      </c>
      <c r="J40" s="53" t="s">
        <v>38</v>
      </c>
      <c r="K40" s="53" t="s">
        <v>161</v>
      </c>
      <c r="L40" s="53">
        <v>3</v>
      </c>
      <c r="N40" s="53">
        <v>1</v>
      </c>
      <c r="O40" s="53">
        <v>1</v>
      </c>
      <c r="P40" s="53">
        <v>0.8</v>
      </c>
      <c r="Q40" s="75">
        <f>IF(OR(O40="",P40=""),"",AVERAGE(O40,P40))</f>
        <v>0.9</v>
      </c>
      <c r="R40" s="53">
        <v>16.3</v>
      </c>
      <c r="S40" s="53">
        <v>118</v>
      </c>
      <c r="T40" s="16">
        <f t="shared" si="1"/>
        <v>30</v>
      </c>
      <c r="U40" s="53">
        <v>149</v>
      </c>
      <c r="V40" s="16">
        <f t="shared" si="2"/>
        <v>4470</v>
      </c>
      <c r="W40" s="53">
        <v>1</v>
      </c>
      <c r="X40" s="53" t="s">
        <v>46</v>
      </c>
      <c r="Y40" s="53" t="s">
        <v>84</v>
      </c>
      <c r="Z40" s="53" t="s">
        <v>50</v>
      </c>
      <c r="AA40" s="53" t="s">
        <v>78</v>
      </c>
      <c r="AB40" s="53" t="s">
        <v>237</v>
      </c>
    </row>
    <row r="41" spans="1:28" x14ac:dyDescent="0.15">
      <c r="A41" s="53" t="s">
        <v>34</v>
      </c>
      <c r="B41" s="53" t="s">
        <v>233</v>
      </c>
      <c r="C41" s="53">
        <v>2019</v>
      </c>
      <c r="D41" s="176" t="s">
        <v>350</v>
      </c>
      <c r="E41" s="53" t="s">
        <v>375</v>
      </c>
      <c r="F41" s="53" t="s">
        <v>376</v>
      </c>
      <c r="G41" s="53" t="s">
        <v>36</v>
      </c>
      <c r="H41" s="53" t="s">
        <v>164</v>
      </c>
      <c r="I41" s="53" t="s">
        <v>159</v>
      </c>
      <c r="J41" s="53" t="s">
        <v>38</v>
      </c>
      <c r="K41" s="53" t="s">
        <v>161</v>
      </c>
      <c r="L41" s="53">
        <v>1</v>
      </c>
      <c r="N41" s="53">
        <v>1</v>
      </c>
      <c r="O41" s="53">
        <v>0.65</v>
      </c>
      <c r="P41" s="53">
        <v>0.75</v>
      </c>
      <c r="Q41" s="75">
        <f t="shared" si="0"/>
        <v>0.7</v>
      </c>
      <c r="R41" s="53">
        <v>13.7</v>
      </c>
      <c r="S41" s="53">
        <v>138</v>
      </c>
      <c r="T41" s="16">
        <f t="shared" si="1"/>
        <v>30</v>
      </c>
      <c r="U41" s="53">
        <v>108</v>
      </c>
      <c r="V41" s="16">
        <f t="shared" si="2"/>
        <v>3240</v>
      </c>
      <c r="W41" s="53">
        <v>1</v>
      </c>
      <c r="X41" s="53" t="s">
        <v>46</v>
      </c>
      <c r="Y41" s="53" t="s">
        <v>84</v>
      </c>
      <c r="Z41" s="53" t="s">
        <v>50</v>
      </c>
      <c r="AA41" s="53" t="s">
        <v>78</v>
      </c>
      <c r="AB41" s="53" t="s">
        <v>237</v>
      </c>
    </row>
    <row r="42" spans="1:28" x14ac:dyDescent="0.15">
      <c r="A42" s="53" t="s">
        <v>34</v>
      </c>
      <c r="B42" s="53" t="s">
        <v>233</v>
      </c>
      <c r="C42" s="53">
        <v>2019</v>
      </c>
      <c r="D42" s="176" t="s">
        <v>350</v>
      </c>
      <c r="E42" s="53" t="s">
        <v>375</v>
      </c>
      <c r="F42" s="53" t="s">
        <v>376</v>
      </c>
      <c r="G42" s="53" t="s">
        <v>36</v>
      </c>
      <c r="H42" s="53" t="s">
        <v>164</v>
      </c>
      <c r="I42" s="53" t="s">
        <v>159</v>
      </c>
      <c r="J42" s="53" t="s">
        <v>38</v>
      </c>
      <c r="K42" s="53" t="s">
        <v>161</v>
      </c>
      <c r="L42" s="53">
        <v>2</v>
      </c>
      <c r="N42" s="53">
        <v>1</v>
      </c>
      <c r="O42" s="53">
        <v>0.75</v>
      </c>
      <c r="P42" s="53">
        <v>0.7</v>
      </c>
      <c r="Q42" s="75">
        <f t="shared" si="0"/>
        <v>0.72499999999999998</v>
      </c>
      <c r="R42" s="53">
        <v>12.5</v>
      </c>
      <c r="S42" s="53">
        <v>134</v>
      </c>
      <c r="T42" s="16">
        <f t="shared" si="1"/>
        <v>30</v>
      </c>
      <c r="U42" s="53">
        <v>108</v>
      </c>
      <c r="V42" s="16">
        <f t="shared" si="2"/>
        <v>3240</v>
      </c>
      <c r="W42" s="53">
        <v>1</v>
      </c>
      <c r="X42" s="53" t="s">
        <v>46</v>
      </c>
      <c r="Y42" s="53" t="s">
        <v>84</v>
      </c>
      <c r="Z42" s="53" t="s">
        <v>50</v>
      </c>
      <c r="AA42" s="53" t="s">
        <v>78</v>
      </c>
      <c r="AB42" s="53" t="s">
        <v>237</v>
      </c>
    </row>
    <row r="43" spans="1:28" x14ac:dyDescent="0.15">
      <c r="A43" s="53" t="s">
        <v>34</v>
      </c>
      <c r="B43" s="53" t="s">
        <v>233</v>
      </c>
      <c r="C43" s="53">
        <v>2019</v>
      </c>
      <c r="D43" s="176" t="s">
        <v>350</v>
      </c>
      <c r="E43" s="53" t="s">
        <v>375</v>
      </c>
      <c r="F43" s="53" t="s">
        <v>376</v>
      </c>
      <c r="G43" s="53" t="s">
        <v>36</v>
      </c>
      <c r="H43" s="53" t="s">
        <v>164</v>
      </c>
      <c r="I43" s="53" t="s">
        <v>159</v>
      </c>
      <c r="J43" s="53" t="s">
        <v>38</v>
      </c>
      <c r="K43" s="53" t="s">
        <v>161</v>
      </c>
      <c r="L43" s="53">
        <v>3</v>
      </c>
      <c r="N43" s="53">
        <v>1</v>
      </c>
      <c r="O43" s="53">
        <v>0.75</v>
      </c>
      <c r="P43" s="53">
        <v>0.6</v>
      </c>
      <c r="Q43" s="75">
        <f t="shared" si="0"/>
        <v>0.67500000000000004</v>
      </c>
      <c r="R43" s="53">
        <v>14.7</v>
      </c>
      <c r="S43" s="53">
        <v>128</v>
      </c>
      <c r="T43" s="16">
        <f t="shared" si="1"/>
        <v>30</v>
      </c>
      <c r="U43" s="53">
        <v>108</v>
      </c>
      <c r="V43" s="16">
        <f t="shared" si="2"/>
        <v>3240</v>
      </c>
      <c r="W43" s="53">
        <v>1</v>
      </c>
      <c r="X43" s="53" t="s">
        <v>46</v>
      </c>
      <c r="Y43" s="53" t="s">
        <v>84</v>
      </c>
      <c r="Z43" s="53" t="s">
        <v>50</v>
      </c>
      <c r="AA43" s="53" t="s">
        <v>78</v>
      </c>
      <c r="AB43" s="53" t="s">
        <v>237</v>
      </c>
    </row>
    <row r="44" spans="1:28" x14ac:dyDescent="0.15">
      <c r="A44" s="53" t="s">
        <v>34</v>
      </c>
      <c r="B44" s="53" t="s">
        <v>233</v>
      </c>
      <c r="C44" s="53">
        <v>2019</v>
      </c>
      <c r="D44" s="176" t="s">
        <v>350</v>
      </c>
      <c r="E44" s="53" t="s">
        <v>375</v>
      </c>
      <c r="F44" s="53" t="s">
        <v>376</v>
      </c>
      <c r="G44" s="53" t="s">
        <v>36</v>
      </c>
      <c r="H44" s="53" t="s">
        <v>160</v>
      </c>
      <c r="I44" s="53" t="s">
        <v>159</v>
      </c>
      <c r="J44" s="53" t="s">
        <v>38</v>
      </c>
      <c r="K44" s="53" t="s">
        <v>161</v>
      </c>
      <c r="L44" s="53">
        <v>1</v>
      </c>
      <c r="N44" s="53">
        <v>1</v>
      </c>
      <c r="O44" s="53">
        <v>0.85</v>
      </c>
      <c r="P44" s="53">
        <v>0.8</v>
      </c>
      <c r="Q44" s="75">
        <f t="shared" si="0"/>
        <v>0.82499999999999996</v>
      </c>
      <c r="R44" s="53">
        <v>18.2</v>
      </c>
      <c r="S44" s="53">
        <v>96</v>
      </c>
      <c r="T44" s="16">
        <f t="shared" si="1"/>
        <v>36</v>
      </c>
      <c r="U44" s="53">
        <v>108</v>
      </c>
      <c r="V44" s="16">
        <f t="shared" si="2"/>
        <v>3888</v>
      </c>
      <c r="W44" s="53">
        <v>1</v>
      </c>
      <c r="X44" s="53" t="s">
        <v>46</v>
      </c>
      <c r="Y44" s="53" t="s">
        <v>84</v>
      </c>
      <c r="Z44" s="53" t="s">
        <v>50</v>
      </c>
      <c r="AA44" s="53" t="s">
        <v>78</v>
      </c>
      <c r="AB44" s="53" t="s">
        <v>237</v>
      </c>
    </row>
    <row r="45" spans="1:28" x14ac:dyDescent="0.15">
      <c r="A45" s="53" t="s">
        <v>34</v>
      </c>
      <c r="B45" s="53" t="s">
        <v>233</v>
      </c>
      <c r="C45" s="53">
        <v>2019</v>
      </c>
      <c r="D45" s="176" t="s">
        <v>350</v>
      </c>
      <c r="E45" s="53" t="s">
        <v>375</v>
      </c>
      <c r="F45" s="53" t="s">
        <v>376</v>
      </c>
      <c r="G45" s="53" t="s">
        <v>36</v>
      </c>
      <c r="H45" s="53" t="s">
        <v>160</v>
      </c>
      <c r="I45" s="53" t="s">
        <v>159</v>
      </c>
      <c r="J45" s="53" t="s">
        <v>38</v>
      </c>
      <c r="K45" s="53" t="s">
        <v>161</v>
      </c>
      <c r="L45" s="53">
        <v>2</v>
      </c>
      <c r="N45" s="53">
        <v>1</v>
      </c>
      <c r="O45" s="53">
        <v>0.75</v>
      </c>
      <c r="P45" s="53">
        <v>0.8</v>
      </c>
      <c r="Q45" s="75">
        <f t="shared" si="0"/>
        <v>0.77500000000000002</v>
      </c>
      <c r="R45" s="53">
        <v>16.8</v>
      </c>
      <c r="S45" s="53">
        <v>110</v>
      </c>
      <c r="T45" s="16">
        <f t="shared" si="1"/>
        <v>33</v>
      </c>
      <c r="U45" s="53">
        <v>108</v>
      </c>
      <c r="V45" s="16">
        <f t="shared" si="2"/>
        <v>3564</v>
      </c>
      <c r="W45" s="53">
        <v>1</v>
      </c>
      <c r="X45" s="53" t="s">
        <v>46</v>
      </c>
      <c r="Y45" s="53" t="s">
        <v>84</v>
      </c>
      <c r="Z45" s="53" t="s">
        <v>50</v>
      </c>
      <c r="AA45" s="53" t="s">
        <v>78</v>
      </c>
      <c r="AB45" s="53" t="s">
        <v>237</v>
      </c>
    </row>
    <row r="46" spans="1:28" x14ac:dyDescent="0.15">
      <c r="A46" s="53" t="s">
        <v>34</v>
      </c>
      <c r="B46" s="53" t="s">
        <v>233</v>
      </c>
      <c r="C46" s="53">
        <v>2019</v>
      </c>
      <c r="D46" s="176" t="s">
        <v>350</v>
      </c>
      <c r="E46" s="53" t="s">
        <v>375</v>
      </c>
      <c r="F46" s="53" t="s">
        <v>376</v>
      </c>
      <c r="G46" s="53" t="s">
        <v>36</v>
      </c>
      <c r="H46" s="53" t="s">
        <v>160</v>
      </c>
      <c r="I46" s="53" t="s">
        <v>159</v>
      </c>
      <c r="J46" s="53" t="s">
        <v>38</v>
      </c>
      <c r="K46" s="53" t="s">
        <v>161</v>
      </c>
      <c r="L46" s="53">
        <v>3</v>
      </c>
      <c r="N46" s="53">
        <v>1</v>
      </c>
      <c r="O46" s="53">
        <v>0.6</v>
      </c>
      <c r="P46" s="53">
        <v>0.65</v>
      </c>
      <c r="Q46" s="75">
        <f t="shared" si="0"/>
        <v>0.625</v>
      </c>
      <c r="R46" s="53">
        <v>15.8</v>
      </c>
      <c r="S46" s="53">
        <v>106</v>
      </c>
      <c r="T46" s="16">
        <f t="shared" si="1"/>
        <v>33</v>
      </c>
      <c r="U46" s="53">
        <v>108</v>
      </c>
      <c r="V46" s="16">
        <f t="shared" si="2"/>
        <v>3564</v>
      </c>
      <c r="W46" s="53">
        <v>1</v>
      </c>
      <c r="X46" s="53" t="s">
        <v>46</v>
      </c>
      <c r="Y46" s="53" t="s">
        <v>84</v>
      </c>
      <c r="Z46" s="53" t="s">
        <v>50</v>
      </c>
      <c r="AA46" s="53" t="s">
        <v>78</v>
      </c>
      <c r="AB46" s="53" t="s">
        <v>237</v>
      </c>
    </row>
    <row r="47" spans="1:28" x14ac:dyDescent="0.15">
      <c r="A47" s="53" t="s">
        <v>34</v>
      </c>
      <c r="B47" s="53" t="s">
        <v>233</v>
      </c>
      <c r="C47" s="53">
        <v>2019</v>
      </c>
      <c r="D47" s="176" t="s">
        <v>350</v>
      </c>
      <c r="E47" s="53" t="s">
        <v>364</v>
      </c>
      <c r="F47" s="53" t="s">
        <v>374</v>
      </c>
      <c r="G47" s="53" t="s">
        <v>36</v>
      </c>
      <c r="H47" s="53" t="s">
        <v>164</v>
      </c>
      <c r="I47" s="53" t="s">
        <v>159</v>
      </c>
      <c r="J47" s="53" t="s">
        <v>38</v>
      </c>
      <c r="K47" s="53" t="s">
        <v>161</v>
      </c>
      <c r="L47" s="53">
        <v>1</v>
      </c>
      <c r="N47" s="53">
        <v>1</v>
      </c>
      <c r="O47" s="53">
        <v>0.75</v>
      </c>
      <c r="P47" s="53">
        <v>0.9</v>
      </c>
      <c r="Q47" s="75">
        <f t="shared" si="0"/>
        <v>0.82499999999999996</v>
      </c>
      <c r="R47" s="53">
        <v>13.8</v>
      </c>
      <c r="S47" s="53">
        <v>106</v>
      </c>
      <c r="T47" s="16">
        <f t="shared" si="1"/>
        <v>33</v>
      </c>
      <c r="U47" s="53">
        <v>85</v>
      </c>
      <c r="V47" s="16">
        <f t="shared" si="2"/>
        <v>2805</v>
      </c>
      <c r="W47" s="53">
        <v>2</v>
      </c>
      <c r="X47" s="53" t="s">
        <v>46</v>
      </c>
      <c r="Y47" s="53" t="s">
        <v>84</v>
      </c>
      <c r="Z47" s="53" t="s">
        <v>90</v>
      </c>
      <c r="AA47" s="53" t="s">
        <v>78</v>
      </c>
      <c r="AB47" s="53" t="s">
        <v>237</v>
      </c>
    </row>
    <row r="48" spans="1:28" x14ac:dyDescent="0.15">
      <c r="A48" s="53" t="s">
        <v>34</v>
      </c>
      <c r="B48" s="53" t="s">
        <v>233</v>
      </c>
      <c r="C48" s="53">
        <v>2019</v>
      </c>
      <c r="D48" s="176" t="s">
        <v>350</v>
      </c>
      <c r="E48" s="53" t="s">
        <v>364</v>
      </c>
      <c r="F48" s="53" t="s">
        <v>374</v>
      </c>
      <c r="G48" s="53" t="s">
        <v>36</v>
      </c>
      <c r="H48" s="53" t="s">
        <v>164</v>
      </c>
      <c r="I48" s="53" t="s">
        <v>159</v>
      </c>
      <c r="J48" s="53" t="s">
        <v>38</v>
      </c>
      <c r="K48" s="53" t="s">
        <v>161</v>
      </c>
      <c r="L48" s="53">
        <v>2</v>
      </c>
      <c r="N48" s="53">
        <v>1</v>
      </c>
      <c r="O48" s="53">
        <v>0.9</v>
      </c>
      <c r="P48" s="53">
        <v>1</v>
      </c>
      <c r="Q48" s="75">
        <f t="shared" si="0"/>
        <v>0.95</v>
      </c>
      <c r="R48" s="53">
        <v>13.9</v>
      </c>
      <c r="S48" s="53">
        <v>100</v>
      </c>
      <c r="T48" s="16">
        <f t="shared" si="1"/>
        <v>33</v>
      </c>
      <c r="U48" s="53">
        <v>85</v>
      </c>
      <c r="V48" s="16">
        <f t="shared" si="2"/>
        <v>2805</v>
      </c>
      <c r="W48" s="53">
        <v>2</v>
      </c>
      <c r="X48" s="53" t="s">
        <v>46</v>
      </c>
      <c r="Y48" s="53" t="s">
        <v>84</v>
      </c>
      <c r="Z48" s="53" t="s">
        <v>90</v>
      </c>
      <c r="AA48" s="53" t="s">
        <v>78</v>
      </c>
      <c r="AB48" s="53" t="s">
        <v>237</v>
      </c>
    </row>
    <row r="49" spans="1:28" x14ac:dyDescent="0.15">
      <c r="A49" s="53" t="s">
        <v>34</v>
      </c>
      <c r="B49" s="53" t="s">
        <v>233</v>
      </c>
      <c r="C49" s="53">
        <v>2019</v>
      </c>
      <c r="D49" s="176" t="s">
        <v>350</v>
      </c>
      <c r="E49" s="53" t="s">
        <v>364</v>
      </c>
      <c r="F49" s="53" t="s">
        <v>374</v>
      </c>
      <c r="G49" s="53" t="s">
        <v>36</v>
      </c>
      <c r="H49" s="53" t="s">
        <v>164</v>
      </c>
      <c r="I49" s="53" t="s">
        <v>159</v>
      </c>
      <c r="J49" s="53" t="s">
        <v>38</v>
      </c>
      <c r="K49" s="53" t="s">
        <v>161</v>
      </c>
      <c r="L49" s="53">
        <v>3</v>
      </c>
      <c r="N49" s="53">
        <v>1</v>
      </c>
      <c r="O49" s="53">
        <v>0.6</v>
      </c>
      <c r="P49" s="53">
        <v>0.65</v>
      </c>
      <c r="Q49" s="75">
        <f t="shared" si="0"/>
        <v>0.625</v>
      </c>
      <c r="R49" s="53">
        <v>12.3</v>
      </c>
      <c r="S49" s="53">
        <v>106</v>
      </c>
      <c r="T49" s="16">
        <f t="shared" si="1"/>
        <v>33</v>
      </c>
      <c r="U49" s="53">
        <v>85</v>
      </c>
      <c r="V49" s="16">
        <f t="shared" si="2"/>
        <v>2805</v>
      </c>
      <c r="W49" s="53">
        <v>2</v>
      </c>
      <c r="X49" s="53" t="s">
        <v>46</v>
      </c>
      <c r="Y49" s="53" t="s">
        <v>84</v>
      </c>
      <c r="Z49" s="53" t="s">
        <v>90</v>
      </c>
      <c r="AA49" s="53" t="s">
        <v>78</v>
      </c>
      <c r="AB49" s="53" t="s">
        <v>237</v>
      </c>
    </row>
    <row r="50" spans="1:28" x14ac:dyDescent="0.15">
      <c r="A50" s="53" t="s">
        <v>34</v>
      </c>
      <c r="B50" s="53" t="s">
        <v>233</v>
      </c>
      <c r="C50" s="53">
        <v>2019</v>
      </c>
      <c r="D50" s="176" t="s">
        <v>350</v>
      </c>
      <c r="E50" s="53" t="s">
        <v>364</v>
      </c>
      <c r="F50" s="53" t="s">
        <v>374</v>
      </c>
      <c r="G50" s="53" t="s">
        <v>36</v>
      </c>
      <c r="H50" s="53" t="s">
        <v>160</v>
      </c>
      <c r="I50" s="53" t="s">
        <v>159</v>
      </c>
      <c r="J50" s="53" t="s">
        <v>38</v>
      </c>
      <c r="K50" s="53" t="s">
        <v>161</v>
      </c>
      <c r="L50" s="53">
        <v>1</v>
      </c>
      <c r="N50" s="53">
        <v>1</v>
      </c>
      <c r="O50" s="53">
        <v>0.2</v>
      </c>
      <c r="P50" s="53">
        <v>0.2</v>
      </c>
      <c r="Q50" s="75">
        <f t="shared" si="0"/>
        <v>0.2</v>
      </c>
      <c r="R50" s="53">
        <v>14.3</v>
      </c>
      <c r="S50" s="53">
        <v>94</v>
      </c>
      <c r="T50" s="16">
        <f t="shared" si="1"/>
        <v>36</v>
      </c>
      <c r="U50" s="53">
        <v>138</v>
      </c>
      <c r="V50" s="16">
        <f t="shared" si="2"/>
        <v>4968</v>
      </c>
      <c r="W50" s="53">
        <v>1</v>
      </c>
      <c r="X50" s="53" t="s">
        <v>46</v>
      </c>
      <c r="Y50" s="53" t="s">
        <v>84</v>
      </c>
      <c r="Z50" s="53" t="s">
        <v>90</v>
      </c>
      <c r="AA50" s="53" t="s">
        <v>78</v>
      </c>
      <c r="AB50" s="53" t="s">
        <v>237</v>
      </c>
    </row>
    <row r="51" spans="1:28" x14ac:dyDescent="0.15">
      <c r="A51" s="53" t="s">
        <v>34</v>
      </c>
      <c r="B51" s="53" t="s">
        <v>233</v>
      </c>
      <c r="C51" s="53">
        <v>2019</v>
      </c>
      <c r="D51" s="176" t="s">
        <v>350</v>
      </c>
      <c r="E51" s="53" t="s">
        <v>364</v>
      </c>
      <c r="F51" s="53" t="s">
        <v>374</v>
      </c>
      <c r="G51" s="53" t="s">
        <v>36</v>
      </c>
      <c r="H51" s="53" t="s">
        <v>160</v>
      </c>
      <c r="I51" s="53" t="s">
        <v>159</v>
      </c>
      <c r="J51" s="53" t="s">
        <v>38</v>
      </c>
      <c r="K51" s="53" t="s">
        <v>161</v>
      </c>
      <c r="L51" s="53">
        <v>2</v>
      </c>
      <c r="N51" s="53">
        <v>1</v>
      </c>
      <c r="O51" s="53">
        <v>0.2</v>
      </c>
      <c r="P51" s="53">
        <v>0.2</v>
      </c>
      <c r="Q51" s="75">
        <f t="shared" si="0"/>
        <v>0.2</v>
      </c>
      <c r="R51" s="53">
        <v>15.2</v>
      </c>
      <c r="S51" s="53">
        <v>99</v>
      </c>
      <c r="T51" s="16">
        <f t="shared" si="1"/>
        <v>33</v>
      </c>
      <c r="U51" s="53">
        <v>138</v>
      </c>
      <c r="V51" s="16">
        <f t="shared" si="2"/>
        <v>4554</v>
      </c>
      <c r="W51" s="53">
        <v>1</v>
      </c>
      <c r="X51" s="53" t="s">
        <v>46</v>
      </c>
      <c r="Y51" s="53" t="s">
        <v>84</v>
      </c>
      <c r="Z51" s="53" t="s">
        <v>90</v>
      </c>
      <c r="AA51" s="53" t="s">
        <v>78</v>
      </c>
      <c r="AB51" s="53" t="s">
        <v>237</v>
      </c>
    </row>
    <row r="52" spans="1:28" x14ac:dyDescent="0.15">
      <c r="A52" s="53" t="s">
        <v>34</v>
      </c>
      <c r="B52" s="53" t="s">
        <v>233</v>
      </c>
      <c r="C52" s="53">
        <v>2019</v>
      </c>
      <c r="D52" s="176" t="s">
        <v>350</v>
      </c>
      <c r="E52" s="53" t="s">
        <v>364</v>
      </c>
      <c r="F52" s="53" t="s">
        <v>374</v>
      </c>
      <c r="G52" s="53" t="s">
        <v>36</v>
      </c>
      <c r="H52" s="53" t="s">
        <v>160</v>
      </c>
      <c r="I52" s="53" t="s">
        <v>159</v>
      </c>
      <c r="J52" s="53" t="s">
        <v>38</v>
      </c>
      <c r="K52" s="53" t="s">
        <v>161</v>
      </c>
      <c r="L52" s="53">
        <v>3</v>
      </c>
      <c r="N52" s="53">
        <v>1</v>
      </c>
      <c r="O52" s="53">
        <v>0.2</v>
      </c>
      <c r="P52" s="53">
        <v>0.2</v>
      </c>
      <c r="Q52" s="75">
        <f t="shared" si="0"/>
        <v>0.2</v>
      </c>
      <c r="R52" s="53">
        <v>15.6</v>
      </c>
      <c r="S52" s="53">
        <v>98</v>
      </c>
      <c r="T52" s="16">
        <f t="shared" si="1"/>
        <v>36</v>
      </c>
      <c r="U52" s="53">
        <v>138</v>
      </c>
      <c r="V52" s="16">
        <f t="shared" si="2"/>
        <v>4968</v>
      </c>
      <c r="W52" s="53">
        <v>1</v>
      </c>
      <c r="X52" s="53" t="s">
        <v>46</v>
      </c>
      <c r="Y52" s="53" t="s">
        <v>84</v>
      </c>
      <c r="Z52" s="53" t="s">
        <v>90</v>
      </c>
      <c r="AA52" s="53" t="s">
        <v>78</v>
      </c>
      <c r="AB52" s="53" t="s">
        <v>237</v>
      </c>
    </row>
    <row r="53" spans="1:28" x14ac:dyDescent="0.15">
      <c r="A53" s="53" t="s">
        <v>34</v>
      </c>
      <c r="B53" s="53" t="s">
        <v>233</v>
      </c>
      <c r="C53" s="53">
        <v>2019</v>
      </c>
      <c r="D53" s="176" t="s">
        <v>350</v>
      </c>
      <c r="E53" s="53" t="s">
        <v>381</v>
      </c>
      <c r="F53" s="53" t="s">
        <v>382</v>
      </c>
      <c r="G53" s="53" t="s">
        <v>36</v>
      </c>
      <c r="H53" s="53" t="s">
        <v>127</v>
      </c>
      <c r="I53" s="53" t="s">
        <v>159</v>
      </c>
      <c r="J53" s="53" t="s">
        <v>80</v>
      </c>
      <c r="K53" s="53" t="s">
        <v>94</v>
      </c>
      <c r="L53" s="53">
        <v>1</v>
      </c>
      <c r="N53" s="53">
        <v>2</v>
      </c>
      <c r="O53" s="53">
        <v>0.65</v>
      </c>
      <c r="P53" s="53">
        <v>0.6</v>
      </c>
      <c r="Q53" s="75">
        <f t="shared" si="0"/>
        <v>0.625</v>
      </c>
      <c r="R53" s="53">
        <v>9.4</v>
      </c>
      <c r="S53" s="53">
        <v>98</v>
      </c>
      <c r="T53" s="16">
        <f t="shared" si="1"/>
        <v>36</v>
      </c>
      <c r="U53" s="53">
        <v>108</v>
      </c>
      <c r="V53" s="16">
        <f t="shared" si="2"/>
        <v>1944</v>
      </c>
      <c r="W53" s="53">
        <v>2</v>
      </c>
      <c r="X53" s="53" t="s">
        <v>46</v>
      </c>
      <c r="Y53" s="53" t="s">
        <v>90</v>
      </c>
      <c r="Z53" s="53" t="s">
        <v>50</v>
      </c>
      <c r="AA53" s="53" t="s">
        <v>78</v>
      </c>
      <c r="AB53" s="53" t="s">
        <v>237</v>
      </c>
    </row>
    <row r="54" spans="1:28" x14ac:dyDescent="0.15">
      <c r="A54" s="53" t="s">
        <v>34</v>
      </c>
      <c r="B54" s="53" t="s">
        <v>233</v>
      </c>
      <c r="C54" s="53">
        <v>2019</v>
      </c>
      <c r="D54" s="176" t="s">
        <v>350</v>
      </c>
      <c r="E54" s="53" t="s">
        <v>381</v>
      </c>
      <c r="F54" s="53" t="s">
        <v>382</v>
      </c>
      <c r="G54" s="53" t="s">
        <v>36</v>
      </c>
      <c r="H54" s="53" t="s">
        <v>127</v>
      </c>
      <c r="I54" s="53" t="s">
        <v>159</v>
      </c>
      <c r="J54" s="53" t="s">
        <v>80</v>
      </c>
      <c r="K54" s="53" t="s">
        <v>94</v>
      </c>
      <c r="L54" s="53">
        <v>2</v>
      </c>
      <c r="N54" s="53">
        <v>2</v>
      </c>
      <c r="O54" s="53">
        <v>2.5</v>
      </c>
      <c r="P54" s="53">
        <v>2.6</v>
      </c>
      <c r="Q54" s="75">
        <f t="shared" si="0"/>
        <v>2.5499999999999998</v>
      </c>
      <c r="R54" s="53">
        <v>9.1</v>
      </c>
      <c r="S54" s="53">
        <v>90</v>
      </c>
      <c r="T54" s="16">
        <f t="shared" si="1"/>
        <v>36</v>
      </c>
      <c r="U54" s="53">
        <v>108</v>
      </c>
      <c r="V54" s="16">
        <f t="shared" si="2"/>
        <v>1944</v>
      </c>
      <c r="W54" s="53">
        <v>2</v>
      </c>
      <c r="X54" s="53" t="s">
        <v>46</v>
      </c>
      <c r="Y54" s="53" t="s">
        <v>90</v>
      </c>
      <c r="Z54" s="53" t="s">
        <v>50</v>
      </c>
      <c r="AA54" s="53" t="s">
        <v>78</v>
      </c>
      <c r="AB54" s="53" t="s">
        <v>237</v>
      </c>
    </row>
    <row r="55" spans="1:28" x14ac:dyDescent="0.15">
      <c r="A55" s="53" t="s">
        <v>34</v>
      </c>
      <c r="B55" s="53" t="s">
        <v>233</v>
      </c>
      <c r="C55" s="53">
        <v>2019</v>
      </c>
      <c r="D55" s="176" t="s">
        <v>350</v>
      </c>
      <c r="E55" s="53" t="s">
        <v>381</v>
      </c>
      <c r="F55" s="53" t="s">
        <v>382</v>
      </c>
      <c r="G55" s="53" t="s">
        <v>36</v>
      </c>
      <c r="H55" s="53" t="s">
        <v>127</v>
      </c>
      <c r="I55" s="53" t="s">
        <v>159</v>
      </c>
      <c r="J55" s="53" t="s">
        <v>80</v>
      </c>
      <c r="K55" s="53" t="s">
        <v>94</v>
      </c>
      <c r="L55" s="53">
        <v>3</v>
      </c>
      <c r="N55" s="53">
        <v>2</v>
      </c>
      <c r="O55" s="53">
        <v>1.6</v>
      </c>
      <c r="P55" s="53">
        <v>1.3</v>
      </c>
      <c r="Q55" s="75">
        <f t="shared" si="0"/>
        <v>1.4500000000000002</v>
      </c>
      <c r="R55" s="53">
        <v>14.5</v>
      </c>
      <c r="S55" s="53">
        <v>81</v>
      </c>
      <c r="T55" s="16">
        <f t="shared" si="1"/>
        <v>39</v>
      </c>
      <c r="U55" s="53">
        <v>108</v>
      </c>
      <c r="V55" s="16">
        <f t="shared" si="2"/>
        <v>2106</v>
      </c>
      <c r="W55" s="53">
        <v>2</v>
      </c>
      <c r="X55" s="53" t="s">
        <v>46</v>
      </c>
      <c r="Y55" s="53" t="s">
        <v>90</v>
      </c>
      <c r="Z55" s="53" t="s">
        <v>50</v>
      </c>
      <c r="AA55" s="53" t="s">
        <v>78</v>
      </c>
      <c r="AB55" s="53" t="s">
        <v>237</v>
      </c>
    </row>
    <row r="56" spans="1:28" x14ac:dyDescent="0.15">
      <c r="A56" s="53" t="s">
        <v>34</v>
      </c>
      <c r="B56" s="53" t="s">
        <v>233</v>
      </c>
      <c r="C56" s="53">
        <v>2019</v>
      </c>
      <c r="D56" s="176" t="s">
        <v>350</v>
      </c>
      <c r="E56" s="53" t="s">
        <v>383</v>
      </c>
      <c r="F56" s="53" t="s">
        <v>384</v>
      </c>
      <c r="G56" s="53" t="s">
        <v>36</v>
      </c>
      <c r="H56" s="53" t="s">
        <v>164</v>
      </c>
      <c r="I56" s="53" t="s">
        <v>159</v>
      </c>
      <c r="J56" s="53" t="s">
        <v>38</v>
      </c>
      <c r="K56" s="53" t="s">
        <v>161</v>
      </c>
      <c r="L56" s="53">
        <v>1</v>
      </c>
      <c r="N56" s="53">
        <v>1</v>
      </c>
      <c r="O56" s="53">
        <v>0.2</v>
      </c>
      <c r="P56" s="53">
        <v>0.2</v>
      </c>
      <c r="Q56" s="75">
        <f t="shared" si="0"/>
        <v>0.2</v>
      </c>
      <c r="R56" s="53">
        <v>14.5</v>
      </c>
      <c r="S56" s="53">
        <v>93</v>
      </c>
      <c r="T56" s="16">
        <f t="shared" si="1"/>
        <v>36</v>
      </c>
      <c r="U56" s="53">
        <v>105</v>
      </c>
      <c r="V56" s="16">
        <f t="shared" si="2"/>
        <v>3780</v>
      </c>
      <c r="W56" s="53">
        <v>5</v>
      </c>
      <c r="X56" s="53" t="s">
        <v>46</v>
      </c>
      <c r="Y56" s="53" t="s">
        <v>84</v>
      </c>
      <c r="Z56" s="53" t="s">
        <v>90</v>
      </c>
      <c r="AA56" s="53" t="s">
        <v>78</v>
      </c>
      <c r="AB56" s="53" t="s">
        <v>237</v>
      </c>
    </row>
    <row r="57" spans="1:28" x14ac:dyDescent="0.15">
      <c r="A57" s="53" t="s">
        <v>34</v>
      </c>
      <c r="B57" s="53" t="s">
        <v>233</v>
      </c>
      <c r="C57" s="53">
        <v>2019</v>
      </c>
      <c r="D57" s="176" t="s">
        <v>350</v>
      </c>
      <c r="E57" s="53" t="s">
        <v>383</v>
      </c>
      <c r="F57" s="53" t="s">
        <v>384</v>
      </c>
      <c r="G57" s="53" t="s">
        <v>36</v>
      </c>
      <c r="H57" s="53" t="s">
        <v>164</v>
      </c>
      <c r="I57" s="53" t="s">
        <v>159</v>
      </c>
      <c r="J57" s="53" t="s">
        <v>38</v>
      </c>
      <c r="K57" s="53" t="s">
        <v>161</v>
      </c>
      <c r="L57" s="53">
        <v>2</v>
      </c>
      <c r="N57" s="53">
        <v>1</v>
      </c>
      <c r="O57" s="53">
        <v>0.55000000000000004</v>
      </c>
      <c r="P57" s="53">
        <v>0.6</v>
      </c>
      <c r="Q57" s="75">
        <f t="shared" si="0"/>
        <v>0.57499999999999996</v>
      </c>
      <c r="R57" s="53">
        <v>13.7</v>
      </c>
      <c r="S57" s="53">
        <v>91</v>
      </c>
      <c r="T57" s="16">
        <f t="shared" si="1"/>
        <v>36</v>
      </c>
      <c r="U57" s="53">
        <v>105</v>
      </c>
      <c r="V57" s="16">
        <f t="shared" si="2"/>
        <v>3780</v>
      </c>
      <c r="W57" s="53">
        <v>5</v>
      </c>
      <c r="X57" s="53" t="s">
        <v>46</v>
      </c>
      <c r="Y57" s="53" t="s">
        <v>84</v>
      </c>
      <c r="Z57" s="53" t="s">
        <v>90</v>
      </c>
      <c r="AA57" s="53" t="s">
        <v>78</v>
      </c>
      <c r="AB57" s="53" t="s">
        <v>237</v>
      </c>
    </row>
    <row r="58" spans="1:28" x14ac:dyDescent="0.15">
      <c r="A58" s="53" t="s">
        <v>34</v>
      </c>
      <c r="B58" s="53" t="s">
        <v>233</v>
      </c>
      <c r="C58" s="53">
        <v>2019</v>
      </c>
      <c r="D58" s="176" t="s">
        <v>350</v>
      </c>
      <c r="E58" s="53" t="s">
        <v>383</v>
      </c>
      <c r="F58" s="53" t="s">
        <v>384</v>
      </c>
      <c r="G58" s="53" t="s">
        <v>36</v>
      </c>
      <c r="H58" s="53" t="s">
        <v>164</v>
      </c>
      <c r="I58" s="53" t="s">
        <v>159</v>
      </c>
      <c r="J58" s="53" t="s">
        <v>38</v>
      </c>
      <c r="K58" s="53" t="s">
        <v>161</v>
      </c>
      <c r="L58" s="53">
        <v>3</v>
      </c>
      <c r="N58" s="53">
        <v>1</v>
      </c>
      <c r="O58" s="53">
        <v>0.65</v>
      </c>
      <c r="P58" s="53">
        <v>0.75</v>
      </c>
      <c r="Q58" s="75">
        <f t="shared" si="0"/>
        <v>0.7</v>
      </c>
      <c r="R58" s="53">
        <v>13.7</v>
      </c>
      <c r="S58" s="53">
        <v>102</v>
      </c>
      <c r="T58" s="16">
        <f t="shared" si="1"/>
        <v>33</v>
      </c>
      <c r="U58" s="53">
        <v>105</v>
      </c>
      <c r="V58" s="16">
        <f t="shared" si="2"/>
        <v>3465</v>
      </c>
      <c r="W58" s="53">
        <v>5</v>
      </c>
      <c r="X58" s="53" t="s">
        <v>46</v>
      </c>
      <c r="Y58" s="53" t="s">
        <v>84</v>
      </c>
      <c r="Z58" s="53" t="s">
        <v>90</v>
      </c>
      <c r="AA58" s="53" t="s">
        <v>78</v>
      </c>
      <c r="AB58" s="53" t="s">
        <v>237</v>
      </c>
    </row>
    <row r="59" spans="1:28" x14ac:dyDescent="0.15">
      <c r="A59" s="53" t="s">
        <v>34</v>
      </c>
      <c r="B59" s="53" t="s">
        <v>233</v>
      </c>
      <c r="C59" s="53">
        <v>2019</v>
      </c>
      <c r="D59" s="176" t="s">
        <v>350</v>
      </c>
      <c r="E59" s="53" t="s">
        <v>383</v>
      </c>
      <c r="F59" s="53" t="s">
        <v>384</v>
      </c>
      <c r="G59" s="53" t="s">
        <v>36</v>
      </c>
      <c r="H59" s="53" t="s">
        <v>164</v>
      </c>
      <c r="I59" s="53" t="s">
        <v>159</v>
      </c>
      <c r="J59" s="53" t="s">
        <v>38</v>
      </c>
      <c r="K59" s="53" t="s">
        <v>161</v>
      </c>
      <c r="L59" s="53">
        <v>1</v>
      </c>
      <c r="N59" s="53">
        <v>5</v>
      </c>
      <c r="O59" s="53">
        <v>0.65</v>
      </c>
      <c r="P59" s="53">
        <v>0.6</v>
      </c>
      <c r="Q59" s="75">
        <f t="shared" si="0"/>
        <v>0.625</v>
      </c>
      <c r="R59" s="53">
        <v>14</v>
      </c>
      <c r="S59" s="53">
        <v>102</v>
      </c>
      <c r="T59" s="16">
        <f t="shared" si="1"/>
        <v>33</v>
      </c>
      <c r="U59" s="53">
        <v>410</v>
      </c>
      <c r="V59" s="16">
        <f t="shared" si="2"/>
        <v>2706</v>
      </c>
      <c r="W59" s="53">
        <v>5</v>
      </c>
      <c r="X59" s="53" t="s">
        <v>46</v>
      </c>
      <c r="Y59" s="53" t="s">
        <v>84</v>
      </c>
      <c r="Z59" s="53" t="s">
        <v>90</v>
      </c>
      <c r="AA59" s="53" t="s">
        <v>78</v>
      </c>
      <c r="AB59" s="53" t="s">
        <v>237</v>
      </c>
    </row>
    <row r="60" spans="1:28" x14ac:dyDescent="0.15">
      <c r="A60" s="53" t="s">
        <v>34</v>
      </c>
      <c r="B60" s="53" t="s">
        <v>233</v>
      </c>
      <c r="C60" s="53">
        <v>2019</v>
      </c>
      <c r="D60" s="176" t="s">
        <v>350</v>
      </c>
      <c r="E60" s="53" t="s">
        <v>383</v>
      </c>
      <c r="F60" s="53" t="s">
        <v>384</v>
      </c>
      <c r="G60" s="53" t="s">
        <v>36</v>
      </c>
      <c r="H60" s="53" t="s">
        <v>164</v>
      </c>
      <c r="I60" s="53" t="s">
        <v>159</v>
      </c>
      <c r="J60" s="53" t="s">
        <v>38</v>
      </c>
      <c r="K60" s="53" t="s">
        <v>161</v>
      </c>
      <c r="L60" s="53">
        <v>2</v>
      </c>
      <c r="N60" s="53">
        <v>5</v>
      </c>
      <c r="O60" s="53">
        <v>0.85</v>
      </c>
      <c r="P60" s="53">
        <v>0.9</v>
      </c>
      <c r="Q60" s="75">
        <f t="shared" si="0"/>
        <v>0.875</v>
      </c>
      <c r="R60" s="53">
        <v>14.1</v>
      </c>
      <c r="S60" s="53">
        <v>102</v>
      </c>
      <c r="T60" s="16">
        <f t="shared" si="1"/>
        <v>33</v>
      </c>
      <c r="U60" s="53">
        <v>410</v>
      </c>
      <c r="V60" s="16">
        <f t="shared" si="2"/>
        <v>2706</v>
      </c>
      <c r="W60" s="53">
        <v>5</v>
      </c>
      <c r="X60" s="53" t="s">
        <v>46</v>
      </c>
      <c r="Y60" s="53" t="s">
        <v>84</v>
      </c>
      <c r="Z60" s="53" t="s">
        <v>90</v>
      </c>
      <c r="AA60" s="53" t="s">
        <v>78</v>
      </c>
      <c r="AB60" s="53" t="s">
        <v>237</v>
      </c>
    </row>
    <row r="61" spans="1:28" x14ac:dyDescent="0.15">
      <c r="A61" s="53" t="s">
        <v>34</v>
      </c>
      <c r="B61" s="53" t="s">
        <v>233</v>
      </c>
      <c r="C61" s="53">
        <v>2019</v>
      </c>
      <c r="D61" s="176" t="s">
        <v>350</v>
      </c>
      <c r="E61" s="53" t="s">
        <v>383</v>
      </c>
      <c r="F61" s="53" t="s">
        <v>384</v>
      </c>
      <c r="G61" s="53" t="s">
        <v>36</v>
      </c>
      <c r="H61" s="53" t="s">
        <v>164</v>
      </c>
      <c r="I61" s="53" t="s">
        <v>159</v>
      </c>
      <c r="J61" s="53" t="s">
        <v>38</v>
      </c>
      <c r="K61" s="53" t="s">
        <v>161</v>
      </c>
      <c r="L61" s="53">
        <v>3</v>
      </c>
      <c r="N61" s="53">
        <v>5</v>
      </c>
      <c r="O61" s="53">
        <v>0.2</v>
      </c>
      <c r="P61" s="53">
        <v>0.2</v>
      </c>
      <c r="Q61" s="75">
        <f t="shared" si="0"/>
        <v>0.2</v>
      </c>
      <c r="R61" s="53">
        <v>14.2</v>
      </c>
      <c r="S61" s="53">
        <v>99</v>
      </c>
      <c r="T61" s="16">
        <f t="shared" si="1"/>
        <v>33</v>
      </c>
      <c r="U61" s="53">
        <v>410</v>
      </c>
      <c r="V61" s="16">
        <f t="shared" si="2"/>
        <v>2706</v>
      </c>
      <c r="W61" s="53">
        <v>5</v>
      </c>
      <c r="X61" s="53" t="s">
        <v>46</v>
      </c>
      <c r="Y61" s="53" t="s">
        <v>84</v>
      </c>
      <c r="Z61" s="53" t="s">
        <v>90</v>
      </c>
      <c r="AA61" s="53" t="s">
        <v>78</v>
      </c>
      <c r="AB61" s="53" t="s">
        <v>237</v>
      </c>
    </row>
    <row r="62" spans="1:28" x14ac:dyDescent="0.15">
      <c r="A62" s="53" t="s">
        <v>34</v>
      </c>
      <c r="B62" s="53" t="s">
        <v>233</v>
      </c>
      <c r="C62" s="53">
        <v>2019</v>
      </c>
      <c r="D62" s="176" t="s">
        <v>350</v>
      </c>
      <c r="E62" s="53" t="s">
        <v>383</v>
      </c>
      <c r="F62" s="53" t="s">
        <v>384</v>
      </c>
      <c r="G62" s="53" t="s">
        <v>36</v>
      </c>
      <c r="H62" s="53" t="s">
        <v>127</v>
      </c>
      <c r="I62" s="53" t="s">
        <v>159</v>
      </c>
      <c r="J62" s="53" t="s">
        <v>112</v>
      </c>
      <c r="K62" s="53" t="s">
        <v>105</v>
      </c>
      <c r="L62" s="53">
        <v>1</v>
      </c>
      <c r="N62" s="53">
        <v>8</v>
      </c>
      <c r="O62" s="53">
        <v>0.45</v>
      </c>
      <c r="P62" s="53">
        <v>0.45</v>
      </c>
      <c r="Q62" s="75">
        <f t="shared" si="0"/>
        <v>0.45</v>
      </c>
      <c r="R62" s="53">
        <v>13.9</v>
      </c>
      <c r="S62" s="53">
        <v>35</v>
      </c>
      <c r="T62" s="16">
        <f t="shared" si="1"/>
        <v>50</v>
      </c>
      <c r="U62" s="53">
        <v>429</v>
      </c>
      <c r="V62" s="16">
        <f t="shared" si="2"/>
        <v>2681.25</v>
      </c>
      <c r="W62" s="53">
        <v>5</v>
      </c>
      <c r="X62" s="53" t="s">
        <v>46</v>
      </c>
      <c r="Y62" s="53" t="s">
        <v>84</v>
      </c>
      <c r="Z62" s="53" t="s">
        <v>90</v>
      </c>
      <c r="AA62" s="53" t="s">
        <v>78</v>
      </c>
      <c r="AB62" s="53" t="s">
        <v>237</v>
      </c>
    </row>
    <row r="63" spans="1:28" x14ac:dyDescent="0.15">
      <c r="A63" s="53" t="s">
        <v>34</v>
      </c>
      <c r="B63" s="53" t="s">
        <v>233</v>
      </c>
      <c r="C63" s="53">
        <v>2019</v>
      </c>
      <c r="D63" s="176" t="s">
        <v>350</v>
      </c>
      <c r="E63" s="53" t="s">
        <v>383</v>
      </c>
      <c r="F63" s="53" t="s">
        <v>384</v>
      </c>
      <c r="G63" s="53" t="s">
        <v>36</v>
      </c>
      <c r="H63" s="53" t="s">
        <v>127</v>
      </c>
      <c r="I63" s="53" t="s">
        <v>159</v>
      </c>
      <c r="J63" s="53" t="s">
        <v>112</v>
      </c>
      <c r="K63" s="53" t="s">
        <v>105</v>
      </c>
      <c r="L63" s="53">
        <v>2</v>
      </c>
      <c r="N63" s="53">
        <v>8</v>
      </c>
      <c r="O63" s="53">
        <v>0.2</v>
      </c>
      <c r="P63" s="53">
        <v>0.2</v>
      </c>
      <c r="Q63" s="75">
        <f t="shared" si="0"/>
        <v>0.2</v>
      </c>
      <c r="R63" s="53">
        <v>14.8</v>
      </c>
      <c r="S63" s="53">
        <v>28</v>
      </c>
      <c r="T63" s="16">
        <f t="shared" si="1"/>
        <v>50</v>
      </c>
      <c r="U63" s="53">
        <v>429</v>
      </c>
      <c r="V63" s="16">
        <f t="shared" si="2"/>
        <v>2681.25</v>
      </c>
      <c r="W63" s="53">
        <v>5</v>
      </c>
      <c r="X63" s="53" t="s">
        <v>46</v>
      </c>
      <c r="Y63" s="53" t="s">
        <v>84</v>
      </c>
      <c r="Z63" s="53" t="s">
        <v>90</v>
      </c>
      <c r="AA63" s="53" t="s">
        <v>78</v>
      </c>
      <c r="AB63" s="53" t="s">
        <v>237</v>
      </c>
    </row>
    <row r="64" spans="1:28" x14ac:dyDescent="0.15">
      <c r="A64" s="53" t="s">
        <v>34</v>
      </c>
      <c r="B64" s="53" t="s">
        <v>233</v>
      </c>
      <c r="C64" s="53">
        <v>2019</v>
      </c>
      <c r="D64" s="176" t="s">
        <v>350</v>
      </c>
      <c r="E64" s="53" t="s">
        <v>383</v>
      </c>
      <c r="F64" s="53" t="s">
        <v>384</v>
      </c>
      <c r="G64" s="53" t="s">
        <v>36</v>
      </c>
      <c r="H64" s="53" t="s">
        <v>127</v>
      </c>
      <c r="I64" s="53" t="s">
        <v>159</v>
      </c>
      <c r="J64" s="53" t="s">
        <v>112</v>
      </c>
      <c r="K64" s="53" t="s">
        <v>105</v>
      </c>
      <c r="L64" s="53">
        <v>3</v>
      </c>
      <c r="N64" s="53">
        <v>8</v>
      </c>
      <c r="O64" s="53">
        <v>0.2</v>
      </c>
      <c r="P64" s="53">
        <v>0.2</v>
      </c>
      <c r="Q64" s="75">
        <f t="shared" si="0"/>
        <v>0.2</v>
      </c>
      <c r="R64" s="53">
        <v>14.5</v>
      </c>
      <c r="S64" s="53">
        <v>38</v>
      </c>
      <c r="T64" s="16">
        <f t="shared" si="1"/>
        <v>50</v>
      </c>
      <c r="U64" s="53">
        <v>429</v>
      </c>
      <c r="V64" s="16">
        <f t="shared" si="2"/>
        <v>2681.25</v>
      </c>
      <c r="W64" s="53">
        <v>5</v>
      </c>
      <c r="X64" s="53" t="s">
        <v>46</v>
      </c>
      <c r="Y64" s="53" t="s">
        <v>84</v>
      </c>
      <c r="Z64" s="53" t="s">
        <v>90</v>
      </c>
      <c r="AA64" s="53" t="s">
        <v>78</v>
      </c>
      <c r="AB64" s="53" t="s">
        <v>237</v>
      </c>
    </row>
    <row r="65" spans="1:28" x14ac:dyDescent="0.15">
      <c r="A65" s="53" t="s">
        <v>34</v>
      </c>
      <c r="B65" s="53" t="s">
        <v>233</v>
      </c>
      <c r="C65" s="53">
        <v>2019</v>
      </c>
      <c r="D65" s="176" t="s">
        <v>350</v>
      </c>
      <c r="E65" s="53" t="s">
        <v>383</v>
      </c>
      <c r="F65" s="53" t="s">
        <v>384</v>
      </c>
      <c r="G65" s="53" t="s">
        <v>36</v>
      </c>
      <c r="H65" s="53" t="s">
        <v>160</v>
      </c>
      <c r="I65" s="53" t="s">
        <v>159</v>
      </c>
      <c r="J65" s="53" t="s">
        <v>38</v>
      </c>
      <c r="K65" s="53" t="s">
        <v>161</v>
      </c>
      <c r="L65" s="53">
        <v>3</v>
      </c>
      <c r="N65" s="53">
        <v>1</v>
      </c>
      <c r="O65" s="53">
        <v>0.2</v>
      </c>
      <c r="P65" s="53">
        <v>0.2</v>
      </c>
      <c r="Q65" s="75">
        <f t="shared" si="0"/>
        <v>0.2</v>
      </c>
      <c r="R65" s="53">
        <v>14.4</v>
      </c>
      <c r="S65" s="53">
        <v>94</v>
      </c>
      <c r="T65" s="16">
        <f t="shared" si="1"/>
        <v>36</v>
      </c>
      <c r="U65" s="53">
        <v>105</v>
      </c>
      <c r="V65" s="16">
        <f t="shared" si="2"/>
        <v>3780</v>
      </c>
      <c r="W65" s="53">
        <v>2</v>
      </c>
      <c r="X65" s="53" t="s">
        <v>46</v>
      </c>
      <c r="Y65" s="53" t="s">
        <v>84</v>
      </c>
      <c r="Z65" s="53" t="s">
        <v>90</v>
      </c>
      <c r="AA65" s="53" t="s">
        <v>78</v>
      </c>
      <c r="AB65" s="53" t="s">
        <v>237</v>
      </c>
    </row>
    <row r="66" spans="1:28" x14ac:dyDescent="0.15">
      <c r="A66" s="53" t="s">
        <v>34</v>
      </c>
      <c r="B66" s="53" t="s">
        <v>233</v>
      </c>
      <c r="C66" s="53">
        <v>2019</v>
      </c>
      <c r="D66" s="176" t="s">
        <v>350</v>
      </c>
      <c r="E66" s="53" t="s">
        <v>383</v>
      </c>
      <c r="F66" s="53" t="s">
        <v>384</v>
      </c>
      <c r="G66" s="53" t="s">
        <v>36</v>
      </c>
      <c r="H66" s="53" t="s">
        <v>160</v>
      </c>
      <c r="I66" s="53" t="s">
        <v>159</v>
      </c>
      <c r="J66" s="53" t="s">
        <v>38</v>
      </c>
      <c r="K66" s="53" t="s">
        <v>161</v>
      </c>
      <c r="L66" s="53">
        <v>3</v>
      </c>
      <c r="N66" s="53">
        <v>1</v>
      </c>
      <c r="O66" s="53">
        <v>0.2</v>
      </c>
      <c r="P66" s="53">
        <v>0.2</v>
      </c>
      <c r="Q66" s="75">
        <f t="shared" ref="Q66:Q73" si="5">IF(OR(O66="",P66=""),"",AVERAGE(O66,P66))</f>
        <v>0.2</v>
      </c>
      <c r="R66" s="53">
        <v>10.5</v>
      </c>
      <c r="S66" s="53">
        <v>96</v>
      </c>
      <c r="T66" s="16">
        <f t="shared" ref="T66:T73" si="6">IF(H66="","",IF(OR(H66="GREEN",H66="GK"),IF(S66&gt;=$AX$2,VLOOKUP(S66,$AX$2:$AY$9,2,1),""),IF(S66&gt;=$AZ$2,VLOOKUP(S66,$AZ$2:$BA$9,2,1),"")))</f>
        <v>36</v>
      </c>
      <c r="U66" s="53">
        <v>105</v>
      </c>
      <c r="V66" s="16">
        <f t="shared" ref="V66:V73" si="7">IF(OR(N66="",U66="",T66=""),"",U66/N66*T66)</f>
        <v>3780</v>
      </c>
      <c r="W66" s="53">
        <v>2</v>
      </c>
      <c r="X66" s="53" t="s">
        <v>46</v>
      </c>
      <c r="Y66" s="53" t="s">
        <v>84</v>
      </c>
      <c r="Z66" s="53" t="s">
        <v>90</v>
      </c>
      <c r="AA66" s="53" t="s">
        <v>78</v>
      </c>
      <c r="AB66" s="53" t="s">
        <v>237</v>
      </c>
    </row>
    <row r="67" spans="1:28" x14ac:dyDescent="0.15">
      <c r="A67" s="53" t="s">
        <v>34</v>
      </c>
      <c r="B67" s="53" t="s">
        <v>233</v>
      </c>
      <c r="C67" s="53">
        <v>2019</v>
      </c>
      <c r="D67" s="176" t="s">
        <v>350</v>
      </c>
      <c r="E67" s="53" t="s">
        <v>383</v>
      </c>
      <c r="F67" s="53" t="s">
        <v>384</v>
      </c>
      <c r="G67" s="53" t="s">
        <v>36</v>
      </c>
      <c r="H67" s="53" t="s">
        <v>160</v>
      </c>
      <c r="I67" s="53" t="s">
        <v>159</v>
      </c>
      <c r="J67" s="53" t="s">
        <v>38</v>
      </c>
      <c r="K67" s="53" t="s">
        <v>161</v>
      </c>
      <c r="L67" s="53">
        <v>3</v>
      </c>
      <c r="N67" s="53">
        <v>1</v>
      </c>
      <c r="O67" s="53">
        <v>0.2</v>
      </c>
      <c r="P67" s="53">
        <v>0.2</v>
      </c>
      <c r="Q67" s="75">
        <f t="shared" si="5"/>
        <v>0.2</v>
      </c>
      <c r="R67" s="53">
        <v>15.5</v>
      </c>
      <c r="S67" s="53">
        <v>106</v>
      </c>
      <c r="T67" s="16">
        <f t="shared" si="6"/>
        <v>33</v>
      </c>
      <c r="U67" s="53">
        <v>105</v>
      </c>
      <c r="V67" s="16">
        <f t="shared" si="7"/>
        <v>3465</v>
      </c>
      <c r="W67" s="53">
        <v>2</v>
      </c>
      <c r="X67" s="53" t="s">
        <v>46</v>
      </c>
      <c r="Y67" s="53" t="s">
        <v>84</v>
      </c>
      <c r="Z67" s="53" t="s">
        <v>90</v>
      </c>
      <c r="AA67" s="53" t="s">
        <v>78</v>
      </c>
      <c r="AB67" s="53" t="s">
        <v>237</v>
      </c>
    </row>
    <row r="68" spans="1:28" x14ac:dyDescent="0.15">
      <c r="A68" s="53" t="s">
        <v>34</v>
      </c>
      <c r="B68" s="53" t="s">
        <v>233</v>
      </c>
      <c r="C68" s="53">
        <v>2019</v>
      </c>
      <c r="D68" s="176" t="s">
        <v>350</v>
      </c>
      <c r="E68" s="53" t="s">
        <v>270</v>
      </c>
      <c r="F68" s="53" t="s">
        <v>385</v>
      </c>
      <c r="G68" s="53" t="s">
        <v>36</v>
      </c>
      <c r="H68" s="53" t="s">
        <v>164</v>
      </c>
      <c r="I68" s="53" t="s">
        <v>159</v>
      </c>
      <c r="J68" s="53" t="s">
        <v>38</v>
      </c>
      <c r="K68" s="53" t="s">
        <v>161</v>
      </c>
      <c r="L68" s="53">
        <v>3</v>
      </c>
      <c r="N68" s="53">
        <v>1</v>
      </c>
      <c r="O68" s="53">
        <v>0.65</v>
      </c>
      <c r="P68" s="53">
        <v>0.6</v>
      </c>
      <c r="Q68" s="75">
        <f t="shared" si="5"/>
        <v>0.625</v>
      </c>
      <c r="R68" s="53">
        <v>14.3</v>
      </c>
      <c r="S68" s="53">
        <v>87</v>
      </c>
      <c r="T68" s="16">
        <f t="shared" si="6"/>
        <v>36</v>
      </c>
      <c r="U68" s="53">
        <v>105</v>
      </c>
      <c r="V68" s="16">
        <f t="shared" si="7"/>
        <v>3780</v>
      </c>
      <c r="W68" s="53">
        <v>3</v>
      </c>
      <c r="X68" s="53" t="s">
        <v>46</v>
      </c>
      <c r="Y68" s="53" t="s">
        <v>84</v>
      </c>
      <c r="Z68" s="53" t="s">
        <v>90</v>
      </c>
      <c r="AA68" s="53" t="s">
        <v>78</v>
      </c>
      <c r="AB68" s="53" t="s">
        <v>237</v>
      </c>
    </row>
    <row r="69" spans="1:28" x14ac:dyDescent="0.15">
      <c r="A69" s="53" t="s">
        <v>34</v>
      </c>
      <c r="B69" s="53" t="s">
        <v>233</v>
      </c>
      <c r="C69" s="53">
        <v>2019</v>
      </c>
      <c r="D69" s="176" t="s">
        <v>350</v>
      </c>
      <c r="E69" s="53" t="s">
        <v>270</v>
      </c>
      <c r="F69" s="53" t="s">
        <v>385</v>
      </c>
      <c r="G69" s="53" t="s">
        <v>36</v>
      </c>
      <c r="H69" s="53" t="s">
        <v>164</v>
      </c>
      <c r="I69" s="53" t="s">
        <v>159</v>
      </c>
      <c r="J69" s="53" t="s">
        <v>38</v>
      </c>
      <c r="K69" s="53" t="s">
        <v>161</v>
      </c>
      <c r="L69" s="53">
        <v>3</v>
      </c>
      <c r="N69" s="53">
        <v>1</v>
      </c>
      <c r="O69" s="53">
        <v>0.6</v>
      </c>
      <c r="P69" s="53">
        <v>0.65</v>
      </c>
      <c r="Q69" s="75">
        <f t="shared" si="5"/>
        <v>0.625</v>
      </c>
      <c r="R69" s="53">
        <v>14.1</v>
      </c>
      <c r="S69" s="53">
        <v>82</v>
      </c>
      <c r="T69" s="16">
        <f t="shared" si="6"/>
        <v>39</v>
      </c>
      <c r="U69" s="53">
        <v>105</v>
      </c>
      <c r="V69" s="16">
        <f t="shared" si="7"/>
        <v>4095</v>
      </c>
      <c r="W69" s="53">
        <v>3</v>
      </c>
      <c r="X69" s="53" t="s">
        <v>46</v>
      </c>
      <c r="Y69" s="53" t="s">
        <v>84</v>
      </c>
      <c r="Z69" s="53" t="s">
        <v>90</v>
      </c>
      <c r="AA69" s="53" t="s">
        <v>78</v>
      </c>
      <c r="AB69" s="53" t="s">
        <v>237</v>
      </c>
    </row>
    <row r="70" spans="1:28" x14ac:dyDescent="0.15">
      <c r="A70" s="53" t="s">
        <v>34</v>
      </c>
      <c r="B70" s="53" t="s">
        <v>233</v>
      </c>
      <c r="C70" s="53">
        <v>2019</v>
      </c>
      <c r="D70" s="176" t="s">
        <v>350</v>
      </c>
      <c r="E70" s="53" t="s">
        <v>270</v>
      </c>
      <c r="F70" s="53" t="s">
        <v>385</v>
      </c>
      <c r="G70" s="53" t="s">
        <v>36</v>
      </c>
      <c r="H70" s="53" t="s">
        <v>164</v>
      </c>
      <c r="I70" s="53" t="s">
        <v>159</v>
      </c>
      <c r="J70" s="53" t="s">
        <v>38</v>
      </c>
      <c r="K70" s="53" t="s">
        <v>161</v>
      </c>
      <c r="L70" s="53">
        <v>3</v>
      </c>
      <c r="N70" s="53">
        <v>1</v>
      </c>
      <c r="O70" s="53">
        <v>0.45</v>
      </c>
      <c r="P70" s="53">
        <v>0.5</v>
      </c>
      <c r="Q70" s="75">
        <f t="shared" si="5"/>
        <v>0.47499999999999998</v>
      </c>
      <c r="R70" s="53">
        <v>14.4</v>
      </c>
      <c r="S70" s="53">
        <v>91</v>
      </c>
      <c r="T70" s="16">
        <f t="shared" si="6"/>
        <v>36</v>
      </c>
      <c r="U70" s="53">
        <v>105</v>
      </c>
      <c r="V70" s="16">
        <f t="shared" si="7"/>
        <v>3780</v>
      </c>
      <c r="W70" s="53">
        <v>3</v>
      </c>
      <c r="X70" s="53" t="s">
        <v>46</v>
      </c>
      <c r="Y70" s="53" t="s">
        <v>84</v>
      </c>
      <c r="Z70" s="53" t="s">
        <v>90</v>
      </c>
      <c r="AA70" s="53" t="s">
        <v>78</v>
      </c>
      <c r="AB70" s="53" t="s">
        <v>237</v>
      </c>
    </row>
    <row r="71" spans="1:28" x14ac:dyDescent="0.15">
      <c r="A71" s="53" t="s">
        <v>34</v>
      </c>
      <c r="B71" s="53" t="s">
        <v>233</v>
      </c>
      <c r="C71" s="53">
        <v>2019</v>
      </c>
      <c r="D71" s="176" t="s">
        <v>350</v>
      </c>
      <c r="E71" s="53" t="s">
        <v>270</v>
      </c>
      <c r="F71" s="53" t="s">
        <v>385</v>
      </c>
      <c r="G71" s="53" t="s">
        <v>36</v>
      </c>
      <c r="H71" s="53" t="s">
        <v>164</v>
      </c>
      <c r="I71" s="53" t="s">
        <v>159</v>
      </c>
      <c r="J71" s="53" t="s">
        <v>38</v>
      </c>
      <c r="K71" s="53" t="s">
        <v>161</v>
      </c>
      <c r="L71" s="53">
        <v>3</v>
      </c>
      <c r="N71" s="53">
        <v>7</v>
      </c>
      <c r="O71" s="53">
        <v>0.5</v>
      </c>
      <c r="P71" s="53">
        <v>0.6</v>
      </c>
      <c r="Q71" s="75">
        <f t="shared" si="5"/>
        <v>0.55000000000000004</v>
      </c>
      <c r="R71" s="53">
        <v>13.5</v>
      </c>
      <c r="S71" s="53">
        <v>93</v>
      </c>
      <c r="T71" s="16">
        <f t="shared" si="6"/>
        <v>36</v>
      </c>
      <c r="U71" s="53">
        <v>429</v>
      </c>
      <c r="V71" s="16">
        <f t="shared" si="7"/>
        <v>2206.2857142857142</v>
      </c>
      <c r="W71" s="53">
        <v>3</v>
      </c>
      <c r="X71" s="53" t="s">
        <v>46</v>
      </c>
      <c r="Y71" s="53" t="s">
        <v>84</v>
      </c>
      <c r="Z71" s="53" t="s">
        <v>90</v>
      </c>
      <c r="AA71" s="53" t="s">
        <v>78</v>
      </c>
      <c r="AB71" s="53" t="s">
        <v>237</v>
      </c>
    </row>
    <row r="72" spans="1:28" x14ac:dyDescent="0.15">
      <c r="A72" s="53" t="s">
        <v>34</v>
      </c>
      <c r="B72" s="53" t="s">
        <v>233</v>
      </c>
      <c r="C72" s="53">
        <v>2019</v>
      </c>
      <c r="D72" s="176" t="s">
        <v>350</v>
      </c>
      <c r="E72" s="53" t="s">
        <v>270</v>
      </c>
      <c r="F72" s="53" t="s">
        <v>385</v>
      </c>
      <c r="G72" s="53" t="s">
        <v>36</v>
      </c>
      <c r="H72" s="53" t="s">
        <v>164</v>
      </c>
      <c r="I72" s="53" t="s">
        <v>159</v>
      </c>
      <c r="J72" s="53" t="s">
        <v>38</v>
      </c>
      <c r="K72" s="53" t="s">
        <v>161</v>
      </c>
      <c r="L72" s="53">
        <v>3</v>
      </c>
      <c r="N72" s="53">
        <v>7</v>
      </c>
      <c r="O72" s="53">
        <v>0.2</v>
      </c>
      <c r="P72" s="53">
        <v>0.2</v>
      </c>
      <c r="Q72" s="75">
        <f t="shared" si="5"/>
        <v>0.2</v>
      </c>
      <c r="R72" s="53">
        <v>14.1</v>
      </c>
      <c r="S72" s="53">
        <v>84</v>
      </c>
      <c r="T72" s="16">
        <f t="shared" si="6"/>
        <v>36</v>
      </c>
      <c r="U72" s="53">
        <v>429</v>
      </c>
      <c r="V72" s="16">
        <f t="shared" si="7"/>
        <v>2206.2857142857142</v>
      </c>
      <c r="W72" s="53">
        <v>3</v>
      </c>
      <c r="X72" s="53" t="s">
        <v>46</v>
      </c>
      <c r="Y72" s="53" t="s">
        <v>84</v>
      </c>
      <c r="Z72" s="53" t="s">
        <v>90</v>
      </c>
      <c r="AA72" s="53" t="s">
        <v>78</v>
      </c>
      <c r="AB72" s="53" t="s">
        <v>237</v>
      </c>
    </row>
    <row r="73" spans="1:28" x14ac:dyDescent="0.15">
      <c r="A73" s="53" t="s">
        <v>34</v>
      </c>
      <c r="B73" s="53" t="s">
        <v>233</v>
      </c>
      <c r="C73" s="53">
        <v>2019</v>
      </c>
      <c r="D73" s="176" t="s">
        <v>350</v>
      </c>
      <c r="E73" s="53" t="s">
        <v>270</v>
      </c>
      <c r="F73" s="53" t="s">
        <v>385</v>
      </c>
      <c r="G73" s="53" t="s">
        <v>36</v>
      </c>
      <c r="H73" s="53" t="s">
        <v>164</v>
      </c>
      <c r="I73" s="53" t="s">
        <v>159</v>
      </c>
      <c r="J73" s="53" t="s">
        <v>38</v>
      </c>
      <c r="K73" s="53" t="s">
        <v>161</v>
      </c>
      <c r="L73" s="53">
        <v>3</v>
      </c>
      <c r="N73" s="53">
        <v>7</v>
      </c>
      <c r="O73" s="53">
        <v>0.7</v>
      </c>
      <c r="P73" s="53">
        <v>0.6</v>
      </c>
      <c r="Q73" s="75">
        <f t="shared" si="5"/>
        <v>0.64999999999999991</v>
      </c>
      <c r="R73" s="53">
        <v>14.5</v>
      </c>
      <c r="S73" s="53">
        <v>93</v>
      </c>
      <c r="T73" s="16">
        <f t="shared" si="6"/>
        <v>36</v>
      </c>
      <c r="U73" s="53">
        <v>429</v>
      </c>
      <c r="V73" s="16">
        <f t="shared" si="7"/>
        <v>2206.2857142857142</v>
      </c>
      <c r="W73" s="53">
        <v>3</v>
      </c>
      <c r="X73" s="53" t="s">
        <v>46</v>
      </c>
      <c r="Y73" s="53" t="s">
        <v>84</v>
      </c>
      <c r="Z73" s="53" t="s">
        <v>90</v>
      </c>
      <c r="AA73" s="53" t="s">
        <v>78</v>
      </c>
      <c r="AB73" s="53" t="s">
        <v>237</v>
      </c>
    </row>
    <row r="74" spans="1:28" x14ac:dyDescent="0.15">
      <c r="D74" s="176"/>
      <c r="Q74" s="75"/>
    </row>
    <row r="75" spans="1:28" x14ac:dyDescent="0.15">
      <c r="D75" s="176"/>
      <c r="Q75" s="75"/>
    </row>
    <row r="76" spans="1:28" x14ac:dyDescent="0.15">
      <c r="D76" s="176"/>
      <c r="Q76" s="75"/>
    </row>
    <row r="77" spans="1:28" x14ac:dyDescent="0.15">
      <c r="D77" s="176"/>
      <c r="Q77" s="75"/>
    </row>
    <row r="78" spans="1:28" x14ac:dyDescent="0.15">
      <c r="D78" s="176"/>
      <c r="Q78" s="75"/>
    </row>
    <row r="79" spans="1:28" x14ac:dyDescent="0.15">
      <c r="D79" s="176"/>
      <c r="Q79" s="75"/>
    </row>
    <row r="80" spans="1:28" x14ac:dyDescent="0.15">
      <c r="D80" s="176"/>
      <c r="Q80" s="75"/>
    </row>
    <row r="81" spans="4:17" x14ac:dyDescent="0.15">
      <c r="D81" s="176"/>
      <c r="Q81" s="75"/>
    </row>
    <row r="82" spans="4:17" x14ac:dyDescent="0.15">
      <c r="D82" s="176"/>
      <c r="Q82" s="75"/>
    </row>
    <row r="83" spans="4:17" x14ac:dyDescent="0.15">
      <c r="D83" s="176"/>
      <c r="Q83" s="75"/>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F2:F469" xr:uid="{93DF8450-B827-4422-B7CC-DB5C22620C71}">
      <formula1>$AH$2:$AH$11</formula1>
    </dataValidation>
    <dataValidation type="list" allowBlank="1" showInputMessage="1" showErrorMessage="1" sqref="E2:E469" xr:uid="{094BD7A0-841F-4C36-84BA-7DF2E494D2FB}">
      <formula1>$AG$2:$AG$11</formula1>
    </dataValidation>
    <dataValidation type="list" allowBlank="1" showInputMessage="1" showErrorMessage="1" sqref="K2:K781" xr:uid="{F1C22915-4A48-46FB-B72E-4AF954E5AF11}">
      <formula1>$AR$2:$AR$23</formula1>
    </dataValidation>
    <dataValidation operator="equal" allowBlank="1" showInputMessage="1" showErrorMessage="1" sqref="B2:B149" xr:uid="{E3B01BFF-2D0F-4E2C-8D1E-0E656991DA8E}"/>
    <dataValidation type="list" allowBlank="1" showInputMessage="1" showErrorMessage="1" sqref="A2:A468" xr:uid="{16AF685B-95C4-4597-9D1A-AA11509BAFE2}">
      <formula1>$AE$2:$AE$19</formula1>
    </dataValidation>
    <dataValidation type="list" allowBlank="1" showInputMessage="1" showErrorMessage="1" sqref="Y2:AA469" xr:uid="{D4435927-B399-4A41-AE7A-0893B9349693}">
      <formula1>$AV$2:$AV$21</formula1>
    </dataValidation>
    <dataValidation type="list" allowBlank="1" showInputMessage="1" showErrorMessage="1" sqref="H2:H469" xr:uid="{1458F572-27BB-4C06-943D-A075E474EAF0}">
      <formula1>$AL$2:$AL$8</formula1>
    </dataValidation>
    <dataValidation type="list" allowBlank="1" showInputMessage="1" showErrorMessage="1" sqref="X2:X469" xr:uid="{E90CEC86-CCAA-46BF-8496-BE6CE6F7248F}">
      <formula1>$AT$2:$AT$3</formula1>
    </dataValidation>
    <dataValidation type="list" allowBlank="1" showInputMessage="1" showErrorMessage="1" sqref="G2:G469" xr:uid="{1B42FE17-7BCD-4866-A894-B062B2ADD974}">
      <formula1>$AJ$2:$AJ$4</formula1>
    </dataValidation>
    <dataValidation type="list" allowBlank="1" showInputMessage="1" showErrorMessage="1" sqref="I2:I469" xr:uid="{1F4469D3-10A9-48E9-9A54-1C3781736B24}">
      <formula1>$AN$5:$AN$6</formula1>
    </dataValidation>
    <dataValidation type="list" allowBlank="1" showInputMessage="1" showErrorMessage="1" sqref="J2:J469" xr:uid="{4CB58C9C-8418-406E-883C-F18B00426FAB}">
      <formula1>$AP$2:$AP$24</formula1>
    </dataValidation>
    <dataValidation type="decimal" allowBlank="1" showInputMessage="1" showErrorMessage="1" error="硬度を正しく入力して下さい。" sqref="O2:P49 O59:P469" xr:uid="{49A130AF-DCCD-49FF-8702-599727082900}">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90D8690-218A-4C25-9C61-B5E74884EC50}"/>
</file>

<file path=customXml/itemProps2.xml><?xml version="1.0" encoding="utf-8"?>
<ds:datastoreItem xmlns:ds="http://schemas.openxmlformats.org/officeDocument/2006/customXml" ds:itemID="{160F75C7-6EC0-4D62-A1A4-4CD66ECB9C06}"/>
</file>

<file path=customXml/itemProps3.xml><?xml version="1.0" encoding="utf-8"?>
<ds:datastoreItem xmlns:ds="http://schemas.openxmlformats.org/officeDocument/2006/customXml" ds:itemID="{0674EFF0-A29F-429E-9B31-8B83DE052F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tokyo-west(konishi)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2019-11-25T08:09:35Z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