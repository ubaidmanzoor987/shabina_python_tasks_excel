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727"/>
  <workbookPr defaultThemeVersion="124226"/>
  <mc:AlternateContent xmlns:mc="http://schemas.openxmlformats.org/markup-compatibility/2006">
    <mc:Choice Requires="x15">
      <x15ac:absPath xmlns:x15ac="http://schemas.microsoft.com/office/spreadsheetml/2010/11/ac" url="\\192.168.11.200\000_全国共有\2-Zespri\品質調査\2019\25週\"/>
    </mc:Choice>
  </mc:AlternateContent>
  <xr:revisionPtr revIDLastSave="0" documentId="13_ncr:1_{8B5D6629-FF22-4DD0-BD41-F04C1779439B}"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5" r:id="rId5"/>
    <sheet name="fukuoka" sheetId="22" r:id="rId6"/>
    <sheet name="tokyo-east(ota)" sheetId="23" r:id="rId7"/>
    <sheet name="tokyo-west(kato)" sheetId="24" r:id="rId8"/>
  </sheets>
  <definedNames>
    <definedName name="_xlnm._FilterDatabase" localSheetId="5" hidden="1">fukuoka!$A$1:$BA$145</definedName>
    <definedName name="_xlnm._FilterDatabase" localSheetId="4" hidden="1">hiroshima!$A$1:$BA$1</definedName>
    <definedName name="_xlnm._FilterDatabase" localSheetId="1" hidden="1">miyagi!$A$1:$BA$411</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82" i="25" l="1"/>
  <c r="V82" i="25" s="1"/>
  <c r="Q82" i="25"/>
  <c r="T81" i="25"/>
  <c r="V81" i="25" s="1"/>
  <c r="Q81" i="25"/>
  <c r="T80" i="25"/>
  <c r="V80" i="25" s="1"/>
  <c r="Q80" i="25"/>
  <c r="V76" i="25"/>
  <c r="T76" i="25"/>
  <c r="Q76" i="25"/>
  <c r="T75" i="25"/>
  <c r="V75" i="25" s="1"/>
  <c r="Q75" i="25"/>
  <c r="T74" i="25"/>
  <c r="V74" i="25" s="1"/>
  <c r="Q74" i="25"/>
  <c r="T73" i="25"/>
  <c r="V73" i="25" s="1"/>
  <c r="Q73" i="25"/>
  <c r="V72" i="25"/>
  <c r="T72" i="25"/>
  <c r="Q72" i="25"/>
  <c r="T71" i="25"/>
  <c r="V71" i="25" s="1"/>
  <c r="Q71" i="25"/>
  <c r="T70" i="25"/>
  <c r="V70" i="25" s="1"/>
  <c r="Q70" i="25"/>
  <c r="T69" i="25"/>
  <c r="V69" i="25" s="1"/>
  <c r="Q69" i="25"/>
  <c r="V68" i="25"/>
  <c r="T68" i="25"/>
  <c r="Q68" i="25"/>
  <c r="T67" i="25"/>
  <c r="V67" i="25" s="1"/>
  <c r="Q67" i="25"/>
  <c r="T66" i="25"/>
  <c r="V66" i="25" s="1"/>
  <c r="Q66" i="25"/>
  <c r="T65" i="25"/>
  <c r="V65" i="25" s="1"/>
  <c r="Q65" i="25"/>
  <c r="V64" i="25"/>
  <c r="T64" i="25"/>
  <c r="Q64" i="25"/>
  <c r="T63" i="25"/>
  <c r="V63" i="25" s="1"/>
  <c r="Q63" i="25"/>
  <c r="T62" i="25"/>
  <c r="V62" i="25" s="1"/>
  <c r="Q62" i="25"/>
  <c r="T61" i="25"/>
  <c r="V61" i="25" s="1"/>
  <c r="Q61" i="25"/>
  <c r="V60" i="25"/>
  <c r="T60" i="25"/>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130" i="24" l="1"/>
  <c r="V130" i="24" s="1"/>
  <c r="Q130" i="24"/>
  <c r="T129" i="24"/>
  <c r="V129" i="24" s="1"/>
  <c r="Q129" i="24"/>
  <c r="T128" i="24"/>
  <c r="V128" i="24" s="1"/>
  <c r="Q128" i="24"/>
  <c r="T127" i="24"/>
  <c r="V127" i="24" s="1"/>
  <c r="Q127" i="24"/>
  <c r="T126" i="24"/>
  <c r="V126" i="24" s="1"/>
  <c r="Q126" i="24"/>
  <c r="T125" i="24"/>
  <c r="V125" i="24" s="1"/>
  <c r="Q125" i="24"/>
  <c r="T124" i="24"/>
  <c r="V124" i="24" s="1"/>
  <c r="Q124" i="24"/>
  <c r="T123" i="24"/>
  <c r="V123" i="24" s="1"/>
  <c r="Q123" i="24"/>
  <c r="T122" i="24"/>
  <c r="V122" i="24" s="1"/>
  <c r="Q122" i="24"/>
  <c r="T121" i="24"/>
  <c r="V121" i="24" s="1"/>
  <c r="Q121" i="24"/>
  <c r="T120" i="24"/>
  <c r="V120" i="24" s="1"/>
  <c r="Q120" i="24"/>
  <c r="T119" i="24"/>
  <c r="V119" i="24" s="1"/>
  <c r="Q119" i="24"/>
  <c r="T118" i="24"/>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45" i="22" l="1"/>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70" i="22"/>
  <c r="T70" i="22"/>
  <c r="Q70" i="22"/>
  <c r="V69" i="22"/>
  <c r="T69" i="22"/>
  <c r="Q69" i="22"/>
  <c r="V68" i="22"/>
  <c r="T68" i="22"/>
  <c r="Q68" i="22"/>
  <c r="V67" i="22"/>
  <c r="T67" i="22"/>
  <c r="Q67" i="22"/>
  <c r="V66" i="22"/>
  <c r="T66" i="22"/>
  <c r="Q66" i="22"/>
  <c r="V65" i="22"/>
  <c r="T65" i="22"/>
  <c r="Q65" i="22"/>
  <c r="V64" i="22"/>
  <c r="T64" i="22"/>
  <c r="Q64" i="22"/>
  <c r="V63" i="22"/>
  <c r="T63" i="22"/>
  <c r="Q63" i="22"/>
  <c r="V62" i="22"/>
  <c r="T62" i="22"/>
  <c r="Q62"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411" i="18" l="1"/>
  <c r="T410" i="18"/>
  <c r="T409" i="18"/>
  <c r="T408" i="18"/>
  <c r="T407" i="18"/>
  <c r="T406" i="18"/>
  <c r="T405" i="18"/>
  <c r="T404" i="18"/>
  <c r="T403" i="18"/>
  <c r="T402" i="18"/>
  <c r="T401" i="18"/>
  <c r="T400" i="18"/>
  <c r="T399" i="18"/>
  <c r="T398" i="18"/>
  <c r="T397" i="18"/>
  <c r="T396" i="18"/>
  <c r="T395" i="18"/>
  <c r="T394" i="18"/>
  <c r="T393" i="18"/>
  <c r="T392" i="18"/>
  <c r="T391" i="18"/>
  <c r="V391" i="18" s="1"/>
  <c r="T390" i="18"/>
  <c r="V390" i="18" s="1"/>
  <c r="T389" i="18"/>
  <c r="V389" i="18" s="1"/>
  <c r="T388" i="18"/>
  <c r="V388" i="18" s="1"/>
  <c r="T387" i="18"/>
  <c r="V387" i="18" s="1"/>
  <c r="T386" i="18"/>
  <c r="V386" i="18" s="1"/>
  <c r="T385" i="18"/>
  <c r="V385" i="18" s="1"/>
  <c r="T384" i="18"/>
  <c r="V384" i="18" s="1"/>
  <c r="T383" i="18"/>
  <c r="V383" i="18" s="1"/>
  <c r="Q383" i="18"/>
  <c r="T382" i="18"/>
  <c r="V382" i="18" s="1"/>
  <c r="Q382" i="18"/>
  <c r="T381" i="18"/>
  <c r="V381" i="18" s="1"/>
  <c r="Q381" i="18"/>
  <c r="V380" i="18"/>
  <c r="T380" i="18"/>
  <c r="Q380" i="18"/>
  <c r="T379" i="18"/>
  <c r="V379" i="18" s="1"/>
  <c r="Q379" i="18"/>
  <c r="T378" i="18"/>
  <c r="V378" i="18" s="1"/>
  <c r="Q378" i="18"/>
  <c r="T377" i="18"/>
  <c r="V377" i="18" s="1"/>
  <c r="Q377" i="18"/>
  <c r="T376" i="18"/>
  <c r="V376" i="18" s="1"/>
  <c r="Q376" i="18"/>
  <c r="T375" i="18"/>
  <c r="V375" i="18" s="1"/>
  <c r="Q375" i="18"/>
  <c r="T374" i="18"/>
  <c r="V374" i="18" s="1"/>
  <c r="Q374" i="18"/>
  <c r="T373" i="18"/>
  <c r="V373" i="18" s="1"/>
  <c r="Q373" i="18"/>
  <c r="T372" i="18"/>
  <c r="V372" i="18" s="1"/>
  <c r="Q372" i="18"/>
  <c r="T371" i="18"/>
  <c r="V371" i="18" s="1"/>
  <c r="Q371" i="18"/>
  <c r="T370" i="18"/>
  <c r="V370" i="18" s="1"/>
  <c r="Q370" i="18"/>
  <c r="T369" i="18"/>
  <c r="V369" i="18" s="1"/>
  <c r="Q369" i="18"/>
  <c r="T368" i="18"/>
  <c r="V368" i="18" s="1"/>
  <c r="Q368" i="18"/>
  <c r="T367" i="18"/>
  <c r="V367" i="18" s="1"/>
  <c r="Q367" i="18"/>
  <c r="T366" i="18"/>
  <c r="V366" i="18" s="1"/>
  <c r="Q366" i="18"/>
  <c r="T365" i="18"/>
  <c r="V365" i="18" s="1"/>
  <c r="Q365" i="18"/>
  <c r="T364" i="18"/>
  <c r="V364" i="18" s="1"/>
  <c r="Q364" i="18"/>
  <c r="T363" i="18"/>
  <c r="V363" i="18" s="1"/>
  <c r="Q363" i="18"/>
  <c r="T362" i="18"/>
  <c r="V362" i="18" s="1"/>
  <c r="Q362" i="18"/>
  <c r="T361" i="18"/>
  <c r="V361" i="18" s="1"/>
  <c r="Q361" i="18"/>
  <c r="T360" i="18"/>
  <c r="V360" i="18" s="1"/>
  <c r="Q360" i="18"/>
  <c r="T359" i="18"/>
  <c r="V359" i="18" s="1"/>
  <c r="Q359" i="18"/>
  <c r="T358" i="18"/>
  <c r="V358" i="18" s="1"/>
  <c r="Q358" i="18"/>
  <c r="T357" i="18"/>
  <c r="V357" i="18" s="1"/>
  <c r="Q357" i="18"/>
  <c r="T356" i="18"/>
  <c r="V356" i="18" s="1"/>
  <c r="Q356" i="18"/>
  <c r="T355" i="18"/>
  <c r="V355" i="18" s="1"/>
  <c r="Q355" i="18"/>
  <c r="T354" i="18"/>
  <c r="V354" i="18" s="1"/>
  <c r="Q354" i="18"/>
  <c r="T353" i="18"/>
  <c r="V353" i="18" s="1"/>
  <c r="Q353" i="18"/>
  <c r="T352" i="18"/>
  <c r="V352" i="18" s="1"/>
  <c r="Q352" i="18"/>
  <c r="T351" i="18"/>
  <c r="V351" i="18" s="1"/>
  <c r="Q351" i="18"/>
  <c r="T350" i="18"/>
  <c r="V350" i="18" s="1"/>
  <c r="Q350" i="18"/>
  <c r="T349" i="18"/>
  <c r="V349" i="18" s="1"/>
  <c r="Q349" i="18"/>
  <c r="T348" i="18"/>
  <c r="V348" i="18" s="1"/>
  <c r="Q348" i="18"/>
  <c r="T347" i="18"/>
  <c r="V347" i="18" s="1"/>
  <c r="Q347" i="18"/>
  <c r="T346" i="18"/>
  <c r="V346" i="18" s="1"/>
  <c r="Q346" i="18"/>
  <c r="T345" i="18"/>
  <c r="V345" i="18" s="1"/>
  <c r="Q345" i="18"/>
  <c r="T344" i="18"/>
  <c r="V344" i="18" s="1"/>
  <c r="Q344" i="18"/>
  <c r="T343" i="18"/>
  <c r="V343" i="18" s="1"/>
  <c r="Q343" i="18"/>
  <c r="T342" i="18"/>
  <c r="V342" i="18" s="1"/>
  <c r="Q342" i="18"/>
  <c r="T341" i="18"/>
  <c r="V341" i="18" s="1"/>
  <c r="Q341" i="18"/>
  <c r="T340" i="18"/>
  <c r="V340" i="18" s="1"/>
  <c r="Q340" i="18"/>
  <c r="T339" i="18"/>
  <c r="V339" i="18" s="1"/>
  <c r="Q339" i="18"/>
  <c r="T338" i="18"/>
  <c r="V338" i="18" s="1"/>
  <c r="Q338" i="18"/>
  <c r="T337" i="18"/>
  <c r="V337" i="18" s="1"/>
  <c r="Q337" i="18"/>
  <c r="T336" i="18"/>
  <c r="V336" i="18" s="1"/>
  <c r="Q336" i="18"/>
  <c r="T335" i="18"/>
  <c r="V335" i="18" s="1"/>
  <c r="Q335" i="18"/>
  <c r="T334" i="18"/>
  <c r="V334" i="18" s="1"/>
  <c r="Q334" i="18"/>
  <c r="T333" i="18"/>
  <c r="V333" i="18" s="1"/>
  <c r="Q333" i="18"/>
  <c r="T332" i="18"/>
  <c r="V332" i="18" s="1"/>
  <c r="Q332" i="18"/>
  <c r="T331" i="18"/>
  <c r="V331" i="18" s="1"/>
  <c r="Q331" i="18"/>
  <c r="T330" i="18"/>
  <c r="V330" i="18" s="1"/>
  <c r="Q330" i="18"/>
  <c r="T329" i="18"/>
  <c r="V329" i="18" s="1"/>
  <c r="Q329" i="18"/>
  <c r="T328" i="18"/>
  <c r="V328" i="18" s="1"/>
  <c r="Q328" i="18"/>
  <c r="T327" i="18"/>
  <c r="V327" i="18" s="1"/>
  <c r="Q327" i="18"/>
  <c r="T326" i="18"/>
  <c r="V326" i="18" s="1"/>
  <c r="Q326" i="18"/>
  <c r="T325" i="18"/>
  <c r="V325" i="18" s="1"/>
  <c r="Q325" i="18"/>
  <c r="T324" i="18"/>
  <c r="V324" i="18" s="1"/>
  <c r="Q324" i="18"/>
  <c r="T323" i="18"/>
  <c r="V323" i="18" s="1"/>
  <c r="Q323" i="18"/>
  <c r="T322" i="18"/>
  <c r="V322" i="18" s="1"/>
  <c r="Q322" i="18"/>
  <c r="T321" i="18"/>
  <c r="V321" i="18" s="1"/>
  <c r="Q321" i="18"/>
  <c r="T320" i="18"/>
  <c r="V320" i="18" s="1"/>
  <c r="Q320" i="18"/>
  <c r="T319" i="18"/>
  <c r="V319" i="18" s="1"/>
  <c r="Q319" i="18"/>
  <c r="T318" i="18"/>
  <c r="V318" i="18" s="1"/>
  <c r="Q318" i="18"/>
  <c r="T317" i="18"/>
  <c r="V317" i="18" s="1"/>
  <c r="Q317" i="18"/>
  <c r="T316" i="18"/>
  <c r="V316" i="18" s="1"/>
  <c r="Q316" i="18"/>
  <c r="T315" i="18"/>
  <c r="V315" i="18" s="1"/>
  <c r="Q315" i="18"/>
  <c r="T314" i="18"/>
  <c r="V314" i="18" s="1"/>
  <c r="Q314" i="18"/>
  <c r="T313" i="18"/>
  <c r="V313" i="18" s="1"/>
  <c r="Q313" i="18"/>
  <c r="T312" i="18"/>
  <c r="V312" i="18" s="1"/>
  <c r="Q312" i="18"/>
  <c r="T311" i="18"/>
  <c r="V311" i="18" s="1"/>
  <c r="Q311" i="18"/>
  <c r="T310" i="18"/>
  <c r="V310" i="18" s="1"/>
  <c r="Q310" i="18"/>
  <c r="T309" i="18"/>
  <c r="V309" i="18" s="1"/>
  <c r="Q309" i="18"/>
  <c r="T308" i="18"/>
  <c r="V308" i="18" s="1"/>
  <c r="Q308" i="18"/>
  <c r="T307" i="18"/>
  <c r="V307" i="18" s="1"/>
  <c r="Q307" i="18"/>
  <c r="T306" i="18"/>
  <c r="V306" i="18" s="1"/>
  <c r="Q306" i="18"/>
  <c r="T305" i="18"/>
  <c r="V305" i="18" s="1"/>
  <c r="Q305" i="18"/>
  <c r="T304" i="18"/>
  <c r="V304" i="18" s="1"/>
  <c r="Q304" i="18"/>
  <c r="T303" i="18"/>
  <c r="V303" i="18" s="1"/>
  <c r="Q303" i="18"/>
  <c r="T302" i="18"/>
  <c r="V302" i="18" s="1"/>
  <c r="Q302" i="18"/>
  <c r="T301" i="18"/>
  <c r="V301" i="18" s="1"/>
  <c r="Q301" i="18"/>
  <c r="T300" i="18"/>
  <c r="V300" i="18" s="1"/>
  <c r="Q300" i="18"/>
  <c r="T299" i="18"/>
  <c r="V299" i="18" s="1"/>
  <c r="Q299" i="18"/>
  <c r="T298" i="18"/>
  <c r="V298" i="18" s="1"/>
  <c r="Q298" i="18"/>
  <c r="T297" i="18"/>
  <c r="V297" i="18" s="1"/>
  <c r="Q297" i="18"/>
  <c r="T296" i="18"/>
  <c r="V296" i="18" s="1"/>
  <c r="Q296" i="18"/>
  <c r="T295" i="18"/>
  <c r="V295" i="18" s="1"/>
  <c r="Q295" i="18"/>
  <c r="T294" i="18"/>
  <c r="V294" i="18" s="1"/>
  <c r="Q294" i="18"/>
  <c r="T293" i="18"/>
  <c r="V293" i="18" s="1"/>
  <c r="Q293" i="18"/>
  <c r="T292" i="18"/>
  <c r="V292" i="18" s="1"/>
  <c r="Q292" i="18"/>
  <c r="T291" i="18"/>
  <c r="V291" i="18" s="1"/>
  <c r="Q291" i="18"/>
  <c r="T290" i="18"/>
  <c r="V290" i="18" s="1"/>
  <c r="Q290" i="18"/>
  <c r="T289" i="18"/>
  <c r="V289" i="18" s="1"/>
  <c r="Q289" i="18"/>
  <c r="T288" i="18"/>
  <c r="V288" i="18" s="1"/>
  <c r="Q288" i="18"/>
  <c r="T287" i="18"/>
  <c r="V287" i="18" s="1"/>
  <c r="Q287" i="18"/>
  <c r="T286" i="18"/>
  <c r="V286" i="18" s="1"/>
  <c r="Q286" i="18"/>
  <c r="T285" i="18"/>
  <c r="V285" i="18" s="1"/>
  <c r="Q285" i="18"/>
  <c r="T284" i="18"/>
  <c r="V284" i="18" s="1"/>
  <c r="Q284" i="18"/>
  <c r="T283" i="18"/>
  <c r="V283" i="18" s="1"/>
  <c r="Q283" i="18"/>
  <c r="T282" i="18"/>
  <c r="V282" i="18" s="1"/>
  <c r="Q282" i="18"/>
  <c r="T281" i="18"/>
  <c r="V281" i="18" s="1"/>
  <c r="Q281" i="18"/>
  <c r="T280" i="18"/>
  <c r="V280" i="18" s="1"/>
  <c r="Q280" i="18"/>
  <c r="T279" i="18"/>
  <c r="V279" i="18" s="1"/>
  <c r="Q279" i="18"/>
  <c r="T278" i="18"/>
  <c r="V278" i="18" s="1"/>
  <c r="Q278" i="18"/>
  <c r="T277" i="18"/>
  <c r="V277" i="18" s="1"/>
  <c r="Q277" i="18"/>
  <c r="T276" i="18"/>
  <c r="V276" i="18" s="1"/>
  <c r="Q276" i="18"/>
  <c r="T275" i="18"/>
  <c r="V275" i="18" s="1"/>
  <c r="Q275" i="18"/>
  <c r="T274" i="18"/>
  <c r="V274" i="18" s="1"/>
  <c r="Q274" i="18"/>
  <c r="T273" i="18"/>
  <c r="V273" i="18" s="1"/>
  <c r="Q273" i="18"/>
  <c r="T272" i="18"/>
  <c r="V272" i="18" s="1"/>
  <c r="Q272" i="18"/>
  <c r="T271" i="18"/>
  <c r="V271" i="18" s="1"/>
  <c r="Q271" i="18"/>
  <c r="T270" i="18"/>
  <c r="V270" i="18" s="1"/>
  <c r="Q270" i="18"/>
  <c r="T269" i="18"/>
  <c r="V269" i="18" s="1"/>
  <c r="Q269" i="18"/>
  <c r="T268" i="18"/>
  <c r="V268" i="18" s="1"/>
  <c r="Q268" i="18"/>
  <c r="T267" i="18"/>
  <c r="V267" i="18" s="1"/>
  <c r="Q267" i="18"/>
  <c r="T266" i="18"/>
  <c r="V266" i="18" s="1"/>
  <c r="Q266" i="18"/>
  <c r="T265" i="18"/>
  <c r="V265" i="18" s="1"/>
  <c r="Q265" i="18"/>
  <c r="T264" i="18"/>
  <c r="V264" i="18" s="1"/>
  <c r="Q264" i="18"/>
  <c r="T263" i="18"/>
  <c r="V263" i="18" s="1"/>
  <c r="Q263" i="18"/>
  <c r="T262" i="18"/>
  <c r="V262" i="18" s="1"/>
  <c r="Q262" i="18"/>
  <c r="T261" i="18"/>
  <c r="V261" i="18" s="1"/>
  <c r="Q261" i="18"/>
  <c r="T260" i="18"/>
  <c r="V260" i="18" s="1"/>
  <c r="Q260" i="18"/>
  <c r="T259" i="18"/>
  <c r="V259" i="18" s="1"/>
  <c r="Q259" i="18"/>
  <c r="T258" i="18"/>
  <c r="V258" i="18" s="1"/>
  <c r="Q258" i="18"/>
  <c r="T257" i="18"/>
  <c r="V257" i="18" s="1"/>
  <c r="Q257" i="18"/>
  <c r="T256" i="18"/>
  <c r="V256" i="18" s="1"/>
  <c r="Q256" i="18"/>
  <c r="T255" i="18"/>
  <c r="V255" i="18" s="1"/>
  <c r="Q255" i="18"/>
  <c r="T254" i="18"/>
  <c r="V254" i="18" s="1"/>
  <c r="Q254" i="18"/>
  <c r="T253" i="18"/>
  <c r="V253" i="18" s="1"/>
  <c r="Q253" i="18"/>
  <c r="T252" i="18"/>
  <c r="V252" i="18" s="1"/>
  <c r="Q252" i="18"/>
  <c r="T251" i="18"/>
  <c r="V251" i="18" s="1"/>
  <c r="Q251" i="18"/>
  <c r="T250" i="18"/>
  <c r="V250" i="18" s="1"/>
  <c r="Q250" i="18"/>
  <c r="T249" i="18"/>
  <c r="V249" i="18" s="1"/>
  <c r="Q249" i="18"/>
  <c r="T248" i="18"/>
  <c r="V248" i="18" s="1"/>
  <c r="Q248" i="18"/>
  <c r="T247" i="18"/>
  <c r="V247" i="18" s="1"/>
  <c r="Q247" i="18"/>
  <c r="T246" i="18"/>
  <c r="V246" i="18" s="1"/>
  <c r="Q246" i="18"/>
  <c r="T245" i="18"/>
  <c r="V245" i="18" s="1"/>
  <c r="Q245" i="18"/>
  <c r="T244" i="18"/>
  <c r="V244" i="18" s="1"/>
  <c r="Q244" i="18"/>
  <c r="T243" i="18"/>
  <c r="V243" i="18" s="1"/>
  <c r="Q243" i="18"/>
  <c r="T242" i="18"/>
  <c r="V242" i="18" s="1"/>
  <c r="Q242" i="18"/>
  <c r="T241" i="18"/>
  <c r="V241" i="18" s="1"/>
  <c r="Q241" i="18"/>
  <c r="T240" i="18"/>
  <c r="V240" i="18" s="1"/>
  <c r="Q240" i="18"/>
  <c r="T239" i="18"/>
  <c r="V239" i="18" s="1"/>
  <c r="Q239" i="18"/>
  <c r="T238" i="18"/>
  <c r="V238" i="18" s="1"/>
  <c r="Q238" i="18"/>
  <c r="T237" i="18"/>
  <c r="V237" i="18" s="1"/>
  <c r="Q237" i="18"/>
  <c r="T236" i="18"/>
  <c r="V236" i="18" s="1"/>
  <c r="Q236" i="18"/>
  <c r="T235" i="18"/>
  <c r="V235" i="18" s="1"/>
  <c r="Q235" i="18"/>
  <c r="T234" i="18"/>
  <c r="V234" i="18" s="1"/>
  <c r="Q234" i="18"/>
  <c r="T233" i="18"/>
  <c r="V233" i="18" s="1"/>
  <c r="Q233" i="18"/>
  <c r="T232" i="18"/>
  <c r="V232" i="18" s="1"/>
  <c r="Q232" i="18"/>
  <c r="T231" i="18"/>
  <c r="V231" i="18" s="1"/>
  <c r="Q231" i="18"/>
  <c r="T230" i="18"/>
  <c r="V230" i="18" s="1"/>
  <c r="Q230" i="18"/>
  <c r="T229" i="18"/>
  <c r="V229" i="18" s="1"/>
  <c r="Q229" i="18"/>
  <c r="T228" i="18"/>
  <c r="V228" i="18" s="1"/>
  <c r="Q228" i="18"/>
  <c r="T227" i="18"/>
  <c r="V227" i="18" s="1"/>
  <c r="Q227" i="18"/>
  <c r="T226" i="18"/>
  <c r="V226" i="18" s="1"/>
  <c r="Q226" i="18"/>
  <c r="T225" i="18"/>
  <c r="V225" i="18" s="1"/>
  <c r="Q225" i="18"/>
  <c r="T224" i="18"/>
  <c r="V224" i="18" s="1"/>
  <c r="Q224" i="18"/>
  <c r="T223" i="18"/>
  <c r="V223" i="18" s="1"/>
  <c r="Q223" i="18"/>
  <c r="T222" i="18"/>
  <c r="V222" i="18" s="1"/>
  <c r="Q222" i="18"/>
  <c r="T221" i="18"/>
  <c r="V221" i="18" s="1"/>
  <c r="Q221" i="18"/>
  <c r="T220" i="18"/>
  <c r="V220" i="18" s="1"/>
  <c r="Q220" i="18"/>
  <c r="T219" i="18"/>
  <c r="V219" i="18" s="1"/>
  <c r="Q219" i="18"/>
  <c r="T218" i="18"/>
  <c r="V218" i="18" s="1"/>
  <c r="Q218" i="18"/>
  <c r="T217" i="18"/>
  <c r="V217" i="18" s="1"/>
  <c r="Q217" i="18"/>
  <c r="T216" i="18"/>
  <c r="V216" i="18" s="1"/>
  <c r="Q216" i="18"/>
  <c r="T215" i="18"/>
  <c r="V215" i="18" s="1"/>
  <c r="Q215" i="18"/>
  <c r="T214" i="18"/>
  <c r="V214" i="18" s="1"/>
  <c r="Q214" i="18"/>
  <c r="T213" i="18"/>
  <c r="V213" i="18" s="1"/>
  <c r="Q213" i="18"/>
  <c r="T212" i="18"/>
  <c r="V212" i="18" s="1"/>
  <c r="Q212" i="18"/>
  <c r="T211" i="18"/>
  <c r="V211" i="18" s="1"/>
  <c r="Q211" i="18"/>
  <c r="T210" i="18"/>
  <c r="V210" i="18" s="1"/>
  <c r="Q210" i="18"/>
  <c r="T209" i="18"/>
  <c r="V209" i="18" s="1"/>
  <c r="Q209" i="18"/>
  <c r="T208" i="18"/>
  <c r="V208" i="18" s="1"/>
  <c r="Q208" i="18"/>
  <c r="T207" i="18"/>
  <c r="V207" i="18" s="1"/>
  <c r="Q207" i="18"/>
  <c r="T206" i="18"/>
  <c r="V206" i="18" s="1"/>
  <c r="Q206" i="18"/>
  <c r="T205" i="18"/>
  <c r="V205" i="18" s="1"/>
  <c r="Q205" i="18"/>
  <c r="T204" i="18"/>
  <c r="V204" i="18" s="1"/>
  <c r="Q204" i="18"/>
  <c r="T203" i="18"/>
  <c r="V203" i="18" s="1"/>
  <c r="Q203" i="18"/>
  <c r="T202" i="18"/>
  <c r="V202" i="18" s="1"/>
  <c r="Q202" i="18"/>
  <c r="T201" i="18"/>
  <c r="V201" i="18" s="1"/>
  <c r="Q201" i="18"/>
  <c r="T200" i="18"/>
  <c r="V200" i="18" s="1"/>
  <c r="Q200" i="18"/>
  <c r="T199" i="18"/>
  <c r="V199" i="18" s="1"/>
  <c r="Q199" i="18"/>
  <c r="T198" i="18"/>
  <c r="V198" i="18" s="1"/>
  <c r="Q198" i="18"/>
  <c r="T197" i="18"/>
  <c r="V197" i="18" s="1"/>
  <c r="Q197" i="18"/>
  <c r="T196" i="18"/>
  <c r="V196" i="18" s="1"/>
  <c r="Q196" i="18"/>
  <c r="T195" i="18"/>
  <c r="V195" i="18" s="1"/>
  <c r="Q195" i="18"/>
  <c r="T194" i="18"/>
  <c r="V194" i="18" s="1"/>
  <c r="Q194" i="18"/>
  <c r="T193" i="18"/>
  <c r="V193" i="18" s="1"/>
  <c r="Q193" i="18"/>
  <c r="T192" i="18"/>
  <c r="V192" i="18" s="1"/>
  <c r="Q192" i="18"/>
  <c r="T191" i="18"/>
  <c r="V191" i="18" s="1"/>
  <c r="Q191" i="18"/>
  <c r="T190" i="18"/>
  <c r="V190" i="18" s="1"/>
  <c r="Q190" i="18"/>
  <c r="T189" i="18"/>
  <c r="V189" i="18" s="1"/>
  <c r="Q189" i="18"/>
  <c r="T188" i="18"/>
  <c r="V188" i="18" s="1"/>
  <c r="Q188" i="18"/>
  <c r="T187" i="18"/>
  <c r="V187" i="18" s="1"/>
  <c r="Q187" i="18"/>
  <c r="T186" i="18"/>
  <c r="V186" i="18" s="1"/>
  <c r="Q186" i="18"/>
  <c r="T185" i="18"/>
  <c r="V185" i="18" s="1"/>
  <c r="Q185" i="18"/>
  <c r="T184" i="18"/>
  <c r="V184" i="18" s="1"/>
  <c r="Q184" i="18"/>
  <c r="T183" i="18"/>
  <c r="V183" i="18" s="1"/>
  <c r="Q183" i="18"/>
  <c r="T182" i="18"/>
  <c r="V182" i="18" s="1"/>
  <c r="Q182" i="18"/>
  <c r="T181" i="18"/>
  <c r="V181" i="18" s="1"/>
  <c r="Q181" i="18"/>
  <c r="T180" i="18"/>
  <c r="V180" i="18" s="1"/>
  <c r="Q180" i="18"/>
  <c r="T179" i="18"/>
  <c r="V179" i="18" s="1"/>
  <c r="Q179" i="18"/>
  <c r="T178" i="18"/>
  <c r="V178" i="18" s="1"/>
  <c r="Q178" i="18"/>
  <c r="T177" i="18"/>
  <c r="V177" i="18" s="1"/>
  <c r="Q177" i="18"/>
  <c r="T176" i="18"/>
  <c r="V176" i="18" s="1"/>
  <c r="Q176" i="18"/>
  <c r="T175" i="18"/>
  <c r="V175" i="18" s="1"/>
  <c r="Q175" i="18"/>
  <c r="T174" i="18"/>
  <c r="V174" i="18" s="1"/>
  <c r="Q174" i="18"/>
  <c r="T173" i="18"/>
  <c r="V173" i="18" s="1"/>
  <c r="Q173" i="18"/>
  <c r="T172" i="18"/>
  <c r="V172" i="18" s="1"/>
  <c r="Q172" i="18"/>
  <c r="T171" i="18"/>
  <c r="V171" i="18" s="1"/>
  <c r="Q171" i="18"/>
  <c r="T170" i="18"/>
  <c r="V170" i="18" s="1"/>
  <c r="Q170" i="18"/>
  <c r="T169" i="18"/>
  <c r="V169" i="18" s="1"/>
  <c r="Q169" i="18"/>
  <c r="T168" i="18"/>
  <c r="V168" i="18" s="1"/>
  <c r="Q168" i="18"/>
  <c r="T167" i="18"/>
  <c r="V167" i="18" s="1"/>
  <c r="Q167" i="18"/>
  <c r="T166" i="18"/>
  <c r="V166" i="18" s="1"/>
  <c r="Q166" i="18"/>
  <c r="T165" i="18"/>
  <c r="V165" i="18" s="1"/>
  <c r="Q165" i="18"/>
  <c r="T164" i="18"/>
  <c r="V164" i="18" s="1"/>
  <c r="Q164" i="18"/>
  <c r="T163" i="18"/>
  <c r="V163" i="18" s="1"/>
  <c r="Q163" i="18"/>
  <c r="T162" i="18"/>
  <c r="V162" i="18" s="1"/>
  <c r="Q162" i="18"/>
  <c r="T161" i="18"/>
  <c r="V161" i="18" s="1"/>
  <c r="Q161" i="18"/>
  <c r="T160" i="18"/>
  <c r="V160" i="18" s="1"/>
  <c r="Q160" i="18"/>
  <c r="T159" i="18"/>
  <c r="V159" i="18" s="1"/>
  <c r="Q159" i="18"/>
  <c r="T158" i="18"/>
  <c r="V158" i="18" s="1"/>
  <c r="Q158" i="18"/>
  <c r="T157" i="18"/>
  <c r="V157" i="18" s="1"/>
  <c r="Q157" i="18"/>
  <c r="T156" i="18"/>
  <c r="V156" i="18" s="1"/>
  <c r="Q156" i="18"/>
  <c r="T155" i="18"/>
  <c r="V155" i="18" s="1"/>
  <c r="Q155" i="18"/>
  <c r="T154" i="18"/>
  <c r="V154" i="18" s="1"/>
  <c r="Q154" i="18"/>
  <c r="T153" i="18"/>
  <c r="V153" i="18" s="1"/>
  <c r="Q153" i="18"/>
  <c r="V152" i="18"/>
  <c r="T152" i="18"/>
  <c r="Q152" i="18"/>
  <c r="T151" i="18"/>
  <c r="V151" i="18" s="1"/>
  <c r="Q151" i="18"/>
  <c r="T150" i="18"/>
  <c r="V150" i="18" s="1"/>
  <c r="Q150" i="18"/>
  <c r="T149" i="18"/>
  <c r="V149" i="18" s="1"/>
  <c r="Q149" i="18"/>
  <c r="T148" i="18"/>
  <c r="V148" i="18" s="1"/>
  <c r="Q148" i="18"/>
  <c r="T147" i="18"/>
  <c r="V147" i="18" s="1"/>
  <c r="Q147" i="18"/>
  <c r="T146" i="18"/>
  <c r="V146" i="18" s="1"/>
  <c r="Q146" i="18"/>
  <c r="T145" i="18"/>
  <c r="V145" i="18" s="1"/>
  <c r="Q145" i="18"/>
  <c r="V144" i="18"/>
  <c r="T144" i="18"/>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V136" i="18"/>
  <c r="T136" i="18"/>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V128" i="18"/>
  <c r="T128" i="18"/>
  <c r="Q128" i="18"/>
  <c r="T127" i="18"/>
  <c r="V127" i="18" s="1"/>
  <c r="Q127" i="18"/>
  <c r="T126" i="18"/>
  <c r="V126" i="18" s="1"/>
  <c r="Q126" i="18"/>
  <c r="T125" i="18"/>
  <c r="V125" i="18" s="1"/>
  <c r="Q125" i="18"/>
  <c r="T124" i="18"/>
  <c r="V124" i="18" s="1"/>
  <c r="Q124" i="18"/>
  <c r="T123" i="18"/>
  <c r="V123" i="18" s="1"/>
  <c r="Q123" i="18"/>
  <c r="T122" i="18"/>
  <c r="V122" i="18" s="1"/>
  <c r="Q122" i="18"/>
  <c r="T121" i="18"/>
  <c r="V121" i="18" s="1"/>
  <c r="Q121" i="18"/>
  <c r="V120" i="18"/>
  <c r="T120" i="18"/>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V112" i="18"/>
  <c r="T112" i="18"/>
  <c r="Q112" i="18"/>
  <c r="T111" i="18"/>
  <c r="V111" i="18" s="1"/>
  <c r="Q111" i="18"/>
  <c r="T110" i="18"/>
  <c r="V110" i="18" s="1"/>
  <c r="Q110" i="18"/>
  <c r="T109" i="18"/>
  <c r="V109" i="18" s="1"/>
  <c r="Q109" i="18"/>
  <c r="T108" i="18"/>
  <c r="V108" i="18" s="1"/>
  <c r="Q108" i="18"/>
  <c r="T107" i="18"/>
  <c r="V107" i="18" s="1"/>
  <c r="Q107" i="18"/>
  <c r="T106" i="18"/>
  <c r="V106" i="18" s="1"/>
  <c r="Q106" i="18"/>
  <c r="T105" i="18"/>
  <c r="V105" i="18" s="1"/>
  <c r="Q105" i="18"/>
  <c r="V104" i="18"/>
  <c r="T104" i="18"/>
  <c r="Q104" i="18"/>
  <c r="T103" i="18"/>
  <c r="V103" i="18" s="1"/>
  <c r="Q103" i="18"/>
  <c r="T102" i="18"/>
  <c r="V102" i="18" s="1"/>
  <c r="Q102" i="18"/>
  <c r="T101" i="18"/>
  <c r="V101" i="18" s="1"/>
  <c r="Q101" i="18"/>
  <c r="T100" i="18"/>
  <c r="V100" i="18" s="1"/>
  <c r="Q100" i="18"/>
  <c r="T99" i="18"/>
  <c r="V99" i="18" s="1"/>
  <c r="Q99" i="18"/>
  <c r="T98" i="18"/>
  <c r="V98" i="18" s="1"/>
  <c r="Q98" i="18"/>
  <c r="T97" i="18"/>
  <c r="V97" i="18" s="1"/>
  <c r="Q97" i="18"/>
  <c r="V96" i="18"/>
  <c r="T96" i="18"/>
  <c r="Q96" i="18"/>
  <c r="T95" i="18"/>
  <c r="V95" i="18" s="1"/>
  <c r="Q95" i="18"/>
  <c r="T94" i="18"/>
  <c r="V94" i="18" s="1"/>
  <c r="Q94" i="18"/>
  <c r="T93" i="18"/>
  <c r="V93" i="18" s="1"/>
  <c r="Q93" i="18"/>
  <c r="T92" i="18"/>
  <c r="V92" i="18" s="1"/>
  <c r="Q92" i="18"/>
  <c r="T91" i="18"/>
  <c r="V91" i="18" s="1"/>
  <c r="Q91" i="18"/>
  <c r="T90" i="18"/>
  <c r="V90" i="18" s="1"/>
  <c r="Q90" i="18"/>
  <c r="T89" i="18"/>
  <c r="V89" i="18" s="1"/>
  <c r="Q89" i="18"/>
  <c r="V88" i="18"/>
  <c r="T88" i="18"/>
  <c r="Q88" i="18"/>
  <c r="T87" i="18"/>
  <c r="V87" i="18" s="1"/>
  <c r="Q87" i="18"/>
  <c r="T86" i="18"/>
  <c r="V86" i="18" s="1"/>
  <c r="Q86" i="18"/>
  <c r="T85" i="18"/>
  <c r="V85" i="18" s="1"/>
  <c r="Q85" i="18"/>
  <c r="T84" i="18"/>
  <c r="V84" i="18" s="1"/>
  <c r="Q84" i="18"/>
  <c r="T83" i="18"/>
  <c r="V83" i="18" s="1"/>
  <c r="Q83" i="18"/>
  <c r="T82" i="18"/>
  <c r="V82" i="18" s="1"/>
  <c r="Q82" i="18"/>
  <c r="T81" i="18"/>
  <c r="V81" i="18" s="1"/>
  <c r="Q81" i="18"/>
  <c r="V80" i="18"/>
  <c r="T80" i="18"/>
  <c r="Q80" i="18"/>
  <c r="T79" i="18"/>
  <c r="V79" i="18" s="1"/>
  <c r="Q79" i="18"/>
  <c r="T78" i="18"/>
  <c r="V78" i="18" s="1"/>
  <c r="Q78" i="18"/>
  <c r="T77" i="18"/>
  <c r="V77" i="18" s="1"/>
  <c r="Q77" i="18"/>
  <c r="T76" i="18"/>
  <c r="V76" i="18" s="1"/>
  <c r="Q76" i="18"/>
  <c r="T75" i="18"/>
  <c r="V75" i="18" s="1"/>
  <c r="Q75" i="18"/>
  <c r="T74" i="18"/>
  <c r="V74" i="18" s="1"/>
  <c r="Q74" i="18"/>
  <c r="T73" i="18"/>
  <c r="V73" i="18" s="1"/>
  <c r="Q73" i="18"/>
  <c r="V72" i="18"/>
  <c r="T72" i="18"/>
  <c r="Q72" i="18"/>
  <c r="T71" i="18"/>
  <c r="V71" i="18" s="1"/>
  <c r="Q71" i="18"/>
  <c r="T70" i="18"/>
  <c r="V70" i="18" s="1"/>
  <c r="Q70" i="18"/>
  <c r="T69" i="18"/>
  <c r="V69" i="18" s="1"/>
  <c r="Q69" i="18"/>
  <c r="T68" i="18"/>
  <c r="V68" i="18" s="1"/>
  <c r="Q68" i="18"/>
  <c r="T67" i="18"/>
  <c r="V67" i="18" s="1"/>
  <c r="Q67" i="18"/>
  <c r="T66" i="18"/>
  <c r="V66" i="18" s="1"/>
  <c r="Q66" i="18"/>
  <c r="T65" i="18"/>
  <c r="V65" i="18" s="1"/>
  <c r="Q65" i="18"/>
  <c r="V64" i="18"/>
  <c r="T64" i="18"/>
  <c r="Q64" i="18"/>
  <c r="T63" i="18"/>
  <c r="V63" i="18" s="1"/>
  <c r="Q63" i="18"/>
  <c r="T62" i="18"/>
  <c r="V62" i="18" s="1"/>
  <c r="Q62" i="18"/>
  <c r="T61" i="18"/>
  <c r="V61" i="18" s="1"/>
  <c r="Q61" i="18"/>
  <c r="T60" i="18"/>
  <c r="V60" i="18" s="1"/>
  <c r="Q60" i="18"/>
  <c r="T59" i="18"/>
  <c r="V59" i="18" s="1"/>
  <c r="Q59" i="18"/>
  <c r="T58" i="18"/>
  <c r="V58" i="18" s="1"/>
  <c r="Q58" i="18"/>
  <c r="T57" i="18"/>
  <c r="V57" i="18" s="1"/>
  <c r="Q57" i="18"/>
  <c r="V56" i="18"/>
  <c r="T56" i="18"/>
  <c r="Q56" i="18"/>
  <c r="T55" i="18"/>
  <c r="V55" i="18" s="1"/>
  <c r="Q55" i="18"/>
  <c r="T54" i="18"/>
  <c r="V54" i="18" s="1"/>
  <c r="Q54" i="18"/>
  <c r="T53" i="18"/>
  <c r="V53" i="18" s="1"/>
  <c r="Q53" i="18"/>
  <c r="T52" i="18"/>
  <c r="V52" i="18" s="1"/>
  <c r="Q52" i="18"/>
  <c r="T51" i="18"/>
  <c r="V51" i="18" s="1"/>
  <c r="Q51" i="18"/>
  <c r="T50" i="18"/>
  <c r="V50" i="18" s="1"/>
  <c r="Q50" i="18"/>
  <c r="T49" i="18"/>
  <c r="V49" i="18" s="1"/>
  <c r="Q49" i="18"/>
  <c r="V48" i="18"/>
  <c r="T48" i="18"/>
  <c r="Q48" i="18"/>
  <c r="T47" i="18"/>
  <c r="V47" i="18" s="1"/>
  <c r="Q47" i="18"/>
  <c r="V46" i="18"/>
  <c r="T46" i="18"/>
  <c r="Q46" i="18"/>
  <c r="T45" i="18"/>
  <c r="V45" i="18" s="1"/>
  <c r="Q45" i="18"/>
  <c r="V44" i="18"/>
  <c r="T44" i="18"/>
  <c r="Q44" i="18"/>
  <c r="T43" i="18"/>
  <c r="V43" i="18" s="1"/>
  <c r="Q43" i="18"/>
  <c r="V42" i="18"/>
  <c r="T42" i="18"/>
  <c r="Q42" i="18"/>
  <c r="T41" i="18"/>
  <c r="V41" i="18" s="1"/>
  <c r="Q41" i="18"/>
  <c r="V40" i="18"/>
  <c r="T40" i="18"/>
  <c r="Q40" i="18"/>
  <c r="T39" i="18"/>
  <c r="V39" i="18" s="1"/>
  <c r="Q39" i="18"/>
  <c r="V38" i="18"/>
  <c r="T38" i="18"/>
  <c r="Q38" i="18"/>
  <c r="T37" i="18"/>
  <c r="V37" i="18" s="1"/>
  <c r="Q37" i="18"/>
  <c r="V36" i="18"/>
  <c r="T36" i="18"/>
  <c r="Q36" i="18"/>
  <c r="T35" i="18"/>
  <c r="V35" i="18" s="1"/>
  <c r="Q35" i="18"/>
  <c r="V34" i="18"/>
  <c r="T34" i="18"/>
  <c r="Q34" i="18"/>
  <c r="T33" i="18"/>
  <c r="V33" i="18" s="1"/>
  <c r="Q33" i="18"/>
  <c r="V32" i="18"/>
  <c r="T32" i="18"/>
  <c r="Q32" i="18"/>
  <c r="T31" i="18"/>
  <c r="V31" i="18" s="1"/>
  <c r="Q31" i="18"/>
  <c r="V30" i="18"/>
  <c r="T30" i="18"/>
  <c r="Q30" i="18"/>
  <c r="T29" i="18"/>
  <c r="V29" i="18" s="1"/>
  <c r="Q29" i="18"/>
  <c r="V28" i="18"/>
  <c r="T28" i="18"/>
  <c r="Q28" i="18"/>
  <c r="T27" i="18"/>
  <c r="V27" i="18" s="1"/>
  <c r="Q27" i="18"/>
  <c r="V26" i="18"/>
  <c r="T26" i="18"/>
  <c r="Q26" i="18"/>
  <c r="T25" i="18"/>
  <c r="V25" i="18" s="1"/>
  <c r="Q25" i="18"/>
  <c r="V24" i="18"/>
  <c r="T24" i="18"/>
  <c r="Q24" i="18"/>
  <c r="T23" i="18"/>
  <c r="V23" i="18" s="1"/>
  <c r="Q23" i="18"/>
  <c r="V22" i="18"/>
  <c r="T22" i="18"/>
  <c r="Q22" i="18"/>
  <c r="T21" i="18"/>
  <c r="V21" i="18" s="1"/>
  <c r="Q21" i="18"/>
  <c r="V20" i="18"/>
  <c r="T20" i="18"/>
  <c r="Q20" i="18"/>
  <c r="T19" i="18"/>
  <c r="V19" i="18" s="1"/>
  <c r="Q19" i="18"/>
  <c r="V18" i="18"/>
  <c r="T18" i="18"/>
  <c r="Q18" i="18"/>
  <c r="T17" i="18"/>
  <c r="V17" i="18" s="1"/>
  <c r="Q17" i="18"/>
  <c r="V16" i="18"/>
  <c r="T16" i="18"/>
  <c r="Q16" i="18"/>
  <c r="T15" i="18"/>
  <c r="V15" i="18" s="1"/>
  <c r="Q15" i="18"/>
  <c r="V14" i="18"/>
  <c r="T14" i="18"/>
  <c r="Q14" i="18"/>
  <c r="T13" i="18"/>
  <c r="V13" i="18" s="1"/>
  <c r="Q13" i="18"/>
  <c r="V12" i="18"/>
  <c r="T12" i="18"/>
  <c r="Q12" i="18"/>
  <c r="T11" i="18"/>
  <c r="V11" i="18" s="1"/>
  <c r="Q11" i="18"/>
  <c r="V10" i="18"/>
  <c r="T10" i="18"/>
  <c r="Q10" i="18"/>
  <c r="T9" i="18"/>
  <c r="V9" i="18" s="1"/>
  <c r="Q9" i="18"/>
  <c r="V8" i="18"/>
  <c r="T8" i="18"/>
  <c r="Q8" i="18"/>
  <c r="T7" i="18"/>
  <c r="V7" i="18" s="1"/>
  <c r="Q7" i="18"/>
  <c r="V6" i="18"/>
  <c r="T6" i="18"/>
  <c r="Q6" i="18"/>
  <c r="T5" i="18"/>
  <c r="V5" i="18" s="1"/>
  <c r="Q5" i="18"/>
  <c r="V4" i="18"/>
  <c r="T4" i="18"/>
  <c r="Q4" i="18"/>
  <c r="T3" i="18"/>
  <c r="V3" i="18" s="1"/>
  <c r="Q3" i="18"/>
  <c r="V2" i="18"/>
  <c r="T2" i="18"/>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<sst xmlns="http://schemas.openxmlformats.org/spreadsheetml/2006/main" count="11697" uniqueCount="387">
  <si>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</si>
  <si>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</si>
  <si>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</si>
  <si>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</si>
  <si>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</si>
  <si>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</si>
  <si>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</si>
  <si>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</si>
  <si>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</si>
  <si>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</si>
  <si>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</si>
  <si>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</si>
  <si>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</si>
  <si>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</si>
  <si>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</si>
  <si>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</si>
  <si>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</si>
  <si>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</si>
  <si>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</si>
  <si>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</si>
  <si>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</si>
  <si>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</si>
  <si>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</si>
  <si>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</si>
  <si>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</si>
  <si>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</si>
  <si>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</si>
  <si>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</si>
  <si>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</si>
  <si>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</si>
  <si>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</si>
  <si>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</si>
  <si>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</si>
  <si>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</si>
  <si>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</si>
  <si>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</si>
  <si>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</si>
  <si>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</si>
  <si>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</si>
  <si>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</si>
  <si>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</si>
  <si>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</si>
  <si>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</si>
  <si>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</si>
  <si>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</si>
  <si>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</si>
  <si>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</si>
  <si>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</si>
  <si>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</si>
  <si>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</si>
  <si>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</si>
  <si>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</si>
  <si>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</si>
  <si>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</si>
  <si>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</si>
  <si>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</si>
  <si>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</si>
  <si>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</si>
  <si>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</si>
  <si>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</si>
  <si>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</si>
  <si>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</si>
  <si>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</si>
  <si>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</si>
  <si>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</si>
  <si>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</si>
  <si>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</si>
  <si>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</si>
  <si>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</si>
  <si>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</si>
  <si>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</si>
  <si>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</si>
  <si>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</si>
  <si>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</si>
  <si>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</si>
  <si>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</si>
  <si>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</si>
  <si>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</si>
  <si>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</si>
  <si>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</si>
  <si>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</si>
  <si>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</si>
  <si>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</si>
  <si>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</si>
  <si>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</si>
  <si>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</si>
  <si>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</si>
  <si>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</si>
  <si>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</si>
  <si>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</si>
  <si>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</si>
  <si>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</si>
  <si>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</si>
  <si>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</si>
  <si>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</si>
  <si>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</si>
  <si>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</si>
  <si>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</si>
  <si>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</si>
  <si>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</si>
  <si>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</si>
  <si>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</si>
  <si>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</si>
  <si>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</si>
  <si>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</si>
  <si>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</si>
  <si>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</si>
  <si>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</si>
  <si>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</si>
  <si>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</si>
  <si>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</si>
  <si>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</si>
  <si>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</si>
  <si>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</si>
  <si>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</si>
  <si>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</si>
  <si>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</si>
  <si>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</si>
  <si>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</si>
  <si>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</si>
  <si>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</si>
  <si>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</si>
  <si>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</si>
  <si>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</si>
  <si>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</si>
  <si>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</si>
  <si>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</si>
  <si>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</si>
  <si>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</si>
  <si>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</si>
  <si>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</si>
  <si>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</si>
  <si>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</si>
  <si>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</si>
  <si>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</si>
  <si>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</si>
  <si>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</si>
  <si>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</si>
  <si>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</si>
  <si>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</si>
  <si>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</si>
  <si>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</si>
  <si>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</si>
  <si>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</si>
  <si>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</si>
  <si>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</si>
  <si>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</si>
  <si>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</si>
  <si>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</si>
  <si>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</si>
  <si>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</si>
  <si>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</si>
  <si>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</si>
  <si>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</si>
  <si>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</si>
  <si>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</si>
  <si>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</si>
  <si>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</si>
  <si>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</si>
  <si>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</si>
  <si>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</si>
  <si>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</si>
  <si>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</si>
  <si>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</si>
  <si>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</si>
  <si>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OB</t>
  </si>
  <si>
    <t>17.06.2019</t>
  </si>
  <si>
    <t>17.06.2019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</si>
  <si>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</si>
  <si>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</si>
  <si>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</si>
  <si>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</si>
  <si>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</si>
  <si>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</si>
  <si>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</si>
  <si>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</si>
  <si>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</si>
  <si>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</si>
  <si>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</si>
  <si>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</si>
  <si>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</si>
  <si>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</si>
  <si>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</si>
  <si>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</si>
  <si>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19.06.2019</t>
  </si>
  <si>
    <t>利府店</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</si>
  <si>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</si>
  <si>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</si>
  <si>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</si>
  <si>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</si>
  <si>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</si>
  <si>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</si>
  <si>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</si>
  <si>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</si>
  <si>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</si>
  <si>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</si>
  <si>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</si>
  <si>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</si>
  <si>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</si>
  <si>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</si>
  <si>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</si>
  <si>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</si>
  <si>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</si>
  <si>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</si>
  <si>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</si>
  <si>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</si>
  <si>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</si>
  <si>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</si>
  <si>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</si>
  <si>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</si>
  <si>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</si>
  <si>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</si>
  <si>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</si>
  <si>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</si>
  <si>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</si>
  <si>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</si>
  <si>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</si>
  <si>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</si>
  <si>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</si>
  <si>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</si>
  <si>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</si>
  <si>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</si>
  <si>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</si>
  <si>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</si>
  <si>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</si>
  <si>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</si>
  <si>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</si>
  <si>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</si>
  <si>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</si>
  <si>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</si>
  <si>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</si>
  <si>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</si>
  <si>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</si>
  <si>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21.06.2019</t>
    <phoneticPr fontId="3"/>
  </si>
  <si>
    <t>旬楽膳</t>
    <rPh sb="0" eb="1">
      <t>シュン</t>
    </rPh>
    <rPh sb="1" eb="2">
      <t>ラク</t>
    </rPh>
    <rPh sb="2" eb="3">
      <t>ゼン</t>
    </rPh>
    <phoneticPr fontId="4"/>
  </si>
  <si>
    <t>日進店</t>
    <rPh sb="0" eb="2">
      <t>ニッシン</t>
    </rPh>
    <rPh sb="2" eb="3">
      <t>ミセ</t>
    </rPh>
    <phoneticPr fontId="4"/>
  </si>
  <si>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</si>
  <si>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</si>
  <si>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</si>
  <si>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</si>
  <si>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</si>
  <si>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</si>
  <si>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</si>
  <si>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</si>
  <si>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</si>
  <si>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</si>
  <si>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</si>
  <si>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</si>
  <si>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</si>
  <si>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</si>
  <si>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</si>
  <si>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</si>
  <si>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</si>
  <si>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</si>
  <si>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</si>
  <si>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</si>
  <si>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</si>
  <si>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</si>
  <si>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</si>
  <si>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</si>
  <si>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21.06.2019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</si>
  <si>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</si>
  <si>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</si>
  <si>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</si>
  <si>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</si>
  <si>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</si>
  <si>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</si>
  <si>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</si>
  <si>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</si>
  <si>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</si>
  <si>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</si>
  <si>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</si>
  <si>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</si>
  <si>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</si>
  <si>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</si>
  <si>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</si>
  <si>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</si>
  <si>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</si>
  <si>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</si>
  <si>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</si>
  <si>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</si>
  <si>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</si>
  <si>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福や</t>
  </si>
  <si>
    <t>鉄砲町店</t>
    <rPh sb="3" eb="4">
      <t>テン</t>
    </rPh>
    <phoneticPr fontId="3"/>
  </si>
  <si>
    <t>JPY</t>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</si>
  <si>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</si>
  <si>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</si>
  <si>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</si>
  <si>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</si>
  <si>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</si>
  <si>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</si>
  <si>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</si>
  <si>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</si>
  <si>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</si>
  <si>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</si>
  <si>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</si>
  <si>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</si>
  <si>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</si>
  <si>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</si>
  <si>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</si>
  <si>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</si>
  <si>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</si>
  <si>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</si>
  <si>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</si>
  <si>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</si>
  <si>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</si>
  <si>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</si>
  <si>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バナナ</t>
    <phoneticPr fontId="3"/>
  </si>
  <si>
    <t>りんご</t>
    <phoneticPr fontId="4"/>
  </si>
  <si>
    <t>みかん</t>
    <phoneticPr fontId="4"/>
  </si>
  <si>
    <t>マンゴー</t>
    <phoneticPr fontId="3"/>
  </si>
  <si>
    <t>販売
ユニット
個数</t>
    <phoneticPr fontId="4"/>
  </si>
  <si>
    <t>U/P JPY</t>
    <phoneticPr fontId="4"/>
  </si>
  <si>
    <t>19.06.2019</t>
    <phoneticPr fontId="3"/>
  </si>
  <si>
    <t>マルショク</t>
    <phoneticPr fontId="3"/>
  </si>
  <si>
    <t>野間大池</t>
    <rPh sb="0" eb="2">
      <t>ノマ</t>
    </rPh>
    <rPh sb="2" eb="4">
      <t>オオイケ</t>
    </rPh>
    <phoneticPr fontId="3"/>
  </si>
  <si>
    <t>りんご</t>
    <phoneticPr fontId="3"/>
  </si>
  <si>
    <t>JPY</t>
    <phoneticPr fontId="4"/>
  </si>
  <si>
    <t>サニー</t>
  </si>
  <si>
    <t>野間</t>
    <rPh sb="0" eb="2">
      <t>ノマ</t>
    </rPh>
    <phoneticPr fontId="3"/>
  </si>
  <si>
    <t>一般栽培</t>
    <phoneticPr fontId="4"/>
  </si>
  <si>
    <t>マルショク</t>
  </si>
  <si>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</si>
  <si>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</si>
  <si>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</si>
  <si>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</si>
  <si>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</si>
  <si>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</si>
  <si>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</si>
  <si>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</si>
  <si>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</si>
  <si>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</si>
  <si>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</si>
  <si>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</si>
  <si>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</si>
  <si>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</si>
  <si>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</si>
  <si>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</si>
  <si>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</si>
  <si>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</si>
  <si>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</si>
  <si>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</si>
  <si>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</si>
  <si>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</si>
  <si>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</si>
  <si>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</si>
  <si>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</si>
  <si>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</si>
  <si>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</si>
  <si>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</si>
  <si>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</si>
  <si>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</si>
  <si>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</si>
  <si>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</si>
  <si>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</si>
  <si>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20.06.2019</t>
    <phoneticPr fontId="3"/>
  </si>
  <si>
    <t>サミット</t>
  </si>
  <si>
    <t>久が原食品館</t>
  </si>
  <si>
    <t>20.06.2019</t>
  </si>
  <si>
    <t>東急ストア</t>
  </si>
  <si>
    <t>蒲田</t>
  </si>
  <si>
    <t>マルエツ</t>
  </si>
  <si>
    <t>大森西</t>
  </si>
  <si>
    <t>大森</t>
  </si>
  <si>
    <t>カドヤ</t>
  </si>
  <si>
    <t>大井町</t>
  </si>
  <si>
    <t>品川シーサイド</t>
  </si>
  <si>
    <t>大崎ニューシティ</t>
  </si>
  <si>
    <t>２番人気
果実</t>
    <phoneticPr fontId="3"/>
  </si>
  <si>
    <t>18.06.2019</t>
    <phoneticPr fontId="3"/>
  </si>
  <si>
    <t>ビッグ・エー</t>
  </si>
  <si>
    <t>江戸川本一色店</t>
  </si>
  <si>
    <t>松江店</t>
  </si>
  <si>
    <t>マックスバリュエクスプレス</t>
  </si>
  <si>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</si>
  <si>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</si>
  <si>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</si>
  <si>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</si>
  <si>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</si>
  <si>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</si>
  <si>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</si>
  <si>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</si>
  <si>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</si>
  <si>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</si>
  <si>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</si>
  <si>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</si>
  <si>
    <t>GA</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</si>
</sst>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9"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6" fillId="0" borderId="22" xfId="2" applyFont="1" applyBorder="1" applyAlignment="1">
      <alignment horizontal="center" vertical="center"/>
    </xf>
    <xf numFmtId="0" fontId="16"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6" fillId="0" borderId="12" xfId="2" applyFont="1" applyBorder="1" applyAlignment="1">
      <alignment horizontal="center" vertical="center"/>
    </xf>
    <xf numFmtId="0" fontId="1" fillId="0" borderId="18" xfId="1" applyBorder="1"/>
    <xf numFmtId="0" fontId="15" fillId="0" borderId="0" xfId="1" applyFont="1"/>
    <xf numFmtId="178" fontId="1" fillId="2" borderId="0" xfId="1" applyNumberFormat="1" applyFill="1"/>
    <xf numFmtId="178" fontId="1" fillId="3" borderId="0" xfId="1" applyNumberFormat="1" applyFill="1"/>
    <xf numFmtId="0" fontId="15" fillId="0" borderId="0" xfId="2"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7" fillId="0" borderId="0" xfId="1" applyNumberFormat="1" applyFont="1"/>
    <xf numFmtId="0" fontId="1" fillId="0" borderId="12" xfId="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7" fillId="0" borderId="0" xfId="1" applyNumberFormat="1" applyFont="1" applyAlignment="1">
      <alignment horizontal="center"/>
    </xf>
    <xf numFmtId="0" fontId="18"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H2" sqref="H2"/>
    </sheetView>
  </sheetViews>
  <sheetFormatPr defaultRowHeight="13.5" x14ac:dyDescent="0.15"/>
  <cols>
    <col min="1" max="3" width="9" style="7"/>
    <col min="4" max="4" width="10.5" style="7" bestFit="1" customWidth="1"/>
    <col min="5" max="5" width="16"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167</v>
      </c>
      <c r="E2" s="15" t="s">
        <v>141</v>
      </c>
      <c r="F2" s="15" t="s">
        <v>149</v>
      </c>
      <c r="G2" s="15" t="s">
        <v>36</v>
      </c>
      <c r="H2" s="15" t="s">
        <v>164</v>
      </c>
      <c r="I2" s="15" t="s">
        <v>159</v>
      </c>
      <c r="J2" s="15" t="s">
        <v>38</v>
      </c>
      <c r="K2" s="7" t="s">
        <v>161</v>
      </c>
      <c r="L2" s="7">
        <v>1</v>
      </c>
      <c r="N2" s="47">
        <v>1</v>
      </c>
      <c r="O2" s="15">
        <v>2.15</v>
      </c>
      <c r="P2" s="15">
        <v>2.2000000000000002</v>
      </c>
      <c r="Q2" s="51">
        <f t="shared" ref="Q2:Q65" si="0">IF(OR(O2="",P2=""),"",AVERAGE(O2,P2))</f>
        <v>2.1749999999999998</v>
      </c>
      <c r="R2" s="15">
        <v>13.8</v>
      </c>
      <c r="S2" s="15">
        <v>116</v>
      </c>
      <c r="T2" s="38">
        <f t="shared" ref="T2:T59" si="1">IF(H2="","",IF(OR(H2="GREEN",H2="GK"),IF(S2&gt;=$AX$2,VLOOKUP(S2,$AX$2:$AY$12,2,1),""),IF(S2&gt;=$AZ$2,VLOOKUP(S2,$AZ$2:$BA$12,2,1),"")))</f>
        <v>30</v>
      </c>
      <c r="U2" s="15">
        <v>105</v>
      </c>
      <c r="V2" s="38">
        <f t="shared" ref="V2:V65" si="2">IF(OR(N2="",U2="",T2=""),"",U2/N2*T2)</f>
        <v>3150</v>
      </c>
      <c r="W2" s="15">
        <v>8</v>
      </c>
      <c r="X2" s="15" t="s">
        <v>46</v>
      </c>
      <c r="Y2" s="15" t="s">
        <v>55</v>
      </c>
      <c r="Z2" s="15" t="s">
        <v>97</v>
      </c>
      <c r="AA2" s="15" t="s">
        <v>69</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166</v>
      </c>
      <c r="E3" s="15" t="s">
        <v>141</v>
      </c>
      <c r="F3" s="7" t="s">
        <v>149</v>
      </c>
      <c r="G3" s="7" t="s">
        <v>36</v>
      </c>
      <c r="H3" s="15" t="s">
        <v>164</v>
      </c>
      <c r="I3" s="7" t="s">
        <v>159</v>
      </c>
      <c r="J3" s="15" t="s">
        <v>38</v>
      </c>
      <c r="K3" s="7" t="s">
        <v>161</v>
      </c>
      <c r="L3" s="7">
        <v>2</v>
      </c>
      <c r="N3" s="7">
        <v>1</v>
      </c>
      <c r="O3" s="34">
        <v>1.5</v>
      </c>
      <c r="P3" s="7">
        <v>1.75</v>
      </c>
      <c r="Q3" s="52">
        <f t="shared" si="0"/>
        <v>1.625</v>
      </c>
      <c r="R3" s="7">
        <v>15.8</v>
      </c>
      <c r="S3" s="7">
        <v>129</v>
      </c>
      <c r="T3" s="16">
        <f t="shared" si="1"/>
        <v>25</v>
      </c>
      <c r="U3" s="15">
        <v>105</v>
      </c>
      <c r="V3" s="16">
        <f t="shared" si="2"/>
        <v>2625</v>
      </c>
      <c r="W3" s="15">
        <v>8</v>
      </c>
      <c r="X3" s="15" t="s">
        <v>46</v>
      </c>
      <c r="Y3" s="15" t="s">
        <v>55</v>
      </c>
      <c r="Z3" s="15" t="s">
        <v>97</v>
      </c>
      <c r="AA3" s="15" t="s">
        <v>69</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166</v>
      </c>
      <c r="E4" s="15" t="s">
        <v>141</v>
      </c>
      <c r="F4" s="7" t="s">
        <v>149</v>
      </c>
      <c r="G4" s="7" t="s">
        <v>36</v>
      </c>
      <c r="H4" s="15" t="s">
        <v>164</v>
      </c>
      <c r="I4" s="7" t="s">
        <v>159</v>
      </c>
      <c r="J4" s="15" t="s">
        <v>38</v>
      </c>
      <c r="K4" s="7" t="s">
        <v>161</v>
      </c>
      <c r="L4" s="7">
        <v>3</v>
      </c>
      <c r="N4" s="7">
        <v>1</v>
      </c>
      <c r="O4" s="7">
        <v>1.7</v>
      </c>
      <c r="P4" s="7">
        <v>1.75</v>
      </c>
      <c r="Q4" s="52">
        <f t="shared" si="0"/>
        <v>1.7250000000000001</v>
      </c>
      <c r="R4" s="7">
        <v>13.1</v>
      </c>
      <c r="S4" s="7">
        <v>123</v>
      </c>
      <c r="T4" s="16">
        <f t="shared" si="1"/>
        <v>27</v>
      </c>
      <c r="U4" s="15">
        <v>105</v>
      </c>
      <c r="V4" s="16">
        <f t="shared" si="2"/>
        <v>2835</v>
      </c>
      <c r="W4" s="15">
        <v>8</v>
      </c>
      <c r="X4" s="15" t="s">
        <v>46</v>
      </c>
      <c r="Y4" s="54" t="s">
        <v>55</v>
      </c>
      <c r="Z4" s="54" t="s">
        <v>97</v>
      </c>
      <c r="AA4" s="54" t="s">
        <v>69</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166</v>
      </c>
      <c r="E5" s="15" t="s">
        <v>141</v>
      </c>
      <c r="F5" s="15" t="s">
        <v>149</v>
      </c>
      <c r="G5" s="7" t="s">
        <v>36</v>
      </c>
      <c r="H5" s="15" t="s">
        <v>160</v>
      </c>
      <c r="I5" s="7" t="s">
        <v>159</v>
      </c>
      <c r="J5" s="15" t="s">
        <v>38</v>
      </c>
      <c r="K5" s="7" t="s">
        <v>161</v>
      </c>
      <c r="L5" s="7">
        <v>1</v>
      </c>
      <c r="N5" s="7">
        <v>1</v>
      </c>
      <c r="O5" s="7">
        <v>1.3</v>
      </c>
      <c r="P5" s="7">
        <v>1.25</v>
      </c>
      <c r="Q5" s="52">
        <f t="shared" si="0"/>
        <v>1.2749999999999999</v>
      </c>
      <c r="R5" s="7">
        <v>16</v>
      </c>
      <c r="S5" s="7">
        <v>136</v>
      </c>
      <c r="T5" s="16">
        <f t="shared" si="1"/>
        <v>25</v>
      </c>
      <c r="U5" s="15">
        <v>135</v>
      </c>
      <c r="V5" s="16">
        <f t="shared" si="2"/>
        <v>3375</v>
      </c>
      <c r="W5" s="15">
        <v>20</v>
      </c>
      <c r="X5" s="15" t="s">
        <v>46</v>
      </c>
      <c r="Y5" s="54" t="s">
        <v>55</v>
      </c>
      <c r="Z5" s="54" t="s">
        <v>97</v>
      </c>
      <c r="AA5" s="54" t="s">
        <v>69</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166</v>
      </c>
      <c r="E6" s="15" t="s">
        <v>141</v>
      </c>
      <c r="F6" s="7" t="s">
        <v>149</v>
      </c>
      <c r="G6" s="7" t="s">
        <v>36</v>
      </c>
      <c r="H6" s="54" t="s">
        <v>160</v>
      </c>
      <c r="I6" s="7" t="s">
        <v>159</v>
      </c>
      <c r="J6" s="15" t="s">
        <v>38</v>
      </c>
      <c r="K6" s="7" t="s">
        <v>161</v>
      </c>
      <c r="L6" s="7">
        <v>2</v>
      </c>
      <c r="N6" s="7">
        <v>1</v>
      </c>
      <c r="O6" s="7">
        <v>0.75</v>
      </c>
      <c r="P6" s="7">
        <v>0.7</v>
      </c>
      <c r="Q6" s="52">
        <f t="shared" si="0"/>
        <v>0.72499999999999998</v>
      </c>
      <c r="R6" s="7">
        <v>19.399999999999999</v>
      </c>
      <c r="S6" s="7">
        <v>136</v>
      </c>
      <c r="T6" s="16">
        <f t="shared" si="1"/>
        <v>25</v>
      </c>
      <c r="U6" s="15">
        <v>135</v>
      </c>
      <c r="V6" s="16">
        <f t="shared" si="2"/>
        <v>3375</v>
      </c>
      <c r="W6" s="15">
        <v>20</v>
      </c>
      <c r="X6" s="15" t="s">
        <v>46</v>
      </c>
      <c r="Y6" s="54" t="s">
        <v>55</v>
      </c>
      <c r="Z6" s="54" t="s">
        <v>97</v>
      </c>
      <c r="AA6" s="54" t="s">
        <v>69</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166</v>
      </c>
      <c r="E7" s="15" t="s">
        <v>141</v>
      </c>
      <c r="F7" s="7" t="s">
        <v>149</v>
      </c>
      <c r="G7" s="7" t="s">
        <v>36</v>
      </c>
      <c r="H7" s="54" t="s">
        <v>160</v>
      </c>
      <c r="I7" s="7" t="s">
        <v>159</v>
      </c>
      <c r="J7" s="15" t="s">
        <v>38</v>
      </c>
      <c r="K7" s="7" t="s">
        <v>161</v>
      </c>
      <c r="L7" s="7">
        <v>3</v>
      </c>
      <c r="N7" s="7">
        <v>1</v>
      </c>
      <c r="O7" s="7">
        <v>1.45</v>
      </c>
      <c r="P7" s="7">
        <v>1.5</v>
      </c>
      <c r="Q7" s="52">
        <f t="shared" si="0"/>
        <v>1.4750000000000001</v>
      </c>
      <c r="R7" s="34">
        <v>15.7</v>
      </c>
      <c r="S7" s="7">
        <v>134</v>
      </c>
      <c r="T7" s="16">
        <f t="shared" si="1"/>
        <v>25</v>
      </c>
      <c r="U7" s="15">
        <v>135</v>
      </c>
      <c r="V7" s="16">
        <f t="shared" si="2"/>
        <v>3375</v>
      </c>
      <c r="W7" s="15">
        <v>20</v>
      </c>
      <c r="X7" s="15" t="s">
        <v>46</v>
      </c>
      <c r="Y7" s="54" t="s">
        <v>55</v>
      </c>
      <c r="Z7" s="54" t="s">
        <v>97</v>
      </c>
      <c r="AA7" s="54" t="s">
        <v>69</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166</v>
      </c>
      <c r="E8" s="15" t="s">
        <v>133</v>
      </c>
      <c r="F8" s="7" t="s">
        <v>150</v>
      </c>
      <c r="G8" s="7" t="s">
        <v>36</v>
      </c>
      <c r="H8" s="15" t="s">
        <v>164</v>
      </c>
      <c r="I8" s="7" t="s">
        <v>159</v>
      </c>
      <c r="J8" s="15" t="s">
        <v>38</v>
      </c>
      <c r="K8" s="7" t="s">
        <v>161</v>
      </c>
      <c r="L8" s="7">
        <v>1</v>
      </c>
      <c r="N8" s="7">
        <v>1</v>
      </c>
      <c r="O8" s="7">
        <v>1.6</v>
      </c>
      <c r="P8" s="7">
        <v>1.65</v>
      </c>
      <c r="Q8" s="52">
        <f t="shared" si="0"/>
        <v>1.625</v>
      </c>
      <c r="R8" s="34">
        <v>12.7</v>
      </c>
      <c r="S8" s="7">
        <v>128</v>
      </c>
      <c r="T8" s="16">
        <f t="shared" si="1"/>
        <v>27</v>
      </c>
      <c r="U8" s="15">
        <v>98</v>
      </c>
      <c r="V8" s="16">
        <f t="shared" si="2"/>
        <v>2646</v>
      </c>
      <c r="W8" s="15">
        <v>16</v>
      </c>
      <c r="X8" s="15" t="s">
        <v>46</v>
      </c>
      <c r="Y8" s="54" t="s">
        <v>55</v>
      </c>
      <c r="Z8" s="54" t="s">
        <v>86</v>
      </c>
      <c r="AA8" s="54" t="s">
        <v>78</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166</v>
      </c>
      <c r="E9" s="15" t="s">
        <v>133</v>
      </c>
      <c r="F9" s="7" t="s">
        <v>150</v>
      </c>
      <c r="G9" s="7" t="s">
        <v>36</v>
      </c>
      <c r="H9" s="54" t="s">
        <v>164</v>
      </c>
      <c r="I9" s="7" t="s">
        <v>159</v>
      </c>
      <c r="J9" s="15" t="s">
        <v>38</v>
      </c>
      <c r="K9" s="7" t="s">
        <v>161</v>
      </c>
      <c r="L9" s="7">
        <v>2</v>
      </c>
      <c r="N9" s="7">
        <v>1</v>
      </c>
      <c r="O9" s="7">
        <v>0.85</v>
      </c>
      <c r="P9" s="7">
        <v>1.2</v>
      </c>
      <c r="Q9" s="52">
        <f t="shared" si="0"/>
        <v>1.0249999999999999</v>
      </c>
      <c r="R9" s="7">
        <v>15.3</v>
      </c>
      <c r="S9" s="7">
        <v>130</v>
      </c>
      <c r="T9" s="16">
        <f t="shared" si="1"/>
        <v>25</v>
      </c>
      <c r="U9" s="15">
        <v>98</v>
      </c>
      <c r="V9" s="16">
        <f t="shared" si="2"/>
        <v>2450</v>
      </c>
      <c r="W9" s="15">
        <v>16</v>
      </c>
      <c r="X9" s="15" t="s">
        <v>46</v>
      </c>
      <c r="Y9" s="54" t="s">
        <v>55</v>
      </c>
      <c r="Z9" s="54" t="s">
        <v>86</v>
      </c>
      <c r="AA9" s="54" t="s">
        <v>78</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166</v>
      </c>
      <c r="E10" s="15" t="s">
        <v>133</v>
      </c>
      <c r="F10" s="7" t="s">
        <v>150</v>
      </c>
      <c r="G10" s="7" t="s">
        <v>36</v>
      </c>
      <c r="H10" s="54" t="s">
        <v>164</v>
      </c>
      <c r="I10" s="7" t="s">
        <v>159</v>
      </c>
      <c r="J10" s="15" t="s">
        <v>38</v>
      </c>
      <c r="K10" s="7" t="s">
        <v>161</v>
      </c>
      <c r="L10" s="7">
        <v>3</v>
      </c>
      <c r="N10" s="7">
        <v>1</v>
      </c>
      <c r="O10" s="7">
        <v>1.25</v>
      </c>
      <c r="P10" s="7">
        <v>1.6</v>
      </c>
      <c r="Q10" s="52">
        <f t="shared" si="0"/>
        <v>1.425</v>
      </c>
      <c r="R10" s="7">
        <v>12.9</v>
      </c>
      <c r="S10" s="7">
        <v>131</v>
      </c>
      <c r="T10" s="16">
        <f t="shared" si="1"/>
        <v>25</v>
      </c>
      <c r="U10" s="15">
        <v>98</v>
      </c>
      <c r="V10" s="16">
        <f t="shared" si="2"/>
        <v>2450</v>
      </c>
      <c r="W10" s="15">
        <v>16</v>
      </c>
      <c r="X10" s="15" t="s">
        <v>46</v>
      </c>
      <c r="Y10" s="54" t="s">
        <v>55</v>
      </c>
      <c r="Z10" s="54" t="s">
        <v>86</v>
      </c>
      <c r="AA10" s="54" t="s">
        <v>78</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166</v>
      </c>
      <c r="E11" s="15" t="s">
        <v>133</v>
      </c>
      <c r="F11" s="7" t="s">
        <v>150</v>
      </c>
      <c r="G11" s="7" t="s">
        <v>36</v>
      </c>
      <c r="H11" s="15" t="s">
        <v>160</v>
      </c>
      <c r="I11" s="7" t="s">
        <v>159</v>
      </c>
      <c r="J11" s="15" t="s">
        <v>38</v>
      </c>
      <c r="K11" s="7" t="s">
        <v>161</v>
      </c>
      <c r="L11" s="7">
        <v>1</v>
      </c>
      <c r="N11" s="7">
        <v>1</v>
      </c>
      <c r="O11" s="7">
        <v>1</v>
      </c>
      <c r="P11" s="7">
        <v>1.3</v>
      </c>
      <c r="Q11" s="52">
        <f t="shared" si="0"/>
        <v>1.1499999999999999</v>
      </c>
      <c r="R11" s="7">
        <v>18.3</v>
      </c>
      <c r="S11" s="7">
        <v>133</v>
      </c>
      <c r="T11" s="16">
        <f t="shared" si="1"/>
        <v>25</v>
      </c>
      <c r="U11" s="7">
        <v>98</v>
      </c>
      <c r="V11" s="16">
        <f t="shared" si="2"/>
        <v>2450</v>
      </c>
      <c r="W11" s="7">
        <v>16</v>
      </c>
      <c r="X11" s="15" t="s">
        <v>46</v>
      </c>
      <c r="Y11" s="54" t="s">
        <v>55</v>
      </c>
      <c r="Z11" s="54" t="s">
        <v>86</v>
      </c>
      <c r="AA11" s="54" t="s">
        <v>78</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166</v>
      </c>
      <c r="E12" s="15" t="s">
        <v>133</v>
      </c>
      <c r="F12" s="7" t="s">
        <v>150</v>
      </c>
      <c r="G12" s="7" t="s">
        <v>36</v>
      </c>
      <c r="H12" s="54" t="s">
        <v>160</v>
      </c>
      <c r="I12" s="53" t="s">
        <v>159</v>
      </c>
      <c r="J12" s="15" t="s">
        <v>38</v>
      </c>
      <c r="K12" s="7" t="s">
        <v>161</v>
      </c>
      <c r="L12" s="7">
        <v>2</v>
      </c>
      <c r="N12" s="7">
        <v>1</v>
      </c>
      <c r="O12" s="7">
        <v>1.05</v>
      </c>
      <c r="P12" s="7">
        <v>1.1499999999999999</v>
      </c>
      <c r="Q12" s="52">
        <f t="shared" si="0"/>
        <v>1.1000000000000001</v>
      </c>
      <c r="R12" s="34">
        <v>19.399999999999999</v>
      </c>
      <c r="S12" s="7">
        <v>129</v>
      </c>
      <c r="T12" s="16">
        <f t="shared" si="1"/>
        <v>25</v>
      </c>
      <c r="U12" s="7">
        <v>98</v>
      </c>
      <c r="V12" s="16">
        <f t="shared" si="2"/>
        <v>2450</v>
      </c>
      <c r="W12" s="7">
        <v>16</v>
      </c>
      <c r="X12" s="15" t="s">
        <v>46</v>
      </c>
      <c r="Y12" s="54" t="s">
        <v>55</v>
      </c>
      <c r="Z12" s="54" t="s">
        <v>86</v>
      </c>
      <c r="AA12" s="54" t="s">
        <v>78</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166</v>
      </c>
      <c r="E13" s="15" t="s">
        <v>133</v>
      </c>
      <c r="F13" s="7" t="s">
        <v>150</v>
      </c>
      <c r="G13" s="7" t="s">
        <v>36</v>
      </c>
      <c r="H13" s="54" t="s">
        <v>160</v>
      </c>
      <c r="I13" s="53" t="s">
        <v>159</v>
      </c>
      <c r="J13" s="15" t="s">
        <v>38</v>
      </c>
      <c r="K13" s="7" t="s">
        <v>161</v>
      </c>
      <c r="L13" s="7">
        <v>3</v>
      </c>
      <c r="N13" s="7">
        <v>1</v>
      </c>
      <c r="O13" s="7">
        <v>1.75</v>
      </c>
      <c r="P13" s="7">
        <v>1.85</v>
      </c>
      <c r="Q13" s="52">
        <f t="shared" si="0"/>
        <v>1.8</v>
      </c>
      <c r="R13" s="7">
        <v>16.7</v>
      </c>
      <c r="S13" s="7">
        <v>135</v>
      </c>
      <c r="T13" s="16">
        <f t="shared" si="1"/>
        <v>25</v>
      </c>
      <c r="U13" s="7">
        <v>98</v>
      </c>
      <c r="V13" s="16">
        <f t="shared" si="2"/>
        <v>2450</v>
      </c>
      <c r="W13" s="7">
        <v>16</v>
      </c>
      <c r="X13" s="15" t="s">
        <v>46</v>
      </c>
      <c r="Y13" s="54" t="s">
        <v>55</v>
      </c>
      <c r="Z13" s="54" t="s">
        <v>86</v>
      </c>
      <c r="AA13" s="54" t="s">
        <v>78</v>
      </c>
      <c r="AB13" s="39" t="s">
        <v>158</v>
      </c>
      <c r="AE13" s="22" t="s">
        <v>73</v>
      </c>
      <c r="AG13" s="23"/>
      <c r="AH13" s="23"/>
      <c r="AP13" s="23" t="s">
        <v>71</v>
      </c>
      <c r="AR13" s="30" t="s">
        <v>103</v>
      </c>
      <c r="AV13" s="23" t="s">
        <v>75</v>
      </c>
    </row>
    <row r="14" spans="1:53" x14ac:dyDescent="0.15">
      <c r="A14" s="15" t="s">
        <v>156</v>
      </c>
      <c r="B14" s="15" t="s">
        <v>157</v>
      </c>
      <c r="C14" s="15">
        <v>2019</v>
      </c>
      <c r="D14" s="37" t="s">
        <v>166</v>
      </c>
      <c r="E14" s="15" t="s">
        <v>142</v>
      </c>
      <c r="F14" s="7" t="s">
        <v>151</v>
      </c>
      <c r="G14" s="7" t="s">
        <v>36</v>
      </c>
      <c r="H14" s="15" t="s">
        <v>164</v>
      </c>
      <c r="I14" s="7" t="s">
        <v>159</v>
      </c>
      <c r="J14" s="15" t="s">
        <v>38</v>
      </c>
      <c r="K14" s="7" t="s">
        <v>161</v>
      </c>
      <c r="L14" s="7">
        <v>1</v>
      </c>
      <c r="N14" s="53">
        <v>1</v>
      </c>
      <c r="O14" s="7">
        <v>1.35</v>
      </c>
      <c r="P14" s="7">
        <v>1.5</v>
      </c>
      <c r="Q14" s="52">
        <f t="shared" si="0"/>
        <v>1.425</v>
      </c>
      <c r="R14" s="7">
        <v>16</v>
      </c>
      <c r="S14" s="7">
        <v>126</v>
      </c>
      <c r="T14" s="16">
        <f t="shared" si="1"/>
        <v>27</v>
      </c>
      <c r="U14" s="7">
        <v>138</v>
      </c>
      <c r="V14" s="16">
        <f t="shared" si="2"/>
        <v>3726</v>
      </c>
      <c r="W14" s="7">
        <v>5</v>
      </c>
      <c r="X14" s="15" t="s">
        <v>46</v>
      </c>
      <c r="Y14" s="54" t="s">
        <v>86</v>
      </c>
      <c r="Z14" s="54" t="s">
        <v>55</v>
      </c>
      <c r="AA14" s="15" t="s">
        <v>69</v>
      </c>
      <c r="AB14" s="39" t="s">
        <v>158</v>
      </c>
      <c r="AE14" s="22" t="s">
        <v>76</v>
      </c>
      <c r="AG14" s="23"/>
      <c r="AH14" s="23"/>
      <c r="AP14" s="23" t="s">
        <v>74</v>
      </c>
      <c r="AR14" s="30" t="s">
        <v>125</v>
      </c>
      <c r="AV14" s="23" t="s">
        <v>78</v>
      </c>
    </row>
    <row r="15" spans="1:53" x14ac:dyDescent="0.15">
      <c r="A15" s="15" t="s">
        <v>156</v>
      </c>
      <c r="B15" s="15" t="s">
        <v>157</v>
      </c>
      <c r="C15" s="15">
        <v>2019</v>
      </c>
      <c r="D15" s="37" t="s">
        <v>166</v>
      </c>
      <c r="E15" s="15" t="s">
        <v>142</v>
      </c>
      <c r="F15" s="7" t="s">
        <v>151</v>
      </c>
      <c r="G15" s="7" t="s">
        <v>36</v>
      </c>
      <c r="H15" s="15" t="s">
        <v>164</v>
      </c>
      <c r="I15" s="7" t="s">
        <v>159</v>
      </c>
      <c r="J15" s="15" t="s">
        <v>38</v>
      </c>
      <c r="K15" s="7" t="s">
        <v>161</v>
      </c>
      <c r="L15" s="7">
        <v>2</v>
      </c>
      <c r="N15" s="53">
        <v>1</v>
      </c>
      <c r="O15" s="7">
        <v>0.95</v>
      </c>
      <c r="P15" s="7">
        <v>1.05</v>
      </c>
      <c r="Q15" s="52">
        <f t="shared" si="0"/>
        <v>1</v>
      </c>
      <c r="R15" s="7">
        <v>16.2</v>
      </c>
      <c r="S15" s="7">
        <v>126</v>
      </c>
      <c r="T15" s="16">
        <f t="shared" si="1"/>
        <v>27</v>
      </c>
      <c r="U15" s="7">
        <v>138</v>
      </c>
      <c r="V15" s="16">
        <f t="shared" si="2"/>
        <v>3726</v>
      </c>
      <c r="W15" s="7">
        <v>5</v>
      </c>
      <c r="X15" s="15" t="s">
        <v>46</v>
      </c>
      <c r="Y15" s="54" t="s">
        <v>86</v>
      </c>
      <c r="Z15" s="54" t="s">
        <v>55</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166</v>
      </c>
      <c r="E16" s="15" t="s">
        <v>142</v>
      </c>
      <c r="F16" s="7" t="s">
        <v>151</v>
      </c>
      <c r="G16" s="7" t="s">
        <v>36</v>
      </c>
      <c r="H16" s="15" t="s">
        <v>164</v>
      </c>
      <c r="I16" s="7" t="s">
        <v>159</v>
      </c>
      <c r="J16" s="15" t="s">
        <v>38</v>
      </c>
      <c r="K16" s="7" t="s">
        <v>161</v>
      </c>
      <c r="L16" s="7">
        <v>3</v>
      </c>
      <c r="N16" s="53">
        <v>1</v>
      </c>
      <c r="O16" s="7">
        <v>1.35</v>
      </c>
      <c r="P16" s="7">
        <v>1.6</v>
      </c>
      <c r="Q16" s="52">
        <f t="shared" si="0"/>
        <v>1.4750000000000001</v>
      </c>
      <c r="R16" s="7">
        <v>13.8</v>
      </c>
      <c r="S16" s="7">
        <v>133</v>
      </c>
      <c r="T16" s="16">
        <f t="shared" si="1"/>
        <v>25</v>
      </c>
      <c r="U16" s="7">
        <v>138</v>
      </c>
      <c r="V16" s="16">
        <f t="shared" si="2"/>
        <v>3450</v>
      </c>
      <c r="W16" s="7">
        <v>5</v>
      </c>
      <c r="X16" s="15" t="s">
        <v>46</v>
      </c>
      <c r="Y16" s="54" t="s">
        <v>86</v>
      </c>
      <c r="Z16" s="54" t="s">
        <v>55</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166</v>
      </c>
      <c r="E17" s="15" t="s">
        <v>142</v>
      </c>
      <c r="F17" s="7" t="s">
        <v>151</v>
      </c>
      <c r="G17" s="7" t="s">
        <v>36</v>
      </c>
      <c r="H17" s="15" t="s">
        <v>160</v>
      </c>
      <c r="I17" s="7" t="s">
        <v>159</v>
      </c>
      <c r="J17" s="15" t="s">
        <v>38</v>
      </c>
      <c r="K17" s="7" t="s">
        <v>161</v>
      </c>
      <c r="L17" s="7">
        <v>1</v>
      </c>
      <c r="N17" s="7">
        <v>1</v>
      </c>
      <c r="O17" s="7">
        <v>1.25</v>
      </c>
      <c r="P17" s="7">
        <v>1.35</v>
      </c>
      <c r="Q17" s="52">
        <f t="shared" si="0"/>
        <v>1.3</v>
      </c>
      <c r="R17" s="7">
        <v>18.600000000000001</v>
      </c>
      <c r="S17" s="7">
        <v>120</v>
      </c>
      <c r="T17" s="16">
        <f t="shared" si="1"/>
        <v>30</v>
      </c>
      <c r="U17" s="7">
        <v>149</v>
      </c>
      <c r="V17" s="16">
        <f t="shared" si="2"/>
        <v>4470</v>
      </c>
      <c r="W17" s="7">
        <v>5</v>
      </c>
      <c r="X17" s="15" t="s">
        <v>46</v>
      </c>
      <c r="Y17" s="54" t="s">
        <v>86</v>
      </c>
      <c r="Z17" s="54" t="s">
        <v>55</v>
      </c>
      <c r="AA17" s="54" t="s">
        <v>69</v>
      </c>
      <c r="AB17" s="39" t="s">
        <v>158</v>
      </c>
      <c r="AE17" s="22" t="s">
        <v>85</v>
      </c>
      <c r="AP17" s="43" t="s">
        <v>110</v>
      </c>
      <c r="AR17" s="41" t="s">
        <v>96</v>
      </c>
      <c r="AV17" s="23" t="s">
        <v>86</v>
      </c>
    </row>
    <row r="18" spans="1:48" x14ac:dyDescent="0.15">
      <c r="A18" s="15" t="s">
        <v>156</v>
      </c>
      <c r="B18" s="15" t="s">
        <v>157</v>
      </c>
      <c r="C18" s="15">
        <v>2019</v>
      </c>
      <c r="D18" s="37" t="s">
        <v>166</v>
      </c>
      <c r="E18" s="15" t="s">
        <v>142</v>
      </c>
      <c r="F18" s="7" t="s">
        <v>151</v>
      </c>
      <c r="G18" s="7" t="s">
        <v>36</v>
      </c>
      <c r="H18" s="15" t="s">
        <v>160</v>
      </c>
      <c r="I18" s="7" t="s">
        <v>159</v>
      </c>
      <c r="J18" s="15" t="s">
        <v>38</v>
      </c>
      <c r="K18" s="7" t="s">
        <v>161</v>
      </c>
      <c r="L18" s="7">
        <v>2</v>
      </c>
      <c r="N18" s="7">
        <v>1</v>
      </c>
      <c r="O18" s="7">
        <v>1.75</v>
      </c>
      <c r="P18" s="7">
        <v>1.4</v>
      </c>
      <c r="Q18" s="52">
        <f t="shared" si="0"/>
        <v>1.575</v>
      </c>
      <c r="R18" s="7">
        <v>17.2</v>
      </c>
      <c r="S18" s="7">
        <v>118</v>
      </c>
      <c r="T18" s="16">
        <f t="shared" si="1"/>
        <v>30</v>
      </c>
      <c r="U18" s="7">
        <v>149</v>
      </c>
      <c r="V18" s="16">
        <f t="shared" si="2"/>
        <v>4470</v>
      </c>
      <c r="W18" s="7">
        <v>5</v>
      </c>
      <c r="X18" s="15" t="s">
        <v>46</v>
      </c>
      <c r="Y18" s="54" t="s">
        <v>86</v>
      </c>
      <c r="Z18" s="54" t="s">
        <v>55</v>
      </c>
      <c r="AA18" s="54" t="s">
        <v>69</v>
      </c>
      <c r="AB18" s="39" t="s">
        <v>158</v>
      </c>
      <c r="AE18" s="22" t="s">
        <v>87</v>
      </c>
      <c r="AP18" s="43" t="s">
        <v>111</v>
      </c>
      <c r="AR18" s="41" t="s">
        <v>101</v>
      </c>
      <c r="AV18" s="23" t="s">
        <v>88</v>
      </c>
    </row>
    <row r="19" spans="1:48" x14ac:dyDescent="0.15">
      <c r="A19" s="15" t="s">
        <v>156</v>
      </c>
      <c r="B19" s="15" t="s">
        <v>157</v>
      </c>
      <c r="C19" s="15">
        <v>2019</v>
      </c>
      <c r="D19" s="37" t="s">
        <v>166</v>
      </c>
      <c r="E19" s="15" t="s">
        <v>142</v>
      </c>
      <c r="F19" s="7" t="s">
        <v>151</v>
      </c>
      <c r="G19" s="7" t="s">
        <v>36</v>
      </c>
      <c r="H19" s="15" t="s">
        <v>160</v>
      </c>
      <c r="I19" s="7" t="s">
        <v>159</v>
      </c>
      <c r="J19" s="15" t="s">
        <v>38</v>
      </c>
      <c r="K19" s="7" t="s">
        <v>161</v>
      </c>
      <c r="L19" s="7">
        <v>3</v>
      </c>
      <c r="N19" s="7">
        <v>1</v>
      </c>
      <c r="O19" s="7">
        <v>1.2</v>
      </c>
      <c r="P19" s="7">
        <v>1.25</v>
      </c>
      <c r="Q19" s="52">
        <f t="shared" si="0"/>
        <v>1.2250000000000001</v>
      </c>
      <c r="R19" s="7">
        <v>17.7</v>
      </c>
      <c r="S19" s="7">
        <v>125</v>
      </c>
      <c r="T19" s="16">
        <f t="shared" si="1"/>
        <v>27</v>
      </c>
      <c r="U19" s="7">
        <v>149</v>
      </c>
      <c r="V19" s="16">
        <f t="shared" si="2"/>
        <v>4023</v>
      </c>
      <c r="W19" s="7">
        <v>5</v>
      </c>
      <c r="X19" s="15" t="s">
        <v>46</v>
      </c>
      <c r="Y19" s="54" t="s">
        <v>86</v>
      </c>
      <c r="Z19" s="54" t="s">
        <v>55</v>
      </c>
      <c r="AA19" s="54" t="s">
        <v>69</v>
      </c>
      <c r="AB19" s="39" t="s">
        <v>158</v>
      </c>
      <c r="AE19" s="35" t="s">
        <v>89</v>
      </c>
      <c r="AP19" s="43" t="s">
        <v>112</v>
      </c>
      <c r="AR19" s="30" t="s">
        <v>126</v>
      </c>
      <c r="AV19" s="23" t="s">
        <v>90</v>
      </c>
    </row>
    <row r="20" spans="1:48" x14ac:dyDescent="0.15">
      <c r="A20" s="15" t="s">
        <v>156</v>
      </c>
      <c r="B20" s="15" t="s">
        <v>157</v>
      </c>
      <c r="C20" s="15">
        <v>2019</v>
      </c>
      <c r="D20" s="37" t="s">
        <v>166</v>
      </c>
      <c r="E20" s="15" t="s">
        <v>143</v>
      </c>
      <c r="F20" s="7" t="s">
        <v>152</v>
      </c>
      <c r="G20" s="7" t="s">
        <v>36</v>
      </c>
      <c r="H20" s="15" t="s">
        <v>164</v>
      </c>
      <c r="I20" s="7" t="s">
        <v>159</v>
      </c>
      <c r="J20" s="15" t="s">
        <v>38</v>
      </c>
      <c r="K20" s="7" t="s">
        <v>161</v>
      </c>
      <c r="L20" s="7">
        <v>1</v>
      </c>
      <c r="N20" s="7">
        <v>1</v>
      </c>
      <c r="O20" s="7">
        <v>1.6</v>
      </c>
      <c r="P20" s="34">
        <v>1.75</v>
      </c>
      <c r="Q20" s="52">
        <f t="shared" si="0"/>
        <v>1.675</v>
      </c>
      <c r="R20" s="7">
        <v>15.9</v>
      </c>
      <c r="S20" s="7">
        <v>121</v>
      </c>
      <c r="T20" s="16">
        <f t="shared" si="1"/>
        <v>27</v>
      </c>
      <c r="U20" s="7">
        <v>105</v>
      </c>
      <c r="V20" s="16">
        <f t="shared" si="2"/>
        <v>2835</v>
      </c>
      <c r="W20" s="7">
        <v>2</v>
      </c>
      <c r="X20" s="15" t="s">
        <v>46</v>
      </c>
      <c r="Y20" s="54" t="s">
        <v>55</v>
      </c>
      <c r="Z20" s="54" t="s">
        <v>97</v>
      </c>
      <c r="AA20" s="54" t="s">
        <v>86</v>
      </c>
      <c r="AB20" s="39" t="s">
        <v>158</v>
      </c>
      <c r="AE20" s="22"/>
      <c r="AP20" s="43" t="s">
        <v>113</v>
      </c>
      <c r="AR20" s="41" t="s">
        <v>105</v>
      </c>
      <c r="AV20" s="27" t="s">
        <v>135</v>
      </c>
    </row>
    <row r="21" spans="1:48" x14ac:dyDescent="0.15">
      <c r="A21" s="15" t="s">
        <v>156</v>
      </c>
      <c r="B21" s="15" t="s">
        <v>157</v>
      </c>
      <c r="C21" s="15">
        <v>2019</v>
      </c>
      <c r="D21" s="37" t="s">
        <v>166</v>
      </c>
      <c r="E21" s="15" t="s">
        <v>143</v>
      </c>
      <c r="F21" s="7" t="s">
        <v>152</v>
      </c>
      <c r="G21" s="7" t="s">
        <v>36</v>
      </c>
      <c r="H21" s="15" t="s">
        <v>164</v>
      </c>
      <c r="I21" s="7" t="s">
        <v>159</v>
      </c>
      <c r="J21" s="15" t="s">
        <v>38</v>
      </c>
      <c r="K21" s="7" t="s">
        <v>161</v>
      </c>
      <c r="L21" s="7">
        <v>2</v>
      </c>
      <c r="N21" s="7">
        <v>1</v>
      </c>
      <c r="O21" s="7">
        <v>1.25</v>
      </c>
      <c r="P21" s="7">
        <v>1.35</v>
      </c>
      <c r="Q21" s="52">
        <f t="shared" si="0"/>
        <v>1.3</v>
      </c>
      <c r="R21" s="7">
        <v>13.8</v>
      </c>
      <c r="S21" s="7">
        <v>115</v>
      </c>
      <c r="T21" s="16">
        <f t="shared" si="1"/>
        <v>30</v>
      </c>
      <c r="U21" s="7">
        <v>105</v>
      </c>
      <c r="V21" s="16">
        <f t="shared" si="2"/>
        <v>3150</v>
      </c>
      <c r="W21" s="7">
        <v>2</v>
      </c>
      <c r="X21" s="15" t="s">
        <v>46</v>
      </c>
      <c r="Y21" s="54" t="s">
        <v>55</v>
      </c>
      <c r="Z21" s="54" t="s">
        <v>97</v>
      </c>
      <c r="AA21" s="54" t="s">
        <v>86</v>
      </c>
      <c r="AB21" s="39" t="s">
        <v>158</v>
      </c>
      <c r="AE21" s="22"/>
      <c r="AP21" s="43" t="s">
        <v>114</v>
      </c>
      <c r="AR21" s="41" t="s">
        <v>68</v>
      </c>
      <c r="AV21" s="27" t="s">
        <v>136</v>
      </c>
    </row>
    <row r="22" spans="1:48" x14ac:dyDescent="0.15">
      <c r="A22" s="15" t="s">
        <v>156</v>
      </c>
      <c r="B22" s="15" t="s">
        <v>157</v>
      </c>
      <c r="C22" s="15">
        <v>2019</v>
      </c>
      <c r="D22" s="37" t="s">
        <v>166</v>
      </c>
      <c r="E22" s="15" t="s">
        <v>143</v>
      </c>
      <c r="F22" s="7" t="s">
        <v>152</v>
      </c>
      <c r="G22" s="7" t="s">
        <v>36</v>
      </c>
      <c r="H22" s="15" t="s">
        <v>164</v>
      </c>
      <c r="I22" s="7" t="s">
        <v>159</v>
      </c>
      <c r="J22" s="15" t="s">
        <v>38</v>
      </c>
      <c r="K22" s="7" t="s">
        <v>161</v>
      </c>
      <c r="L22" s="7">
        <v>3</v>
      </c>
      <c r="N22" s="7">
        <v>1</v>
      </c>
      <c r="O22" s="34">
        <v>1.5</v>
      </c>
      <c r="P22" s="7">
        <v>1.55</v>
      </c>
      <c r="Q22" s="52">
        <f t="shared" si="0"/>
        <v>1.5249999999999999</v>
      </c>
      <c r="R22" s="7">
        <v>15.9</v>
      </c>
      <c r="S22" s="7">
        <v>125</v>
      </c>
      <c r="T22" s="16">
        <f t="shared" si="1"/>
        <v>27</v>
      </c>
      <c r="U22" s="7">
        <v>105</v>
      </c>
      <c r="V22" s="16">
        <f t="shared" si="2"/>
        <v>2835</v>
      </c>
      <c r="W22" s="7">
        <v>2</v>
      </c>
      <c r="X22" s="15" t="s">
        <v>46</v>
      </c>
      <c r="Y22" s="54" t="s">
        <v>55</v>
      </c>
      <c r="Z22" s="54" t="s">
        <v>97</v>
      </c>
      <c r="AA22" s="54" t="s">
        <v>86</v>
      </c>
      <c r="AB22" s="39" t="s">
        <v>158</v>
      </c>
      <c r="AE22" s="35"/>
      <c r="AP22" s="43" t="s">
        <v>115</v>
      </c>
      <c r="AR22" s="41" t="s">
        <v>83</v>
      </c>
      <c r="AV22" s="27"/>
    </row>
    <row r="23" spans="1:48" x14ac:dyDescent="0.15">
      <c r="A23" s="15" t="s">
        <v>156</v>
      </c>
      <c r="B23" s="15" t="s">
        <v>157</v>
      </c>
      <c r="C23" s="15">
        <v>2019</v>
      </c>
      <c r="D23" s="37" t="s">
        <v>166</v>
      </c>
      <c r="E23" s="7" t="s">
        <v>143</v>
      </c>
      <c r="F23" s="7" t="s">
        <v>152</v>
      </c>
      <c r="G23" s="7" t="s">
        <v>36</v>
      </c>
      <c r="H23" s="15" t="s">
        <v>160</v>
      </c>
      <c r="I23" s="7" t="s">
        <v>159</v>
      </c>
      <c r="J23" s="15" t="s">
        <v>38</v>
      </c>
      <c r="K23" s="7" t="s">
        <v>161</v>
      </c>
      <c r="L23" s="7">
        <v>1</v>
      </c>
      <c r="N23" s="7">
        <v>1</v>
      </c>
      <c r="O23" s="34">
        <v>1</v>
      </c>
      <c r="P23" s="7">
        <v>0.75</v>
      </c>
      <c r="Q23" s="52">
        <f t="shared" si="0"/>
        <v>0.875</v>
      </c>
      <c r="R23" s="7">
        <v>20.100000000000001</v>
      </c>
      <c r="S23" s="7">
        <v>124</v>
      </c>
      <c r="T23" s="16">
        <f t="shared" si="1"/>
        <v>27</v>
      </c>
      <c r="U23" s="7">
        <v>138</v>
      </c>
      <c r="V23" s="16">
        <f t="shared" si="2"/>
        <v>3726</v>
      </c>
      <c r="W23" s="7">
        <v>10</v>
      </c>
      <c r="X23" s="15" t="s">
        <v>46</v>
      </c>
      <c r="Y23" s="54" t="s">
        <v>55</v>
      </c>
      <c r="Z23" s="54" t="s">
        <v>97</v>
      </c>
      <c r="AA23" s="54" t="s">
        <v>86</v>
      </c>
      <c r="AB23" s="39" t="s">
        <v>158</v>
      </c>
      <c r="AE23" s="22"/>
      <c r="AP23" s="43" t="s">
        <v>137</v>
      </c>
      <c r="AR23" s="41" t="s">
        <v>61</v>
      </c>
      <c r="AV23" s="27"/>
    </row>
    <row r="24" spans="1:48" x14ac:dyDescent="0.15">
      <c r="A24" s="15" t="s">
        <v>156</v>
      </c>
      <c r="B24" s="15" t="s">
        <v>157</v>
      </c>
      <c r="C24" s="15">
        <v>2019</v>
      </c>
      <c r="D24" s="37" t="s">
        <v>166</v>
      </c>
      <c r="E24" s="7" t="s">
        <v>143</v>
      </c>
      <c r="F24" s="7" t="s">
        <v>152</v>
      </c>
      <c r="G24" s="7" t="s">
        <v>36</v>
      </c>
      <c r="H24" s="15" t="s">
        <v>160</v>
      </c>
      <c r="I24" s="7" t="s">
        <v>159</v>
      </c>
      <c r="J24" s="15" t="s">
        <v>38</v>
      </c>
      <c r="K24" s="7" t="s">
        <v>161</v>
      </c>
      <c r="L24" s="7">
        <v>2</v>
      </c>
      <c r="N24" s="7">
        <v>1</v>
      </c>
      <c r="O24" s="7">
        <v>1.55</v>
      </c>
      <c r="P24" s="7">
        <v>2</v>
      </c>
      <c r="Q24" s="52">
        <f t="shared" si="0"/>
        <v>1.7749999999999999</v>
      </c>
      <c r="R24" s="7">
        <v>17.899999999999999</v>
      </c>
      <c r="S24" s="7">
        <v>121</v>
      </c>
      <c r="T24" s="16">
        <f t="shared" si="1"/>
        <v>27</v>
      </c>
      <c r="U24" s="7">
        <v>138</v>
      </c>
      <c r="V24" s="16">
        <f t="shared" si="2"/>
        <v>3726</v>
      </c>
      <c r="W24" s="7">
        <v>10</v>
      </c>
      <c r="X24" s="15" t="s">
        <v>46</v>
      </c>
      <c r="Y24" s="54" t="s">
        <v>55</v>
      </c>
      <c r="Z24" s="54" t="s">
        <v>97</v>
      </c>
      <c r="AA24" s="54" t="s">
        <v>86</v>
      </c>
      <c r="AB24" s="39" t="s">
        <v>158</v>
      </c>
      <c r="AE24" s="22"/>
      <c r="AP24" s="43" t="s">
        <v>138</v>
      </c>
      <c r="AR24" s="41" t="s">
        <v>91</v>
      </c>
      <c r="AV24" s="27"/>
    </row>
    <row r="25" spans="1:48" x14ac:dyDescent="0.15">
      <c r="A25" s="15" t="s">
        <v>156</v>
      </c>
      <c r="B25" s="15" t="s">
        <v>157</v>
      </c>
      <c r="C25" s="15">
        <v>2019</v>
      </c>
      <c r="D25" s="37" t="s">
        <v>166</v>
      </c>
      <c r="E25" s="7" t="s">
        <v>143</v>
      </c>
      <c r="F25" s="7" t="s">
        <v>152</v>
      </c>
      <c r="G25" s="7" t="s">
        <v>36</v>
      </c>
      <c r="H25" s="15" t="s">
        <v>160</v>
      </c>
      <c r="I25" s="7" t="s">
        <v>159</v>
      </c>
      <c r="J25" s="15" t="s">
        <v>38</v>
      </c>
      <c r="K25" s="7" t="s">
        <v>161</v>
      </c>
      <c r="L25" s="7">
        <v>3</v>
      </c>
      <c r="N25" s="7">
        <v>1</v>
      </c>
      <c r="O25" s="7">
        <v>1.3</v>
      </c>
      <c r="P25" s="7">
        <v>1.1000000000000001</v>
      </c>
      <c r="Q25" s="52">
        <f t="shared" si="0"/>
        <v>1.2000000000000002</v>
      </c>
      <c r="R25" s="7">
        <v>20.6</v>
      </c>
      <c r="S25" s="7">
        <v>121</v>
      </c>
      <c r="T25" s="16">
        <f t="shared" si="1"/>
        <v>27</v>
      </c>
      <c r="U25" s="7">
        <v>138</v>
      </c>
      <c r="V25" s="16">
        <f t="shared" si="2"/>
        <v>3726</v>
      </c>
      <c r="W25" s="7">
        <v>10</v>
      </c>
      <c r="X25" s="15" t="s">
        <v>46</v>
      </c>
      <c r="Y25" s="54" t="s">
        <v>55</v>
      </c>
      <c r="Z25" s="54" t="s">
        <v>97</v>
      </c>
      <c r="AA25" s="54" t="s">
        <v>86</v>
      </c>
      <c r="AB25" s="39" t="s">
        <v>158</v>
      </c>
      <c r="AE25" s="35"/>
      <c r="AP25" s="43" t="s">
        <v>116</v>
      </c>
      <c r="AR25" s="42" t="s">
        <v>92</v>
      </c>
      <c r="AV25" s="27"/>
    </row>
    <row r="26" spans="1:48" x14ac:dyDescent="0.15">
      <c r="A26" s="15" t="s">
        <v>156</v>
      </c>
      <c r="B26" s="15" t="s">
        <v>157</v>
      </c>
      <c r="C26" s="15">
        <v>2019</v>
      </c>
      <c r="D26" s="37" t="s">
        <v>166</v>
      </c>
      <c r="E26" s="7" t="s">
        <v>131</v>
      </c>
      <c r="F26" s="7" t="s">
        <v>144</v>
      </c>
      <c r="G26" s="7" t="s">
        <v>36</v>
      </c>
      <c r="H26" s="15" t="s">
        <v>164</v>
      </c>
      <c r="I26" s="7" t="s">
        <v>159</v>
      </c>
      <c r="J26" s="15" t="s">
        <v>38</v>
      </c>
      <c r="K26" s="7" t="s">
        <v>161</v>
      </c>
      <c r="L26" s="7">
        <v>1</v>
      </c>
      <c r="N26" s="53">
        <v>1</v>
      </c>
      <c r="O26" s="7">
        <v>1</v>
      </c>
      <c r="P26" s="7">
        <v>1.25</v>
      </c>
      <c r="Q26" s="52">
        <f t="shared" si="0"/>
        <v>1.125</v>
      </c>
      <c r="R26" s="7">
        <v>15.6</v>
      </c>
      <c r="S26" s="7">
        <v>118</v>
      </c>
      <c r="T26" s="16">
        <f t="shared" si="1"/>
        <v>30</v>
      </c>
      <c r="U26" s="7">
        <v>138</v>
      </c>
      <c r="V26" s="16">
        <f t="shared" si="2"/>
        <v>4140</v>
      </c>
      <c r="W26" s="7">
        <v>6</v>
      </c>
      <c r="X26" s="15" t="s">
        <v>46</v>
      </c>
      <c r="Y26" s="54" t="s">
        <v>55</v>
      </c>
      <c r="Z26" s="54" t="s">
        <v>90</v>
      </c>
      <c r="AA26" s="54" t="s">
        <v>69</v>
      </c>
      <c r="AB26" s="39" t="s">
        <v>158</v>
      </c>
      <c r="AE26" s="35"/>
      <c r="AP26" s="43" t="s">
        <v>117</v>
      </c>
      <c r="AR26" s="23" t="s">
        <v>153</v>
      </c>
      <c r="AV26" s="28"/>
    </row>
    <row r="27" spans="1:48" x14ac:dyDescent="0.15">
      <c r="A27" s="15" t="s">
        <v>156</v>
      </c>
      <c r="B27" s="15" t="s">
        <v>157</v>
      </c>
      <c r="C27" s="15">
        <v>2019</v>
      </c>
      <c r="D27" s="37" t="s">
        <v>166</v>
      </c>
      <c r="E27" s="7" t="s">
        <v>131</v>
      </c>
      <c r="F27" s="7" t="s">
        <v>144</v>
      </c>
      <c r="G27" s="7" t="s">
        <v>36</v>
      </c>
      <c r="H27" s="54" t="s">
        <v>164</v>
      </c>
      <c r="I27" s="7" t="s">
        <v>159</v>
      </c>
      <c r="J27" s="15" t="s">
        <v>38</v>
      </c>
      <c r="K27" s="7" t="s">
        <v>161</v>
      </c>
      <c r="L27" s="7">
        <v>2</v>
      </c>
      <c r="N27" s="53">
        <v>1</v>
      </c>
      <c r="O27" s="7">
        <v>1.5</v>
      </c>
      <c r="P27" s="7">
        <v>1.5</v>
      </c>
      <c r="Q27" s="52">
        <f t="shared" si="0"/>
        <v>1.5</v>
      </c>
      <c r="R27" s="7">
        <v>12.2</v>
      </c>
      <c r="S27" s="7">
        <v>122</v>
      </c>
      <c r="T27" s="16">
        <f t="shared" si="1"/>
        <v>27</v>
      </c>
      <c r="U27" s="7">
        <v>138</v>
      </c>
      <c r="V27" s="16">
        <f t="shared" si="2"/>
        <v>3726</v>
      </c>
      <c r="W27" s="7">
        <v>6</v>
      </c>
      <c r="X27" s="15" t="s">
        <v>46</v>
      </c>
      <c r="Y27" s="54" t="s">
        <v>55</v>
      </c>
      <c r="Z27" s="54" t="s">
        <v>90</v>
      </c>
      <c r="AA27" s="54" t="s">
        <v>69</v>
      </c>
      <c r="AB27" s="39" t="s">
        <v>158</v>
      </c>
      <c r="AE27" s="28"/>
      <c r="AP27" s="43" t="s">
        <v>118</v>
      </c>
      <c r="AR27" s="23"/>
    </row>
    <row r="28" spans="1:48" x14ac:dyDescent="0.15">
      <c r="A28" s="15" t="s">
        <v>156</v>
      </c>
      <c r="B28" s="15" t="s">
        <v>157</v>
      </c>
      <c r="C28" s="15">
        <v>2019</v>
      </c>
      <c r="D28" s="37" t="s">
        <v>166</v>
      </c>
      <c r="E28" s="7" t="s">
        <v>131</v>
      </c>
      <c r="F28" s="7" t="s">
        <v>144</v>
      </c>
      <c r="G28" s="7" t="s">
        <v>36</v>
      </c>
      <c r="H28" s="54" t="s">
        <v>164</v>
      </c>
      <c r="I28" s="7" t="s">
        <v>159</v>
      </c>
      <c r="J28" s="15" t="s">
        <v>38</v>
      </c>
      <c r="K28" s="7" t="s">
        <v>161</v>
      </c>
      <c r="L28" s="7">
        <v>3</v>
      </c>
      <c r="N28" s="53">
        <v>1</v>
      </c>
      <c r="O28" s="7">
        <v>2</v>
      </c>
      <c r="P28" s="7">
        <v>1.95</v>
      </c>
      <c r="Q28" s="52">
        <f t="shared" si="0"/>
        <v>1.9750000000000001</v>
      </c>
      <c r="R28" s="7">
        <v>15.6</v>
      </c>
      <c r="S28" s="7">
        <v>115</v>
      </c>
      <c r="T28" s="16">
        <f t="shared" si="1"/>
        <v>30</v>
      </c>
      <c r="U28" s="7">
        <v>138</v>
      </c>
      <c r="V28" s="16">
        <f t="shared" si="2"/>
        <v>4140</v>
      </c>
      <c r="W28" s="7">
        <v>6</v>
      </c>
      <c r="X28" s="15" t="s">
        <v>46</v>
      </c>
      <c r="Y28" s="54" t="s">
        <v>55</v>
      </c>
      <c r="Z28" s="54" t="s">
        <v>90</v>
      </c>
      <c r="AA28" s="54" t="s">
        <v>69</v>
      </c>
      <c r="AB28" s="39" t="s">
        <v>158</v>
      </c>
      <c r="AP28" s="27"/>
      <c r="AR28" s="23"/>
    </row>
    <row r="29" spans="1:48" x14ac:dyDescent="0.15">
      <c r="A29" s="15" t="s">
        <v>156</v>
      </c>
      <c r="B29" s="15" t="s">
        <v>157</v>
      </c>
      <c r="C29" s="15">
        <v>2019</v>
      </c>
      <c r="D29" s="37" t="s">
        <v>166</v>
      </c>
      <c r="E29" s="7" t="s">
        <v>131</v>
      </c>
      <c r="F29" s="7" t="s">
        <v>144</v>
      </c>
      <c r="G29" s="7" t="s">
        <v>36</v>
      </c>
      <c r="H29" s="54" t="s">
        <v>160</v>
      </c>
      <c r="I29" s="7" t="s">
        <v>159</v>
      </c>
      <c r="J29" s="15" t="s">
        <v>38</v>
      </c>
      <c r="K29" s="7" t="s">
        <v>161</v>
      </c>
      <c r="L29" s="7">
        <v>1</v>
      </c>
      <c r="N29" s="53">
        <v>1</v>
      </c>
      <c r="O29" s="7">
        <v>1.1000000000000001</v>
      </c>
      <c r="P29" s="7">
        <v>1</v>
      </c>
      <c r="Q29" s="52">
        <f t="shared" si="0"/>
        <v>1.05</v>
      </c>
      <c r="R29" s="7">
        <v>17.399999999999999</v>
      </c>
      <c r="S29" s="7">
        <v>120</v>
      </c>
      <c r="T29" s="16">
        <f t="shared" si="1"/>
        <v>30</v>
      </c>
      <c r="U29" s="7">
        <v>138</v>
      </c>
      <c r="V29" s="16">
        <f t="shared" si="2"/>
        <v>4140</v>
      </c>
      <c r="W29" s="7">
        <v>8</v>
      </c>
      <c r="X29" s="15" t="s">
        <v>46</v>
      </c>
      <c r="Y29" s="54" t="s">
        <v>55</v>
      </c>
      <c r="Z29" s="54" t="s">
        <v>90</v>
      </c>
      <c r="AA29" s="54" t="s">
        <v>69</v>
      </c>
      <c r="AB29" s="39" t="s">
        <v>158</v>
      </c>
      <c r="AP29" s="27"/>
      <c r="AR29" s="27"/>
      <c r="AV29" s="28"/>
    </row>
    <row r="30" spans="1:48" x14ac:dyDescent="0.15">
      <c r="A30" s="15" t="s">
        <v>156</v>
      </c>
      <c r="B30" s="15" t="s">
        <v>157</v>
      </c>
      <c r="C30" s="15">
        <v>2019</v>
      </c>
      <c r="D30" s="37" t="s">
        <v>166</v>
      </c>
      <c r="E30" s="7" t="s">
        <v>131</v>
      </c>
      <c r="F30" s="7" t="s">
        <v>144</v>
      </c>
      <c r="G30" s="7" t="s">
        <v>36</v>
      </c>
      <c r="H30" s="54" t="s">
        <v>160</v>
      </c>
      <c r="I30" s="53" t="s">
        <v>159</v>
      </c>
      <c r="J30" s="15" t="s">
        <v>38</v>
      </c>
      <c r="K30" s="7" t="s">
        <v>161</v>
      </c>
      <c r="L30" s="7">
        <v>2</v>
      </c>
      <c r="N30" s="7">
        <v>1</v>
      </c>
      <c r="O30" s="7">
        <v>1.2</v>
      </c>
      <c r="P30" s="7">
        <v>1</v>
      </c>
      <c r="Q30" s="52">
        <f t="shared" si="0"/>
        <v>1.1000000000000001</v>
      </c>
      <c r="R30" s="7">
        <v>18.7</v>
      </c>
      <c r="S30" s="7">
        <v>118</v>
      </c>
      <c r="T30" s="16">
        <f t="shared" si="1"/>
        <v>30</v>
      </c>
      <c r="U30" s="7">
        <v>138</v>
      </c>
      <c r="V30" s="16">
        <f t="shared" si="2"/>
        <v>4140</v>
      </c>
      <c r="W30" s="7">
        <v>8</v>
      </c>
      <c r="X30" s="15" t="s">
        <v>46</v>
      </c>
      <c r="Y30" s="54" t="s">
        <v>55</v>
      </c>
      <c r="Z30" s="54" t="s">
        <v>90</v>
      </c>
      <c r="AA30" s="54" t="s">
        <v>69</v>
      </c>
      <c r="AB30" s="39" t="s">
        <v>158</v>
      </c>
      <c r="AP30" s="27"/>
      <c r="AR30" s="27"/>
    </row>
    <row r="31" spans="1:48" x14ac:dyDescent="0.15">
      <c r="A31" s="15" t="s">
        <v>156</v>
      </c>
      <c r="B31" s="15" t="s">
        <v>157</v>
      </c>
      <c r="C31" s="15">
        <v>2019</v>
      </c>
      <c r="D31" s="37" t="s">
        <v>166</v>
      </c>
      <c r="E31" s="7" t="s">
        <v>131</v>
      </c>
      <c r="F31" s="7" t="s">
        <v>144</v>
      </c>
      <c r="G31" s="7" t="s">
        <v>36</v>
      </c>
      <c r="H31" s="54" t="s">
        <v>160</v>
      </c>
      <c r="I31" s="53" t="s">
        <v>159</v>
      </c>
      <c r="J31" s="15" t="s">
        <v>38</v>
      </c>
      <c r="K31" s="7" t="s">
        <v>161</v>
      </c>
      <c r="L31" s="7">
        <v>3</v>
      </c>
      <c r="N31" s="7">
        <v>1</v>
      </c>
      <c r="O31" s="7">
        <v>1.25</v>
      </c>
      <c r="P31" s="7">
        <v>1.25</v>
      </c>
      <c r="Q31" s="52">
        <f t="shared" si="0"/>
        <v>1.25</v>
      </c>
      <c r="R31" s="7">
        <v>18.899999999999999</v>
      </c>
      <c r="S31" s="7">
        <v>114</v>
      </c>
      <c r="T31" s="16">
        <f t="shared" si="1"/>
        <v>30</v>
      </c>
      <c r="U31" s="7">
        <v>138</v>
      </c>
      <c r="V31" s="16">
        <f t="shared" si="2"/>
        <v>4140</v>
      </c>
      <c r="W31" s="7">
        <v>8</v>
      </c>
      <c r="X31" s="15" t="s">
        <v>46</v>
      </c>
      <c r="Y31" s="54" t="s">
        <v>55</v>
      </c>
      <c r="Z31" s="54" t="s">
        <v>90</v>
      </c>
      <c r="AA31" s="54" t="s">
        <v>69</v>
      </c>
      <c r="AB31" s="39" t="s">
        <v>158</v>
      </c>
      <c r="AP31" s="27"/>
      <c r="AR31" s="27"/>
    </row>
    <row r="32" spans="1:48" x14ac:dyDescent="0.15">
      <c r="A32" s="15" t="s">
        <v>156</v>
      </c>
      <c r="B32" s="15" t="s">
        <v>157</v>
      </c>
      <c r="C32" s="15">
        <v>2019</v>
      </c>
      <c r="D32" s="37" t="s">
        <v>166</v>
      </c>
      <c r="E32" s="7" t="s">
        <v>131</v>
      </c>
      <c r="F32" s="7" t="s">
        <v>144</v>
      </c>
      <c r="G32" s="7" t="s">
        <v>36</v>
      </c>
      <c r="H32" s="15" t="s">
        <v>160</v>
      </c>
      <c r="I32" s="7" t="s">
        <v>165</v>
      </c>
      <c r="J32" s="15" t="s">
        <v>38</v>
      </c>
      <c r="K32" s="7" t="s">
        <v>161</v>
      </c>
      <c r="L32" s="7">
        <v>1</v>
      </c>
      <c r="N32" s="7">
        <v>4</v>
      </c>
      <c r="O32" s="7">
        <v>0.5</v>
      </c>
      <c r="P32" s="7">
        <v>0.6</v>
      </c>
      <c r="Q32" s="52">
        <f t="shared" si="0"/>
        <v>0.55000000000000004</v>
      </c>
      <c r="R32" s="7">
        <v>19.399999999999999</v>
      </c>
      <c r="S32" s="7">
        <v>120</v>
      </c>
      <c r="T32" s="16">
        <f t="shared" si="1"/>
        <v>30</v>
      </c>
      <c r="U32" s="7">
        <v>538</v>
      </c>
      <c r="V32" s="16">
        <f t="shared" si="2"/>
        <v>4035</v>
      </c>
      <c r="W32" s="7">
        <v>3</v>
      </c>
      <c r="X32" s="15" t="s">
        <v>46</v>
      </c>
      <c r="Y32" s="54" t="s">
        <v>55</v>
      </c>
      <c r="Z32" s="54" t="s">
        <v>90</v>
      </c>
      <c r="AA32" s="54" t="s">
        <v>69</v>
      </c>
      <c r="AB32" s="39" t="s">
        <v>158</v>
      </c>
      <c r="AP32" s="28"/>
      <c r="AR32" s="28"/>
    </row>
    <row r="33" spans="1:44" x14ac:dyDescent="0.15">
      <c r="A33" s="15" t="s">
        <v>156</v>
      </c>
      <c r="B33" s="15" t="s">
        <v>157</v>
      </c>
      <c r="C33" s="15">
        <v>2019</v>
      </c>
      <c r="D33" s="37" t="s">
        <v>166</v>
      </c>
      <c r="E33" s="7" t="s">
        <v>131</v>
      </c>
      <c r="F33" s="7" t="s">
        <v>144</v>
      </c>
      <c r="G33" s="7" t="s">
        <v>36</v>
      </c>
      <c r="H33" s="15" t="s">
        <v>160</v>
      </c>
      <c r="I33" s="53" t="s">
        <v>165</v>
      </c>
      <c r="J33" s="15" t="s">
        <v>38</v>
      </c>
      <c r="K33" s="7" t="s">
        <v>161</v>
      </c>
      <c r="L33" s="7">
        <v>2</v>
      </c>
      <c r="N33" s="7">
        <v>4</v>
      </c>
      <c r="O33" s="7">
        <v>0.5</v>
      </c>
      <c r="P33" s="7">
        <v>0.6</v>
      </c>
      <c r="Q33" s="52">
        <f t="shared" si="0"/>
        <v>0.55000000000000004</v>
      </c>
      <c r="R33" s="7">
        <v>19.3</v>
      </c>
      <c r="S33" s="7">
        <v>123</v>
      </c>
      <c r="T33" s="16">
        <f t="shared" si="1"/>
        <v>27</v>
      </c>
      <c r="U33" s="7">
        <v>538</v>
      </c>
      <c r="V33" s="16">
        <f t="shared" si="2"/>
        <v>3631.5</v>
      </c>
      <c r="W33" s="7">
        <v>3</v>
      </c>
      <c r="X33" s="15" t="s">
        <v>46</v>
      </c>
      <c r="Y33" s="54" t="s">
        <v>55</v>
      </c>
      <c r="Z33" s="54" t="s">
        <v>90</v>
      </c>
      <c r="AA33" s="54" t="s">
        <v>69</v>
      </c>
      <c r="AB33" s="39" t="s">
        <v>158</v>
      </c>
    </row>
    <row r="34" spans="1:44" x14ac:dyDescent="0.15">
      <c r="A34" s="15" t="s">
        <v>156</v>
      </c>
      <c r="B34" s="15" t="s">
        <v>157</v>
      </c>
      <c r="C34" s="15">
        <v>2019</v>
      </c>
      <c r="D34" s="37" t="s">
        <v>166</v>
      </c>
      <c r="E34" s="7" t="s">
        <v>131</v>
      </c>
      <c r="F34" s="7" t="s">
        <v>144</v>
      </c>
      <c r="G34" s="7" t="s">
        <v>36</v>
      </c>
      <c r="H34" s="15" t="s">
        <v>160</v>
      </c>
      <c r="I34" s="53" t="s">
        <v>165</v>
      </c>
      <c r="J34" s="15" t="s">
        <v>38</v>
      </c>
      <c r="K34" s="7" t="s">
        <v>161</v>
      </c>
      <c r="L34" s="7">
        <v>3</v>
      </c>
      <c r="N34" s="7">
        <v>4</v>
      </c>
      <c r="O34" s="7">
        <v>0.65</v>
      </c>
      <c r="P34" s="7">
        <v>0.5</v>
      </c>
      <c r="Q34" s="52">
        <f t="shared" si="0"/>
        <v>0.57499999999999996</v>
      </c>
      <c r="R34" s="7">
        <v>15.8</v>
      </c>
      <c r="S34" s="7">
        <v>121</v>
      </c>
      <c r="T34" s="16">
        <f t="shared" si="1"/>
        <v>27</v>
      </c>
      <c r="U34" s="7">
        <v>538</v>
      </c>
      <c r="V34" s="16">
        <f t="shared" si="2"/>
        <v>3631.5</v>
      </c>
      <c r="W34" s="7">
        <v>3</v>
      </c>
      <c r="X34" s="15" t="s">
        <v>46</v>
      </c>
      <c r="Y34" s="54" t="s">
        <v>55</v>
      </c>
      <c r="Z34" s="54" t="s">
        <v>90</v>
      </c>
      <c r="AA34" s="54" t="s">
        <v>69</v>
      </c>
      <c r="AB34" s="39" t="s">
        <v>158</v>
      </c>
    </row>
    <row r="35" spans="1:44" x14ac:dyDescent="0.15">
      <c r="A35" s="15" t="s">
        <v>156</v>
      </c>
      <c r="B35" s="15" t="s">
        <v>157</v>
      </c>
      <c r="C35" s="15">
        <v>2019</v>
      </c>
      <c r="D35" s="37" t="s">
        <v>166</v>
      </c>
      <c r="E35" s="7" t="s">
        <v>139</v>
      </c>
      <c r="F35" s="7" t="s">
        <v>145</v>
      </c>
      <c r="G35" s="7" t="s">
        <v>36</v>
      </c>
      <c r="H35" s="15" t="s">
        <v>164</v>
      </c>
      <c r="I35" s="7" t="s">
        <v>159</v>
      </c>
      <c r="J35" s="15" t="s">
        <v>38</v>
      </c>
      <c r="K35" s="7" t="s">
        <v>161</v>
      </c>
      <c r="L35" s="7">
        <v>1</v>
      </c>
      <c r="N35" s="7">
        <v>1</v>
      </c>
      <c r="O35" s="7">
        <v>0.75</v>
      </c>
      <c r="P35" s="7">
        <v>0.75</v>
      </c>
      <c r="Q35" s="52">
        <f t="shared" si="0"/>
        <v>0.75</v>
      </c>
      <c r="R35" s="7">
        <v>14</v>
      </c>
      <c r="S35" s="7">
        <v>115</v>
      </c>
      <c r="T35" s="16">
        <f t="shared" si="1"/>
        <v>30</v>
      </c>
      <c r="U35" s="7">
        <v>100</v>
      </c>
      <c r="V35" s="16">
        <f t="shared" si="2"/>
        <v>3000</v>
      </c>
      <c r="W35" s="7">
        <v>12</v>
      </c>
      <c r="X35" s="15" t="s">
        <v>46</v>
      </c>
      <c r="Y35" s="54" t="s">
        <v>97</v>
      </c>
      <c r="Z35" s="54" t="s">
        <v>86</v>
      </c>
      <c r="AA35" s="54" t="s">
        <v>55</v>
      </c>
      <c r="AB35" s="39" t="s">
        <v>158</v>
      </c>
      <c r="AP35" s="28"/>
      <c r="AR35" s="28"/>
    </row>
    <row r="36" spans="1:44" x14ac:dyDescent="0.15">
      <c r="A36" s="15" t="s">
        <v>156</v>
      </c>
      <c r="B36" s="15" t="s">
        <v>157</v>
      </c>
      <c r="C36" s="15">
        <v>2019</v>
      </c>
      <c r="D36" s="37" t="s">
        <v>166</v>
      </c>
      <c r="E36" s="7" t="s">
        <v>139</v>
      </c>
      <c r="F36" s="7" t="s">
        <v>145</v>
      </c>
      <c r="G36" s="7" t="s">
        <v>36</v>
      </c>
      <c r="H36" s="54" t="s">
        <v>164</v>
      </c>
      <c r="I36" s="7" t="s">
        <v>159</v>
      </c>
      <c r="J36" s="15" t="s">
        <v>38</v>
      </c>
      <c r="K36" s="7" t="s">
        <v>161</v>
      </c>
      <c r="L36" s="7">
        <v>2</v>
      </c>
      <c r="N36" s="7">
        <v>1</v>
      </c>
      <c r="O36" s="7">
        <v>0.6</v>
      </c>
      <c r="P36" s="7">
        <v>0.5</v>
      </c>
      <c r="Q36" s="52">
        <f t="shared" si="0"/>
        <v>0.55000000000000004</v>
      </c>
      <c r="R36" s="7">
        <v>15.3</v>
      </c>
      <c r="S36" s="7">
        <v>118</v>
      </c>
      <c r="T36" s="16">
        <f t="shared" si="1"/>
        <v>30</v>
      </c>
      <c r="U36" s="7">
        <v>100</v>
      </c>
      <c r="V36" s="16">
        <f t="shared" si="2"/>
        <v>3000</v>
      </c>
      <c r="W36" s="7">
        <v>12</v>
      </c>
      <c r="X36" s="15" t="s">
        <v>46</v>
      </c>
      <c r="Y36" s="54" t="s">
        <v>97</v>
      </c>
      <c r="Z36" s="54" t="s">
        <v>86</v>
      </c>
      <c r="AA36" s="54" t="s">
        <v>55</v>
      </c>
      <c r="AB36" s="39" t="s">
        <v>158</v>
      </c>
    </row>
    <row r="37" spans="1:44" x14ac:dyDescent="0.15">
      <c r="A37" s="15" t="s">
        <v>156</v>
      </c>
      <c r="B37" s="15" t="s">
        <v>157</v>
      </c>
      <c r="C37" s="15">
        <v>2019</v>
      </c>
      <c r="D37" s="37" t="s">
        <v>166</v>
      </c>
      <c r="E37" s="7" t="s">
        <v>139</v>
      </c>
      <c r="F37" s="7" t="s">
        <v>145</v>
      </c>
      <c r="G37" s="7" t="s">
        <v>36</v>
      </c>
      <c r="H37" s="54" t="s">
        <v>164</v>
      </c>
      <c r="I37" s="7" t="s">
        <v>159</v>
      </c>
      <c r="J37" s="15" t="s">
        <v>38</v>
      </c>
      <c r="K37" s="7" t="s">
        <v>161</v>
      </c>
      <c r="L37" s="7">
        <v>3</v>
      </c>
      <c r="N37" s="7">
        <v>1</v>
      </c>
      <c r="O37" s="34">
        <v>0.5</v>
      </c>
      <c r="P37" s="34">
        <v>0.55000000000000004</v>
      </c>
      <c r="Q37" s="52">
        <f t="shared" si="0"/>
        <v>0.52500000000000002</v>
      </c>
      <c r="R37" s="7">
        <v>15.5</v>
      </c>
      <c r="S37" s="7">
        <v>113</v>
      </c>
      <c r="T37" s="16">
        <f t="shared" si="1"/>
        <v>30</v>
      </c>
      <c r="U37" s="7">
        <v>100</v>
      </c>
      <c r="V37" s="16">
        <f t="shared" si="2"/>
        <v>3000</v>
      </c>
      <c r="W37" s="7">
        <v>12</v>
      </c>
      <c r="X37" s="15" t="s">
        <v>46</v>
      </c>
      <c r="Y37" s="54" t="s">
        <v>97</v>
      </c>
      <c r="Z37" s="54" t="s">
        <v>86</v>
      </c>
      <c r="AA37" s="54" t="s">
        <v>55</v>
      </c>
      <c r="AB37" s="39" t="s">
        <v>158</v>
      </c>
    </row>
    <row r="38" spans="1:44" x14ac:dyDescent="0.15">
      <c r="A38" s="15" t="s">
        <v>156</v>
      </c>
      <c r="B38" s="15" t="s">
        <v>157</v>
      </c>
      <c r="C38" s="15">
        <v>2019</v>
      </c>
      <c r="D38" s="37" t="s">
        <v>166</v>
      </c>
      <c r="E38" s="7" t="s">
        <v>139</v>
      </c>
      <c r="F38" s="7" t="s">
        <v>145</v>
      </c>
      <c r="G38" s="7" t="s">
        <v>36</v>
      </c>
      <c r="H38" s="15" t="s">
        <v>160</v>
      </c>
      <c r="I38" s="7" t="s">
        <v>159</v>
      </c>
      <c r="J38" s="15" t="s">
        <v>38</v>
      </c>
      <c r="K38" s="7" t="s">
        <v>161</v>
      </c>
      <c r="L38" s="7">
        <v>1</v>
      </c>
      <c r="N38" s="53">
        <v>1</v>
      </c>
      <c r="O38" s="34">
        <v>0.85</v>
      </c>
      <c r="P38" s="34">
        <v>0.95</v>
      </c>
      <c r="Q38" s="52">
        <f t="shared" si="0"/>
        <v>0.89999999999999991</v>
      </c>
      <c r="R38" s="7">
        <v>17</v>
      </c>
      <c r="S38" s="7">
        <v>107</v>
      </c>
      <c r="T38" s="16">
        <f t="shared" si="1"/>
        <v>33</v>
      </c>
      <c r="U38" s="7">
        <v>100</v>
      </c>
      <c r="V38" s="16">
        <f t="shared" si="2"/>
        <v>3300</v>
      </c>
      <c r="W38" s="7">
        <v>12</v>
      </c>
      <c r="X38" s="15" t="s">
        <v>46</v>
      </c>
      <c r="Y38" s="54" t="s">
        <v>97</v>
      </c>
      <c r="Z38" s="54" t="s">
        <v>86</v>
      </c>
      <c r="AA38" s="54" t="s">
        <v>55</v>
      </c>
      <c r="AB38" s="39" t="s">
        <v>158</v>
      </c>
    </row>
    <row r="39" spans="1:44" x14ac:dyDescent="0.15">
      <c r="A39" s="15" t="s">
        <v>156</v>
      </c>
      <c r="B39" s="15" t="s">
        <v>157</v>
      </c>
      <c r="C39" s="15">
        <v>2019</v>
      </c>
      <c r="D39" s="37" t="s">
        <v>166</v>
      </c>
      <c r="E39" s="7" t="s">
        <v>139</v>
      </c>
      <c r="F39" s="7" t="s">
        <v>145</v>
      </c>
      <c r="G39" s="7" t="s">
        <v>36</v>
      </c>
      <c r="H39" s="54" t="s">
        <v>160</v>
      </c>
      <c r="I39" s="7" t="s">
        <v>159</v>
      </c>
      <c r="J39" s="15" t="s">
        <v>38</v>
      </c>
      <c r="K39" s="7" t="s">
        <v>161</v>
      </c>
      <c r="L39" s="7">
        <v>2</v>
      </c>
      <c r="N39" s="53">
        <v>1</v>
      </c>
      <c r="O39" s="7">
        <v>0.85</v>
      </c>
      <c r="P39" s="7">
        <v>0.8</v>
      </c>
      <c r="Q39" s="52">
        <f t="shared" si="0"/>
        <v>0.82499999999999996</v>
      </c>
      <c r="R39" s="34">
        <v>17.399999999999999</v>
      </c>
      <c r="S39" s="7">
        <v>123</v>
      </c>
      <c r="T39" s="16">
        <f t="shared" si="1"/>
        <v>27</v>
      </c>
      <c r="U39" s="7">
        <v>100</v>
      </c>
      <c r="V39" s="16">
        <f t="shared" si="2"/>
        <v>2700</v>
      </c>
      <c r="W39" s="7">
        <v>12</v>
      </c>
      <c r="X39" s="15" t="s">
        <v>46</v>
      </c>
      <c r="Y39" s="54" t="s">
        <v>97</v>
      </c>
      <c r="Z39" s="54" t="s">
        <v>86</v>
      </c>
      <c r="AA39" s="54" t="s">
        <v>55</v>
      </c>
      <c r="AB39" s="39" t="s">
        <v>158</v>
      </c>
    </row>
    <row r="40" spans="1:44" x14ac:dyDescent="0.15">
      <c r="A40" s="15" t="s">
        <v>156</v>
      </c>
      <c r="B40" s="15" t="s">
        <v>157</v>
      </c>
      <c r="C40" s="15">
        <v>2019</v>
      </c>
      <c r="D40" s="37" t="s">
        <v>166</v>
      </c>
      <c r="E40" s="7" t="s">
        <v>139</v>
      </c>
      <c r="F40" s="7" t="s">
        <v>145</v>
      </c>
      <c r="G40" s="7" t="s">
        <v>36</v>
      </c>
      <c r="H40" s="54" t="s">
        <v>160</v>
      </c>
      <c r="I40" s="7" t="s">
        <v>159</v>
      </c>
      <c r="J40" s="15" t="s">
        <v>38</v>
      </c>
      <c r="K40" s="7" t="s">
        <v>161</v>
      </c>
      <c r="L40" s="7">
        <v>3</v>
      </c>
      <c r="N40" s="53">
        <v>1</v>
      </c>
      <c r="O40" s="7">
        <v>0.8</v>
      </c>
      <c r="P40" s="7">
        <v>0.65</v>
      </c>
      <c r="Q40" s="52">
        <f t="shared" si="0"/>
        <v>0.72500000000000009</v>
      </c>
      <c r="R40" s="7">
        <v>19.600000000000001</v>
      </c>
      <c r="S40" s="7">
        <v>119</v>
      </c>
      <c r="T40" s="16">
        <f t="shared" si="1"/>
        <v>30</v>
      </c>
      <c r="U40" s="7">
        <v>100</v>
      </c>
      <c r="V40" s="16">
        <f t="shared" si="2"/>
        <v>3000</v>
      </c>
      <c r="W40" s="7">
        <v>12</v>
      </c>
      <c r="X40" s="15" t="s">
        <v>46</v>
      </c>
      <c r="Y40" s="54" t="s">
        <v>97</v>
      </c>
      <c r="Z40" s="54" t="s">
        <v>86</v>
      </c>
      <c r="AA40" s="54" t="s">
        <v>55</v>
      </c>
      <c r="AB40" s="39" t="s">
        <v>158</v>
      </c>
    </row>
    <row r="41" spans="1:44" ht="12.75" customHeight="1" x14ac:dyDescent="0.15">
      <c r="A41" s="15" t="s">
        <v>156</v>
      </c>
      <c r="B41" s="15" t="s">
        <v>157</v>
      </c>
      <c r="C41" s="15">
        <v>2019</v>
      </c>
      <c r="D41" s="37" t="s">
        <v>166</v>
      </c>
      <c r="E41" s="7" t="s">
        <v>162</v>
      </c>
      <c r="F41" s="7" t="s">
        <v>163</v>
      </c>
      <c r="G41" s="7" t="s">
        <v>36</v>
      </c>
      <c r="H41" s="15" t="s">
        <v>164</v>
      </c>
      <c r="I41" s="7" t="s">
        <v>159</v>
      </c>
      <c r="J41" s="15" t="s">
        <v>38</v>
      </c>
      <c r="K41" s="7" t="s">
        <v>161</v>
      </c>
      <c r="L41" s="7">
        <v>1</v>
      </c>
      <c r="N41" s="7">
        <v>1</v>
      </c>
      <c r="O41" s="7">
        <v>1.45</v>
      </c>
      <c r="P41" s="7">
        <v>1.25</v>
      </c>
      <c r="Q41" s="52">
        <f t="shared" si="0"/>
        <v>1.35</v>
      </c>
      <c r="R41" s="7">
        <v>14.2</v>
      </c>
      <c r="S41" s="7">
        <v>117</v>
      </c>
      <c r="T41" s="16">
        <f t="shared" si="1"/>
        <v>30</v>
      </c>
      <c r="U41" s="7">
        <v>128</v>
      </c>
      <c r="V41" s="16">
        <f t="shared" si="2"/>
        <v>3840</v>
      </c>
      <c r="W41" s="7">
        <v>8</v>
      </c>
      <c r="X41" s="15" t="s">
        <v>46</v>
      </c>
      <c r="Y41" s="54" t="s">
        <v>97</v>
      </c>
      <c r="Z41" s="54" t="s">
        <v>55</v>
      </c>
      <c r="AA41" s="54" t="s">
        <v>78</v>
      </c>
      <c r="AB41" s="39" t="s">
        <v>158</v>
      </c>
    </row>
    <row r="42" spans="1:44" x14ac:dyDescent="0.15">
      <c r="A42" s="15" t="s">
        <v>156</v>
      </c>
      <c r="B42" s="15" t="s">
        <v>157</v>
      </c>
      <c r="C42" s="15">
        <v>2019</v>
      </c>
      <c r="D42" s="37" t="s">
        <v>166</v>
      </c>
      <c r="E42" s="7" t="s">
        <v>162</v>
      </c>
      <c r="F42" s="7" t="s">
        <v>163</v>
      </c>
      <c r="G42" s="7" t="s">
        <v>36</v>
      </c>
      <c r="H42" s="54" t="s">
        <v>164</v>
      </c>
      <c r="I42" s="7" t="s">
        <v>159</v>
      </c>
      <c r="J42" s="15" t="s">
        <v>38</v>
      </c>
      <c r="K42" s="7" t="s">
        <v>161</v>
      </c>
      <c r="L42" s="7">
        <v>2</v>
      </c>
      <c r="N42" s="7">
        <v>1</v>
      </c>
      <c r="O42" s="7">
        <v>1.35</v>
      </c>
      <c r="P42" s="7">
        <v>1.45</v>
      </c>
      <c r="Q42" s="52">
        <f t="shared" si="0"/>
        <v>1.4</v>
      </c>
      <c r="R42" s="7">
        <v>13.9</v>
      </c>
      <c r="S42" s="7">
        <v>121</v>
      </c>
      <c r="T42" s="16">
        <f t="shared" si="1"/>
        <v>27</v>
      </c>
      <c r="U42" s="7">
        <v>128</v>
      </c>
      <c r="V42" s="16">
        <f t="shared" si="2"/>
        <v>3456</v>
      </c>
      <c r="W42" s="7">
        <v>8</v>
      </c>
      <c r="X42" s="15" t="s">
        <v>46</v>
      </c>
      <c r="Y42" s="54" t="s">
        <v>97</v>
      </c>
      <c r="Z42" s="54" t="s">
        <v>55</v>
      </c>
      <c r="AA42" s="54" t="s">
        <v>78</v>
      </c>
      <c r="AB42" s="39" t="s">
        <v>158</v>
      </c>
    </row>
    <row r="43" spans="1:44" x14ac:dyDescent="0.15">
      <c r="A43" s="15" t="s">
        <v>156</v>
      </c>
      <c r="B43" s="15" t="s">
        <v>157</v>
      </c>
      <c r="C43" s="15">
        <v>2019</v>
      </c>
      <c r="D43" s="37" t="s">
        <v>166</v>
      </c>
      <c r="E43" s="7" t="s">
        <v>162</v>
      </c>
      <c r="F43" s="7" t="s">
        <v>163</v>
      </c>
      <c r="G43" s="7" t="s">
        <v>36</v>
      </c>
      <c r="H43" s="54" t="s">
        <v>164</v>
      </c>
      <c r="I43" s="7" t="s">
        <v>159</v>
      </c>
      <c r="J43" s="15" t="s">
        <v>38</v>
      </c>
      <c r="K43" s="7" t="s">
        <v>161</v>
      </c>
      <c r="L43" s="7">
        <v>3</v>
      </c>
      <c r="N43" s="7">
        <v>1</v>
      </c>
      <c r="O43" s="7">
        <v>0.9</v>
      </c>
      <c r="P43" s="7">
        <v>1.1499999999999999</v>
      </c>
      <c r="Q43" s="52">
        <f t="shared" si="0"/>
        <v>1.0249999999999999</v>
      </c>
      <c r="R43" s="7">
        <v>13.9</v>
      </c>
      <c r="S43" s="7">
        <v>122</v>
      </c>
      <c r="T43" s="16">
        <f t="shared" si="1"/>
        <v>27</v>
      </c>
      <c r="U43" s="7">
        <v>128</v>
      </c>
      <c r="V43" s="16">
        <f t="shared" si="2"/>
        <v>3456</v>
      </c>
      <c r="W43" s="7">
        <v>8</v>
      </c>
      <c r="X43" s="15" t="s">
        <v>46</v>
      </c>
      <c r="Y43" s="54" t="s">
        <v>97</v>
      </c>
      <c r="Z43" s="54" t="s">
        <v>55</v>
      </c>
      <c r="AA43" s="54" t="s">
        <v>78</v>
      </c>
      <c r="AB43" s="39" t="s">
        <v>158</v>
      </c>
    </row>
    <row r="44" spans="1:44" x14ac:dyDescent="0.15">
      <c r="A44" s="15" t="s">
        <v>156</v>
      </c>
      <c r="B44" s="15" t="s">
        <v>157</v>
      </c>
      <c r="C44" s="15">
        <v>2019</v>
      </c>
      <c r="D44" s="37" t="s">
        <v>166</v>
      </c>
      <c r="E44" s="7" t="s">
        <v>162</v>
      </c>
      <c r="F44" s="7" t="s">
        <v>163</v>
      </c>
      <c r="G44" s="7" t="s">
        <v>36</v>
      </c>
      <c r="H44" s="15" t="s">
        <v>160</v>
      </c>
      <c r="I44" s="7" t="s">
        <v>159</v>
      </c>
      <c r="J44" s="15" t="s">
        <v>38</v>
      </c>
      <c r="K44" s="7" t="s">
        <v>161</v>
      </c>
      <c r="L44" s="7">
        <v>1</v>
      </c>
      <c r="N44" s="7">
        <v>1</v>
      </c>
      <c r="O44" s="7">
        <v>1.5</v>
      </c>
      <c r="P44" s="7">
        <v>1.3</v>
      </c>
      <c r="Q44" s="52">
        <f t="shared" si="0"/>
        <v>1.4</v>
      </c>
      <c r="R44" s="7">
        <v>16.600000000000001</v>
      </c>
      <c r="S44" s="7">
        <v>133</v>
      </c>
      <c r="T44" s="16">
        <f t="shared" si="1"/>
        <v>25</v>
      </c>
      <c r="U44" s="7">
        <v>128</v>
      </c>
      <c r="V44" s="16">
        <f t="shared" si="2"/>
        <v>3200</v>
      </c>
      <c r="W44" s="7">
        <v>6</v>
      </c>
      <c r="X44" s="15" t="s">
        <v>46</v>
      </c>
      <c r="Y44" s="54" t="s">
        <v>97</v>
      </c>
      <c r="Z44" s="54" t="s">
        <v>55</v>
      </c>
      <c r="AA44" s="54" t="s">
        <v>78</v>
      </c>
      <c r="AB44" s="39" t="s">
        <v>158</v>
      </c>
    </row>
    <row r="45" spans="1:44" x14ac:dyDescent="0.15">
      <c r="A45" s="15" t="s">
        <v>156</v>
      </c>
      <c r="B45" s="15" t="s">
        <v>157</v>
      </c>
      <c r="C45" s="15">
        <v>2019</v>
      </c>
      <c r="D45" s="37" t="s">
        <v>166</v>
      </c>
      <c r="E45" s="7" t="s">
        <v>162</v>
      </c>
      <c r="F45" s="7" t="s">
        <v>163</v>
      </c>
      <c r="G45" s="7" t="s">
        <v>36</v>
      </c>
      <c r="H45" s="15" t="s">
        <v>160</v>
      </c>
      <c r="I45" s="7" t="s">
        <v>159</v>
      </c>
      <c r="J45" s="15" t="s">
        <v>38</v>
      </c>
      <c r="K45" s="7" t="s">
        <v>161</v>
      </c>
      <c r="L45" s="7">
        <v>2</v>
      </c>
      <c r="N45" s="7">
        <v>1</v>
      </c>
      <c r="O45" s="7">
        <v>1.3</v>
      </c>
      <c r="P45" s="7">
        <v>1.25</v>
      </c>
      <c r="Q45" s="52">
        <f t="shared" si="0"/>
        <v>1.2749999999999999</v>
      </c>
      <c r="R45" s="7">
        <v>19.399999999999999</v>
      </c>
      <c r="S45" s="7">
        <v>132</v>
      </c>
      <c r="T45" s="16">
        <f t="shared" si="1"/>
        <v>25</v>
      </c>
      <c r="U45" s="7">
        <v>128</v>
      </c>
      <c r="V45" s="16">
        <f t="shared" si="2"/>
        <v>3200</v>
      </c>
      <c r="W45" s="7">
        <v>6</v>
      </c>
      <c r="X45" s="15" t="s">
        <v>46</v>
      </c>
      <c r="Y45" s="54" t="s">
        <v>97</v>
      </c>
      <c r="Z45" s="54" t="s">
        <v>55</v>
      </c>
      <c r="AA45" s="54" t="s">
        <v>78</v>
      </c>
      <c r="AB45" s="39" t="s">
        <v>158</v>
      </c>
    </row>
    <row r="46" spans="1:44" x14ac:dyDescent="0.15">
      <c r="A46" s="15" t="s">
        <v>156</v>
      </c>
      <c r="B46" s="15" t="s">
        <v>157</v>
      </c>
      <c r="C46" s="15">
        <v>2019</v>
      </c>
      <c r="D46" s="37" t="s">
        <v>166</v>
      </c>
      <c r="E46" s="7" t="s">
        <v>162</v>
      </c>
      <c r="F46" s="7" t="s">
        <v>163</v>
      </c>
      <c r="G46" s="7" t="s">
        <v>36</v>
      </c>
      <c r="H46" s="15" t="s">
        <v>160</v>
      </c>
      <c r="I46" s="7" t="s">
        <v>159</v>
      </c>
      <c r="J46" s="15" t="s">
        <v>38</v>
      </c>
      <c r="K46" s="7" t="s">
        <v>161</v>
      </c>
      <c r="L46" s="7">
        <v>3</v>
      </c>
      <c r="N46" s="7">
        <v>1</v>
      </c>
      <c r="O46" s="7">
        <v>1.25</v>
      </c>
      <c r="P46" s="34">
        <v>1.3</v>
      </c>
      <c r="Q46" s="52">
        <f t="shared" si="0"/>
        <v>1.2749999999999999</v>
      </c>
      <c r="R46" s="7">
        <v>17.8</v>
      </c>
      <c r="S46" s="7">
        <v>130</v>
      </c>
      <c r="T46" s="16">
        <f t="shared" si="1"/>
        <v>25</v>
      </c>
      <c r="U46" s="7">
        <v>128</v>
      </c>
      <c r="V46" s="16">
        <f t="shared" si="2"/>
        <v>3200</v>
      </c>
      <c r="W46" s="7">
        <v>6</v>
      </c>
      <c r="X46" s="15" t="s">
        <v>46</v>
      </c>
      <c r="Y46" s="54" t="s">
        <v>97</v>
      </c>
      <c r="Z46" s="54" t="s">
        <v>55</v>
      </c>
      <c r="AA46" s="54" t="s">
        <v>78</v>
      </c>
      <c r="AB46" s="39" t="s">
        <v>158</v>
      </c>
    </row>
    <row r="47" spans="1:44" x14ac:dyDescent="0.15">
      <c r="A47" s="15" t="s">
        <v>156</v>
      </c>
      <c r="B47" s="15" t="s">
        <v>157</v>
      </c>
      <c r="C47" s="15">
        <v>2019</v>
      </c>
      <c r="D47" s="37" t="s">
        <v>166</v>
      </c>
      <c r="E47" s="7" t="s">
        <v>130</v>
      </c>
      <c r="F47" s="7" t="s">
        <v>146</v>
      </c>
      <c r="G47" s="7" t="s">
        <v>36</v>
      </c>
      <c r="H47" s="15" t="s">
        <v>164</v>
      </c>
      <c r="I47" s="7" t="s">
        <v>159</v>
      </c>
      <c r="J47" s="15" t="s">
        <v>38</v>
      </c>
      <c r="K47" s="7" t="s">
        <v>161</v>
      </c>
      <c r="L47" s="7">
        <v>1</v>
      </c>
      <c r="N47" s="7">
        <v>1</v>
      </c>
      <c r="O47" s="7">
        <v>1.8</v>
      </c>
      <c r="P47" s="7">
        <v>2.15</v>
      </c>
      <c r="Q47" s="52">
        <f t="shared" si="0"/>
        <v>1.9750000000000001</v>
      </c>
      <c r="R47" s="7">
        <v>16.2</v>
      </c>
      <c r="S47" s="7">
        <v>115</v>
      </c>
      <c r="T47" s="16">
        <f t="shared" si="1"/>
        <v>30</v>
      </c>
      <c r="U47" s="7">
        <v>105</v>
      </c>
      <c r="V47" s="16">
        <f t="shared" si="2"/>
        <v>3150</v>
      </c>
      <c r="W47" s="7">
        <v>9</v>
      </c>
      <c r="X47" s="15" t="s">
        <v>46</v>
      </c>
      <c r="Y47" s="54" t="s">
        <v>55</v>
      </c>
      <c r="Z47" s="54" t="s">
        <v>97</v>
      </c>
      <c r="AA47" s="54" t="s">
        <v>86</v>
      </c>
      <c r="AB47" s="39" t="s">
        <v>158</v>
      </c>
    </row>
    <row r="48" spans="1:44" x14ac:dyDescent="0.15">
      <c r="A48" s="15" t="s">
        <v>156</v>
      </c>
      <c r="B48" s="15" t="s">
        <v>157</v>
      </c>
      <c r="C48" s="15">
        <v>2019</v>
      </c>
      <c r="D48" s="37" t="s">
        <v>166</v>
      </c>
      <c r="E48" s="7" t="s">
        <v>130</v>
      </c>
      <c r="F48" s="7" t="s">
        <v>146</v>
      </c>
      <c r="G48" s="7" t="s">
        <v>36</v>
      </c>
      <c r="H48" s="15" t="s">
        <v>164</v>
      </c>
      <c r="I48" s="7" t="s">
        <v>159</v>
      </c>
      <c r="J48" s="15" t="s">
        <v>38</v>
      </c>
      <c r="K48" s="7" t="s">
        <v>161</v>
      </c>
      <c r="L48" s="7">
        <v>2</v>
      </c>
      <c r="N48" s="7">
        <v>1</v>
      </c>
      <c r="O48" s="7">
        <v>1.75</v>
      </c>
      <c r="P48" s="7">
        <v>1.7</v>
      </c>
      <c r="Q48" s="52">
        <f t="shared" si="0"/>
        <v>1.7250000000000001</v>
      </c>
      <c r="R48" s="7">
        <v>17.2</v>
      </c>
      <c r="S48" s="7">
        <v>118</v>
      </c>
      <c r="T48" s="16">
        <f t="shared" si="1"/>
        <v>30</v>
      </c>
      <c r="U48" s="7">
        <v>105</v>
      </c>
      <c r="V48" s="16">
        <f t="shared" si="2"/>
        <v>3150</v>
      </c>
      <c r="W48" s="7">
        <v>9</v>
      </c>
      <c r="X48" s="15" t="s">
        <v>46</v>
      </c>
      <c r="Y48" s="54" t="s">
        <v>55</v>
      </c>
      <c r="Z48" s="54" t="s">
        <v>97</v>
      </c>
      <c r="AA48" s="54" t="s">
        <v>86</v>
      </c>
      <c r="AB48" s="39" t="s">
        <v>158</v>
      </c>
    </row>
    <row r="49" spans="1:29" x14ac:dyDescent="0.15">
      <c r="A49" s="15" t="s">
        <v>156</v>
      </c>
      <c r="B49" s="15" t="s">
        <v>157</v>
      </c>
      <c r="C49" s="15">
        <v>2019</v>
      </c>
      <c r="D49" s="37" t="s">
        <v>166</v>
      </c>
      <c r="E49" s="7" t="s">
        <v>130</v>
      </c>
      <c r="F49" s="7" t="s">
        <v>146</v>
      </c>
      <c r="G49" s="7" t="s">
        <v>36</v>
      </c>
      <c r="H49" s="15" t="s">
        <v>164</v>
      </c>
      <c r="I49" s="7" t="s">
        <v>159</v>
      </c>
      <c r="J49" s="15" t="s">
        <v>38</v>
      </c>
      <c r="K49" s="7" t="s">
        <v>161</v>
      </c>
      <c r="L49" s="7">
        <v>3</v>
      </c>
      <c r="N49" s="7">
        <v>1</v>
      </c>
      <c r="O49" s="7">
        <v>2.1</v>
      </c>
      <c r="P49" s="34">
        <v>2.1</v>
      </c>
      <c r="Q49" s="52">
        <f t="shared" si="0"/>
        <v>2.1</v>
      </c>
      <c r="R49" s="7">
        <v>17.3</v>
      </c>
      <c r="S49" s="7">
        <v>125</v>
      </c>
      <c r="T49" s="16">
        <f t="shared" si="1"/>
        <v>27</v>
      </c>
      <c r="U49" s="7">
        <v>105</v>
      </c>
      <c r="V49" s="16">
        <f t="shared" si="2"/>
        <v>2835</v>
      </c>
      <c r="W49" s="7">
        <v>9</v>
      </c>
      <c r="X49" s="15" t="s">
        <v>46</v>
      </c>
      <c r="Y49" s="54" t="s">
        <v>55</v>
      </c>
      <c r="Z49" s="54" t="s">
        <v>97</v>
      </c>
      <c r="AA49" s="54" t="s">
        <v>86</v>
      </c>
      <c r="AB49" s="39" t="s">
        <v>158</v>
      </c>
    </row>
    <row r="50" spans="1:29" x14ac:dyDescent="0.15">
      <c r="A50" s="15" t="s">
        <v>156</v>
      </c>
      <c r="B50" s="15" t="s">
        <v>157</v>
      </c>
      <c r="C50" s="15">
        <v>2019</v>
      </c>
      <c r="D50" s="37" t="s">
        <v>166</v>
      </c>
      <c r="E50" s="7" t="s">
        <v>130</v>
      </c>
      <c r="F50" s="7" t="s">
        <v>146</v>
      </c>
      <c r="G50" s="7" t="s">
        <v>36</v>
      </c>
      <c r="H50" s="15" t="s">
        <v>160</v>
      </c>
      <c r="I50" s="7" t="s">
        <v>159</v>
      </c>
      <c r="J50" s="15" t="s">
        <v>38</v>
      </c>
      <c r="K50" s="7" t="s">
        <v>161</v>
      </c>
      <c r="L50" s="7">
        <v>1</v>
      </c>
      <c r="N50" s="7">
        <v>1</v>
      </c>
      <c r="O50" s="7">
        <v>0.9</v>
      </c>
      <c r="P50" s="7">
        <v>1.1499999999999999</v>
      </c>
      <c r="Q50" s="52">
        <f t="shared" si="0"/>
        <v>1.0249999999999999</v>
      </c>
      <c r="R50" s="7">
        <v>17.399999999999999</v>
      </c>
      <c r="S50" s="7">
        <v>133</v>
      </c>
      <c r="T50" s="16">
        <f t="shared" si="1"/>
        <v>25</v>
      </c>
      <c r="U50" s="7">
        <v>135</v>
      </c>
      <c r="V50" s="16">
        <f t="shared" si="2"/>
        <v>3375</v>
      </c>
      <c r="W50" s="7">
        <v>18</v>
      </c>
      <c r="X50" s="15" t="s">
        <v>46</v>
      </c>
      <c r="Y50" s="54" t="s">
        <v>55</v>
      </c>
      <c r="Z50" s="54" t="s">
        <v>97</v>
      </c>
      <c r="AA50" s="54" t="s">
        <v>86</v>
      </c>
      <c r="AB50" s="39" t="s">
        <v>158</v>
      </c>
    </row>
    <row r="51" spans="1:29" x14ac:dyDescent="0.15">
      <c r="A51" s="15" t="s">
        <v>156</v>
      </c>
      <c r="B51" s="15" t="s">
        <v>157</v>
      </c>
      <c r="C51" s="15">
        <v>2019</v>
      </c>
      <c r="D51" s="37" t="s">
        <v>166</v>
      </c>
      <c r="E51" s="7" t="s">
        <v>130</v>
      </c>
      <c r="F51" s="7" t="s">
        <v>146</v>
      </c>
      <c r="G51" s="7" t="s">
        <v>36</v>
      </c>
      <c r="H51" s="15" t="s">
        <v>160</v>
      </c>
      <c r="I51" s="7" t="s">
        <v>159</v>
      </c>
      <c r="J51" s="15" t="s">
        <v>38</v>
      </c>
      <c r="K51" s="7" t="s">
        <v>161</v>
      </c>
      <c r="L51" s="7">
        <v>2</v>
      </c>
      <c r="N51" s="7">
        <v>1</v>
      </c>
      <c r="O51" s="7">
        <v>1.2</v>
      </c>
      <c r="P51" s="7">
        <v>1.25</v>
      </c>
      <c r="Q51" s="52">
        <f t="shared" si="0"/>
        <v>1.2250000000000001</v>
      </c>
      <c r="R51" s="7">
        <v>19</v>
      </c>
      <c r="S51" s="7">
        <v>135</v>
      </c>
      <c r="T51" s="16">
        <f t="shared" si="1"/>
        <v>25</v>
      </c>
      <c r="U51" s="7">
        <v>135</v>
      </c>
      <c r="V51" s="16">
        <f t="shared" si="2"/>
        <v>3375</v>
      </c>
      <c r="W51" s="7">
        <v>18</v>
      </c>
      <c r="X51" s="15" t="s">
        <v>46</v>
      </c>
      <c r="Y51" s="54" t="s">
        <v>55</v>
      </c>
      <c r="Z51" s="54" t="s">
        <v>97</v>
      </c>
      <c r="AA51" s="54" t="s">
        <v>86</v>
      </c>
      <c r="AB51" s="39" t="s">
        <v>158</v>
      </c>
    </row>
    <row r="52" spans="1:29" x14ac:dyDescent="0.15">
      <c r="A52" s="15" t="s">
        <v>156</v>
      </c>
      <c r="B52" s="15" t="s">
        <v>157</v>
      </c>
      <c r="C52" s="15">
        <v>2019</v>
      </c>
      <c r="D52" s="37" t="s">
        <v>166</v>
      </c>
      <c r="E52" s="7" t="s">
        <v>130</v>
      </c>
      <c r="F52" s="7" t="s">
        <v>146</v>
      </c>
      <c r="G52" s="7" t="s">
        <v>36</v>
      </c>
      <c r="H52" s="15" t="s">
        <v>160</v>
      </c>
      <c r="I52" s="7" t="s">
        <v>159</v>
      </c>
      <c r="J52" s="15" t="s">
        <v>38</v>
      </c>
      <c r="K52" s="7" t="s">
        <v>161</v>
      </c>
      <c r="L52" s="7">
        <v>3</v>
      </c>
      <c r="N52" s="7">
        <v>1</v>
      </c>
      <c r="O52" s="7">
        <v>1.05</v>
      </c>
      <c r="P52" s="7">
        <v>0.9</v>
      </c>
      <c r="Q52" s="52">
        <f t="shared" si="0"/>
        <v>0.97500000000000009</v>
      </c>
      <c r="R52" s="7">
        <v>18.2</v>
      </c>
      <c r="S52" s="7">
        <v>132</v>
      </c>
      <c r="T52" s="16">
        <f t="shared" si="1"/>
        <v>25</v>
      </c>
      <c r="U52" s="7">
        <v>135</v>
      </c>
      <c r="V52" s="16">
        <f t="shared" si="2"/>
        <v>3375</v>
      </c>
      <c r="W52" s="7">
        <v>18</v>
      </c>
      <c r="X52" s="15" t="s">
        <v>46</v>
      </c>
      <c r="Y52" s="54" t="s">
        <v>55</v>
      </c>
      <c r="Z52" s="54" t="s">
        <v>97</v>
      </c>
      <c r="AA52" s="54" t="s">
        <v>86</v>
      </c>
      <c r="AB52" s="39" t="s">
        <v>158</v>
      </c>
    </row>
    <row r="53" spans="1:29" x14ac:dyDescent="0.15">
      <c r="A53" s="15" t="s">
        <v>156</v>
      </c>
      <c r="B53" s="15" t="s">
        <v>157</v>
      </c>
      <c r="C53" s="15">
        <v>2019</v>
      </c>
      <c r="D53" s="37" t="s">
        <v>166</v>
      </c>
      <c r="E53" s="7" t="s">
        <v>132</v>
      </c>
      <c r="F53" s="7" t="s">
        <v>147</v>
      </c>
      <c r="G53" s="7" t="s">
        <v>36</v>
      </c>
      <c r="H53" s="15" t="s">
        <v>164</v>
      </c>
      <c r="I53" s="7" t="s">
        <v>159</v>
      </c>
      <c r="J53" s="15" t="s">
        <v>38</v>
      </c>
      <c r="K53" s="7" t="s">
        <v>161</v>
      </c>
      <c r="L53" s="7">
        <v>1</v>
      </c>
      <c r="N53" s="7">
        <v>1</v>
      </c>
      <c r="O53" s="7">
        <v>0.5</v>
      </c>
      <c r="P53" s="7">
        <v>0.6</v>
      </c>
      <c r="Q53" s="52">
        <f t="shared" si="0"/>
        <v>0.55000000000000004</v>
      </c>
      <c r="R53" s="7">
        <v>16</v>
      </c>
      <c r="S53" s="7">
        <v>116</v>
      </c>
      <c r="T53" s="16">
        <f t="shared" si="1"/>
        <v>30</v>
      </c>
      <c r="U53" s="7">
        <v>97</v>
      </c>
      <c r="V53" s="16">
        <f t="shared" si="2"/>
        <v>2910</v>
      </c>
      <c r="W53" s="7">
        <v>10</v>
      </c>
      <c r="X53" s="15" t="s">
        <v>46</v>
      </c>
      <c r="Y53" s="54" t="s">
        <v>90</v>
      </c>
      <c r="Z53" s="54" t="s">
        <v>55</v>
      </c>
      <c r="AA53" s="54" t="s">
        <v>47</v>
      </c>
      <c r="AB53" s="39" t="s">
        <v>158</v>
      </c>
      <c r="AC53" s="36"/>
    </row>
    <row r="54" spans="1:29" x14ac:dyDescent="0.15">
      <c r="A54" s="15" t="s">
        <v>156</v>
      </c>
      <c r="B54" s="15" t="s">
        <v>157</v>
      </c>
      <c r="C54" s="15">
        <v>2019</v>
      </c>
      <c r="D54" s="37" t="s">
        <v>166</v>
      </c>
      <c r="E54" s="7" t="s">
        <v>132</v>
      </c>
      <c r="F54" s="7" t="s">
        <v>147</v>
      </c>
      <c r="G54" s="7" t="s">
        <v>36</v>
      </c>
      <c r="H54" s="15" t="s">
        <v>164</v>
      </c>
      <c r="I54" s="7" t="s">
        <v>159</v>
      </c>
      <c r="J54" s="15" t="s">
        <v>38</v>
      </c>
      <c r="K54" s="7" t="s">
        <v>161</v>
      </c>
      <c r="L54" s="7">
        <v>2</v>
      </c>
      <c r="N54" s="7">
        <v>1</v>
      </c>
      <c r="O54" s="7">
        <v>0.6</v>
      </c>
      <c r="P54" s="7">
        <v>0.6</v>
      </c>
      <c r="Q54" s="52">
        <f t="shared" si="0"/>
        <v>0.6</v>
      </c>
      <c r="R54" s="7">
        <v>15.7</v>
      </c>
      <c r="S54" s="7">
        <v>109</v>
      </c>
      <c r="T54" s="16">
        <f t="shared" si="1"/>
        <v>33</v>
      </c>
      <c r="U54" s="7">
        <v>97</v>
      </c>
      <c r="V54" s="16">
        <f t="shared" si="2"/>
        <v>3201</v>
      </c>
      <c r="W54" s="7">
        <v>10</v>
      </c>
      <c r="X54" s="15" t="s">
        <v>46</v>
      </c>
      <c r="Y54" s="54" t="s">
        <v>90</v>
      </c>
      <c r="Z54" s="54" t="s">
        <v>55</v>
      </c>
      <c r="AA54" s="54" t="s">
        <v>47</v>
      </c>
      <c r="AB54" s="39" t="s">
        <v>158</v>
      </c>
      <c r="AC54" s="36"/>
    </row>
    <row r="55" spans="1:29" x14ac:dyDescent="0.15">
      <c r="A55" s="15" t="s">
        <v>156</v>
      </c>
      <c r="B55" s="15" t="s">
        <v>157</v>
      </c>
      <c r="C55" s="15">
        <v>2019</v>
      </c>
      <c r="D55" s="37" t="s">
        <v>166</v>
      </c>
      <c r="E55" s="7" t="s">
        <v>132</v>
      </c>
      <c r="F55" s="7" t="s">
        <v>147</v>
      </c>
      <c r="G55" s="7" t="s">
        <v>36</v>
      </c>
      <c r="H55" s="15" t="s">
        <v>164</v>
      </c>
      <c r="I55" s="7" t="s">
        <v>159</v>
      </c>
      <c r="J55" s="15" t="s">
        <v>38</v>
      </c>
      <c r="K55" s="7" t="s">
        <v>161</v>
      </c>
      <c r="L55" s="7">
        <v>3</v>
      </c>
      <c r="N55" s="7">
        <v>1</v>
      </c>
      <c r="O55" s="7">
        <v>0.7</v>
      </c>
      <c r="P55" s="7">
        <v>0.8</v>
      </c>
      <c r="Q55" s="52">
        <f t="shared" si="0"/>
        <v>0.75</v>
      </c>
      <c r="R55" s="7">
        <v>16.100000000000001</v>
      </c>
      <c r="S55" s="7">
        <v>115</v>
      </c>
      <c r="T55" s="16">
        <f t="shared" si="1"/>
        <v>30</v>
      </c>
      <c r="U55" s="7">
        <v>97</v>
      </c>
      <c r="V55" s="16">
        <f t="shared" si="2"/>
        <v>2910</v>
      </c>
      <c r="W55" s="7">
        <v>10</v>
      </c>
      <c r="X55" s="15" t="s">
        <v>46</v>
      </c>
      <c r="Y55" s="54" t="s">
        <v>90</v>
      </c>
      <c r="Z55" s="54" t="s">
        <v>55</v>
      </c>
      <c r="AA55" s="54" t="s">
        <v>47</v>
      </c>
      <c r="AB55" s="39" t="s">
        <v>158</v>
      </c>
      <c r="AC55" s="36"/>
    </row>
    <row r="56" spans="1:29" x14ac:dyDescent="0.15">
      <c r="A56" s="15" t="s">
        <v>156</v>
      </c>
      <c r="B56" s="15" t="s">
        <v>157</v>
      </c>
      <c r="C56" s="15">
        <v>2019</v>
      </c>
      <c r="D56" s="37" t="s">
        <v>166</v>
      </c>
      <c r="E56" s="7" t="s">
        <v>132</v>
      </c>
      <c r="F56" s="7" t="s">
        <v>147</v>
      </c>
      <c r="G56" s="7" t="s">
        <v>36</v>
      </c>
      <c r="H56" s="15" t="s">
        <v>160</v>
      </c>
      <c r="I56" s="7" t="s">
        <v>159</v>
      </c>
      <c r="J56" s="15" t="s">
        <v>38</v>
      </c>
      <c r="K56" s="7" t="s">
        <v>161</v>
      </c>
      <c r="L56" s="7">
        <v>1</v>
      </c>
      <c r="N56" s="7">
        <v>1</v>
      </c>
      <c r="O56" s="7">
        <v>1.3</v>
      </c>
      <c r="P56" s="7">
        <v>1.25</v>
      </c>
      <c r="Q56" s="52">
        <f t="shared" si="0"/>
        <v>1.2749999999999999</v>
      </c>
      <c r="R56" s="7">
        <v>13.8</v>
      </c>
      <c r="S56" s="7">
        <v>114</v>
      </c>
      <c r="T56" s="16">
        <f t="shared" si="1"/>
        <v>30</v>
      </c>
      <c r="U56" s="7">
        <v>97</v>
      </c>
      <c r="V56" s="16">
        <f t="shared" si="2"/>
        <v>2910</v>
      </c>
      <c r="W56" s="7">
        <v>10</v>
      </c>
      <c r="X56" s="15" t="s">
        <v>46</v>
      </c>
      <c r="Y56" s="54" t="s">
        <v>90</v>
      </c>
      <c r="Z56" s="54" t="s">
        <v>55</v>
      </c>
      <c r="AA56" s="54" t="s">
        <v>47</v>
      </c>
      <c r="AB56" s="39" t="s">
        <v>158</v>
      </c>
    </row>
    <row r="57" spans="1:29" x14ac:dyDescent="0.15">
      <c r="A57" s="15" t="s">
        <v>156</v>
      </c>
      <c r="B57" s="15" t="s">
        <v>157</v>
      </c>
      <c r="C57" s="15">
        <v>2019</v>
      </c>
      <c r="D57" s="37" t="s">
        <v>166</v>
      </c>
      <c r="E57" s="7" t="s">
        <v>132</v>
      </c>
      <c r="F57" s="7" t="s">
        <v>147</v>
      </c>
      <c r="G57" s="7" t="s">
        <v>36</v>
      </c>
      <c r="H57" s="54" t="s">
        <v>160</v>
      </c>
      <c r="I57" s="7" t="s">
        <v>159</v>
      </c>
      <c r="J57" s="15" t="s">
        <v>38</v>
      </c>
      <c r="K57" s="7" t="s">
        <v>161</v>
      </c>
      <c r="L57" s="7">
        <v>2</v>
      </c>
      <c r="N57" s="7">
        <v>1</v>
      </c>
      <c r="O57" s="7">
        <v>0.9</v>
      </c>
      <c r="P57" s="7">
        <v>1.35</v>
      </c>
      <c r="Q57" s="52">
        <f t="shared" si="0"/>
        <v>1.125</v>
      </c>
      <c r="R57" s="7">
        <v>14.7</v>
      </c>
      <c r="S57" s="7">
        <v>113</v>
      </c>
      <c r="T57" s="16">
        <f t="shared" si="1"/>
        <v>30</v>
      </c>
      <c r="U57" s="7">
        <v>97</v>
      </c>
      <c r="V57" s="16">
        <f t="shared" si="2"/>
        <v>2910</v>
      </c>
      <c r="W57" s="7">
        <v>10</v>
      </c>
      <c r="X57" s="15" t="s">
        <v>46</v>
      </c>
      <c r="Y57" s="54" t="s">
        <v>90</v>
      </c>
      <c r="Z57" s="54" t="s">
        <v>55</v>
      </c>
      <c r="AA57" s="54" t="s">
        <v>47</v>
      </c>
      <c r="AB57" s="39" t="s">
        <v>158</v>
      </c>
    </row>
    <row r="58" spans="1:29" x14ac:dyDescent="0.15">
      <c r="A58" s="15" t="s">
        <v>156</v>
      </c>
      <c r="B58" s="15" t="s">
        <v>157</v>
      </c>
      <c r="C58" s="15">
        <v>2019</v>
      </c>
      <c r="D58" s="37" t="s">
        <v>166</v>
      </c>
      <c r="E58" s="7" t="s">
        <v>132</v>
      </c>
      <c r="F58" s="7" t="s">
        <v>147</v>
      </c>
      <c r="G58" s="7" t="s">
        <v>36</v>
      </c>
      <c r="H58" s="54" t="s">
        <v>160</v>
      </c>
      <c r="I58" s="7" t="s">
        <v>159</v>
      </c>
      <c r="J58" s="15" t="s">
        <v>38</v>
      </c>
      <c r="K58" s="7" t="s">
        <v>161</v>
      </c>
      <c r="L58" s="7">
        <v>3</v>
      </c>
      <c r="N58" s="7">
        <v>1</v>
      </c>
      <c r="O58" s="7">
        <v>1.25</v>
      </c>
      <c r="P58" s="7">
        <v>1.1499999999999999</v>
      </c>
      <c r="Q58" s="52">
        <f t="shared" si="0"/>
        <v>1.2</v>
      </c>
      <c r="R58" s="7">
        <v>18</v>
      </c>
      <c r="S58" s="7">
        <v>116</v>
      </c>
      <c r="T58" s="16">
        <f t="shared" si="1"/>
        <v>30</v>
      </c>
      <c r="U58" s="7">
        <v>97</v>
      </c>
      <c r="V58" s="16">
        <f t="shared" si="2"/>
        <v>2910</v>
      </c>
      <c r="W58" s="7">
        <v>10</v>
      </c>
      <c r="X58" s="15" t="s">
        <v>46</v>
      </c>
      <c r="Y58" s="54" t="s">
        <v>90</v>
      </c>
      <c r="Z58" s="54" t="s">
        <v>55</v>
      </c>
      <c r="AA58" s="54" t="s">
        <v>47</v>
      </c>
      <c r="AB58" s="39" t="s">
        <v>158</v>
      </c>
    </row>
    <row r="59" spans="1:29" x14ac:dyDescent="0.15">
      <c r="A59" s="15" t="s">
        <v>156</v>
      </c>
      <c r="B59" s="15" t="s">
        <v>157</v>
      </c>
      <c r="C59" s="15">
        <v>2019</v>
      </c>
      <c r="D59" s="37" t="s">
        <v>166</v>
      </c>
      <c r="E59" s="7" t="s">
        <v>140</v>
      </c>
      <c r="F59" s="7" t="s">
        <v>148</v>
      </c>
      <c r="G59" s="7" t="s">
        <v>36</v>
      </c>
      <c r="H59" s="15" t="s">
        <v>164</v>
      </c>
      <c r="I59" s="7" t="s">
        <v>159</v>
      </c>
      <c r="J59" s="15" t="s">
        <v>38</v>
      </c>
      <c r="K59" s="7" t="s">
        <v>161</v>
      </c>
      <c r="L59" s="7">
        <v>1</v>
      </c>
      <c r="N59" s="7">
        <v>1</v>
      </c>
      <c r="O59" s="7">
        <v>1.5</v>
      </c>
      <c r="P59" s="7">
        <v>1.5</v>
      </c>
      <c r="Q59" s="52">
        <f t="shared" si="0"/>
        <v>1.5</v>
      </c>
      <c r="R59" s="7">
        <v>13</v>
      </c>
      <c r="S59" s="7">
        <v>116</v>
      </c>
      <c r="T59" s="16">
        <f t="shared" si="1"/>
        <v>30</v>
      </c>
      <c r="U59" s="7">
        <v>138</v>
      </c>
      <c r="V59" s="16">
        <f t="shared" si="2"/>
        <v>4140</v>
      </c>
      <c r="W59" s="7">
        <v>12</v>
      </c>
      <c r="X59" s="15" t="s">
        <v>46</v>
      </c>
      <c r="Y59" s="54" t="s">
        <v>55</v>
      </c>
      <c r="Z59" s="54" t="s">
        <v>47</v>
      </c>
      <c r="AA59" s="54" t="s">
        <v>69</v>
      </c>
      <c r="AB59" s="39" t="s">
        <v>158</v>
      </c>
    </row>
    <row r="60" spans="1:29" x14ac:dyDescent="0.15">
      <c r="A60" s="15" t="s">
        <v>156</v>
      </c>
      <c r="B60" s="15" t="s">
        <v>157</v>
      </c>
      <c r="C60" s="15">
        <v>2019</v>
      </c>
      <c r="D60" s="37" t="s">
        <v>166</v>
      </c>
      <c r="E60" s="7" t="s">
        <v>140</v>
      </c>
      <c r="F60" s="7" t="s">
        <v>148</v>
      </c>
      <c r="G60" s="7" t="s">
        <v>36</v>
      </c>
      <c r="H60" s="15" t="s">
        <v>164</v>
      </c>
      <c r="I60" s="7" t="s">
        <v>159</v>
      </c>
      <c r="J60" s="15" t="s">
        <v>38</v>
      </c>
      <c r="K60" s="7" t="s">
        <v>161</v>
      </c>
      <c r="L60" s="7">
        <v>2</v>
      </c>
      <c r="N60" s="7">
        <v>1</v>
      </c>
      <c r="O60" s="7">
        <v>1.5</v>
      </c>
      <c r="P60" s="7">
        <v>1.65</v>
      </c>
      <c r="Q60" s="52">
        <f t="shared" si="0"/>
        <v>1.575</v>
      </c>
      <c r="R60" s="7">
        <v>15.1</v>
      </c>
      <c r="S60" s="7">
        <v>118</v>
      </c>
      <c r="T60" s="16">
        <f>IF(H60="","",IF(OR(H60="GREEN",H60="GK"),IF(S60&gt;=$AX$2,VLOOKUP(S60,$AX$2:$AY$12,2,1),""),IF(S60&gt;=$AZ$2,VLOOKUP(S60,$AZ$2:$BA$12,2,1),"")))</f>
        <v>30</v>
      </c>
      <c r="U60" s="7">
        <v>138</v>
      </c>
      <c r="V60" s="16">
        <f t="shared" si="2"/>
        <v>4140</v>
      </c>
      <c r="W60" s="7">
        <v>12</v>
      </c>
      <c r="X60" s="15" t="s">
        <v>46</v>
      </c>
      <c r="Y60" s="54" t="s">
        <v>55</v>
      </c>
      <c r="Z60" s="54" t="s">
        <v>47</v>
      </c>
      <c r="AA60" s="54" t="s">
        <v>69</v>
      </c>
      <c r="AB60" s="39" t="s">
        <v>158</v>
      </c>
    </row>
    <row r="61" spans="1:29" x14ac:dyDescent="0.15">
      <c r="A61" s="15" t="s">
        <v>156</v>
      </c>
      <c r="B61" s="15" t="s">
        <v>157</v>
      </c>
      <c r="C61" s="15">
        <v>2019</v>
      </c>
      <c r="D61" s="37" t="s">
        <v>166</v>
      </c>
      <c r="E61" s="7" t="s">
        <v>140</v>
      </c>
      <c r="F61" s="7" t="s">
        <v>148</v>
      </c>
      <c r="G61" s="7" t="s">
        <v>36</v>
      </c>
      <c r="H61" s="15" t="s">
        <v>164</v>
      </c>
      <c r="I61" s="7" t="s">
        <v>159</v>
      </c>
      <c r="J61" s="15" t="s">
        <v>38</v>
      </c>
      <c r="K61" s="7" t="s">
        <v>161</v>
      </c>
      <c r="L61" s="7">
        <v>3</v>
      </c>
      <c r="N61" s="53">
        <v>1</v>
      </c>
      <c r="O61" s="7">
        <v>1.5</v>
      </c>
      <c r="P61" s="7">
        <v>1.5</v>
      </c>
      <c r="Q61" s="52">
        <f t="shared" si="0"/>
        <v>1.5</v>
      </c>
      <c r="R61" s="7">
        <v>12.1</v>
      </c>
      <c r="S61" s="7">
        <v>124</v>
      </c>
      <c r="T61" s="16">
        <f>IF(H61="","",IF(OR(H61="GREEN",H61="GK"),IF(S61&gt;=$AX$2,VLOOKUP(S61,$AX$2:$AY$12,2,1),""),IF(S61&gt;=$AZ$2,VLOOKUP(S61,$AZ$2:$BA$12,2,1),"")))</f>
        <v>27</v>
      </c>
      <c r="U61" s="7">
        <v>138</v>
      </c>
      <c r="V61" s="16">
        <f t="shared" si="2"/>
        <v>3726</v>
      </c>
      <c r="W61" s="7">
        <v>12</v>
      </c>
      <c r="X61" s="15" t="s">
        <v>46</v>
      </c>
      <c r="Y61" s="54" t="s">
        <v>55</v>
      </c>
      <c r="Z61" s="54" t="s">
        <v>47</v>
      </c>
      <c r="AA61" s="54" t="s">
        <v>69</v>
      </c>
      <c r="AB61" s="39" t="s">
        <v>158</v>
      </c>
    </row>
    <row r="62" spans="1:29" x14ac:dyDescent="0.15">
      <c r="A62" s="15" t="s">
        <v>156</v>
      </c>
      <c r="B62" s="15" t="s">
        <v>157</v>
      </c>
      <c r="C62" s="15">
        <v>2019</v>
      </c>
      <c r="D62" s="37" t="s">
        <v>166</v>
      </c>
      <c r="E62" s="7" t="s">
        <v>140</v>
      </c>
      <c r="F62" s="7" t="s">
        <v>148</v>
      </c>
      <c r="G62" s="7" t="s">
        <v>36</v>
      </c>
      <c r="H62" s="15" t="s">
        <v>160</v>
      </c>
      <c r="I62" s="7" t="s">
        <v>159</v>
      </c>
      <c r="J62" s="15" t="s">
        <v>38</v>
      </c>
      <c r="K62" s="7" t="s">
        <v>161</v>
      </c>
      <c r="L62" s="7">
        <v>1</v>
      </c>
      <c r="N62" s="53">
        <v>1</v>
      </c>
      <c r="O62" s="7">
        <v>0.6</v>
      </c>
      <c r="P62" s="7">
        <v>0.5</v>
      </c>
      <c r="Q62" s="52">
        <f t="shared" si="0"/>
        <v>0.55000000000000004</v>
      </c>
      <c r="R62" s="7">
        <v>15.2</v>
      </c>
      <c r="S62" s="7">
        <v>98</v>
      </c>
      <c r="T62" s="16">
        <f t="shared" ref="T62:T120" si="3">IF(H62="","",IF(OR(H62="GREEN",H62="GK"),IF(S62&gt;=$AX$2,VLOOKUP(S62,$AX$2:$AY$12,2,1),""),IF(S62&gt;=$AZ$2,VLOOKUP(S62,$AZ$2:$BA$12,2,1),"")))</f>
        <v>36</v>
      </c>
      <c r="U62" s="7">
        <v>138</v>
      </c>
      <c r="V62" s="16">
        <f t="shared" si="2"/>
        <v>4968</v>
      </c>
      <c r="W62" s="7">
        <v>4</v>
      </c>
      <c r="X62" s="54" t="s">
        <v>46</v>
      </c>
      <c r="Y62" s="54" t="s">
        <v>55</v>
      </c>
      <c r="Z62" s="54" t="s">
        <v>47</v>
      </c>
      <c r="AA62" s="54" t="s">
        <v>69</v>
      </c>
      <c r="AB62" s="39" t="s">
        <v>158</v>
      </c>
    </row>
    <row r="63" spans="1:29" x14ac:dyDescent="0.15">
      <c r="A63" s="15" t="s">
        <v>156</v>
      </c>
      <c r="B63" s="15" t="s">
        <v>157</v>
      </c>
      <c r="C63" s="15">
        <v>2019</v>
      </c>
      <c r="D63" s="37" t="s">
        <v>166</v>
      </c>
      <c r="E63" s="7" t="s">
        <v>140</v>
      </c>
      <c r="F63" s="7" t="s">
        <v>148</v>
      </c>
      <c r="G63" s="7" t="s">
        <v>36</v>
      </c>
      <c r="H63" s="15" t="s">
        <v>160</v>
      </c>
      <c r="I63" s="7" t="s">
        <v>159</v>
      </c>
      <c r="J63" s="15" t="s">
        <v>38</v>
      </c>
      <c r="K63" s="7" t="s">
        <v>161</v>
      </c>
      <c r="L63" s="7">
        <v>2</v>
      </c>
      <c r="N63" s="53">
        <v>1</v>
      </c>
      <c r="O63" s="7">
        <v>0.75</v>
      </c>
      <c r="P63" s="7">
        <v>0.75</v>
      </c>
      <c r="Q63" s="52">
        <f t="shared" si="0"/>
        <v>0.75</v>
      </c>
      <c r="R63" s="7">
        <v>16.8</v>
      </c>
      <c r="S63" s="7">
        <v>99</v>
      </c>
      <c r="T63" s="16">
        <f t="shared" si="3"/>
        <v>33</v>
      </c>
      <c r="U63" s="7">
        <v>138</v>
      </c>
      <c r="V63" s="16">
        <f t="shared" si="2"/>
        <v>4554</v>
      </c>
      <c r="W63" s="7">
        <v>4</v>
      </c>
      <c r="X63" s="54" t="s">
        <v>46</v>
      </c>
      <c r="Y63" s="54" t="s">
        <v>55</v>
      </c>
      <c r="Z63" s="54" t="s">
        <v>47</v>
      </c>
      <c r="AA63" s="54" t="s">
        <v>69</v>
      </c>
      <c r="AB63" s="39" t="s">
        <v>158</v>
      </c>
    </row>
    <row r="64" spans="1:29" x14ac:dyDescent="0.15">
      <c r="A64" s="15" t="s">
        <v>156</v>
      </c>
      <c r="B64" s="15" t="s">
        <v>157</v>
      </c>
      <c r="C64" s="15">
        <v>2019</v>
      </c>
      <c r="D64" s="37" t="s">
        <v>166</v>
      </c>
      <c r="E64" s="7" t="s">
        <v>140</v>
      </c>
      <c r="F64" s="7" t="s">
        <v>148</v>
      </c>
      <c r="G64" s="7" t="s">
        <v>36</v>
      </c>
      <c r="H64" s="15" t="s">
        <v>160</v>
      </c>
      <c r="I64" s="7" t="s">
        <v>159</v>
      </c>
      <c r="J64" s="15" t="s">
        <v>38</v>
      </c>
      <c r="K64" s="7" t="s">
        <v>161</v>
      </c>
      <c r="L64" s="7">
        <v>3</v>
      </c>
      <c r="N64" s="53">
        <v>1</v>
      </c>
      <c r="O64" s="7">
        <v>0.7</v>
      </c>
      <c r="P64" s="7">
        <v>0.75</v>
      </c>
      <c r="Q64" s="52">
        <f t="shared" si="0"/>
        <v>0.72499999999999998</v>
      </c>
      <c r="R64" s="7">
        <v>14.4</v>
      </c>
      <c r="S64" s="7">
        <v>93</v>
      </c>
      <c r="T64" s="16">
        <f t="shared" si="3"/>
        <v>36</v>
      </c>
      <c r="U64" s="7">
        <v>138</v>
      </c>
      <c r="V64" s="16">
        <f t="shared" si="2"/>
        <v>4968</v>
      </c>
      <c r="W64" s="7">
        <v>4</v>
      </c>
      <c r="X64" s="54" t="s">
        <v>46</v>
      </c>
      <c r="Y64" s="54" t="s">
        <v>55</v>
      </c>
      <c r="Z64" s="54" t="s">
        <v>47</v>
      </c>
      <c r="AA64" s="54" t="s">
        <v>69</v>
      </c>
      <c r="AB64" s="39" t="s">
        <v>158</v>
      </c>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A5271-7438-4BE9-BBB0-EF43092C3DD4}">
  <dimension ref="A1:BA411"/>
  <sheetViews>
    <sheetView zoomScale="70" zoomScaleNormal="70" workbookViewId="0">
      <selection activeCell="AB32" sqref="AB32"/>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168</v>
      </c>
      <c r="C1" s="55" t="s">
        <v>169</v>
      </c>
      <c r="D1" s="56" t="s">
        <v>3</v>
      </c>
      <c r="E1" s="45" t="s">
        <v>4</v>
      </c>
      <c r="F1" s="45" t="s">
        <v>5</v>
      </c>
      <c r="G1" s="45" t="s">
        <v>6</v>
      </c>
      <c r="H1" s="45" t="s">
        <v>7</v>
      </c>
      <c r="I1" s="45" t="s">
        <v>8</v>
      </c>
      <c r="J1" s="45" t="s">
        <v>9</v>
      </c>
      <c r="K1" s="45" t="s">
        <v>10</v>
      </c>
      <c r="L1" s="56" t="s">
        <v>170</v>
      </c>
      <c r="M1" s="56" t="s">
        <v>171</v>
      </c>
      <c r="N1" s="56" t="s">
        <v>13</v>
      </c>
      <c r="O1" s="56" t="s">
        <v>172</v>
      </c>
      <c r="P1" s="56" t="s">
        <v>173</v>
      </c>
      <c r="Q1" s="57" t="s">
        <v>174</v>
      </c>
      <c r="R1" s="56" t="s">
        <v>175</v>
      </c>
      <c r="S1" s="56" t="s">
        <v>176</v>
      </c>
      <c r="T1" s="57" t="s">
        <v>19</v>
      </c>
      <c r="U1" s="58" t="s">
        <v>108</v>
      </c>
      <c r="V1" s="59" t="s">
        <v>20</v>
      </c>
      <c r="W1" s="56" t="s">
        <v>177</v>
      </c>
      <c r="X1" s="45" t="s">
        <v>22</v>
      </c>
      <c r="Y1" s="45" t="s">
        <v>23</v>
      </c>
      <c r="Z1" s="45" t="s">
        <v>24</v>
      </c>
      <c r="AA1" s="45" t="s">
        <v>25</v>
      </c>
      <c r="AB1" s="46" t="s">
        <v>178</v>
      </c>
      <c r="AE1" s="60" t="s">
        <v>0</v>
      </c>
      <c r="AF1" s="61"/>
      <c r="AG1" s="60" t="s">
        <v>4</v>
      </c>
      <c r="AH1" s="60" t="s">
        <v>5</v>
      </c>
      <c r="AI1" s="61"/>
      <c r="AJ1" s="60" t="s">
        <v>6</v>
      </c>
      <c r="AK1" s="61"/>
      <c r="AL1" s="10" t="s">
        <v>7</v>
      </c>
      <c r="AM1" s="61"/>
      <c r="AN1" s="10" t="s">
        <v>8</v>
      </c>
      <c r="AO1" s="61"/>
      <c r="AP1" s="10" t="s">
        <v>27</v>
      </c>
      <c r="AQ1" s="61"/>
      <c r="AR1" s="10" t="s">
        <v>10</v>
      </c>
      <c r="AS1" s="61"/>
      <c r="AT1" s="11" t="s">
        <v>179</v>
      </c>
      <c r="AU1" s="61"/>
      <c r="AV1" s="10" t="s">
        <v>29</v>
      </c>
      <c r="AX1" s="12" t="s">
        <v>180</v>
      </c>
      <c r="AY1" s="13" t="s">
        <v>181</v>
      </c>
      <c r="AZ1" s="13" t="s">
        <v>182</v>
      </c>
      <c r="BA1" s="14" t="s">
        <v>183</v>
      </c>
    </row>
    <row r="2" spans="1:53" x14ac:dyDescent="0.15">
      <c r="A2" s="53" t="s">
        <v>41</v>
      </c>
      <c r="B2" s="53" t="s">
        <v>157</v>
      </c>
      <c r="C2" s="62">
        <v>2019</v>
      </c>
      <c r="D2" s="63" t="s">
        <v>184</v>
      </c>
      <c r="E2" s="53" t="s">
        <v>133</v>
      </c>
      <c r="F2" s="53" t="s">
        <v>185</v>
      </c>
      <c r="G2" s="53" t="s">
        <v>42</v>
      </c>
      <c r="H2" s="53" t="s">
        <v>164</v>
      </c>
      <c r="I2" s="53" t="s">
        <v>159</v>
      </c>
      <c r="J2" s="53" t="s">
        <v>38</v>
      </c>
      <c r="K2" s="53" t="s">
        <v>161</v>
      </c>
      <c r="L2" s="53">
        <v>1</v>
      </c>
      <c r="N2" s="53">
        <v>1</v>
      </c>
      <c r="O2" s="53">
        <v>0.65</v>
      </c>
      <c r="P2" s="53">
        <v>0.6</v>
      </c>
      <c r="Q2" s="16">
        <f t="shared" ref="Q2:Q65" si="0">IF(OR(O2="",P2=""),"",AVERAGE(O2,P2))</f>
        <v>0.625</v>
      </c>
      <c r="R2" s="53">
        <v>15.8</v>
      </c>
      <c r="S2" s="53">
        <v>135</v>
      </c>
      <c r="T2" s="16">
        <f t="shared" ref="T2:T65" si="1">IF(H2="","",IF(OR(H2="GREEN",H2="GK"),IF(S2&gt;=$AX$2,VLOOKUP(S2,$AX$2:$AY$10,2,1),""),IF(S2&gt;=$AZ$2,VLOOKUP(S2,$AZ$2:$BA$10,2,1),"")))</f>
        <v>25</v>
      </c>
      <c r="U2" s="53">
        <v>105</v>
      </c>
      <c r="V2" s="16">
        <f t="shared" ref="V2:V65" si="2">IF(OR(N2="",U2="",T2=""),"",U2/N2*T2)</f>
        <v>2625</v>
      </c>
      <c r="W2" s="53">
        <v>3</v>
      </c>
      <c r="X2" s="53" t="s">
        <v>46</v>
      </c>
      <c r="Y2" s="53" t="s">
        <v>55</v>
      </c>
      <c r="Z2" s="53" t="s">
        <v>97</v>
      </c>
      <c r="AA2" s="53" t="s">
        <v>69</v>
      </c>
      <c r="AB2" s="53" t="s">
        <v>158</v>
      </c>
      <c r="AE2" s="64" t="s">
        <v>35</v>
      </c>
      <c r="AG2" s="65" t="s">
        <v>133</v>
      </c>
      <c r="AH2" s="66" t="s">
        <v>185</v>
      </c>
      <c r="AJ2" s="67" t="s">
        <v>36</v>
      </c>
      <c r="AL2" s="67" t="s">
        <v>186</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184</v>
      </c>
      <c r="E3" s="53" t="s">
        <v>133</v>
      </c>
      <c r="F3" s="53" t="s">
        <v>185</v>
      </c>
      <c r="G3" s="53" t="s">
        <v>42</v>
      </c>
      <c r="H3" s="53" t="s">
        <v>164</v>
      </c>
      <c r="I3" s="53" t="s">
        <v>159</v>
      </c>
      <c r="J3" s="53" t="s">
        <v>38</v>
      </c>
      <c r="K3" s="53" t="s">
        <v>161</v>
      </c>
      <c r="L3" s="53">
        <v>2</v>
      </c>
      <c r="N3" s="53">
        <v>1</v>
      </c>
      <c r="O3" s="53">
        <v>0.45</v>
      </c>
      <c r="P3" s="53">
        <v>0.3</v>
      </c>
      <c r="Q3" s="16">
        <f t="shared" si="0"/>
        <v>0.375</v>
      </c>
      <c r="R3" s="53">
        <v>14.7</v>
      </c>
      <c r="S3" s="53">
        <v>130</v>
      </c>
      <c r="T3" s="16">
        <f t="shared" si="1"/>
        <v>25</v>
      </c>
      <c r="U3" s="53">
        <v>105</v>
      </c>
      <c r="V3" s="16">
        <f t="shared" si="2"/>
        <v>2625</v>
      </c>
      <c r="W3" s="53">
        <v>3</v>
      </c>
      <c r="X3" s="53" t="s">
        <v>46</v>
      </c>
      <c r="Y3" s="53" t="s">
        <v>55</v>
      </c>
      <c r="Z3" s="53" t="s">
        <v>97</v>
      </c>
      <c r="AA3" s="53" t="s">
        <v>69</v>
      </c>
      <c r="AB3" s="53" t="s">
        <v>158</v>
      </c>
      <c r="AE3" s="22" t="s">
        <v>41</v>
      </c>
      <c r="AG3" s="71" t="s">
        <v>187</v>
      </c>
      <c r="AH3" s="71" t="s">
        <v>185</v>
      </c>
      <c r="AJ3" s="23" t="s">
        <v>42</v>
      </c>
      <c r="AL3" s="23" t="s">
        <v>188</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184</v>
      </c>
      <c r="E4" s="53" t="s">
        <v>133</v>
      </c>
      <c r="F4" s="53" t="s">
        <v>185</v>
      </c>
      <c r="G4" s="53" t="s">
        <v>42</v>
      </c>
      <c r="H4" s="53" t="s">
        <v>164</v>
      </c>
      <c r="I4" s="53" t="s">
        <v>159</v>
      </c>
      <c r="J4" s="53" t="s">
        <v>38</v>
      </c>
      <c r="K4" s="53" t="s">
        <v>161</v>
      </c>
      <c r="L4" s="53">
        <v>3</v>
      </c>
      <c r="N4" s="53">
        <v>1</v>
      </c>
      <c r="O4" s="53">
        <v>0.5</v>
      </c>
      <c r="P4" s="53">
        <v>0.4</v>
      </c>
      <c r="Q4" s="16">
        <f t="shared" si="0"/>
        <v>0.45</v>
      </c>
      <c r="R4" s="53">
        <v>16.8</v>
      </c>
      <c r="S4" s="53">
        <v>131</v>
      </c>
      <c r="T4" s="16">
        <f t="shared" si="1"/>
        <v>25</v>
      </c>
      <c r="U4" s="53">
        <v>105</v>
      </c>
      <c r="V4" s="16">
        <f t="shared" si="2"/>
        <v>2625</v>
      </c>
      <c r="W4" s="53">
        <v>3</v>
      </c>
      <c r="X4" s="53" t="s">
        <v>46</v>
      </c>
      <c r="Y4" s="53" t="s">
        <v>55</v>
      </c>
      <c r="Z4" s="53" t="s">
        <v>97</v>
      </c>
      <c r="AA4" s="53" t="s">
        <v>69</v>
      </c>
      <c r="AB4" s="53" t="s">
        <v>158</v>
      </c>
      <c r="AE4" s="22" t="s">
        <v>34</v>
      </c>
      <c r="AG4" s="71" t="s">
        <v>187</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184</v>
      </c>
      <c r="E5" s="53" t="s">
        <v>133</v>
      </c>
      <c r="F5" s="53" t="s">
        <v>185</v>
      </c>
      <c r="G5" s="53" t="s">
        <v>42</v>
      </c>
      <c r="H5" s="53" t="s">
        <v>164</v>
      </c>
      <c r="I5" s="53" t="s">
        <v>159</v>
      </c>
      <c r="J5" s="53" t="s">
        <v>38</v>
      </c>
      <c r="K5" s="53" t="s">
        <v>161</v>
      </c>
      <c r="L5" s="53">
        <v>1</v>
      </c>
      <c r="N5" s="53">
        <v>10</v>
      </c>
      <c r="O5" s="53">
        <v>0.75</v>
      </c>
      <c r="P5" s="53">
        <v>0.5</v>
      </c>
      <c r="Q5" s="16">
        <f t="shared" si="0"/>
        <v>0.625</v>
      </c>
      <c r="R5" s="53">
        <v>17.8</v>
      </c>
      <c r="S5" s="53">
        <v>120</v>
      </c>
      <c r="T5" s="16">
        <f t="shared" si="1"/>
        <v>30</v>
      </c>
      <c r="U5" s="53">
        <v>609</v>
      </c>
      <c r="V5" s="16">
        <f t="shared" si="2"/>
        <v>1827</v>
      </c>
      <c r="W5" s="53">
        <v>4</v>
      </c>
      <c r="X5" s="53" t="s">
        <v>46</v>
      </c>
      <c r="Y5" s="53" t="s">
        <v>55</v>
      </c>
      <c r="Z5" s="53" t="s">
        <v>97</v>
      </c>
      <c r="AA5" s="53" t="s">
        <v>69</v>
      </c>
      <c r="AB5" s="53" t="s">
        <v>158</v>
      </c>
      <c r="AE5" s="22" t="s">
        <v>51</v>
      </c>
      <c r="AG5" s="71" t="s">
        <v>194</v>
      </c>
      <c r="AH5" s="71" t="s">
        <v>185</v>
      </c>
      <c r="AJ5" s="28"/>
      <c r="AL5" s="72" t="s">
        <v>164</v>
      </c>
      <c r="AN5" s="72" t="s">
        <v>159</v>
      </c>
      <c r="AP5" s="23" t="s">
        <v>195</v>
      </c>
      <c r="AR5" s="23" t="s">
        <v>54</v>
      </c>
      <c r="AV5" s="23" t="s">
        <v>55</v>
      </c>
      <c r="AX5" s="24">
        <v>84</v>
      </c>
      <c r="AY5" s="25">
        <v>39</v>
      </c>
      <c r="AZ5" s="25">
        <v>84</v>
      </c>
      <c r="BA5" s="26">
        <v>36</v>
      </c>
    </row>
    <row r="6" spans="1:53" x14ac:dyDescent="0.15">
      <c r="A6" s="53" t="s">
        <v>41</v>
      </c>
      <c r="B6" s="53" t="s">
        <v>157</v>
      </c>
      <c r="C6" s="62">
        <v>2019</v>
      </c>
      <c r="D6" s="63" t="s">
        <v>184</v>
      </c>
      <c r="E6" s="53" t="s">
        <v>133</v>
      </c>
      <c r="F6" s="53" t="s">
        <v>185</v>
      </c>
      <c r="G6" s="53" t="s">
        <v>42</v>
      </c>
      <c r="H6" s="53" t="s">
        <v>164</v>
      </c>
      <c r="I6" s="53" t="s">
        <v>159</v>
      </c>
      <c r="J6" s="53" t="s">
        <v>38</v>
      </c>
      <c r="K6" s="53" t="s">
        <v>161</v>
      </c>
      <c r="L6" s="53">
        <v>2</v>
      </c>
      <c r="N6" s="53">
        <v>10</v>
      </c>
      <c r="O6" s="53">
        <v>0.5</v>
      </c>
      <c r="P6" s="53">
        <v>0.4</v>
      </c>
      <c r="Q6" s="16">
        <f t="shared" si="0"/>
        <v>0.45</v>
      </c>
      <c r="R6" s="53">
        <v>13.4</v>
      </c>
      <c r="S6" s="53">
        <v>115</v>
      </c>
      <c r="T6" s="16">
        <f t="shared" si="1"/>
        <v>30</v>
      </c>
      <c r="U6" s="53">
        <v>609</v>
      </c>
      <c r="V6" s="16">
        <f t="shared" si="2"/>
        <v>1827</v>
      </c>
      <c r="W6" s="53">
        <v>4</v>
      </c>
      <c r="X6" s="53" t="s">
        <v>46</v>
      </c>
      <c r="Y6" s="53" t="s">
        <v>55</v>
      </c>
      <c r="Z6" s="53" t="s">
        <v>97</v>
      </c>
      <c r="AA6" s="53" t="s">
        <v>69</v>
      </c>
      <c r="AB6" s="53" t="s">
        <v>158</v>
      </c>
      <c r="AE6" s="22" t="s">
        <v>56</v>
      </c>
      <c r="AG6" s="71" t="s">
        <v>194</v>
      </c>
      <c r="AH6" s="71" t="s">
        <v>196</v>
      </c>
      <c r="AL6" s="72" t="s">
        <v>197</v>
      </c>
      <c r="AN6" s="72" t="s">
        <v>165</v>
      </c>
      <c r="AP6" s="23" t="s">
        <v>53</v>
      </c>
      <c r="AR6" s="23" t="s">
        <v>59</v>
      </c>
      <c r="AV6" s="23" t="s">
        <v>60</v>
      </c>
      <c r="AX6" s="24">
        <v>97</v>
      </c>
      <c r="AY6" s="25">
        <v>36</v>
      </c>
      <c r="AZ6" s="25">
        <v>99</v>
      </c>
      <c r="BA6" s="26">
        <v>33</v>
      </c>
    </row>
    <row r="7" spans="1:53" x14ac:dyDescent="0.15">
      <c r="A7" s="53" t="s">
        <v>41</v>
      </c>
      <c r="B7" s="53" t="s">
        <v>157</v>
      </c>
      <c r="C7" s="62">
        <v>2019</v>
      </c>
      <c r="D7" s="63" t="s">
        <v>184</v>
      </c>
      <c r="E7" s="53" t="s">
        <v>133</v>
      </c>
      <c r="F7" s="53" t="s">
        <v>185</v>
      </c>
      <c r="G7" s="53" t="s">
        <v>42</v>
      </c>
      <c r="H7" s="53" t="s">
        <v>164</v>
      </c>
      <c r="I7" s="53" t="s">
        <v>159</v>
      </c>
      <c r="J7" s="53" t="s">
        <v>38</v>
      </c>
      <c r="K7" s="53" t="s">
        <v>161</v>
      </c>
      <c r="L7" s="53">
        <v>3</v>
      </c>
      <c r="N7" s="53">
        <v>10</v>
      </c>
      <c r="O7" s="53">
        <v>0.35</v>
      </c>
      <c r="P7" s="53">
        <v>0.5</v>
      </c>
      <c r="Q7" s="16">
        <f t="shared" si="0"/>
        <v>0.42499999999999999</v>
      </c>
      <c r="R7" s="53">
        <v>13.4</v>
      </c>
      <c r="S7" s="53">
        <v>112</v>
      </c>
      <c r="T7" s="16">
        <f t="shared" si="1"/>
        <v>33</v>
      </c>
      <c r="U7" s="53">
        <v>609</v>
      </c>
      <c r="V7" s="16">
        <f t="shared" si="2"/>
        <v>2009.7</v>
      </c>
      <c r="W7" s="53">
        <v>4</v>
      </c>
      <c r="X7" s="53" t="s">
        <v>46</v>
      </c>
      <c r="Y7" s="53" t="s">
        <v>55</v>
      </c>
      <c r="Z7" s="53" t="s">
        <v>97</v>
      </c>
      <c r="AA7" s="53" t="s">
        <v>69</v>
      </c>
      <c r="AB7" s="53" t="s">
        <v>158</v>
      </c>
      <c r="AE7" s="22" t="s">
        <v>61</v>
      </c>
      <c r="AG7" s="71" t="s">
        <v>198</v>
      </c>
      <c r="AH7" s="71" t="s">
        <v>196</v>
      </c>
      <c r="AL7" s="73" t="s">
        <v>199</v>
      </c>
      <c r="AP7" s="23" t="s">
        <v>58</v>
      </c>
      <c r="AR7" s="23" t="s">
        <v>200</v>
      </c>
      <c r="AV7" s="23" t="s">
        <v>64</v>
      </c>
      <c r="AX7" s="24">
        <v>109</v>
      </c>
      <c r="AY7" s="25">
        <v>33</v>
      </c>
      <c r="AZ7" s="25">
        <v>113</v>
      </c>
      <c r="BA7" s="26">
        <v>30</v>
      </c>
    </row>
    <row r="8" spans="1:53" x14ac:dyDescent="0.15">
      <c r="A8" s="53" t="s">
        <v>41</v>
      </c>
      <c r="B8" s="53" t="s">
        <v>157</v>
      </c>
      <c r="C8" s="62">
        <v>2019</v>
      </c>
      <c r="D8" s="63" t="s">
        <v>184</v>
      </c>
      <c r="E8" s="53" t="s">
        <v>133</v>
      </c>
      <c r="F8" s="53" t="s">
        <v>185</v>
      </c>
      <c r="G8" s="53" t="s">
        <v>42</v>
      </c>
      <c r="H8" s="53" t="s">
        <v>160</v>
      </c>
      <c r="I8" s="53" t="s">
        <v>159</v>
      </c>
      <c r="J8" s="53" t="s">
        <v>38</v>
      </c>
      <c r="K8" s="53" t="s">
        <v>161</v>
      </c>
      <c r="L8" s="53">
        <v>1</v>
      </c>
      <c r="N8" s="53">
        <v>1</v>
      </c>
      <c r="O8" s="53">
        <v>0.4</v>
      </c>
      <c r="P8" s="53">
        <v>0.75</v>
      </c>
      <c r="Q8" s="16">
        <f t="shared" si="0"/>
        <v>0.57499999999999996</v>
      </c>
      <c r="R8" s="53">
        <v>15.6</v>
      </c>
      <c r="S8" s="53">
        <v>140</v>
      </c>
      <c r="T8" s="16">
        <f t="shared" si="1"/>
        <v>22</v>
      </c>
      <c r="U8" s="53">
        <v>138</v>
      </c>
      <c r="V8" s="16">
        <f t="shared" si="2"/>
        <v>3036</v>
      </c>
      <c r="W8" s="53">
        <v>6</v>
      </c>
      <c r="X8" s="53" t="s">
        <v>46</v>
      </c>
      <c r="Y8" s="53" t="s">
        <v>55</v>
      </c>
      <c r="Z8" s="53" t="s">
        <v>97</v>
      </c>
      <c r="AA8" s="53" t="s">
        <v>69</v>
      </c>
      <c r="AB8" s="53" t="s">
        <v>158</v>
      </c>
      <c r="AE8" s="22" t="s">
        <v>59</v>
      </c>
      <c r="AG8" s="71" t="s">
        <v>201</v>
      </c>
      <c r="AH8" s="71" t="s">
        <v>202</v>
      </c>
      <c r="AL8" s="73" t="s">
        <v>160</v>
      </c>
      <c r="AP8" s="23" t="s">
        <v>62</v>
      </c>
      <c r="AR8" s="23" t="s">
        <v>81</v>
      </c>
      <c r="AV8" s="23" t="s">
        <v>97</v>
      </c>
      <c r="AX8" s="24">
        <v>119</v>
      </c>
      <c r="AY8" s="25">
        <v>30</v>
      </c>
      <c r="AZ8" s="25">
        <v>121</v>
      </c>
      <c r="BA8" s="26">
        <v>27</v>
      </c>
    </row>
    <row r="9" spans="1:53" x14ac:dyDescent="0.15">
      <c r="A9" s="53" t="s">
        <v>41</v>
      </c>
      <c r="B9" s="53" t="s">
        <v>157</v>
      </c>
      <c r="C9" s="62">
        <v>2019</v>
      </c>
      <c r="D9" s="63" t="s">
        <v>184</v>
      </c>
      <c r="E9" s="53" t="s">
        <v>133</v>
      </c>
      <c r="F9" s="53" t="s">
        <v>185</v>
      </c>
      <c r="G9" s="53" t="s">
        <v>42</v>
      </c>
      <c r="H9" s="53" t="s">
        <v>160</v>
      </c>
      <c r="I9" s="53" t="s">
        <v>159</v>
      </c>
      <c r="J9" s="53" t="s">
        <v>38</v>
      </c>
      <c r="K9" s="53" t="s">
        <v>161</v>
      </c>
      <c r="L9" s="53">
        <v>2</v>
      </c>
      <c r="N9" s="53">
        <v>1</v>
      </c>
      <c r="O9" s="53">
        <v>0.5</v>
      </c>
      <c r="P9" s="53">
        <v>0.6</v>
      </c>
      <c r="Q9" s="16">
        <f t="shared" si="0"/>
        <v>0.55000000000000004</v>
      </c>
      <c r="R9" s="53">
        <v>13.9</v>
      </c>
      <c r="S9" s="53">
        <v>132</v>
      </c>
      <c r="T9" s="16">
        <f t="shared" si="1"/>
        <v>25</v>
      </c>
      <c r="U9" s="53">
        <v>138</v>
      </c>
      <c r="V9" s="16">
        <f t="shared" si="2"/>
        <v>3450</v>
      </c>
      <c r="W9" s="53">
        <v>6</v>
      </c>
      <c r="X9" s="53" t="s">
        <v>46</v>
      </c>
      <c r="Y9" s="53" t="s">
        <v>55</v>
      </c>
      <c r="Z9" s="53" t="s">
        <v>97</v>
      </c>
      <c r="AA9" s="53" t="s">
        <v>69</v>
      </c>
      <c r="AB9" s="53" t="s">
        <v>158</v>
      </c>
      <c r="AE9" s="22" t="s">
        <v>203</v>
      </c>
      <c r="AG9" s="71" t="s">
        <v>204</v>
      </c>
      <c r="AH9" s="71" t="s">
        <v>205</v>
      </c>
      <c r="AL9" s="72"/>
      <c r="AP9" s="23" t="s">
        <v>95</v>
      </c>
      <c r="AR9" s="23" t="s">
        <v>206</v>
      </c>
      <c r="AV9" s="23" t="s">
        <v>102</v>
      </c>
      <c r="AX9" s="24">
        <v>128</v>
      </c>
      <c r="AY9" s="25">
        <v>27</v>
      </c>
      <c r="AZ9" s="25">
        <v>129</v>
      </c>
      <c r="BA9" s="26">
        <v>25</v>
      </c>
    </row>
    <row r="10" spans="1:53" x14ac:dyDescent="0.15">
      <c r="A10" s="53" t="s">
        <v>41</v>
      </c>
      <c r="B10" s="53" t="s">
        <v>157</v>
      </c>
      <c r="C10" s="62">
        <v>2019</v>
      </c>
      <c r="D10" s="63" t="s">
        <v>184</v>
      </c>
      <c r="E10" s="53" t="s">
        <v>133</v>
      </c>
      <c r="F10" s="53" t="s">
        <v>185</v>
      </c>
      <c r="G10" s="53" t="s">
        <v>42</v>
      </c>
      <c r="H10" s="53" t="s">
        <v>160</v>
      </c>
      <c r="I10" s="53" t="s">
        <v>159</v>
      </c>
      <c r="J10" s="53" t="s">
        <v>38</v>
      </c>
      <c r="K10" s="53" t="s">
        <v>161</v>
      </c>
      <c r="L10" s="53">
        <v>3</v>
      </c>
      <c r="N10" s="53">
        <v>1</v>
      </c>
      <c r="O10" s="53">
        <v>0.85</v>
      </c>
      <c r="P10" s="53">
        <v>0.7</v>
      </c>
      <c r="Q10" s="16">
        <f t="shared" si="0"/>
        <v>0.77499999999999991</v>
      </c>
      <c r="R10" s="53">
        <v>14.7</v>
      </c>
      <c r="S10" s="53">
        <v>133</v>
      </c>
      <c r="T10" s="16">
        <f t="shared" si="1"/>
        <v>25</v>
      </c>
      <c r="U10" s="53">
        <v>138</v>
      </c>
      <c r="V10" s="16">
        <f t="shared" si="2"/>
        <v>3450</v>
      </c>
      <c r="W10" s="53">
        <v>6</v>
      </c>
      <c r="X10" s="53" t="s">
        <v>46</v>
      </c>
      <c r="Y10" s="53" t="s">
        <v>55</v>
      </c>
      <c r="Z10" s="53" t="s">
        <v>97</v>
      </c>
      <c r="AA10" s="53" t="s">
        <v>69</v>
      </c>
      <c r="AB10" s="53" t="s">
        <v>158</v>
      </c>
      <c r="AE10" s="22" t="s">
        <v>207</v>
      </c>
      <c r="AG10" s="71" t="s">
        <v>201</v>
      </c>
      <c r="AH10" s="71" t="s">
        <v>208</v>
      </c>
      <c r="AL10" s="73"/>
      <c r="AP10" s="23" t="s">
        <v>100</v>
      </c>
      <c r="AR10" s="23" t="s">
        <v>209</v>
      </c>
      <c r="AV10" s="23" t="s">
        <v>106</v>
      </c>
      <c r="AX10" s="24">
        <v>138</v>
      </c>
      <c r="AY10" s="25">
        <v>25</v>
      </c>
      <c r="AZ10" s="25">
        <v>138</v>
      </c>
      <c r="BA10" s="26">
        <v>22</v>
      </c>
    </row>
    <row r="11" spans="1:53" x14ac:dyDescent="0.15">
      <c r="A11" s="53" t="s">
        <v>41</v>
      </c>
      <c r="B11" s="53" t="s">
        <v>157</v>
      </c>
      <c r="C11" s="62">
        <v>2019</v>
      </c>
      <c r="D11" s="63" t="s">
        <v>184</v>
      </c>
      <c r="E11" s="53" t="s">
        <v>133</v>
      </c>
      <c r="F11" s="53" t="s">
        <v>185</v>
      </c>
      <c r="G11" s="53" t="s">
        <v>42</v>
      </c>
      <c r="H11" s="53" t="s">
        <v>160</v>
      </c>
      <c r="I11" s="53" t="s">
        <v>159</v>
      </c>
      <c r="J11" s="53" t="s">
        <v>38</v>
      </c>
      <c r="K11" s="53" t="s">
        <v>161</v>
      </c>
      <c r="L11" s="53">
        <v>1</v>
      </c>
      <c r="N11" s="53">
        <v>16</v>
      </c>
      <c r="O11" s="53">
        <v>0.25</v>
      </c>
      <c r="P11" s="53">
        <v>0.25</v>
      </c>
      <c r="Q11" s="16">
        <f t="shared" si="0"/>
        <v>0.25</v>
      </c>
      <c r="R11" s="53">
        <v>15</v>
      </c>
      <c r="S11" s="53">
        <v>102</v>
      </c>
      <c r="T11" s="16">
        <f t="shared" si="1"/>
        <v>33</v>
      </c>
      <c r="U11" s="53">
        <v>1058</v>
      </c>
      <c r="V11" s="16">
        <f t="shared" si="2"/>
        <v>2182.125</v>
      </c>
      <c r="W11" s="53">
        <v>4</v>
      </c>
      <c r="X11" s="53" t="s">
        <v>46</v>
      </c>
      <c r="Y11" s="53" t="s">
        <v>55</v>
      </c>
      <c r="Z11" s="53" t="s">
        <v>97</v>
      </c>
      <c r="AA11" s="53" t="s">
        <v>69</v>
      </c>
      <c r="AB11" s="53" t="s">
        <v>158</v>
      </c>
      <c r="AE11" s="22" t="s">
        <v>68</v>
      </c>
      <c r="AG11" s="71" t="s">
        <v>210</v>
      </c>
      <c r="AH11" s="71" t="s">
        <v>211</v>
      </c>
      <c r="AL11" s="73"/>
      <c r="AP11" s="23" t="s">
        <v>104</v>
      </c>
      <c r="AR11" s="23" t="s">
        <v>212</v>
      </c>
      <c r="AV11" s="23" t="s">
        <v>69</v>
      </c>
      <c r="AX11" s="24">
        <v>151</v>
      </c>
      <c r="AY11" s="25">
        <v>22</v>
      </c>
      <c r="AZ11" s="25">
        <v>152</v>
      </c>
      <c r="BA11" s="26">
        <v>18</v>
      </c>
    </row>
    <row r="12" spans="1:53" x14ac:dyDescent="0.15">
      <c r="A12" s="53" t="s">
        <v>41</v>
      </c>
      <c r="B12" s="53" t="s">
        <v>157</v>
      </c>
      <c r="C12" s="62">
        <v>2019</v>
      </c>
      <c r="D12" s="63" t="s">
        <v>184</v>
      </c>
      <c r="E12" s="53" t="s">
        <v>133</v>
      </c>
      <c r="F12" s="53" t="s">
        <v>185</v>
      </c>
      <c r="G12" s="53" t="s">
        <v>42</v>
      </c>
      <c r="H12" s="53" t="s">
        <v>160</v>
      </c>
      <c r="I12" s="53" t="s">
        <v>159</v>
      </c>
      <c r="J12" s="53" t="s">
        <v>38</v>
      </c>
      <c r="K12" s="53" t="s">
        <v>161</v>
      </c>
      <c r="L12" s="53">
        <v>2</v>
      </c>
      <c r="N12" s="53">
        <v>16</v>
      </c>
      <c r="O12" s="53">
        <v>0.25</v>
      </c>
      <c r="P12" s="53">
        <v>0.25</v>
      </c>
      <c r="Q12" s="16">
        <f t="shared" si="0"/>
        <v>0.25</v>
      </c>
      <c r="R12" s="53">
        <v>16.100000000000001</v>
      </c>
      <c r="S12" s="53">
        <v>105</v>
      </c>
      <c r="T12" s="16">
        <f t="shared" si="1"/>
        <v>33</v>
      </c>
      <c r="U12" s="53">
        <v>1058</v>
      </c>
      <c r="V12" s="16">
        <f t="shared" si="2"/>
        <v>2182.125</v>
      </c>
      <c r="W12" s="53">
        <v>4</v>
      </c>
      <c r="X12" s="53" t="s">
        <v>46</v>
      </c>
      <c r="Y12" s="53" t="s">
        <v>55</v>
      </c>
      <c r="Z12" s="53" t="s">
        <v>97</v>
      </c>
      <c r="AA12" s="53" t="s">
        <v>69</v>
      </c>
      <c r="AB12" s="53" t="s">
        <v>158</v>
      </c>
      <c r="AE12" s="22" t="s">
        <v>213</v>
      </c>
      <c r="AG12" s="22"/>
      <c r="AH12" s="22"/>
      <c r="AL12" s="73"/>
      <c r="AP12" s="23" t="s">
        <v>67</v>
      </c>
      <c r="AR12" s="23" t="s">
        <v>214</v>
      </c>
      <c r="AV12" s="23" t="s">
        <v>72</v>
      </c>
      <c r="AX12" s="31">
        <v>180</v>
      </c>
      <c r="AY12" s="32">
        <v>18</v>
      </c>
      <c r="AZ12" s="32">
        <v>181</v>
      </c>
      <c r="BA12" s="33">
        <v>16</v>
      </c>
    </row>
    <row r="13" spans="1:53" x14ac:dyDescent="0.15">
      <c r="A13" s="53" t="s">
        <v>41</v>
      </c>
      <c r="B13" s="53" t="s">
        <v>157</v>
      </c>
      <c r="C13" s="62">
        <v>2019</v>
      </c>
      <c r="D13" s="63" t="s">
        <v>184</v>
      </c>
      <c r="E13" s="53" t="s">
        <v>133</v>
      </c>
      <c r="F13" s="53" t="s">
        <v>185</v>
      </c>
      <c r="G13" s="53" t="s">
        <v>42</v>
      </c>
      <c r="H13" s="53" t="s">
        <v>160</v>
      </c>
      <c r="I13" s="53" t="s">
        <v>159</v>
      </c>
      <c r="J13" s="53" t="s">
        <v>38</v>
      </c>
      <c r="K13" s="53" t="s">
        <v>161</v>
      </c>
      <c r="L13" s="53">
        <v>3</v>
      </c>
      <c r="N13" s="53">
        <v>16</v>
      </c>
      <c r="O13" s="53">
        <v>0.25</v>
      </c>
      <c r="P13" s="53">
        <v>0.25</v>
      </c>
      <c r="Q13" s="16">
        <f t="shared" si="0"/>
        <v>0.25</v>
      </c>
      <c r="R13" s="53">
        <v>14.8</v>
      </c>
      <c r="S13" s="53">
        <v>104</v>
      </c>
      <c r="T13" s="16">
        <f t="shared" si="1"/>
        <v>33</v>
      </c>
      <c r="U13" s="53">
        <v>1058</v>
      </c>
      <c r="V13" s="16">
        <f t="shared" si="2"/>
        <v>2182.125</v>
      </c>
      <c r="W13" s="53">
        <v>4</v>
      </c>
      <c r="X13" s="53" t="s">
        <v>46</v>
      </c>
      <c r="Y13" s="53" t="s">
        <v>55</v>
      </c>
      <c r="Z13" s="53" t="s">
        <v>97</v>
      </c>
      <c r="AA13" s="53" t="s">
        <v>69</v>
      </c>
      <c r="AB13" s="53" t="s">
        <v>158</v>
      </c>
      <c r="AE13" s="22" t="s">
        <v>215</v>
      </c>
      <c r="AG13" s="23"/>
      <c r="AH13" s="23"/>
      <c r="AP13" s="23" t="s">
        <v>71</v>
      </c>
      <c r="AR13" s="23" t="s">
        <v>207</v>
      </c>
      <c r="AV13" s="23" t="s">
        <v>75</v>
      </c>
    </row>
    <row r="14" spans="1:53" x14ac:dyDescent="0.15">
      <c r="A14" s="53" t="s">
        <v>41</v>
      </c>
      <c r="B14" s="53" t="s">
        <v>157</v>
      </c>
      <c r="C14" s="62">
        <v>2019</v>
      </c>
      <c r="D14" s="63" t="s">
        <v>184</v>
      </c>
      <c r="E14" s="53" t="s">
        <v>133</v>
      </c>
      <c r="F14" s="53" t="s">
        <v>185</v>
      </c>
      <c r="G14" s="53" t="s">
        <v>42</v>
      </c>
      <c r="H14" s="53" t="s">
        <v>160</v>
      </c>
      <c r="I14" s="53" t="s">
        <v>159</v>
      </c>
      <c r="J14" s="53" t="s">
        <v>38</v>
      </c>
      <c r="K14" s="53" t="s">
        <v>161</v>
      </c>
      <c r="L14" s="53">
        <v>1</v>
      </c>
      <c r="N14" s="53">
        <v>8</v>
      </c>
      <c r="O14" s="53">
        <v>0.5</v>
      </c>
      <c r="P14" s="53">
        <v>0.45</v>
      </c>
      <c r="Q14" s="74">
        <f t="shared" si="0"/>
        <v>0.47499999999999998</v>
      </c>
      <c r="R14" s="53">
        <v>14.7</v>
      </c>
      <c r="S14" s="53">
        <v>115</v>
      </c>
      <c r="T14" s="16">
        <f t="shared" si="1"/>
        <v>30</v>
      </c>
      <c r="U14" s="53">
        <v>753</v>
      </c>
      <c r="V14" s="16">
        <f t="shared" si="2"/>
        <v>2823.75</v>
      </c>
      <c r="W14" s="53">
        <v>4</v>
      </c>
      <c r="X14" s="53" t="s">
        <v>46</v>
      </c>
      <c r="Y14" s="53" t="s">
        <v>55</v>
      </c>
      <c r="Z14" s="53" t="s">
        <v>97</v>
      </c>
      <c r="AA14" s="53" t="s">
        <v>69</v>
      </c>
      <c r="AB14" s="53" t="s">
        <v>158</v>
      </c>
      <c r="AE14" s="22" t="s">
        <v>96</v>
      </c>
      <c r="AG14" s="23"/>
      <c r="AH14" s="23"/>
      <c r="AP14" s="23" t="s">
        <v>74</v>
      </c>
      <c r="AR14" s="23" t="s">
        <v>216</v>
      </c>
      <c r="AV14" s="23" t="s">
        <v>78</v>
      </c>
    </row>
    <row r="15" spans="1:53" x14ac:dyDescent="0.15">
      <c r="A15" s="53" t="s">
        <v>41</v>
      </c>
      <c r="B15" s="53" t="s">
        <v>157</v>
      </c>
      <c r="C15" s="62">
        <v>2019</v>
      </c>
      <c r="D15" s="63" t="s">
        <v>184</v>
      </c>
      <c r="E15" s="53" t="s">
        <v>133</v>
      </c>
      <c r="F15" s="53" t="s">
        <v>185</v>
      </c>
      <c r="G15" s="53" t="s">
        <v>42</v>
      </c>
      <c r="H15" s="53" t="s">
        <v>160</v>
      </c>
      <c r="I15" s="53" t="s">
        <v>159</v>
      </c>
      <c r="J15" s="53" t="s">
        <v>38</v>
      </c>
      <c r="K15" s="53" t="s">
        <v>161</v>
      </c>
      <c r="L15" s="53">
        <v>2</v>
      </c>
      <c r="N15" s="53">
        <v>8</v>
      </c>
      <c r="O15" s="53">
        <v>0.45</v>
      </c>
      <c r="P15" s="53">
        <v>0.5</v>
      </c>
      <c r="Q15" s="74">
        <f t="shared" si="0"/>
        <v>0.47499999999999998</v>
      </c>
      <c r="R15" s="53">
        <v>13</v>
      </c>
      <c r="S15" s="53">
        <v>113</v>
      </c>
      <c r="T15" s="16">
        <f t="shared" si="1"/>
        <v>30</v>
      </c>
      <c r="U15" s="53">
        <v>753</v>
      </c>
      <c r="V15" s="16">
        <f t="shared" si="2"/>
        <v>2823.75</v>
      </c>
      <c r="W15" s="53">
        <v>4</v>
      </c>
      <c r="X15" s="53" t="s">
        <v>46</v>
      </c>
      <c r="Y15" s="53" t="s">
        <v>55</v>
      </c>
      <c r="Z15" s="53" t="s">
        <v>97</v>
      </c>
      <c r="AA15" s="53" t="s">
        <v>69</v>
      </c>
      <c r="AB15" s="53" t="s">
        <v>158</v>
      </c>
      <c r="AE15" s="22" t="s">
        <v>217</v>
      </c>
      <c r="AG15" s="23"/>
      <c r="AH15" s="23"/>
      <c r="AP15" s="23" t="s">
        <v>77</v>
      </c>
      <c r="AR15" s="23" t="s">
        <v>80</v>
      </c>
      <c r="AV15" s="23" t="s">
        <v>107</v>
      </c>
    </row>
    <row r="16" spans="1:53" x14ac:dyDescent="0.15">
      <c r="A16" s="53" t="s">
        <v>41</v>
      </c>
      <c r="B16" s="53" t="s">
        <v>157</v>
      </c>
      <c r="C16" s="62">
        <v>2019</v>
      </c>
      <c r="D16" s="63" t="s">
        <v>184</v>
      </c>
      <c r="E16" s="53" t="s">
        <v>133</v>
      </c>
      <c r="F16" s="53" t="s">
        <v>185</v>
      </c>
      <c r="G16" s="53" t="s">
        <v>42</v>
      </c>
      <c r="H16" s="53" t="s">
        <v>160</v>
      </c>
      <c r="I16" s="53" t="s">
        <v>159</v>
      </c>
      <c r="J16" s="53" t="s">
        <v>38</v>
      </c>
      <c r="K16" s="53" t="s">
        <v>161</v>
      </c>
      <c r="L16" s="53">
        <v>3</v>
      </c>
      <c r="N16" s="53">
        <v>8</v>
      </c>
      <c r="O16" s="53">
        <v>0.5</v>
      </c>
      <c r="P16" s="53">
        <v>0.35</v>
      </c>
      <c r="Q16" s="74">
        <f t="shared" si="0"/>
        <v>0.42499999999999999</v>
      </c>
      <c r="R16" s="53">
        <v>17</v>
      </c>
      <c r="S16" s="53">
        <v>117</v>
      </c>
      <c r="T16" s="16">
        <f t="shared" si="1"/>
        <v>30</v>
      </c>
      <c r="U16" s="53">
        <v>753</v>
      </c>
      <c r="V16" s="16">
        <f t="shared" si="2"/>
        <v>2823.75</v>
      </c>
      <c r="W16" s="53">
        <v>4</v>
      </c>
      <c r="X16" s="53" t="s">
        <v>46</v>
      </c>
      <c r="Y16" s="53" t="s">
        <v>55</v>
      </c>
      <c r="Z16" s="53" t="s">
        <v>97</v>
      </c>
      <c r="AA16" s="53" t="s">
        <v>69</v>
      </c>
      <c r="AB16" s="53" t="s">
        <v>158</v>
      </c>
      <c r="AE16" s="22" t="s">
        <v>218</v>
      </c>
      <c r="AG16" s="28"/>
      <c r="AH16" s="28"/>
      <c r="AP16" s="23" t="s">
        <v>80</v>
      </c>
      <c r="AR16" s="23" t="s">
        <v>63</v>
      </c>
      <c r="AV16" s="23" t="s">
        <v>84</v>
      </c>
    </row>
    <row r="17" spans="1:48" x14ac:dyDescent="0.15">
      <c r="A17" s="53" t="s">
        <v>41</v>
      </c>
      <c r="B17" s="53" t="s">
        <v>157</v>
      </c>
      <c r="C17" s="62">
        <v>2019</v>
      </c>
      <c r="D17" s="63" t="s">
        <v>184</v>
      </c>
      <c r="E17" s="53" t="s">
        <v>133</v>
      </c>
      <c r="F17" s="53" t="s">
        <v>185</v>
      </c>
      <c r="G17" s="53" t="s">
        <v>42</v>
      </c>
      <c r="H17" s="53" t="s">
        <v>199</v>
      </c>
      <c r="I17" s="53" t="s">
        <v>159</v>
      </c>
      <c r="J17" s="53" t="s">
        <v>38</v>
      </c>
      <c r="K17" s="53" t="s">
        <v>161</v>
      </c>
      <c r="L17" s="53">
        <v>1</v>
      </c>
      <c r="N17" s="53">
        <v>18</v>
      </c>
      <c r="O17" s="53">
        <v>0.35</v>
      </c>
      <c r="P17" s="53">
        <v>0.3</v>
      </c>
      <c r="Q17" s="75">
        <f t="shared" si="0"/>
        <v>0.32499999999999996</v>
      </c>
      <c r="R17" s="53">
        <v>16</v>
      </c>
      <c r="S17" s="53">
        <v>81</v>
      </c>
      <c r="T17" s="16">
        <f t="shared" si="1"/>
        <v>39</v>
      </c>
      <c r="U17" s="53">
        <v>753</v>
      </c>
      <c r="V17" s="16">
        <f t="shared" si="2"/>
        <v>1631.5</v>
      </c>
      <c r="W17" s="53">
        <v>5</v>
      </c>
      <c r="X17" s="53" t="s">
        <v>46</v>
      </c>
      <c r="Y17" s="53" t="s">
        <v>55</v>
      </c>
      <c r="Z17" s="53" t="s">
        <v>97</v>
      </c>
      <c r="AA17" s="53" t="s">
        <v>69</v>
      </c>
      <c r="AB17" s="53" t="s">
        <v>158</v>
      </c>
      <c r="AE17" s="22" t="s">
        <v>219</v>
      </c>
      <c r="AP17" s="27" t="s">
        <v>220</v>
      </c>
      <c r="AR17" s="23" t="s">
        <v>96</v>
      </c>
      <c r="AV17" s="23" t="s">
        <v>86</v>
      </c>
    </row>
    <row r="18" spans="1:48" x14ac:dyDescent="0.15">
      <c r="A18" s="53" t="s">
        <v>41</v>
      </c>
      <c r="B18" s="53" t="s">
        <v>157</v>
      </c>
      <c r="C18" s="62">
        <v>2019</v>
      </c>
      <c r="D18" s="63" t="s">
        <v>184</v>
      </c>
      <c r="E18" s="53" t="s">
        <v>133</v>
      </c>
      <c r="F18" s="53" t="s">
        <v>185</v>
      </c>
      <c r="G18" s="53" t="s">
        <v>42</v>
      </c>
      <c r="H18" s="53" t="s">
        <v>199</v>
      </c>
      <c r="I18" s="53" t="s">
        <v>159</v>
      </c>
      <c r="J18" s="53" t="s">
        <v>38</v>
      </c>
      <c r="K18" s="53" t="s">
        <v>161</v>
      </c>
      <c r="L18" s="53">
        <v>2</v>
      </c>
      <c r="N18" s="53">
        <v>18</v>
      </c>
      <c r="O18" s="53">
        <v>0.45</v>
      </c>
      <c r="P18" s="53">
        <v>0.5</v>
      </c>
      <c r="Q18" s="75">
        <f t="shared" si="0"/>
        <v>0.47499999999999998</v>
      </c>
      <c r="R18" s="53">
        <v>15.1</v>
      </c>
      <c r="S18" s="53">
        <v>70</v>
      </c>
      <c r="T18" s="16">
        <f t="shared" si="1"/>
        <v>50</v>
      </c>
      <c r="U18" s="53">
        <v>753</v>
      </c>
      <c r="V18" s="16">
        <f t="shared" si="2"/>
        <v>2091.666666666667</v>
      </c>
      <c r="W18" s="53">
        <v>5</v>
      </c>
      <c r="X18" s="53" t="s">
        <v>46</v>
      </c>
      <c r="Y18" s="53" t="s">
        <v>55</v>
      </c>
      <c r="Z18" s="53" t="s">
        <v>97</v>
      </c>
      <c r="AA18" s="53" t="s">
        <v>69</v>
      </c>
      <c r="AB18" s="53" t="s">
        <v>158</v>
      </c>
      <c r="AE18" s="22" t="s">
        <v>212</v>
      </c>
      <c r="AP18" s="27" t="s">
        <v>221</v>
      </c>
      <c r="AR18" s="23" t="s">
        <v>101</v>
      </c>
      <c r="AV18" s="23" t="s">
        <v>88</v>
      </c>
    </row>
    <row r="19" spans="1:48" x14ac:dyDescent="0.15">
      <c r="A19" s="53" t="s">
        <v>41</v>
      </c>
      <c r="B19" s="53" t="s">
        <v>157</v>
      </c>
      <c r="C19" s="62">
        <v>2019</v>
      </c>
      <c r="D19" s="63" t="s">
        <v>184</v>
      </c>
      <c r="E19" s="53" t="s">
        <v>133</v>
      </c>
      <c r="F19" s="53" t="s">
        <v>185</v>
      </c>
      <c r="G19" s="53" t="s">
        <v>42</v>
      </c>
      <c r="H19" s="53" t="s">
        <v>199</v>
      </c>
      <c r="I19" s="53" t="s">
        <v>159</v>
      </c>
      <c r="J19" s="53" t="s">
        <v>38</v>
      </c>
      <c r="K19" s="53" t="s">
        <v>161</v>
      </c>
      <c r="L19" s="53">
        <v>3</v>
      </c>
      <c r="N19" s="53">
        <v>18</v>
      </c>
      <c r="O19" s="53">
        <v>0.3</v>
      </c>
      <c r="P19" s="53">
        <v>0.35</v>
      </c>
      <c r="Q19" s="75">
        <f t="shared" si="0"/>
        <v>0.32499999999999996</v>
      </c>
      <c r="R19" s="53">
        <v>18.399999999999999</v>
      </c>
      <c r="S19" s="53">
        <v>75</v>
      </c>
      <c r="T19" s="16">
        <f t="shared" si="1"/>
        <v>42</v>
      </c>
      <c r="U19" s="53">
        <v>753</v>
      </c>
      <c r="V19" s="16">
        <f t="shared" si="2"/>
        <v>1757</v>
      </c>
      <c r="W19" s="53">
        <v>5</v>
      </c>
      <c r="X19" s="53" t="s">
        <v>46</v>
      </c>
      <c r="Y19" s="53" t="s">
        <v>55</v>
      </c>
      <c r="Z19" s="53" t="s">
        <v>97</v>
      </c>
      <c r="AA19" s="53" t="s">
        <v>69</v>
      </c>
      <c r="AB19" s="53" t="s">
        <v>158</v>
      </c>
      <c r="AE19" s="35" t="s">
        <v>206</v>
      </c>
      <c r="AP19" s="27" t="s">
        <v>222</v>
      </c>
      <c r="AR19" s="23" t="s">
        <v>223</v>
      </c>
      <c r="AV19" s="23" t="s">
        <v>90</v>
      </c>
    </row>
    <row r="20" spans="1:48" x14ac:dyDescent="0.15">
      <c r="A20" s="53" t="s">
        <v>41</v>
      </c>
      <c r="B20" s="53" t="s">
        <v>157</v>
      </c>
      <c r="C20" s="62">
        <v>2019</v>
      </c>
      <c r="D20" s="63" t="s">
        <v>184</v>
      </c>
      <c r="E20" s="53" t="s">
        <v>187</v>
      </c>
      <c r="F20" s="53" t="s">
        <v>185</v>
      </c>
      <c r="G20" s="53" t="s">
        <v>42</v>
      </c>
      <c r="H20" s="53" t="s">
        <v>160</v>
      </c>
      <c r="I20" s="53" t="s">
        <v>159</v>
      </c>
      <c r="J20" s="53" t="s">
        <v>38</v>
      </c>
      <c r="K20" s="53" t="s">
        <v>161</v>
      </c>
      <c r="L20" s="53">
        <v>1</v>
      </c>
      <c r="N20" s="53">
        <v>1</v>
      </c>
      <c r="O20" s="53">
        <v>0.45</v>
      </c>
      <c r="P20" s="53">
        <v>0.5</v>
      </c>
      <c r="Q20" s="75">
        <f t="shared" si="0"/>
        <v>0.47499999999999998</v>
      </c>
      <c r="R20" s="53">
        <v>16.100000000000001</v>
      </c>
      <c r="S20" s="53">
        <v>126</v>
      </c>
      <c r="T20" s="16">
        <f t="shared" si="1"/>
        <v>27</v>
      </c>
      <c r="U20" s="53">
        <v>105</v>
      </c>
      <c r="V20" s="16">
        <f t="shared" si="2"/>
        <v>2835</v>
      </c>
      <c r="W20" s="53">
        <v>3</v>
      </c>
      <c r="X20" s="53" t="s">
        <v>46</v>
      </c>
      <c r="Y20" s="53" t="s">
        <v>55</v>
      </c>
      <c r="Z20" s="53" t="s">
        <v>69</v>
      </c>
      <c r="AA20" s="53" t="s">
        <v>64</v>
      </c>
      <c r="AB20" s="53" t="s">
        <v>158</v>
      </c>
      <c r="AE20" s="35"/>
      <c r="AP20" s="27" t="s">
        <v>224</v>
      </c>
      <c r="AR20" s="23" t="s">
        <v>105</v>
      </c>
      <c r="AV20" s="27" t="s">
        <v>225</v>
      </c>
    </row>
    <row r="21" spans="1:48" x14ac:dyDescent="0.15">
      <c r="A21" s="53" t="s">
        <v>41</v>
      </c>
      <c r="B21" s="53" t="s">
        <v>157</v>
      </c>
      <c r="C21" s="62">
        <v>2019</v>
      </c>
      <c r="D21" s="63" t="s">
        <v>184</v>
      </c>
      <c r="E21" s="53" t="s">
        <v>187</v>
      </c>
      <c r="F21" s="53" t="s">
        <v>185</v>
      </c>
      <c r="G21" s="53" t="s">
        <v>42</v>
      </c>
      <c r="H21" s="53" t="s">
        <v>160</v>
      </c>
      <c r="I21" s="53" t="s">
        <v>159</v>
      </c>
      <c r="J21" s="53" t="s">
        <v>38</v>
      </c>
      <c r="K21" s="53" t="s">
        <v>161</v>
      </c>
      <c r="L21" s="53">
        <v>2</v>
      </c>
      <c r="N21" s="53">
        <v>1</v>
      </c>
      <c r="O21" s="53">
        <v>0.6</v>
      </c>
      <c r="P21" s="53">
        <v>0.65</v>
      </c>
      <c r="Q21" s="75">
        <f t="shared" si="0"/>
        <v>0.625</v>
      </c>
      <c r="R21" s="53">
        <v>14.1</v>
      </c>
      <c r="S21" s="53">
        <v>122</v>
      </c>
      <c r="T21" s="16">
        <f t="shared" si="1"/>
        <v>27</v>
      </c>
      <c r="U21" s="53">
        <v>105</v>
      </c>
      <c r="V21" s="16">
        <f t="shared" si="2"/>
        <v>2835</v>
      </c>
      <c r="W21" s="53">
        <v>3</v>
      </c>
      <c r="X21" s="53" t="s">
        <v>46</v>
      </c>
      <c r="Y21" s="53" t="s">
        <v>55</v>
      </c>
      <c r="Z21" s="53" t="s">
        <v>69</v>
      </c>
      <c r="AA21" s="53" t="s">
        <v>64</v>
      </c>
      <c r="AB21" s="53" t="s">
        <v>158</v>
      </c>
      <c r="AE21" s="28"/>
      <c r="AP21" s="27" t="s">
        <v>226</v>
      </c>
      <c r="AR21" s="23" t="s">
        <v>68</v>
      </c>
      <c r="AV21" s="27" t="s">
        <v>227</v>
      </c>
    </row>
    <row r="22" spans="1:48" x14ac:dyDescent="0.15">
      <c r="A22" s="53" t="s">
        <v>41</v>
      </c>
      <c r="B22" s="53" t="s">
        <v>157</v>
      </c>
      <c r="C22" s="62">
        <v>2019</v>
      </c>
      <c r="D22" s="63" t="s">
        <v>184</v>
      </c>
      <c r="E22" s="53" t="s">
        <v>187</v>
      </c>
      <c r="F22" s="53" t="s">
        <v>185</v>
      </c>
      <c r="G22" s="53" t="s">
        <v>42</v>
      </c>
      <c r="H22" s="53" t="s">
        <v>160</v>
      </c>
      <c r="I22" s="53" t="s">
        <v>159</v>
      </c>
      <c r="J22" s="53" t="s">
        <v>38</v>
      </c>
      <c r="K22" s="53" t="s">
        <v>161</v>
      </c>
      <c r="L22" s="53">
        <v>3</v>
      </c>
      <c r="N22" s="53">
        <v>1</v>
      </c>
      <c r="O22" s="53">
        <v>0.85</v>
      </c>
      <c r="P22" s="53">
        <v>0.45</v>
      </c>
      <c r="Q22" s="75">
        <f t="shared" si="0"/>
        <v>0.65</v>
      </c>
      <c r="R22" s="53">
        <v>13.8</v>
      </c>
      <c r="S22" s="53">
        <v>124</v>
      </c>
      <c r="T22" s="16">
        <f t="shared" si="1"/>
        <v>27</v>
      </c>
      <c r="U22" s="53">
        <v>105</v>
      </c>
      <c r="V22" s="16">
        <f t="shared" si="2"/>
        <v>2835</v>
      </c>
      <c r="W22" s="53">
        <v>3</v>
      </c>
      <c r="X22" s="53" t="s">
        <v>46</v>
      </c>
      <c r="Y22" s="53" t="s">
        <v>55</v>
      </c>
      <c r="Z22" s="53" t="s">
        <v>69</v>
      </c>
      <c r="AA22" s="53" t="s">
        <v>64</v>
      </c>
      <c r="AB22" s="53" t="s">
        <v>158</v>
      </c>
      <c r="AP22" s="27" t="s">
        <v>228</v>
      </c>
      <c r="AR22" s="23" t="s">
        <v>83</v>
      </c>
      <c r="AV22" s="27"/>
    </row>
    <row r="23" spans="1:48" x14ac:dyDescent="0.15">
      <c r="A23" s="53" t="s">
        <v>41</v>
      </c>
      <c r="B23" s="53" t="s">
        <v>157</v>
      </c>
      <c r="C23" s="62">
        <v>2019</v>
      </c>
      <c r="D23" s="63" t="s">
        <v>184</v>
      </c>
      <c r="E23" s="53" t="s">
        <v>187</v>
      </c>
      <c r="F23" s="53" t="s">
        <v>185</v>
      </c>
      <c r="G23" s="53" t="s">
        <v>42</v>
      </c>
      <c r="H23" s="53" t="s">
        <v>160</v>
      </c>
      <c r="I23" s="53" t="s">
        <v>159</v>
      </c>
      <c r="J23" s="53" t="s">
        <v>38</v>
      </c>
      <c r="K23" s="53" t="s">
        <v>161</v>
      </c>
      <c r="L23" s="53">
        <v>1</v>
      </c>
      <c r="N23" s="53">
        <v>6</v>
      </c>
      <c r="O23" s="53">
        <v>0.5</v>
      </c>
      <c r="P23" s="53">
        <v>0.5</v>
      </c>
      <c r="Q23" s="74">
        <f t="shared" si="0"/>
        <v>0.5</v>
      </c>
      <c r="R23" s="53">
        <v>16</v>
      </c>
      <c r="S23" s="53">
        <v>110</v>
      </c>
      <c r="T23" s="16">
        <f t="shared" si="1"/>
        <v>33</v>
      </c>
      <c r="U23" s="53">
        <v>626</v>
      </c>
      <c r="V23" s="16">
        <f t="shared" si="2"/>
        <v>3443</v>
      </c>
      <c r="W23" s="53">
        <v>2</v>
      </c>
      <c r="X23" s="53" t="s">
        <v>46</v>
      </c>
      <c r="Y23" s="53" t="s">
        <v>55</v>
      </c>
      <c r="Z23" s="53" t="s">
        <v>69</v>
      </c>
      <c r="AA23" s="53" t="s">
        <v>64</v>
      </c>
      <c r="AB23" s="53" t="s">
        <v>158</v>
      </c>
      <c r="AP23" s="27" t="s">
        <v>229</v>
      </c>
      <c r="AR23" s="28" t="s">
        <v>230</v>
      </c>
      <c r="AV23" s="28"/>
    </row>
    <row r="24" spans="1:48" x14ac:dyDescent="0.15">
      <c r="A24" s="53" t="s">
        <v>41</v>
      </c>
      <c r="B24" s="53" t="s">
        <v>157</v>
      </c>
      <c r="C24" s="62">
        <v>2019</v>
      </c>
      <c r="D24" s="63" t="s">
        <v>184</v>
      </c>
      <c r="E24" s="53" t="s">
        <v>187</v>
      </c>
      <c r="F24" s="53" t="s">
        <v>185</v>
      </c>
      <c r="G24" s="53" t="s">
        <v>42</v>
      </c>
      <c r="H24" s="53" t="s">
        <v>160</v>
      </c>
      <c r="I24" s="53" t="s">
        <v>159</v>
      </c>
      <c r="J24" s="53" t="s">
        <v>38</v>
      </c>
      <c r="K24" s="53" t="s">
        <v>161</v>
      </c>
      <c r="L24" s="53">
        <v>2</v>
      </c>
      <c r="N24" s="53">
        <v>6</v>
      </c>
      <c r="O24" s="53">
        <v>0.5</v>
      </c>
      <c r="P24" s="53">
        <v>0.55000000000000004</v>
      </c>
      <c r="Q24" s="74">
        <f t="shared" si="0"/>
        <v>0.52500000000000002</v>
      </c>
      <c r="R24" s="53">
        <v>18.7</v>
      </c>
      <c r="S24" s="53">
        <v>110</v>
      </c>
      <c r="T24" s="16">
        <f t="shared" si="1"/>
        <v>33</v>
      </c>
      <c r="U24" s="53">
        <v>626</v>
      </c>
      <c r="V24" s="16">
        <f t="shared" si="2"/>
        <v>3443</v>
      </c>
      <c r="W24" s="53">
        <v>2</v>
      </c>
      <c r="X24" s="53" t="s">
        <v>46</v>
      </c>
      <c r="Y24" s="53" t="s">
        <v>55</v>
      </c>
      <c r="Z24" s="53" t="s">
        <v>69</v>
      </c>
      <c r="AA24" s="53" t="s">
        <v>64</v>
      </c>
      <c r="AB24" s="53" t="s">
        <v>158</v>
      </c>
      <c r="AP24" s="27" t="s">
        <v>231</v>
      </c>
    </row>
    <row r="25" spans="1:48" x14ac:dyDescent="0.15">
      <c r="A25" s="53" t="s">
        <v>41</v>
      </c>
      <c r="B25" s="53" t="s">
        <v>157</v>
      </c>
      <c r="C25" s="62">
        <v>2019</v>
      </c>
      <c r="D25" s="63" t="s">
        <v>184</v>
      </c>
      <c r="E25" s="53" t="s">
        <v>187</v>
      </c>
      <c r="F25" s="53" t="s">
        <v>185</v>
      </c>
      <c r="G25" s="53" t="s">
        <v>42</v>
      </c>
      <c r="H25" s="53" t="s">
        <v>160</v>
      </c>
      <c r="I25" s="53" t="s">
        <v>159</v>
      </c>
      <c r="J25" s="53" t="s">
        <v>38</v>
      </c>
      <c r="K25" s="53" t="s">
        <v>161</v>
      </c>
      <c r="L25" s="53">
        <v>3</v>
      </c>
      <c r="N25" s="53">
        <v>6</v>
      </c>
      <c r="O25" s="53">
        <v>0.4</v>
      </c>
      <c r="P25" s="53">
        <v>0.55000000000000004</v>
      </c>
      <c r="Q25" s="74">
        <f t="shared" si="0"/>
        <v>0.47500000000000003</v>
      </c>
      <c r="R25" s="53">
        <v>17.399999999999999</v>
      </c>
      <c r="S25" s="53">
        <v>105</v>
      </c>
      <c r="T25" s="16">
        <f t="shared" si="1"/>
        <v>33</v>
      </c>
      <c r="U25" s="53">
        <v>626</v>
      </c>
      <c r="V25" s="16">
        <f t="shared" si="2"/>
        <v>3443</v>
      </c>
      <c r="W25" s="53">
        <v>2</v>
      </c>
      <c r="X25" s="53" t="s">
        <v>46</v>
      </c>
      <c r="Y25" s="53" t="s">
        <v>55</v>
      </c>
      <c r="Z25" s="53" t="s">
        <v>69</v>
      </c>
      <c r="AA25" s="53" t="s">
        <v>64</v>
      </c>
      <c r="AB25" s="53" t="s">
        <v>158</v>
      </c>
    </row>
    <row r="26" spans="1:48" x14ac:dyDescent="0.15">
      <c r="A26" s="53" t="s">
        <v>41</v>
      </c>
      <c r="B26" s="53" t="s">
        <v>157</v>
      </c>
      <c r="C26" s="62">
        <v>2019</v>
      </c>
      <c r="D26" s="63" t="s">
        <v>184</v>
      </c>
      <c r="E26" s="53" t="s">
        <v>187</v>
      </c>
      <c r="F26" s="53" t="s">
        <v>185</v>
      </c>
      <c r="G26" s="53" t="s">
        <v>42</v>
      </c>
      <c r="H26" s="53" t="s">
        <v>160</v>
      </c>
      <c r="I26" s="53" t="s">
        <v>159</v>
      </c>
      <c r="J26" s="53" t="s">
        <v>38</v>
      </c>
      <c r="K26" s="53" t="s">
        <v>161</v>
      </c>
      <c r="L26" s="53">
        <v>1</v>
      </c>
      <c r="N26" s="53">
        <v>10</v>
      </c>
      <c r="O26" s="53">
        <v>0.3</v>
      </c>
      <c r="P26" s="53">
        <v>0.25</v>
      </c>
      <c r="Q26" s="74">
        <f t="shared" si="0"/>
        <v>0.27500000000000002</v>
      </c>
      <c r="R26" s="53">
        <v>15.8</v>
      </c>
      <c r="S26" s="53">
        <v>121</v>
      </c>
      <c r="T26" s="16">
        <f t="shared" si="1"/>
        <v>27</v>
      </c>
      <c r="U26" s="53">
        <v>1058</v>
      </c>
      <c r="V26" s="16">
        <f t="shared" si="2"/>
        <v>2856.6</v>
      </c>
      <c r="W26" s="53">
        <v>2</v>
      </c>
      <c r="X26" s="53" t="s">
        <v>46</v>
      </c>
      <c r="Y26" s="53" t="s">
        <v>55</v>
      </c>
      <c r="Z26" s="53" t="s">
        <v>69</v>
      </c>
      <c r="AA26" s="53" t="s">
        <v>64</v>
      </c>
      <c r="AB26" s="53" t="s">
        <v>158</v>
      </c>
    </row>
    <row r="27" spans="1:48" x14ac:dyDescent="0.15">
      <c r="A27" s="53" t="s">
        <v>41</v>
      </c>
      <c r="B27" s="53" t="s">
        <v>157</v>
      </c>
      <c r="C27" s="62">
        <v>2019</v>
      </c>
      <c r="D27" s="63" t="s">
        <v>184</v>
      </c>
      <c r="E27" s="53" t="s">
        <v>187</v>
      </c>
      <c r="F27" s="53" t="s">
        <v>185</v>
      </c>
      <c r="G27" s="53" t="s">
        <v>42</v>
      </c>
      <c r="H27" s="53" t="s">
        <v>160</v>
      </c>
      <c r="I27" s="53" t="s">
        <v>159</v>
      </c>
      <c r="J27" s="53" t="s">
        <v>38</v>
      </c>
      <c r="K27" s="53" t="s">
        <v>161</v>
      </c>
      <c r="L27" s="53">
        <v>2</v>
      </c>
      <c r="N27" s="53">
        <v>10</v>
      </c>
      <c r="O27" s="53">
        <v>0.5</v>
      </c>
      <c r="P27" s="53">
        <v>0.4</v>
      </c>
      <c r="Q27" s="74">
        <f t="shared" si="0"/>
        <v>0.45</v>
      </c>
      <c r="R27" s="53">
        <v>15.7</v>
      </c>
      <c r="S27" s="53">
        <v>118</v>
      </c>
      <c r="T27" s="16">
        <f t="shared" si="1"/>
        <v>30</v>
      </c>
      <c r="U27" s="53">
        <v>1058</v>
      </c>
      <c r="V27" s="16">
        <f t="shared" si="2"/>
        <v>3174</v>
      </c>
      <c r="W27" s="53">
        <v>2</v>
      </c>
      <c r="X27" s="53" t="s">
        <v>46</v>
      </c>
      <c r="Y27" s="53" t="s">
        <v>55</v>
      </c>
      <c r="Z27" s="53" t="s">
        <v>69</v>
      </c>
      <c r="AA27" s="53" t="s">
        <v>64</v>
      </c>
      <c r="AB27" s="53" t="s">
        <v>158</v>
      </c>
    </row>
    <row r="28" spans="1:48" x14ac:dyDescent="0.15">
      <c r="A28" s="53" t="s">
        <v>41</v>
      </c>
      <c r="B28" s="53" t="s">
        <v>157</v>
      </c>
      <c r="C28" s="62">
        <v>2019</v>
      </c>
      <c r="D28" s="63" t="s">
        <v>184</v>
      </c>
      <c r="E28" s="53" t="s">
        <v>187</v>
      </c>
      <c r="F28" s="53" t="s">
        <v>185</v>
      </c>
      <c r="G28" s="53" t="s">
        <v>42</v>
      </c>
      <c r="H28" s="53" t="s">
        <v>160</v>
      </c>
      <c r="I28" s="53" t="s">
        <v>159</v>
      </c>
      <c r="J28" s="53" t="s">
        <v>38</v>
      </c>
      <c r="K28" s="53" t="s">
        <v>161</v>
      </c>
      <c r="L28" s="53">
        <v>3</v>
      </c>
      <c r="N28" s="53">
        <v>10</v>
      </c>
      <c r="O28" s="53">
        <v>0.65</v>
      </c>
      <c r="P28" s="53">
        <v>0.85</v>
      </c>
      <c r="Q28" s="74">
        <f t="shared" si="0"/>
        <v>0.75</v>
      </c>
      <c r="R28" s="53">
        <v>15.8</v>
      </c>
      <c r="S28" s="53">
        <v>119</v>
      </c>
      <c r="T28" s="16">
        <f t="shared" si="1"/>
        <v>30</v>
      </c>
      <c r="U28" s="53">
        <v>1058</v>
      </c>
      <c r="V28" s="16">
        <f t="shared" si="2"/>
        <v>3174</v>
      </c>
      <c r="W28" s="53">
        <v>2</v>
      </c>
      <c r="X28" s="53" t="s">
        <v>46</v>
      </c>
      <c r="Y28" s="53" t="s">
        <v>55</v>
      </c>
      <c r="Z28" s="53" t="s">
        <v>69</v>
      </c>
      <c r="AA28" s="53" t="s">
        <v>64</v>
      </c>
      <c r="AB28" s="53" t="s">
        <v>158</v>
      </c>
    </row>
    <row r="29" spans="1:48" x14ac:dyDescent="0.15">
      <c r="A29" s="53" t="s">
        <v>41</v>
      </c>
      <c r="B29" s="53" t="s">
        <v>157</v>
      </c>
      <c r="C29" s="62">
        <v>2019</v>
      </c>
      <c r="D29" s="63" t="s">
        <v>184</v>
      </c>
      <c r="E29" s="53" t="s">
        <v>187</v>
      </c>
      <c r="F29" s="53" t="s">
        <v>185</v>
      </c>
      <c r="G29" s="53" t="s">
        <v>42</v>
      </c>
      <c r="H29" s="53" t="s">
        <v>164</v>
      </c>
      <c r="I29" s="53" t="s">
        <v>159</v>
      </c>
      <c r="J29" s="53" t="s">
        <v>38</v>
      </c>
      <c r="K29" s="53" t="s">
        <v>161</v>
      </c>
      <c r="L29" s="53">
        <v>1</v>
      </c>
      <c r="N29" s="53">
        <v>1</v>
      </c>
      <c r="O29" s="53">
        <v>0.75</v>
      </c>
      <c r="P29" s="53">
        <v>0.5</v>
      </c>
      <c r="Q29" s="74">
        <f t="shared" si="0"/>
        <v>0.625</v>
      </c>
      <c r="R29" s="53">
        <v>16.100000000000001</v>
      </c>
      <c r="S29" s="53">
        <v>130</v>
      </c>
      <c r="T29" s="16">
        <f t="shared" si="1"/>
        <v>25</v>
      </c>
      <c r="U29" s="53">
        <v>105</v>
      </c>
      <c r="V29" s="16">
        <f t="shared" si="2"/>
        <v>2625</v>
      </c>
      <c r="W29" s="53">
        <v>3</v>
      </c>
      <c r="X29" s="53" t="s">
        <v>46</v>
      </c>
      <c r="Y29" s="53" t="s">
        <v>55</v>
      </c>
      <c r="Z29" s="53" t="s">
        <v>69</v>
      </c>
      <c r="AA29" s="53" t="s">
        <v>64</v>
      </c>
      <c r="AB29" s="53" t="s">
        <v>158</v>
      </c>
    </row>
    <row r="30" spans="1:48" x14ac:dyDescent="0.15">
      <c r="A30" s="53" t="s">
        <v>41</v>
      </c>
      <c r="B30" s="53" t="s">
        <v>157</v>
      </c>
      <c r="C30" s="62">
        <v>2019</v>
      </c>
      <c r="D30" s="63" t="s">
        <v>184</v>
      </c>
      <c r="E30" s="53" t="s">
        <v>187</v>
      </c>
      <c r="F30" s="53" t="s">
        <v>185</v>
      </c>
      <c r="G30" s="53" t="s">
        <v>42</v>
      </c>
      <c r="H30" s="53" t="s">
        <v>164</v>
      </c>
      <c r="I30" s="53" t="s">
        <v>159</v>
      </c>
      <c r="J30" s="53" t="s">
        <v>38</v>
      </c>
      <c r="K30" s="53" t="s">
        <v>161</v>
      </c>
      <c r="L30" s="53">
        <v>2</v>
      </c>
      <c r="N30" s="53">
        <v>1</v>
      </c>
      <c r="O30" s="53">
        <v>0.45</v>
      </c>
      <c r="P30" s="53">
        <v>0.65</v>
      </c>
      <c r="Q30" s="74">
        <f t="shared" si="0"/>
        <v>0.55000000000000004</v>
      </c>
      <c r="R30" s="53">
        <v>12.8</v>
      </c>
      <c r="S30" s="53">
        <v>125</v>
      </c>
      <c r="T30" s="16">
        <f t="shared" si="1"/>
        <v>27</v>
      </c>
      <c r="U30" s="53">
        <v>105</v>
      </c>
      <c r="V30" s="16">
        <f t="shared" si="2"/>
        <v>2835</v>
      </c>
      <c r="W30" s="53">
        <v>3</v>
      </c>
      <c r="X30" s="53" t="s">
        <v>46</v>
      </c>
      <c r="Y30" s="53" t="s">
        <v>55</v>
      </c>
      <c r="Z30" s="53" t="s">
        <v>69</v>
      </c>
      <c r="AA30" s="53" t="s">
        <v>64</v>
      </c>
      <c r="AB30" s="53" t="s">
        <v>158</v>
      </c>
    </row>
    <row r="31" spans="1:48" x14ac:dyDescent="0.15">
      <c r="A31" s="53" t="s">
        <v>41</v>
      </c>
      <c r="B31" s="53" t="s">
        <v>157</v>
      </c>
      <c r="C31" s="62">
        <v>2019</v>
      </c>
      <c r="D31" s="63" t="s">
        <v>184</v>
      </c>
      <c r="E31" s="53" t="s">
        <v>187</v>
      </c>
      <c r="F31" s="53" t="s">
        <v>185</v>
      </c>
      <c r="G31" s="53" t="s">
        <v>42</v>
      </c>
      <c r="H31" s="53" t="s">
        <v>164</v>
      </c>
      <c r="I31" s="53" t="s">
        <v>159</v>
      </c>
      <c r="J31" s="53" t="s">
        <v>38</v>
      </c>
      <c r="K31" s="53" t="s">
        <v>161</v>
      </c>
      <c r="L31" s="53">
        <v>3</v>
      </c>
      <c r="N31" s="53">
        <v>1</v>
      </c>
      <c r="O31" s="53">
        <v>0.9</v>
      </c>
      <c r="P31" s="53">
        <v>0.85</v>
      </c>
      <c r="Q31" s="74">
        <f t="shared" si="0"/>
        <v>0.875</v>
      </c>
      <c r="R31" s="53">
        <v>16.399999999999999</v>
      </c>
      <c r="S31" s="53">
        <v>127</v>
      </c>
      <c r="T31" s="16">
        <f t="shared" si="1"/>
        <v>27</v>
      </c>
      <c r="U31" s="53">
        <v>105</v>
      </c>
      <c r="V31" s="16">
        <f t="shared" si="2"/>
        <v>2835</v>
      </c>
      <c r="W31" s="53">
        <v>3</v>
      </c>
      <c r="X31" s="53" t="s">
        <v>46</v>
      </c>
      <c r="Y31" s="53" t="s">
        <v>55</v>
      </c>
      <c r="Z31" s="53" t="s">
        <v>69</v>
      </c>
      <c r="AA31" s="53" t="s">
        <v>64</v>
      </c>
      <c r="AB31" s="53" t="s">
        <v>158</v>
      </c>
    </row>
    <row r="32" spans="1:48" x14ac:dyDescent="0.15">
      <c r="A32" s="53" t="s">
        <v>41</v>
      </c>
      <c r="B32" s="53" t="s">
        <v>157</v>
      </c>
      <c r="C32" s="62">
        <v>2019</v>
      </c>
      <c r="D32" s="63" t="s">
        <v>184</v>
      </c>
      <c r="E32" s="53" t="s">
        <v>187</v>
      </c>
      <c r="F32" s="53" t="s">
        <v>185</v>
      </c>
      <c r="G32" s="53" t="s">
        <v>42</v>
      </c>
      <c r="H32" s="53" t="s">
        <v>164</v>
      </c>
      <c r="I32" s="53" t="s">
        <v>159</v>
      </c>
      <c r="J32" s="53" t="s">
        <v>38</v>
      </c>
      <c r="K32" s="53" t="s">
        <v>161</v>
      </c>
      <c r="L32" s="53">
        <v>1</v>
      </c>
      <c r="N32" s="53">
        <v>4</v>
      </c>
      <c r="O32" s="53">
        <v>0.4</v>
      </c>
      <c r="P32" s="53">
        <v>0.35</v>
      </c>
      <c r="Q32" s="74">
        <f t="shared" si="0"/>
        <v>0.375</v>
      </c>
      <c r="R32" s="53">
        <v>17.5</v>
      </c>
      <c r="S32" s="53">
        <v>115</v>
      </c>
      <c r="T32" s="16">
        <f t="shared" si="1"/>
        <v>30</v>
      </c>
      <c r="U32" s="53">
        <v>321</v>
      </c>
      <c r="V32" s="16">
        <f t="shared" si="2"/>
        <v>2407.5</v>
      </c>
      <c r="W32" s="53">
        <v>1</v>
      </c>
      <c r="X32" s="53" t="s">
        <v>46</v>
      </c>
      <c r="Y32" s="53" t="s">
        <v>55</v>
      </c>
      <c r="Z32" s="53" t="s">
        <v>69</v>
      </c>
      <c r="AA32" s="53" t="s">
        <v>64</v>
      </c>
      <c r="AB32" s="53" t="s">
        <v>158</v>
      </c>
    </row>
    <row r="33" spans="1:28" x14ac:dyDescent="0.15">
      <c r="A33" s="53" t="s">
        <v>41</v>
      </c>
      <c r="B33" s="53" t="s">
        <v>157</v>
      </c>
      <c r="C33" s="62">
        <v>2019</v>
      </c>
      <c r="D33" s="63" t="s">
        <v>184</v>
      </c>
      <c r="E33" s="53" t="s">
        <v>187</v>
      </c>
      <c r="F33" s="53" t="s">
        <v>185</v>
      </c>
      <c r="G33" s="53" t="s">
        <v>42</v>
      </c>
      <c r="H33" s="53" t="s">
        <v>164</v>
      </c>
      <c r="I33" s="53" t="s">
        <v>159</v>
      </c>
      <c r="J33" s="53" t="s">
        <v>38</v>
      </c>
      <c r="K33" s="53" t="s">
        <v>161</v>
      </c>
      <c r="L33" s="53">
        <v>2</v>
      </c>
      <c r="N33" s="53">
        <v>4</v>
      </c>
      <c r="O33" s="53">
        <v>0.65</v>
      </c>
      <c r="P33" s="53">
        <v>0.6</v>
      </c>
      <c r="Q33" s="74">
        <f t="shared" si="0"/>
        <v>0.625</v>
      </c>
      <c r="R33" s="53">
        <v>15.4</v>
      </c>
      <c r="S33" s="53">
        <v>120</v>
      </c>
      <c r="T33" s="16">
        <f t="shared" si="1"/>
        <v>30</v>
      </c>
      <c r="U33" s="53">
        <v>321</v>
      </c>
      <c r="V33" s="16">
        <f t="shared" si="2"/>
        <v>2407.5</v>
      </c>
      <c r="W33" s="53">
        <v>1</v>
      </c>
      <c r="X33" s="53" t="s">
        <v>46</v>
      </c>
      <c r="Y33" s="53" t="s">
        <v>55</v>
      </c>
      <c r="Z33" s="53" t="s">
        <v>69</v>
      </c>
      <c r="AA33" s="53" t="s">
        <v>64</v>
      </c>
      <c r="AB33" s="53" t="s">
        <v>158</v>
      </c>
    </row>
    <row r="34" spans="1:28" x14ac:dyDescent="0.15">
      <c r="A34" s="53" t="s">
        <v>41</v>
      </c>
      <c r="B34" s="53" t="s">
        <v>157</v>
      </c>
      <c r="C34" s="62">
        <v>2019</v>
      </c>
      <c r="D34" s="63" t="s">
        <v>184</v>
      </c>
      <c r="E34" s="53" t="s">
        <v>187</v>
      </c>
      <c r="F34" s="53" t="s">
        <v>185</v>
      </c>
      <c r="G34" s="53" t="s">
        <v>42</v>
      </c>
      <c r="H34" s="53" t="s">
        <v>164</v>
      </c>
      <c r="I34" s="53" t="s">
        <v>159</v>
      </c>
      <c r="J34" s="53" t="s">
        <v>38</v>
      </c>
      <c r="K34" s="53" t="s">
        <v>161</v>
      </c>
      <c r="L34" s="53">
        <v>3</v>
      </c>
      <c r="N34" s="53">
        <v>4</v>
      </c>
      <c r="O34" s="53">
        <v>0.5</v>
      </c>
      <c r="P34" s="53">
        <v>0.55000000000000004</v>
      </c>
      <c r="Q34" s="74">
        <f t="shared" si="0"/>
        <v>0.52500000000000002</v>
      </c>
      <c r="R34" s="53">
        <v>14.2</v>
      </c>
      <c r="S34" s="53">
        <v>118</v>
      </c>
      <c r="T34" s="16">
        <f t="shared" si="1"/>
        <v>30</v>
      </c>
      <c r="U34" s="53">
        <v>321</v>
      </c>
      <c r="V34" s="16">
        <f t="shared" si="2"/>
        <v>2407.5</v>
      </c>
      <c r="W34" s="53">
        <v>1</v>
      </c>
      <c r="X34" s="53" t="s">
        <v>46</v>
      </c>
      <c r="Y34" s="53" t="s">
        <v>55</v>
      </c>
      <c r="Z34" s="53" t="s">
        <v>69</v>
      </c>
      <c r="AA34" s="53" t="s">
        <v>64</v>
      </c>
      <c r="AB34" s="53" t="s">
        <v>158</v>
      </c>
    </row>
    <row r="35" spans="1:28" x14ac:dyDescent="0.15">
      <c r="A35" s="53" t="s">
        <v>41</v>
      </c>
      <c r="B35" s="53" t="s">
        <v>157</v>
      </c>
      <c r="C35" s="62">
        <v>2019</v>
      </c>
      <c r="D35" s="63" t="s">
        <v>184</v>
      </c>
      <c r="E35" s="53" t="s">
        <v>187</v>
      </c>
      <c r="F35" s="53" t="s">
        <v>185</v>
      </c>
      <c r="G35" s="53" t="s">
        <v>42</v>
      </c>
      <c r="H35" s="53" t="s">
        <v>164</v>
      </c>
      <c r="I35" s="53" t="s">
        <v>159</v>
      </c>
      <c r="J35" s="53" t="s">
        <v>38</v>
      </c>
      <c r="K35" s="53" t="s">
        <v>161</v>
      </c>
      <c r="L35" s="53">
        <v>1</v>
      </c>
      <c r="N35" s="53">
        <v>8</v>
      </c>
      <c r="O35" s="53">
        <v>0.25</v>
      </c>
      <c r="P35" s="53">
        <v>0.25</v>
      </c>
      <c r="Q35" s="74">
        <f t="shared" si="0"/>
        <v>0.25</v>
      </c>
      <c r="R35" s="53">
        <v>14.1</v>
      </c>
      <c r="S35" s="53">
        <v>100</v>
      </c>
      <c r="T35" s="16">
        <f t="shared" si="1"/>
        <v>33</v>
      </c>
      <c r="U35" s="53">
        <v>626</v>
      </c>
      <c r="V35" s="16">
        <f t="shared" si="2"/>
        <v>2582.25</v>
      </c>
      <c r="W35" s="53">
        <v>2</v>
      </c>
      <c r="X35" s="53" t="s">
        <v>46</v>
      </c>
      <c r="Y35" s="53" t="s">
        <v>55</v>
      </c>
      <c r="Z35" s="53" t="s">
        <v>69</v>
      </c>
      <c r="AA35" s="53" t="s">
        <v>64</v>
      </c>
      <c r="AB35" s="53" t="s">
        <v>158</v>
      </c>
    </row>
    <row r="36" spans="1:28" x14ac:dyDescent="0.15">
      <c r="A36" s="53" t="s">
        <v>41</v>
      </c>
      <c r="B36" s="53" t="s">
        <v>157</v>
      </c>
      <c r="C36" s="62">
        <v>2019</v>
      </c>
      <c r="D36" s="63" t="s">
        <v>184</v>
      </c>
      <c r="E36" s="53" t="s">
        <v>187</v>
      </c>
      <c r="F36" s="53" t="s">
        <v>185</v>
      </c>
      <c r="G36" s="53" t="s">
        <v>42</v>
      </c>
      <c r="H36" s="53" t="s">
        <v>164</v>
      </c>
      <c r="I36" s="53" t="s">
        <v>159</v>
      </c>
      <c r="J36" s="53" t="s">
        <v>38</v>
      </c>
      <c r="K36" s="53" t="s">
        <v>161</v>
      </c>
      <c r="L36" s="53">
        <v>2</v>
      </c>
      <c r="N36" s="53">
        <v>8</v>
      </c>
      <c r="O36" s="53">
        <v>0.35</v>
      </c>
      <c r="P36" s="53">
        <v>0.4</v>
      </c>
      <c r="Q36" s="74">
        <f t="shared" si="0"/>
        <v>0.375</v>
      </c>
      <c r="R36" s="53">
        <v>14</v>
      </c>
      <c r="S36" s="53">
        <v>102</v>
      </c>
      <c r="T36" s="16">
        <f t="shared" si="1"/>
        <v>33</v>
      </c>
      <c r="U36" s="53">
        <v>626</v>
      </c>
      <c r="V36" s="16">
        <f t="shared" si="2"/>
        <v>2582.25</v>
      </c>
      <c r="W36" s="53">
        <v>2</v>
      </c>
      <c r="X36" s="53" t="s">
        <v>46</v>
      </c>
      <c r="Y36" s="53" t="s">
        <v>55</v>
      </c>
      <c r="Z36" s="53" t="s">
        <v>69</v>
      </c>
      <c r="AA36" s="53" t="s">
        <v>64</v>
      </c>
      <c r="AB36" s="53" t="s">
        <v>158</v>
      </c>
    </row>
    <row r="37" spans="1:28" x14ac:dyDescent="0.15">
      <c r="A37" s="53" t="s">
        <v>41</v>
      </c>
      <c r="B37" s="53" t="s">
        <v>157</v>
      </c>
      <c r="C37" s="62">
        <v>2019</v>
      </c>
      <c r="D37" s="63" t="s">
        <v>184</v>
      </c>
      <c r="E37" s="53" t="s">
        <v>187</v>
      </c>
      <c r="F37" s="53" t="s">
        <v>185</v>
      </c>
      <c r="G37" s="53" t="s">
        <v>42</v>
      </c>
      <c r="H37" s="53" t="s">
        <v>164</v>
      </c>
      <c r="I37" s="53" t="s">
        <v>159</v>
      </c>
      <c r="J37" s="53" t="s">
        <v>38</v>
      </c>
      <c r="K37" s="53" t="s">
        <v>161</v>
      </c>
      <c r="L37" s="53">
        <v>3</v>
      </c>
      <c r="N37" s="53">
        <v>8</v>
      </c>
      <c r="O37" s="53">
        <v>0.4</v>
      </c>
      <c r="P37" s="53">
        <v>0.35</v>
      </c>
      <c r="Q37" s="74">
        <f t="shared" si="0"/>
        <v>0.375</v>
      </c>
      <c r="R37" s="53">
        <v>14</v>
      </c>
      <c r="S37" s="53">
        <v>97</v>
      </c>
      <c r="T37" s="16">
        <f t="shared" si="1"/>
        <v>36</v>
      </c>
      <c r="U37" s="53">
        <v>626</v>
      </c>
      <c r="V37" s="16">
        <f t="shared" si="2"/>
        <v>2817</v>
      </c>
      <c r="W37" s="53">
        <v>2</v>
      </c>
      <c r="X37" s="53" t="s">
        <v>46</v>
      </c>
      <c r="Y37" s="53" t="s">
        <v>55</v>
      </c>
      <c r="Z37" s="53" t="s">
        <v>69</v>
      </c>
      <c r="AA37" s="53" t="s">
        <v>64</v>
      </c>
      <c r="AB37" s="53" t="s">
        <v>158</v>
      </c>
    </row>
    <row r="38" spans="1:28" x14ac:dyDescent="0.15">
      <c r="A38" s="53" t="s">
        <v>41</v>
      </c>
      <c r="B38" s="53" t="s">
        <v>157</v>
      </c>
      <c r="C38" s="62">
        <v>2019</v>
      </c>
      <c r="D38" s="63" t="s">
        <v>184</v>
      </c>
      <c r="E38" s="53" t="s">
        <v>187</v>
      </c>
      <c r="F38" s="53" t="s">
        <v>189</v>
      </c>
      <c r="G38" s="53" t="s">
        <v>42</v>
      </c>
      <c r="H38" s="53" t="s">
        <v>160</v>
      </c>
      <c r="I38" s="53" t="s">
        <v>159</v>
      </c>
      <c r="J38" s="53" t="s">
        <v>38</v>
      </c>
      <c r="K38" s="53" t="s">
        <v>161</v>
      </c>
      <c r="L38" s="53">
        <v>1</v>
      </c>
      <c r="N38" s="53">
        <v>1</v>
      </c>
      <c r="O38" s="53">
        <v>0.25</v>
      </c>
      <c r="P38" s="53">
        <v>0.3</v>
      </c>
      <c r="Q38" s="74">
        <f t="shared" si="0"/>
        <v>0.27500000000000002</v>
      </c>
      <c r="R38" s="53">
        <v>12.8</v>
      </c>
      <c r="S38" s="53">
        <v>122</v>
      </c>
      <c r="T38" s="16">
        <f t="shared" si="1"/>
        <v>27</v>
      </c>
      <c r="U38" s="53">
        <v>149</v>
      </c>
      <c r="V38" s="16">
        <f t="shared" si="2"/>
        <v>4023</v>
      </c>
      <c r="W38" s="53">
        <v>2</v>
      </c>
      <c r="X38" s="53" t="s">
        <v>46</v>
      </c>
      <c r="Y38" s="53" t="s">
        <v>55</v>
      </c>
      <c r="Z38" s="53" t="s">
        <v>69</v>
      </c>
      <c r="AA38" s="53" t="s">
        <v>97</v>
      </c>
      <c r="AB38" s="53" t="s">
        <v>158</v>
      </c>
    </row>
    <row r="39" spans="1:28" x14ac:dyDescent="0.15">
      <c r="A39" s="53" t="s">
        <v>41</v>
      </c>
      <c r="B39" s="53" t="s">
        <v>157</v>
      </c>
      <c r="C39" s="62">
        <v>2019</v>
      </c>
      <c r="D39" s="63" t="s">
        <v>184</v>
      </c>
      <c r="E39" s="53" t="s">
        <v>187</v>
      </c>
      <c r="F39" s="53" t="s">
        <v>189</v>
      </c>
      <c r="G39" s="53" t="s">
        <v>42</v>
      </c>
      <c r="H39" s="53" t="s">
        <v>160</v>
      </c>
      <c r="I39" s="53" t="s">
        <v>159</v>
      </c>
      <c r="J39" s="53" t="s">
        <v>38</v>
      </c>
      <c r="K39" s="53" t="s">
        <v>161</v>
      </c>
      <c r="L39" s="53">
        <v>2</v>
      </c>
      <c r="N39" s="53">
        <v>1</v>
      </c>
      <c r="O39" s="53">
        <v>0.3</v>
      </c>
      <c r="P39" s="53">
        <v>0.25</v>
      </c>
      <c r="Q39" s="74">
        <f t="shared" si="0"/>
        <v>0.27500000000000002</v>
      </c>
      <c r="R39" s="53">
        <v>14.7</v>
      </c>
      <c r="S39" s="53">
        <v>127</v>
      </c>
      <c r="T39" s="16">
        <f t="shared" si="1"/>
        <v>27</v>
      </c>
      <c r="U39" s="53">
        <v>149</v>
      </c>
      <c r="V39" s="16">
        <f t="shared" si="2"/>
        <v>4023</v>
      </c>
      <c r="W39" s="53">
        <v>2</v>
      </c>
      <c r="X39" s="53" t="s">
        <v>46</v>
      </c>
      <c r="Y39" s="53" t="s">
        <v>55</v>
      </c>
      <c r="Z39" s="53" t="s">
        <v>69</v>
      </c>
      <c r="AA39" s="53" t="s">
        <v>97</v>
      </c>
      <c r="AB39" s="53" t="s">
        <v>158</v>
      </c>
    </row>
    <row r="40" spans="1:28" x14ac:dyDescent="0.15">
      <c r="A40" s="53" t="s">
        <v>41</v>
      </c>
      <c r="B40" s="53" t="s">
        <v>157</v>
      </c>
      <c r="C40" s="62">
        <v>2019</v>
      </c>
      <c r="D40" s="63" t="s">
        <v>184</v>
      </c>
      <c r="E40" s="53" t="s">
        <v>187</v>
      </c>
      <c r="F40" s="53" t="s">
        <v>189</v>
      </c>
      <c r="G40" s="53" t="s">
        <v>42</v>
      </c>
      <c r="H40" s="53" t="s">
        <v>160</v>
      </c>
      <c r="I40" s="53" t="s">
        <v>159</v>
      </c>
      <c r="J40" s="53" t="s">
        <v>38</v>
      </c>
      <c r="K40" s="53" t="s">
        <v>161</v>
      </c>
      <c r="L40" s="53">
        <v>3</v>
      </c>
      <c r="N40" s="53">
        <v>1</v>
      </c>
      <c r="O40" s="53">
        <v>0.4</v>
      </c>
      <c r="P40" s="53">
        <v>0.65</v>
      </c>
      <c r="Q40" s="74">
        <f t="shared" si="0"/>
        <v>0.52500000000000002</v>
      </c>
      <c r="R40" s="53">
        <v>14.8</v>
      </c>
      <c r="S40" s="53">
        <v>126</v>
      </c>
      <c r="T40" s="16">
        <f t="shared" si="1"/>
        <v>27</v>
      </c>
      <c r="U40" s="53">
        <v>149</v>
      </c>
      <c r="V40" s="16">
        <f t="shared" si="2"/>
        <v>4023</v>
      </c>
      <c r="W40" s="53">
        <v>2</v>
      </c>
      <c r="X40" s="53" t="s">
        <v>46</v>
      </c>
      <c r="Y40" s="53" t="s">
        <v>55</v>
      </c>
      <c r="Z40" s="53" t="s">
        <v>69</v>
      </c>
      <c r="AA40" s="53" t="s">
        <v>97</v>
      </c>
      <c r="AB40" s="53" t="s">
        <v>158</v>
      </c>
    </row>
    <row r="41" spans="1:28" x14ac:dyDescent="0.15">
      <c r="A41" s="53" t="s">
        <v>41</v>
      </c>
      <c r="B41" s="53" t="s">
        <v>157</v>
      </c>
      <c r="C41" s="62">
        <v>2019</v>
      </c>
      <c r="D41" s="63" t="s">
        <v>184</v>
      </c>
      <c r="E41" s="53" t="s">
        <v>187</v>
      </c>
      <c r="F41" s="53" t="s">
        <v>189</v>
      </c>
      <c r="G41" s="53" t="s">
        <v>42</v>
      </c>
      <c r="H41" s="53" t="s">
        <v>160</v>
      </c>
      <c r="I41" s="53" t="s">
        <v>159</v>
      </c>
      <c r="J41" s="53" t="s">
        <v>38</v>
      </c>
      <c r="K41" s="53" t="s">
        <v>161</v>
      </c>
      <c r="L41" s="53">
        <v>1</v>
      </c>
      <c r="N41" s="53">
        <v>4</v>
      </c>
      <c r="O41" s="53">
        <v>0.65</v>
      </c>
      <c r="P41" s="53">
        <v>0.45</v>
      </c>
      <c r="Q41" s="74">
        <f t="shared" si="0"/>
        <v>0.55000000000000004</v>
      </c>
      <c r="R41" s="53">
        <v>12.8</v>
      </c>
      <c r="S41" s="53">
        <v>121</v>
      </c>
      <c r="T41" s="16">
        <f t="shared" si="1"/>
        <v>27</v>
      </c>
      <c r="U41" s="53">
        <v>429</v>
      </c>
      <c r="V41" s="16">
        <f t="shared" si="2"/>
        <v>2895.75</v>
      </c>
      <c r="W41" s="53">
        <v>2</v>
      </c>
      <c r="X41" s="53" t="s">
        <v>46</v>
      </c>
      <c r="Y41" s="53" t="s">
        <v>55</v>
      </c>
      <c r="Z41" s="53" t="s">
        <v>69</v>
      </c>
      <c r="AA41" s="53" t="s">
        <v>97</v>
      </c>
      <c r="AB41" s="53" t="s">
        <v>158</v>
      </c>
    </row>
    <row r="42" spans="1:28" x14ac:dyDescent="0.15">
      <c r="A42" s="53" t="s">
        <v>41</v>
      </c>
      <c r="B42" s="53" t="s">
        <v>157</v>
      </c>
      <c r="C42" s="62">
        <v>2019</v>
      </c>
      <c r="D42" s="63" t="s">
        <v>184</v>
      </c>
      <c r="E42" s="53" t="s">
        <v>187</v>
      </c>
      <c r="F42" s="53" t="s">
        <v>189</v>
      </c>
      <c r="G42" s="53" t="s">
        <v>42</v>
      </c>
      <c r="H42" s="53" t="s">
        <v>160</v>
      </c>
      <c r="I42" s="53" t="s">
        <v>159</v>
      </c>
      <c r="J42" s="53" t="s">
        <v>38</v>
      </c>
      <c r="K42" s="53" t="s">
        <v>161</v>
      </c>
      <c r="L42" s="53">
        <v>2</v>
      </c>
      <c r="N42" s="53">
        <v>4</v>
      </c>
      <c r="O42" s="53">
        <v>0.5</v>
      </c>
      <c r="P42" s="53">
        <v>0.55000000000000004</v>
      </c>
      <c r="Q42" s="74">
        <f t="shared" si="0"/>
        <v>0.52500000000000002</v>
      </c>
      <c r="R42" s="53">
        <v>12.7</v>
      </c>
      <c r="S42" s="53">
        <v>120</v>
      </c>
      <c r="T42" s="16">
        <f t="shared" si="1"/>
        <v>30</v>
      </c>
      <c r="U42" s="53">
        <v>429</v>
      </c>
      <c r="V42" s="16">
        <f t="shared" si="2"/>
        <v>3217.5</v>
      </c>
      <c r="W42" s="53">
        <v>2</v>
      </c>
      <c r="X42" s="53" t="s">
        <v>46</v>
      </c>
      <c r="Y42" s="53" t="s">
        <v>55</v>
      </c>
      <c r="Z42" s="53" t="s">
        <v>69</v>
      </c>
      <c r="AA42" s="53" t="s">
        <v>97</v>
      </c>
      <c r="AB42" s="53" t="s">
        <v>158</v>
      </c>
    </row>
    <row r="43" spans="1:28" x14ac:dyDescent="0.15">
      <c r="A43" s="53" t="s">
        <v>41</v>
      </c>
      <c r="B43" s="53" t="s">
        <v>157</v>
      </c>
      <c r="C43" s="62">
        <v>2019</v>
      </c>
      <c r="D43" s="63" t="s">
        <v>184</v>
      </c>
      <c r="E43" s="53" t="s">
        <v>187</v>
      </c>
      <c r="F43" s="53" t="s">
        <v>189</v>
      </c>
      <c r="G43" s="53" t="s">
        <v>42</v>
      </c>
      <c r="H43" s="53" t="s">
        <v>160</v>
      </c>
      <c r="I43" s="53" t="s">
        <v>159</v>
      </c>
      <c r="J43" s="53" t="s">
        <v>38</v>
      </c>
      <c r="K43" s="53" t="s">
        <v>161</v>
      </c>
      <c r="L43" s="53">
        <v>3</v>
      </c>
      <c r="N43" s="53">
        <v>4</v>
      </c>
      <c r="O43" s="53">
        <v>0.45</v>
      </c>
      <c r="P43" s="53">
        <v>0.4</v>
      </c>
      <c r="Q43" s="74">
        <f t="shared" si="0"/>
        <v>0.42500000000000004</v>
      </c>
      <c r="R43" s="53">
        <v>14.1</v>
      </c>
      <c r="S43" s="53">
        <v>115</v>
      </c>
      <c r="T43" s="16">
        <f t="shared" si="1"/>
        <v>30</v>
      </c>
      <c r="U43" s="53">
        <v>429</v>
      </c>
      <c r="V43" s="16">
        <f t="shared" si="2"/>
        <v>3217.5</v>
      </c>
      <c r="W43" s="53">
        <v>2</v>
      </c>
      <c r="X43" s="53" t="s">
        <v>46</v>
      </c>
      <c r="Y43" s="53" t="s">
        <v>55</v>
      </c>
      <c r="Z43" s="53" t="s">
        <v>69</v>
      </c>
      <c r="AA43" s="53" t="s">
        <v>97</v>
      </c>
      <c r="AB43" s="53" t="s">
        <v>158</v>
      </c>
    </row>
    <row r="44" spans="1:28" x14ac:dyDescent="0.15">
      <c r="A44" s="53" t="s">
        <v>41</v>
      </c>
      <c r="B44" s="53" t="s">
        <v>157</v>
      </c>
      <c r="C44" s="62">
        <v>2019</v>
      </c>
      <c r="D44" s="63" t="s">
        <v>184</v>
      </c>
      <c r="E44" s="53" t="s">
        <v>187</v>
      </c>
      <c r="F44" s="53" t="s">
        <v>189</v>
      </c>
      <c r="G44" s="53" t="s">
        <v>42</v>
      </c>
      <c r="H44" s="53" t="s">
        <v>160</v>
      </c>
      <c r="I44" s="53" t="s">
        <v>159</v>
      </c>
      <c r="J44" s="53" t="s">
        <v>38</v>
      </c>
      <c r="K44" s="53" t="s">
        <v>161</v>
      </c>
      <c r="L44" s="53">
        <v>1</v>
      </c>
      <c r="N44" s="53">
        <v>8</v>
      </c>
      <c r="O44" s="53">
        <v>0.25</v>
      </c>
      <c r="P44" s="53">
        <v>0.3</v>
      </c>
      <c r="Q44" s="16">
        <f t="shared" si="0"/>
        <v>0.27500000000000002</v>
      </c>
      <c r="R44" s="53">
        <v>13.4</v>
      </c>
      <c r="S44" s="53">
        <v>105</v>
      </c>
      <c r="T44" s="16">
        <f t="shared" si="1"/>
        <v>33</v>
      </c>
      <c r="U44" s="53">
        <v>537</v>
      </c>
      <c r="V44" s="16">
        <f t="shared" si="2"/>
        <v>2215.125</v>
      </c>
      <c r="W44" s="53">
        <v>1</v>
      </c>
      <c r="X44" s="53" t="s">
        <v>46</v>
      </c>
      <c r="Y44" s="53" t="s">
        <v>55</v>
      </c>
      <c r="Z44" s="53" t="s">
        <v>69</v>
      </c>
      <c r="AA44" s="53" t="s">
        <v>97</v>
      </c>
      <c r="AB44" s="53" t="s">
        <v>158</v>
      </c>
    </row>
    <row r="45" spans="1:28" x14ac:dyDescent="0.15">
      <c r="A45" s="53" t="s">
        <v>41</v>
      </c>
      <c r="B45" s="53" t="s">
        <v>157</v>
      </c>
      <c r="C45" s="62">
        <v>2019</v>
      </c>
      <c r="D45" s="63" t="s">
        <v>184</v>
      </c>
      <c r="E45" s="53" t="s">
        <v>187</v>
      </c>
      <c r="F45" s="53" t="s">
        <v>189</v>
      </c>
      <c r="G45" s="53" t="s">
        <v>42</v>
      </c>
      <c r="H45" s="53" t="s">
        <v>160</v>
      </c>
      <c r="I45" s="53" t="s">
        <v>159</v>
      </c>
      <c r="J45" s="53" t="s">
        <v>38</v>
      </c>
      <c r="K45" s="53" t="s">
        <v>161</v>
      </c>
      <c r="L45" s="53">
        <v>2</v>
      </c>
      <c r="N45" s="53">
        <v>8</v>
      </c>
      <c r="O45" s="53">
        <v>0.3</v>
      </c>
      <c r="P45" s="53">
        <v>0.25</v>
      </c>
      <c r="Q45" s="16">
        <f t="shared" si="0"/>
        <v>0.27500000000000002</v>
      </c>
      <c r="R45" s="53">
        <v>14.7</v>
      </c>
      <c r="S45" s="53">
        <v>112</v>
      </c>
      <c r="T45" s="16">
        <f t="shared" si="1"/>
        <v>33</v>
      </c>
      <c r="U45" s="53">
        <v>537</v>
      </c>
      <c r="V45" s="16">
        <f t="shared" si="2"/>
        <v>2215.125</v>
      </c>
      <c r="W45" s="53">
        <v>1</v>
      </c>
      <c r="X45" s="53" t="s">
        <v>46</v>
      </c>
      <c r="Y45" s="53" t="s">
        <v>55</v>
      </c>
      <c r="Z45" s="53" t="s">
        <v>69</v>
      </c>
      <c r="AA45" s="53" t="s">
        <v>97</v>
      </c>
      <c r="AB45" s="53" t="s">
        <v>158</v>
      </c>
    </row>
    <row r="46" spans="1:28" x14ac:dyDescent="0.15">
      <c r="A46" s="53" t="s">
        <v>41</v>
      </c>
      <c r="B46" s="53" t="s">
        <v>157</v>
      </c>
      <c r="C46" s="62">
        <v>2019</v>
      </c>
      <c r="D46" s="63" t="s">
        <v>184</v>
      </c>
      <c r="E46" s="53" t="s">
        <v>187</v>
      </c>
      <c r="F46" s="53" t="s">
        <v>189</v>
      </c>
      <c r="G46" s="53" t="s">
        <v>42</v>
      </c>
      <c r="H46" s="53" t="s">
        <v>160</v>
      </c>
      <c r="I46" s="53" t="s">
        <v>159</v>
      </c>
      <c r="J46" s="53" t="s">
        <v>38</v>
      </c>
      <c r="K46" s="53" t="s">
        <v>161</v>
      </c>
      <c r="L46" s="53">
        <v>3</v>
      </c>
      <c r="N46" s="53">
        <v>8</v>
      </c>
      <c r="O46" s="53">
        <v>0.4</v>
      </c>
      <c r="P46" s="53">
        <v>0.45</v>
      </c>
      <c r="Q46" s="16">
        <f t="shared" si="0"/>
        <v>0.42500000000000004</v>
      </c>
      <c r="R46" s="53">
        <v>14.4</v>
      </c>
      <c r="S46" s="53">
        <v>100</v>
      </c>
      <c r="T46" s="16">
        <f t="shared" si="1"/>
        <v>33</v>
      </c>
      <c r="U46" s="53">
        <v>537</v>
      </c>
      <c r="V46" s="16">
        <f t="shared" si="2"/>
        <v>2215.125</v>
      </c>
      <c r="W46" s="53">
        <v>1</v>
      </c>
      <c r="X46" s="53" t="s">
        <v>46</v>
      </c>
      <c r="Y46" s="53" t="s">
        <v>55</v>
      </c>
      <c r="Z46" s="53" t="s">
        <v>69</v>
      </c>
      <c r="AA46" s="53" t="s">
        <v>97</v>
      </c>
      <c r="AB46" s="53" t="s">
        <v>158</v>
      </c>
    </row>
    <row r="47" spans="1:28" x14ac:dyDescent="0.15">
      <c r="A47" s="53" t="s">
        <v>41</v>
      </c>
      <c r="B47" s="53" t="s">
        <v>157</v>
      </c>
      <c r="C47" s="62">
        <v>2019</v>
      </c>
      <c r="D47" s="63" t="s">
        <v>184</v>
      </c>
      <c r="E47" s="53" t="s">
        <v>187</v>
      </c>
      <c r="F47" s="53" t="s">
        <v>189</v>
      </c>
      <c r="G47" s="53" t="s">
        <v>42</v>
      </c>
      <c r="H47" s="53" t="s">
        <v>160</v>
      </c>
      <c r="I47" s="53" t="s">
        <v>165</v>
      </c>
      <c r="J47" s="53" t="s">
        <v>38</v>
      </c>
      <c r="K47" s="53" t="s">
        <v>161</v>
      </c>
      <c r="L47" s="53">
        <v>1</v>
      </c>
      <c r="N47" s="53">
        <v>2</v>
      </c>
      <c r="O47" s="53">
        <v>0.25</v>
      </c>
      <c r="P47" s="53">
        <v>0.3</v>
      </c>
      <c r="Q47" s="16">
        <f t="shared" si="0"/>
        <v>0.27500000000000002</v>
      </c>
      <c r="R47" s="53">
        <v>12.7</v>
      </c>
      <c r="S47" s="53">
        <v>126</v>
      </c>
      <c r="T47" s="16">
        <f t="shared" si="1"/>
        <v>27</v>
      </c>
      <c r="U47" s="53">
        <v>321</v>
      </c>
      <c r="V47" s="16">
        <f t="shared" si="2"/>
        <v>4333.5</v>
      </c>
      <c r="W47" s="53">
        <v>2</v>
      </c>
      <c r="X47" s="53" t="s">
        <v>46</v>
      </c>
      <c r="Y47" s="53" t="s">
        <v>55</v>
      </c>
      <c r="Z47" s="53" t="s">
        <v>69</v>
      </c>
      <c r="AA47" s="53" t="s">
        <v>97</v>
      </c>
      <c r="AB47" s="53" t="s">
        <v>158</v>
      </c>
    </row>
    <row r="48" spans="1:28" x14ac:dyDescent="0.15">
      <c r="A48" s="53" t="s">
        <v>41</v>
      </c>
      <c r="B48" s="53" t="s">
        <v>157</v>
      </c>
      <c r="C48" s="62">
        <v>2019</v>
      </c>
      <c r="D48" s="63" t="s">
        <v>184</v>
      </c>
      <c r="E48" s="53" t="s">
        <v>187</v>
      </c>
      <c r="F48" s="53" t="s">
        <v>189</v>
      </c>
      <c r="G48" s="53" t="s">
        <v>42</v>
      </c>
      <c r="H48" s="53" t="s">
        <v>160</v>
      </c>
      <c r="I48" s="53" t="s">
        <v>165</v>
      </c>
      <c r="J48" s="53" t="s">
        <v>38</v>
      </c>
      <c r="K48" s="53" t="s">
        <v>161</v>
      </c>
      <c r="L48" s="53">
        <v>2</v>
      </c>
      <c r="N48" s="53">
        <v>2</v>
      </c>
      <c r="O48" s="53">
        <v>0.6</v>
      </c>
      <c r="P48" s="53">
        <v>0.45</v>
      </c>
      <c r="Q48" s="16">
        <f t="shared" si="0"/>
        <v>0.52500000000000002</v>
      </c>
      <c r="R48" s="53">
        <v>12.9</v>
      </c>
      <c r="S48" s="53">
        <v>127</v>
      </c>
      <c r="T48" s="16">
        <f t="shared" si="1"/>
        <v>27</v>
      </c>
      <c r="U48" s="53">
        <v>321</v>
      </c>
      <c r="V48" s="16">
        <f t="shared" si="2"/>
        <v>4333.5</v>
      </c>
      <c r="W48" s="53">
        <v>2</v>
      </c>
      <c r="X48" s="53" t="s">
        <v>46</v>
      </c>
      <c r="Y48" s="53" t="s">
        <v>55</v>
      </c>
      <c r="Z48" s="53" t="s">
        <v>69</v>
      </c>
      <c r="AA48" s="53" t="s">
        <v>97</v>
      </c>
      <c r="AB48" s="53" t="s">
        <v>158</v>
      </c>
    </row>
    <row r="49" spans="1:28" x14ac:dyDescent="0.15">
      <c r="A49" s="53" t="s">
        <v>41</v>
      </c>
      <c r="B49" s="53" t="s">
        <v>157</v>
      </c>
      <c r="C49" s="62">
        <v>2019</v>
      </c>
      <c r="D49" s="63" t="s">
        <v>184</v>
      </c>
      <c r="E49" s="53" t="s">
        <v>187</v>
      </c>
      <c r="F49" s="53" t="s">
        <v>189</v>
      </c>
      <c r="G49" s="53" t="s">
        <v>42</v>
      </c>
      <c r="H49" s="53" t="s">
        <v>160</v>
      </c>
      <c r="I49" s="53" t="s">
        <v>165</v>
      </c>
      <c r="J49" s="53" t="s">
        <v>38</v>
      </c>
      <c r="K49" s="53" t="s">
        <v>161</v>
      </c>
      <c r="L49" s="53">
        <v>3</v>
      </c>
      <c r="N49" s="53">
        <v>2</v>
      </c>
      <c r="O49" s="53">
        <v>0.5</v>
      </c>
      <c r="P49" s="53">
        <v>0.5</v>
      </c>
      <c r="Q49" s="16">
        <f t="shared" si="0"/>
        <v>0.5</v>
      </c>
      <c r="R49" s="53">
        <v>13.8</v>
      </c>
      <c r="S49" s="53">
        <v>123</v>
      </c>
      <c r="T49" s="16">
        <f t="shared" si="1"/>
        <v>27</v>
      </c>
      <c r="U49" s="53">
        <v>321</v>
      </c>
      <c r="V49" s="16">
        <f t="shared" si="2"/>
        <v>4333.5</v>
      </c>
      <c r="W49" s="53">
        <v>2</v>
      </c>
      <c r="X49" s="53" t="s">
        <v>46</v>
      </c>
      <c r="Y49" s="53" t="s">
        <v>55</v>
      </c>
      <c r="Z49" s="53" t="s">
        <v>69</v>
      </c>
      <c r="AA49" s="53" t="s">
        <v>97</v>
      </c>
      <c r="AB49" s="53" t="s">
        <v>158</v>
      </c>
    </row>
    <row r="50" spans="1:28" x14ac:dyDescent="0.15">
      <c r="A50" s="53" t="s">
        <v>41</v>
      </c>
      <c r="B50" s="53" t="s">
        <v>157</v>
      </c>
      <c r="C50" s="62">
        <v>2019</v>
      </c>
      <c r="D50" s="63" t="s">
        <v>184</v>
      </c>
      <c r="E50" s="53" t="s">
        <v>187</v>
      </c>
      <c r="F50" s="53" t="s">
        <v>189</v>
      </c>
      <c r="G50" s="53" t="s">
        <v>42</v>
      </c>
      <c r="H50" s="53" t="s">
        <v>164</v>
      </c>
      <c r="I50" s="53" t="s">
        <v>159</v>
      </c>
      <c r="J50" s="53" t="s">
        <v>38</v>
      </c>
      <c r="K50" s="53" t="s">
        <v>161</v>
      </c>
      <c r="L50" s="53">
        <v>1</v>
      </c>
      <c r="N50" s="53">
        <v>1</v>
      </c>
      <c r="O50" s="53">
        <v>0.35</v>
      </c>
      <c r="P50" s="53">
        <v>0.45</v>
      </c>
      <c r="Q50" s="16">
        <f t="shared" si="0"/>
        <v>0.4</v>
      </c>
      <c r="R50" s="53">
        <v>14.4</v>
      </c>
      <c r="S50" s="53">
        <v>130</v>
      </c>
      <c r="T50" s="16">
        <f t="shared" si="1"/>
        <v>25</v>
      </c>
      <c r="U50" s="53">
        <v>149</v>
      </c>
      <c r="V50" s="16">
        <f t="shared" si="2"/>
        <v>3725</v>
      </c>
      <c r="W50" s="53">
        <v>2</v>
      </c>
      <c r="X50" s="53" t="s">
        <v>46</v>
      </c>
      <c r="Y50" s="53" t="s">
        <v>55</v>
      </c>
      <c r="Z50" s="53" t="s">
        <v>69</v>
      </c>
      <c r="AA50" s="53" t="s">
        <v>97</v>
      </c>
      <c r="AB50" s="53" t="s">
        <v>158</v>
      </c>
    </row>
    <row r="51" spans="1:28" x14ac:dyDescent="0.15">
      <c r="A51" s="53" t="s">
        <v>41</v>
      </c>
      <c r="B51" s="53" t="s">
        <v>157</v>
      </c>
      <c r="C51" s="62">
        <v>2019</v>
      </c>
      <c r="D51" s="63" t="s">
        <v>184</v>
      </c>
      <c r="E51" s="53" t="s">
        <v>187</v>
      </c>
      <c r="F51" s="53" t="s">
        <v>189</v>
      </c>
      <c r="G51" s="53" t="s">
        <v>42</v>
      </c>
      <c r="H51" s="53" t="s">
        <v>164</v>
      </c>
      <c r="I51" s="53" t="s">
        <v>159</v>
      </c>
      <c r="J51" s="53" t="s">
        <v>38</v>
      </c>
      <c r="K51" s="53" t="s">
        <v>161</v>
      </c>
      <c r="L51" s="53">
        <v>2</v>
      </c>
      <c r="N51" s="53">
        <v>1</v>
      </c>
      <c r="O51" s="53">
        <v>0.5</v>
      </c>
      <c r="P51" s="53">
        <v>0.65</v>
      </c>
      <c r="Q51" s="16">
        <f t="shared" si="0"/>
        <v>0.57499999999999996</v>
      </c>
      <c r="R51" s="53">
        <v>15.1</v>
      </c>
      <c r="S51" s="53">
        <v>129</v>
      </c>
      <c r="T51" s="16">
        <f t="shared" si="1"/>
        <v>25</v>
      </c>
      <c r="U51" s="53">
        <v>149</v>
      </c>
      <c r="V51" s="16">
        <f t="shared" si="2"/>
        <v>3725</v>
      </c>
      <c r="W51" s="53">
        <v>2</v>
      </c>
      <c r="X51" s="53" t="s">
        <v>46</v>
      </c>
      <c r="Y51" s="53" t="s">
        <v>55</v>
      </c>
      <c r="Z51" s="53" t="s">
        <v>69</v>
      </c>
      <c r="AA51" s="53" t="s">
        <v>97</v>
      </c>
      <c r="AB51" s="53" t="s">
        <v>158</v>
      </c>
    </row>
    <row r="52" spans="1:28" x14ac:dyDescent="0.15">
      <c r="A52" s="53" t="s">
        <v>41</v>
      </c>
      <c r="B52" s="53" t="s">
        <v>157</v>
      </c>
      <c r="C52" s="62">
        <v>2019</v>
      </c>
      <c r="D52" s="63" t="s">
        <v>184</v>
      </c>
      <c r="E52" s="53" t="s">
        <v>187</v>
      </c>
      <c r="F52" s="53" t="s">
        <v>189</v>
      </c>
      <c r="G52" s="53" t="s">
        <v>42</v>
      </c>
      <c r="H52" s="53" t="s">
        <v>164</v>
      </c>
      <c r="I52" s="53" t="s">
        <v>159</v>
      </c>
      <c r="J52" s="53" t="s">
        <v>38</v>
      </c>
      <c r="K52" s="53" t="s">
        <v>161</v>
      </c>
      <c r="L52" s="53">
        <v>3</v>
      </c>
      <c r="N52" s="53">
        <v>1</v>
      </c>
      <c r="O52" s="53">
        <v>0.65</v>
      </c>
      <c r="P52" s="53">
        <v>0.7</v>
      </c>
      <c r="Q52" s="16">
        <f t="shared" si="0"/>
        <v>0.67500000000000004</v>
      </c>
      <c r="R52" s="53">
        <v>16.399999999999999</v>
      </c>
      <c r="S52" s="53">
        <v>127</v>
      </c>
      <c r="T52" s="16">
        <f t="shared" si="1"/>
        <v>27</v>
      </c>
      <c r="U52" s="53">
        <v>149</v>
      </c>
      <c r="V52" s="16">
        <f t="shared" si="2"/>
        <v>4023</v>
      </c>
      <c r="W52" s="53">
        <v>2</v>
      </c>
      <c r="X52" s="53" t="s">
        <v>46</v>
      </c>
      <c r="Y52" s="53" t="s">
        <v>55</v>
      </c>
      <c r="Z52" s="53" t="s">
        <v>69</v>
      </c>
      <c r="AA52" s="53" t="s">
        <v>97</v>
      </c>
      <c r="AB52" s="53" t="s">
        <v>158</v>
      </c>
    </row>
    <row r="53" spans="1:28" x14ac:dyDescent="0.15">
      <c r="A53" s="53" t="s">
        <v>41</v>
      </c>
      <c r="B53" s="53" t="s">
        <v>157</v>
      </c>
      <c r="C53" s="62">
        <v>2019</v>
      </c>
      <c r="D53" s="63" t="s">
        <v>184</v>
      </c>
      <c r="E53" s="53" t="s">
        <v>187</v>
      </c>
      <c r="F53" s="53" t="s">
        <v>189</v>
      </c>
      <c r="G53" s="53" t="s">
        <v>42</v>
      </c>
      <c r="H53" s="53" t="s">
        <v>164</v>
      </c>
      <c r="I53" s="53" t="s">
        <v>159</v>
      </c>
      <c r="J53" s="53" t="s">
        <v>38</v>
      </c>
      <c r="K53" s="53" t="s">
        <v>161</v>
      </c>
      <c r="L53" s="53">
        <v>1</v>
      </c>
      <c r="N53" s="53">
        <v>4</v>
      </c>
      <c r="O53" s="53">
        <v>0.45</v>
      </c>
      <c r="P53" s="53">
        <v>0.5</v>
      </c>
      <c r="Q53" s="16">
        <f t="shared" si="0"/>
        <v>0.47499999999999998</v>
      </c>
      <c r="R53" s="53">
        <v>15.2</v>
      </c>
      <c r="S53" s="53">
        <v>123</v>
      </c>
      <c r="T53" s="16">
        <f t="shared" si="1"/>
        <v>27</v>
      </c>
      <c r="U53" s="53">
        <v>429</v>
      </c>
      <c r="V53" s="16">
        <f t="shared" si="2"/>
        <v>2895.75</v>
      </c>
      <c r="W53" s="53">
        <v>2</v>
      </c>
      <c r="X53" s="53" t="s">
        <v>46</v>
      </c>
      <c r="Y53" s="53" t="s">
        <v>55</v>
      </c>
      <c r="Z53" s="53" t="s">
        <v>69</v>
      </c>
      <c r="AA53" s="53" t="s">
        <v>97</v>
      </c>
      <c r="AB53" s="53" t="s">
        <v>158</v>
      </c>
    </row>
    <row r="54" spans="1:28" x14ac:dyDescent="0.15">
      <c r="A54" s="53" t="s">
        <v>41</v>
      </c>
      <c r="B54" s="53" t="s">
        <v>157</v>
      </c>
      <c r="C54" s="62">
        <v>2019</v>
      </c>
      <c r="D54" s="63" t="s">
        <v>184</v>
      </c>
      <c r="E54" s="53" t="s">
        <v>187</v>
      </c>
      <c r="F54" s="53" t="s">
        <v>189</v>
      </c>
      <c r="G54" s="53" t="s">
        <v>42</v>
      </c>
      <c r="H54" s="53" t="s">
        <v>164</v>
      </c>
      <c r="I54" s="53" t="s">
        <v>159</v>
      </c>
      <c r="J54" s="53" t="s">
        <v>38</v>
      </c>
      <c r="K54" s="53" t="s">
        <v>161</v>
      </c>
      <c r="L54" s="53">
        <v>2</v>
      </c>
      <c r="N54" s="53">
        <v>4</v>
      </c>
      <c r="O54" s="53">
        <v>0.6</v>
      </c>
      <c r="P54" s="53">
        <v>0.45</v>
      </c>
      <c r="Q54" s="16">
        <f t="shared" si="0"/>
        <v>0.52500000000000002</v>
      </c>
      <c r="R54" s="53">
        <v>16.7</v>
      </c>
      <c r="S54" s="53">
        <v>122</v>
      </c>
      <c r="T54" s="16">
        <f t="shared" si="1"/>
        <v>27</v>
      </c>
      <c r="U54" s="53">
        <v>429</v>
      </c>
      <c r="V54" s="16">
        <f t="shared" si="2"/>
        <v>2895.75</v>
      </c>
      <c r="W54" s="53">
        <v>2</v>
      </c>
      <c r="X54" s="53" t="s">
        <v>46</v>
      </c>
      <c r="Y54" s="53" t="s">
        <v>55</v>
      </c>
      <c r="Z54" s="53" t="s">
        <v>69</v>
      </c>
      <c r="AA54" s="53" t="s">
        <v>97</v>
      </c>
      <c r="AB54" s="53" t="s">
        <v>158</v>
      </c>
    </row>
    <row r="55" spans="1:28" x14ac:dyDescent="0.15">
      <c r="A55" s="53" t="s">
        <v>41</v>
      </c>
      <c r="B55" s="53" t="s">
        <v>157</v>
      </c>
      <c r="C55" s="62">
        <v>2019</v>
      </c>
      <c r="D55" s="63" t="s">
        <v>184</v>
      </c>
      <c r="E55" s="53" t="s">
        <v>187</v>
      </c>
      <c r="F55" s="53" t="s">
        <v>189</v>
      </c>
      <c r="G55" s="53" t="s">
        <v>42</v>
      </c>
      <c r="H55" s="53" t="s">
        <v>164</v>
      </c>
      <c r="I55" s="53" t="s">
        <v>159</v>
      </c>
      <c r="J55" s="53" t="s">
        <v>38</v>
      </c>
      <c r="K55" s="53" t="s">
        <v>161</v>
      </c>
      <c r="L55" s="53">
        <v>3</v>
      </c>
      <c r="N55" s="53">
        <v>4</v>
      </c>
      <c r="O55" s="53">
        <v>0.5</v>
      </c>
      <c r="P55" s="53">
        <v>0.5</v>
      </c>
      <c r="Q55" s="16">
        <f t="shared" si="0"/>
        <v>0.5</v>
      </c>
      <c r="R55" s="53">
        <v>14.4</v>
      </c>
      <c r="S55" s="53">
        <v>125</v>
      </c>
      <c r="T55" s="16">
        <f t="shared" si="1"/>
        <v>27</v>
      </c>
      <c r="U55" s="53">
        <v>429</v>
      </c>
      <c r="V55" s="16">
        <f t="shared" si="2"/>
        <v>2895.75</v>
      </c>
      <c r="W55" s="53">
        <v>2</v>
      </c>
      <c r="X55" s="53" t="s">
        <v>46</v>
      </c>
      <c r="Y55" s="53" t="s">
        <v>55</v>
      </c>
      <c r="Z55" s="53" t="s">
        <v>69</v>
      </c>
      <c r="AA55" s="53" t="s">
        <v>97</v>
      </c>
      <c r="AB55" s="53" t="s">
        <v>158</v>
      </c>
    </row>
    <row r="56" spans="1:28" x14ac:dyDescent="0.15">
      <c r="A56" s="53" t="s">
        <v>41</v>
      </c>
      <c r="B56" s="53" t="s">
        <v>157</v>
      </c>
      <c r="C56" s="62">
        <v>2019</v>
      </c>
      <c r="D56" s="63" t="s">
        <v>184</v>
      </c>
      <c r="E56" s="53" t="s">
        <v>187</v>
      </c>
      <c r="F56" s="53" t="s">
        <v>189</v>
      </c>
      <c r="G56" s="53" t="s">
        <v>42</v>
      </c>
      <c r="H56" s="53" t="s">
        <v>164</v>
      </c>
      <c r="I56" s="53" t="s">
        <v>159</v>
      </c>
      <c r="J56" s="53" t="s">
        <v>38</v>
      </c>
      <c r="K56" s="53" t="s">
        <v>161</v>
      </c>
      <c r="L56" s="53">
        <v>1</v>
      </c>
      <c r="N56" s="53">
        <v>6</v>
      </c>
      <c r="O56" s="53">
        <v>0.25</v>
      </c>
      <c r="P56" s="53">
        <v>0.3</v>
      </c>
      <c r="Q56" s="16">
        <f t="shared" si="0"/>
        <v>0.27500000000000002</v>
      </c>
      <c r="R56" s="53">
        <v>15.5</v>
      </c>
      <c r="S56" s="53">
        <v>94</v>
      </c>
      <c r="T56" s="16">
        <f t="shared" si="1"/>
        <v>36</v>
      </c>
      <c r="U56" s="53">
        <v>429</v>
      </c>
      <c r="V56" s="16">
        <f t="shared" si="2"/>
        <v>2574</v>
      </c>
      <c r="W56" s="53">
        <v>2</v>
      </c>
      <c r="X56" s="53" t="s">
        <v>46</v>
      </c>
      <c r="Y56" s="53" t="s">
        <v>55</v>
      </c>
      <c r="Z56" s="53" t="s">
        <v>69</v>
      </c>
      <c r="AA56" s="53" t="s">
        <v>97</v>
      </c>
      <c r="AB56" s="53" t="s">
        <v>158</v>
      </c>
    </row>
    <row r="57" spans="1:28" x14ac:dyDescent="0.15">
      <c r="A57" s="53" t="s">
        <v>41</v>
      </c>
      <c r="B57" s="53" t="s">
        <v>157</v>
      </c>
      <c r="C57" s="62">
        <v>2019</v>
      </c>
      <c r="D57" s="63" t="s">
        <v>184</v>
      </c>
      <c r="E57" s="53" t="s">
        <v>187</v>
      </c>
      <c r="F57" s="53" t="s">
        <v>189</v>
      </c>
      <c r="G57" s="53" t="s">
        <v>42</v>
      </c>
      <c r="H57" s="53" t="s">
        <v>164</v>
      </c>
      <c r="I57" s="53" t="s">
        <v>159</v>
      </c>
      <c r="J57" s="53" t="s">
        <v>38</v>
      </c>
      <c r="K57" s="53" t="s">
        <v>161</v>
      </c>
      <c r="L57" s="53">
        <v>2</v>
      </c>
      <c r="N57" s="53">
        <v>6</v>
      </c>
      <c r="O57" s="53">
        <v>0.3</v>
      </c>
      <c r="P57" s="53">
        <v>0.25</v>
      </c>
      <c r="Q57" s="16">
        <f t="shared" si="0"/>
        <v>0.27500000000000002</v>
      </c>
      <c r="R57" s="53">
        <v>15.7</v>
      </c>
      <c r="S57" s="53">
        <v>97</v>
      </c>
      <c r="T57" s="16">
        <f t="shared" si="1"/>
        <v>36</v>
      </c>
      <c r="U57" s="53">
        <v>429</v>
      </c>
      <c r="V57" s="16">
        <f t="shared" si="2"/>
        <v>2574</v>
      </c>
      <c r="W57" s="53">
        <v>2</v>
      </c>
      <c r="X57" s="53" t="s">
        <v>46</v>
      </c>
      <c r="Y57" s="53" t="s">
        <v>55</v>
      </c>
      <c r="Z57" s="53" t="s">
        <v>69</v>
      </c>
      <c r="AA57" s="53" t="s">
        <v>97</v>
      </c>
      <c r="AB57" s="53" t="s">
        <v>158</v>
      </c>
    </row>
    <row r="58" spans="1:28" x14ac:dyDescent="0.15">
      <c r="A58" s="53" t="s">
        <v>41</v>
      </c>
      <c r="B58" s="53" t="s">
        <v>157</v>
      </c>
      <c r="C58" s="62">
        <v>2019</v>
      </c>
      <c r="D58" s="63" t="s">
        <v>184</v>
      </c>
      <c r="E58" s="53" t="s">
        <v>187</v>
      </c>
      <c r="F58" s="53" t="s">
        <v>189</v>
      </c>
      <c r="G58" s="53" t="s">
        <v>42</v>
      </c>
      <c r="H58" s="53" t="s">
        <v>164</v>
      </c>
      <c r="I58" s="53" t="s">
        <v>159</v>
      </c>
      <c r="J58" s="53" t="s">
        <v>38</v>
      </c>
      <c r="K58" s="53" t="s">
        <v>161</v>
      </c>
      <c r="L58" s="53">
        <v>3</v>
      </c>
      <c r="N58" s="53">
        <v>6</v>
      </c>
      <c r="O58" s="53">
        <v>0.2</v>
      </c>
      <c r="P58" s="53">
        <v>0.25</v>
      </c>
      <c r="Q58" s="16">
        <f t="shared" si="0"/>
        <v>0.22500000000000001</v>
      </c>
      <c r="R58" s="53">
        <v>13.8</v>
      </c>
      <c r="S58" s="53">
        <v>100</v>
      </c>
      <c r="T58" s="16">
        <f t="shared" si="1"/>
        <v>33</v>
      </c>
      <c r="U58" s="53">
        <v>429</v>
      </c>
      <c r="V58" s="16">
        <f t="shared" si="2"/>
        <v>2359.5</v>
      </c>
      <c r="W58" s="53">
        <v>2</v>
      </c>
      <c r="X58" s="53" t="s">
        <v>46</v>
      </c>
      <c r="Y58" s="53" t="s">
        <v>55</v>
      </c>
      <c r="Z58" s="53" t="s">
        <v>69</v>
      </c>
      <c r="AA58" s="53" t="s">
        <v>97</v>
      </c>
      <c r="AB58" s="53" t="s">
        <v>158</v>
      </c>
    </row>
    <row r="59" spans="1:28" x14ac:dyDescent="0.15">
      <c r="A59" s="53" t="s">
        <v>41</v>
      </c>
      <c r="B59" s="53" t="s">
        <v>157</v>
      </c>
      <c r="C59" s="62">
        <v>2019</v>
      </c>
      <c r="D59" s="63" t="s">
        <v>184</v>
      </c>
      <c r="E59" s="53" t="s">
        <v>187</v>
      </c>
      <c r="F59" s="53" t="s">
        <v>189</v>
      </c>
      <c r="G59" s="53" t="s">
        <v>42</v>
      </c>
      <c r="H59" s="53" t="s">
        <v>164</v>
      </c>
      <c r="I59" s="53" t="s">
        <v>165</v>
      </c>
      <c r="J59" s="53" t="s">
        <v>38</v>
      </c>
      <c r="K59" s="53" t="s">
        <v>161</v>
      </c>
      <c r="L59" s="53">
        <v>1</v>
      </c>
      <c r="N59" s="53">
        <v>2</v>
      </c>
      <c r="O59" s="53">
        <v>0.65</v>
      </c>
      <c r="P59" s="53">
        <v>0.75</v>
      </c>
      <c r="Q59" s="16">
        <f t="shared" si="0"/>
        <v>0.7</v>
      </c>
      <c r="R59" s="53">
        <v>17.100000000000001</v>
      </c>
      <c r="S59" s="53">
        <v>125</v>
      </c>
      <c r="T59" s="16">
        <f t="shared" si="1"/>
        <v>27</v>
      </c>
      <c r="U59" s="53">
        <v>321</v>
      </c>
      <c r="V59" s="16">
        <f t="shared" si="2"/>
        <v>4333.5</v>
      </c>
      <c r="W59" s="53">
        <v>3</v>
      </c>
      <c r="X59" s="53" t="s">
        <v>46</v>
      </c>
      <c r="Y59" s="53" t="s">
        <v>55</v>
      </c>
      <c r="Z59" s="53" t="s">
        <v>69</v>
      </c>
      <c r="AA59" s="53" t="s">
        <v>97</v>
      </c>
      <c r="AB59" s="53" t="s">
        <v>158</v>
      </c>
    </row>
    <row r="60" spans="1:28" x14ac:dyDescent="0.15">
      <c r="A60" s="53" t="s">
        <v>41</v>
      </c>
      <c r="B60" s="53" t="s">
        <v>157</v>
      </c>
      <c r="C60" s="62">
        <v>2019</v>
      </c>
      <c r="D60" s="63" t="s">
        <v>184</v>
      </c>
      <c r="E60" s="53" t="s">
        <v>187</v>
      </c>
      <c r="F60" s="53" t="s">
        <v>189</v>
      </c>
      <c r="G60" s="53" t="s">
        <v>42</v>
      </c>
      <c r="H60" s="53" t="s">
        <v>164</v>
      </c>
      <c r="I60" s="53" t="s">
        <v>165</v>
      </c>
      <c r="J60" s="53" t="s">
        <v>38</v>
      </c>
      <c r="K60" s="53" t="s">
        <v>161</v>
      </c>
      <c r="L60" s="53">
        <v>2</v>
      </c>
      <c r="N60" s="53">
        <v>2</v>
      </c>
      <c r="O60" s="53">
        <v>0.5</v>
      </c>
      <c r="P60" s="53">
        <v>0.5</v>
      </c>
      <c r="Q60" s="16">
        <f t="shared" si="0"/>
        <v>0.5</v>
      </c>
      <c r="R60" s="53">
        <v>15.4</v>
      </c>
      <c r="S60" s="53">
        <v>128</v>
      </c>
      <c r="T60" s="16">
        <f t="shared" si="1"/>
        <v>27</v>
      </c>
      <c r="U60" s="53">
        <v>321</v>
      </c>
      <c r="V60" s="16">
        <f t="shared" si="2"/>
        <v>4333.5</v>
      </c>
      <c r="W60" s="53">
        <v>3</v>
      </c>
      <c r="X60" s="53" t="s">
        <v>46</v>
      </c>
      <c r="Y60" s="53" t="s">
        <v>55</v>
      </c>
      <c r="Z60" s="53" t="s">
        <v>69</v>
      </c>
      <c r="AA60" s="53" t="s">
        <v>97</v>
      </c>
      <c r="AB60" s="53" t="s">
        <v>158</v>
      </c>
    </row>
    <row r="61" spans="1:28" x14ac:dyDescent="0.15">
      <c r="A61" s="53" t="s">
        <v>41</v>
      </c>
      <c r="B61" s="53" t="s">
        <v>157</v>
      </c>
      <c r="C61" s="62">
        <v>2019</v>
      </c>
      <c r="D61" s="63" t="s">
        <v>184</v>
      </c>
      <c r="E61" s="53" t="s">
        <v>187</v>
      </c>
      <c r="F61" s="53" t="s">
        <v>189</v>
      </c>
      <c r="G61" s="53" t="s">
        <v>42</v>
      </c>
      <c r="H61" s="53" t="s">
        <v>164</v>
      </c>
      <c r="I61" s="53" t="s">
        <v>165</v>
      </c>
      <c r="J61" s="53" t="s">
        <v>38</v>
      </c>
      <c r="K61" s="53" t="s">
        <v>161</v>
      </c>
      <c r="L61" s="53">
        <v>3</v>
      </c>
      <c r="N61" s="53">
        <v>2</v>
      </c>
      <c r="O61" s="53">
        <v>0.45</v>
      </c>
      <c r="P61" s="53">
        <v>0.65</v>
      </c>
      <c r="Q61" s="16">
        <f t="shared" si="0"/>
        <v>0.55000000000000004</v>
      </c>
      <c r="R61" s="53">
        <v>15.1</v>
      </c>
      <c r="S61" s="53">
        <v>126</v>
      </c>
      <c r="T61" s="16">
        <f t="shared" si="1"/>
        <v>27</v>
      </c>
      <c r="U61" s="53">
        <v>321</v>
      </c>
      <c r="V61" s="16">
        <f t="shared" si="2"/>
        <v>4333.5</v>
      </c>
      <c r="W61" s="53">
        <v>3</v>
      </c>
      <c r="X61" s="53" t="s">
        <v>46</v>
      </c>
      <c r="Y61" s="53" t="s">
        <v>55</v>
      </c>
      <c r="Z61" s="53" t="s">
        <v>69</v>
      </c>
      <c r="AA61" s="53" t="s">
        <v>97</v>
      </c>
      <c r="AB61" s="53" t="s">
        <v>158</v>
      </c>
    </row>
    <row r="62" spans="1:28" x14ac:dyDescent="0.15">
      <c r="A62" s="53" t="s">
        <v>41</v>
      </c>
      <c r="B62" s="53" t="s">
        <v>157</v>
      </c>
      <c r="C62" s="62">
        <v>2019</v>
      </c>
      <c r="D62" s="63" t="s">
        <v>184</v>
      </c>
      <c r="E62" s="53" t="s">
        <v>194</v>
      </c>
      <c r="F62" s="53" t="s">
        <v>185</v>
      </c>
      <c r="G62" s="53" t="s">
        <v>42</v>
      </c>
      <c r="H62" s="53" t="s">
        <v>164</v>
      </c>
      <c r="I62" s="53" t="s">
        <v>159</v>
      </c>
      <c r="J62" s="53" t="s">
        <v>38</v>
      </c>
      <c r="K62" s="53" t="s">
        <v>161</v>
      </c>
      <c r="L62" s="53">
        <v>1</v>
      </c>
      <c r="N62" s="53">
        <v>1</v>
      </c>
      <c r="O62" s="53">
        <v>0.45</v>
      </c>
      <c r="P62" s="53">
        <v>0.6</v>
      </c>
      <c r="Q62" s="74">
        <f t="shared" si="0"/>
        <v>0.52500000000000002</v>
      </c>
      <c r="R62" s="53">
        <v>14.1</v>
      </c>
      <c r="S62" s="53">
        <v>121</v>
      </c>
      <c r="T62" s="16">
        <f t="shared" si="1"/>
        <v>27</v>
      </c>
      <c r="U62" s="53">
        <v>108</v>
      </c>
      <c r="V62" s="16">
        <f t="shared" si="2"/>
        <v>2916</v>
      </c>
      <c r="W62" s="53">
        <v>4</v>
      </c>
      <c r="X62" s="53" t="s">
        <v>46</v>
      </c>
      <c r="Y62" s="53" t="s">
        <v>60</v>
      </c>
      <c r="Z62" s="53" t="s">
        <v>97</v>
      </c>
      <c r="AA62" s="53" t="s">
        <v>86</v>
      </c>
      <c r="AB62" s="53" t="s">
        <v>158</v>
      </c>
    </row>
    <row r="63" spans="1:28" x14ac:dyDescent="0.15">
      <c r="A63" s="53" t="s">
        <v>41</v>
      </c>
      <c r="B63" s="53" t="s">
        <v>157</v>
      </c>
      <c r="C63" s="62">
        <v>2019</v>
      </c>
      <c r="D63" s="63" t="s">
        <v>184</v>
      </c>
      <c r="E63" s="53" t="s">
        <v>194</v>
      </c>
      <c r="F63" s="53" t="s">
        <v>185</v>
      </c>
      <c r="G63" s="53" t="s">
        <v>42</v>
      </c>
      <c r="H63" s="53" t="s">
        <v>164</v>
      </c>
      <c r="I63" s="53" t="s">
        <v>159</v>
      </c>
      <c r="J63" s="53" t="s">
        <v>38</v>
      </c>
      <c r="K63" s="53" t="s">
        <v>161</v>
      </c>
      <c r="L63" s="53">
        <v>2</v>
      </c>
      <c r="N63" s="53">
        <v>1</v>
      </c>
      <c r="O63" s="53">
        <v>0.8</v>
      </c>
      <c r="P63" s="53">
        <v>0.75</v>
      </c>
      <c r="Q63" s="74">
        <f t="shared" si="0"/>
        <v>0.77500000000000002</v>
      </c>
      <c r="R63" s="53">
        <v>15.4</v>
      </c>
      <c r="S63" s="53">
        <v>120</v>
      </c>
      <c r="T63" s="16">
        <f t="shared" si="1"/>
        <v>30</v>
      </c>
      <c r="U63" s="53">
        <v>108</v>
      </c>
      <c r="V63" s="16">
        <f t="shared" si="2"/>
        <v>3240</v>
      </c>
      <c r="W63" s="53">
        <v>4</v>
      </c>
      <c r="X63" s="53" t="s">
        <v>46</v>
      </c>
      <c r="Y63" s="53" t="s">
        <v>60</v>
      </c>
      <c r="Z63" s="53" t="s">
        <v>97</v>
      </c>
      <c r="AA63" s="53" t="s">
        <v>86</v>
      </c>
      <c r="AB63" s="53" t="s">
        <v>158</v>
      </c>
    </row>
    <row r="64" spans="1:28" x14ac:dyDescent="0.15">
      <c r="A64" s="53" t="s">
        <v>41</v>
      </c>
      <c r="B64" s="53" t="s">
        <v>157</v>
      </c>
      <c r="C64" s="62">
        <v>2019</v>
      </c>
      <c r="D64" s="63" t="s">
        <v>184</v>
      </c>
      <c r="E64" s="53" t="s">
        <v>194</v>
      </c>
      <c r="F64" s="53" t="s">
        <v>185</v>
      </c>
      <c r="G64" s="53" t="s">
        <v>42</v>
      </c>
      <c r="H64" s="53" t="s">
        <v>164</v>
      </c>
      <c r="I64" s="53" t="s">
        <v>159</v>
      </c>
      <c r="J64" s="53" t="s">
        <v>38</v>
      </c>
      <c r="K64" s="53" t="s">
        <v>161</v>
      </c>
      <c r="L64" s="53">
        <v>3</v>
      </c>
      <c r="N64" s="53">
        <v>1</v>
      </c>
      <c r="O64" s="53">
        <v>0.75</v>
      </c>
      <c r="P64" s="53">
        <v>0.8</v>
      </c>
      <c r="Q64" s="74">
        <f t="shared" si="0"/>
        <v>0.77500000000000002</v>
      </c>
      <c r="R64" s="53">
        <v>15.6</v>
      </c>
      <c r="S64" s="53">
        <v>118</v>
      </c>
      <c r="T64" s="16">
        <f t="shared" si="1"/>
        <v>30</v>
      </c>
      <c r="U64" s="53">
        <v>108</v>
      </c>
      <c r="V64" s="16">
        <f t="shared" si="2"/>
        <v>3240</v>
      </c>
      <c r="W64" s="53">
        <v>4</v>
      </c>
      <c r="X64" s="53" t="s">
        <v>46</v>
      </c>
      <c r="Y64" s="53" t="s">
        <v>60</v>
      </c>
      <c r="Z64" s="53" t="s">
        <v>97</v>
      </c>
      <c r="AA64" s="53" t="s">
        <v>86</v>
      </c>
      <c r="AB64" s="53" t="s">
        <v>158</v>
      </c>
    </row>
    <row r="65" spans="1:34" x14ac:dyDescent="0.15">
      <c r="A65" s="53" t="s">
        <v>41</v>
      </c>
      <c r="B65" s="53" t="s">
        <v>157</v>
      </c>
      <c r="C65" s="62">
        <v>2019</v>
      </c>
      <c r="D65" s="63" t="s">
        <v>184</v>
      </c>
      <c r="E65" s="53" t="s">
        <v>194</v>
      </c>
      <c r="F65" s="53" t="s">
        <v>185</v>
      </c>
      <c r="G65" s="53" t="s">
        <v>42</v>
      </c>
      <c r="H65" s="53" t="s">
        <v>164</v>
      </c>
      <c r="I65" s="53" t="s">
        <v>159</v>
      </c>
      <c r="J65" s="53" t="s">
        <v>38</v>
      </c>
      <c r="K65" s="53" t="s">
        <v>161</v>
      </c>
      <c r="L65" s="53">
        <v>1</v>
      </c>
      <c r="N65" s="53">
        <v>6</v>
      </c>
      <c r="O65" s="53">
        <v>0.65</v>
      </c>
      <c r="P65" s="53">
        <v>0.7</v>
      </c>
      <c r="Q65" s="74">
        <f t="shared" si="0"/>
        <v>0.67500000000000004</v>
      </c>
      <c r="R65" s="53">
        <v>14</v>
      </c>
      <c r="S65" s="53">
        <v>115</v>
      </c>
      <c r="T65" s="16">
        <f t="shared" si="1"/>
        <v>30</v>
      </c>
      <c r="U65" s="53">
        <v>429</v>
      </c>
      <c r="V65" s="16">
        <f t="shared" si="2"/>
        <v>2145</v>
      </c>
      <c r="W65" s="53">
        <v>1</v>
      </c>
      <c r="X65" s="53" t="s">
        <v>46</v>
      </c>
      <c r="Y65" s="53" t="s">
        <v>60</v>
      </c>
      <c r="Z65" s="53" t="s">
        <v>97</v>
      </c>
      <c r="AA65" s="53" t="s">
        <v>86</v>
      </c>
      <c r="AB65" s="53" t="s">
        <v>158</v>
      </c>
    </row>
    <row r="66" spans="1:34" x14ac:dyDescent="0.15">
      <c r="A66" s="53" t="s">
        <v>41</v>
      </c>
      <c r="B66" s="53" t="s">
        <v>157</v>
      </c>
      <c r="C66" s="62">
        <v>2019</v>
      </c>
      <c r="D66" s="63" t="s">
        <v>184</v>
      </c>
      <c r="E66" s="53" t="s">
        <v>194</v>
      </c>
      <c r="F66" s="53" t="s">
        <v>185</v>
      </c>
      <c r="G66" s="53" t="s">
        <v>42</v>
      </c>
      <c r="H66" s="53" t="s">
        <v>164</v>
      </c>
      <c r="I66" s="53" t="s">
        <v>159</v>
      </c>
      <c r="J66" s="53" t="s">
        <v>38</v>
      </c>
      <c r="K66" s="53" t="s">
        <v>161</v>
      </c>
      <c r="L66" s="53">
        <v>2</v>
      </c>
      <c r="N66" s="53">
        <v>6</v>
      </c>
      <c r="O66" s="53">
        <v>0.55000000000000004</v>
      </c>
      <c r="P66" s="53">
        <v>0.65</v>
      </c>
      <c r="Q66" s="74">
        <f t="shared" ref="Q66:Q115" si="3">IF(OR(O66="",P66=""),"",AVERAGE(O66,P66))</f>
        <v>0.60000000000000009</v>
      </c>
      <c r="R66" s="53">
        <v>14.8</v>
      </c>
      <c r="S66" s="53">
        <v>110</v>
      </c>
      <c r="T66" s="16">
        <f t="shared" ref="T66:T129" si="4">IF(H66="","",IF(OR(H66="GREEN",H66="GK"),IF(S66&gt;=$AX$2,VLOOKUP(S66,$AX$2:$AY$10,2,1),""),IF(S66&gt;=$AZ$2,VLOOKUP(S66,$AZ$2:$BA$10,2,1),"")))</f>
        <v>33</v>
      </c>
      <c r="U66" s="53">
        <v>429</v>
      </c>
      <c r="V66" s="16">
        <f t="shared" ref="V66:V115" si="5">IF(OR(N66="",U66="",T66=""),"",U66/N66*T66)</f>
        <v>2359.5</v>
      </c>
      <c r="W66" s="53">
        <v>1</v>
      </c>
      <c r="X66" s="53" t="s">
        <v>46</v>
      </c>
      <c r="Y66" s="53" t="s">
        <v>60</v>
      </c>
      <c r="Z66" s="53" t="s">
        <v>97</v>
      </c>
      <c r="AA66" s="53" t="s">
        <v>86</v>
      </c>
      <c r="AB66" s="53" t="s">
        <v>158</v>
      </c>
    </row>
    <row r="67" spans="1:34" x14ac:dyDescent="0.15">
      <c r="A67" s="53" t="s">
        <v>41</v>
      </c>
      <c r="B67" s="53" t="s">
        <v>157</v>
      </c>
      <c r="C67" s="62">
        <v>2019</v>
      </c>
      <c r="D67" s="63" t="s">
        <v>184</v>
      </c>
      <c r="E67" s="53" t="s">
        <v>194</v>
      </c>
      <c r="F67" s="53" t="s">
        <v>185</v>
      </c>
      <c r="G67" s="53" t="s">
        <v>42</v>
      </c>
      <c r="H67" s="53" t="s">
        <v>164</v>
      </c>
      <c r="I67" s="53" t="s">
        <v>159</v>
      </c>
      <c r="J67" s="53" t="s">
        <v>38</v>
      </c>
      <c r="K67" s="53" t="s">
        <v>161</v>
      </c>
      <c r="L67" s="53">
        <v>3</v>
      </c>
      <c r="N67" s="53">
        <v>6</v>
      </c>
      <c r="O67" s="53">
        <v>0.65</v>
      </c>
      <c r="P67" s="53">
        <v>0.45</v>
      </c>
      <c r="Q67" s="74">
        <f t="shared" si="3"/>
        <v>0.55000000000000004</v>
      </c>
      <c r="R67" s="53">
        <v>14.9</v>
      </c>
      <c r="S67" s="53">
        <v>112</v>
      </c>
      <c r="T67" s="16">
        <f t="shared" si="4"/>
        <v>33</v>
      </c>
      <c r="U67" s="53">
        <v>429</v>
      </c>
      <c r="V67" s="16">
        <f t="shared" si="5"/>
        <v>2359.5</v>
      </c>
      <c r="W67" s="53">
        <v>1</v>
      </c>
      <c r="X67" s="53" t="s">
        <v>46</v>
      </c>
      <c r="Y67" s="53" t="s">
        <v>60</v>
      </c>
      <c r="Z67" s="53" t="s">
        <v>97</v>
      </c>
      <c r="AA67" s="53" t="s">
        <v>86</v>
      </c>
      <c r="AB67" s="53" t="s">
        <v>158</v>
      </c>
    </row>
    <row r="68" spans="1:34" x14ac:dyDescent="0.15">
      <c r="A68" s="53" t="s">
        <v>41</v>
      </c>
      <c r="B68" s="53" t="s">
        <v>157</v>
      </c>
      <c r="C68" s="62">
        <v>2019</v>
      </c>
      <c r="D68" s="63" t="s">
        <v>184</v>
      </c>
      <c r="E68" s="53" t="s">
        <v>194</v>
      </c>
      <c r="F68" s="53" t="s">
        <v>185</v>
      </c>
      <c r="G68" s="53" t="s">
        <v>42</v>
      </c>
      <c r="H68" s="53" t="s">
        <v>160</v>
      </c>
      <c r="I68" s="53" t="s">
        <v>159</v>
      </c>
      <c r="J68" s="53" t="s">
        <v>38</v>
      </c>
      <c r="K68" s="53" t="s">
        <v>161</v>
      </c>
      <c r="L68" s="53">
        <v>1</v>
      </c>
      <c r="N68" s="53">
        <v>1</v>
      </c>
      <c r="O68" s="53">
        <v>0.25</v>
      </c>
      <c r="P68" s="53">
        <v>0.35</v>
      </c>
      <c r="Q68" s="74">
        <f t="shared" si="3"/>
        <v>0.3</v>
      </c>
      <c r="R68" s="53">
        <v>12.9</v>
      </c>
      <c r="S68" s="53">
        <v>123</v>
      </c>
      <c r="T68" s="16">
        <f t="shared" si="4"/>
        <v>27</v>
      </c>
      <c r="U68" s="53">
        <v>170</v>
      </c>
      <c r="V68" s="16">
        <f t="shared" si="5"/>
        <v>4590</v>
      </c>
      <c r="W68" s="53">
        <v>1</v>
      </c>
      <c r="X68" s="53" t="s">
        <v>46</v>
      </c>
      <c r="Y68" s="53" t="s">
        <v>60</v>
      </c>
      <c r="Z68" s="53" t="s">
        <v>97</v>
      </c>
      <c r="AA68" s="53" t="s">
        <v>86</v>
      </c>
      <c r="AB68" s="53" t="s">
        <v>158</v>
      </c>
    </row>
    <row r="69" spans="1:34" x14ac:dyDescent="0.15">
      <c r="A69" s="53" t="s">
        <v>41</v>
      </c>
      <c r="B69" s="53" t="s">
        <v>157</v>
      </c>
      <c r="C69" s="62">
        <v>2019</v>
      </c>
      <c r="D69" s="63" t="s">
        <v>184</v>
      </c>
      <c r="E69" s="53" t="s">
        <v>194</v>
      </c>
      <c r="F69" s="53" t="s">
        <v>185</v>
      </c>
      <c r="G69" s="53" t="s">
        <v>42</v>
      </c>
      <c r="H69" s="53" t="s">
        <v>160</v>
      </c>
      <c r="I69" s="53" t="s">
        <v>159</v>
      </c>
      <c r="J69" s="53" t="s">
        <v>38</v>
      </c>
      <c r="K69" s="53" t="s">
        <v>161</v>
      </c>
      <c r="L69" s="53">
        <v>2</v>
      </c>
      <c r="N69" s="53">
        <v>1</v>
      </c>
      <c r="O69" s="53">
        <v>0.4</v>
      </c>
      <c r="P69" s="53">
        <v>0.3</v>
      </c>
      <c r="Q69" s="74">
        <f t="shared" si="3"/>
        <v>0.35</v>
      </c>
      <c r="R69" s="53">
        <v>16.399999999999999</v>
      </c>
      <c r="S69" s="53">
        <v>122</v>
      </c>
      <c r="T69" s="16">
        <f t="shared" si="4"/>
        <v>27</v>
      </c>
      <c r="U69" s="53">
        <v>170</v>
      </c>
      <c r="V69" s="16">
        <f t="shared" si="5"/>
        <v>4590</v>
      </c>
      <c r="W69" s="53">
        <v>1</v>
      </c>
      <c r="X69" s="53" t="s">
        <v>46</v>
      </c>
      <c r="Y69" s="53" t="s">
        <v>60</v>
      </c>
      <c r="Z69" s="53" t="s">
        <v>97</v>
      </c>
      <c r="AA69" s="53" t="s">
        <v>86</v>
      </c>
      <c r="AB69" s="53" t="s">
        <v>158</v>
      </c>
    </row>
    <row r="70" spans="1:34" x14ac:dyDescent="0.15">
      <c r="A70" s="53" t="s">
        <v>41</v>
      </c>
      <c r="B70" s="53" t="s">
        <v>157</v>
      </c>
      <c r="C70" s="62">
        <v>2019</v>
      </c>
      <c r="D70" s="63" t="s">
        <v>184</v>
      </c>
      <c r="E70" s="53" t="s">
        <v>194</v>
      </c>
      <c r="F70" s="53" t="s">
        <v>185</v>
      </c>
      <c r="G70" s="53" t="s">
        <v>42</v>
      </c>
      <c r="H70" s="53" t="s">
        <v>160</v>
      </c>
      <c r="I70" s="53" t="s">
        <v>159</v>
      </c>
      <c r="J70" s="53" t="s">
        <v>38</v>
      </c>
      <c r="K70" s="53" t="s">
        <v>161</v>
      </c>
      <c r="L70" s="53">
        <v>3</v>
      </c>
      <c r="N70" s="53">
        <v>1</v>
      </c>
      <c r="O70" s="53">
        <v>0.45</v>
      </c>
      <c r="P70" s="53">
        <v>0.4</v>
      </c>
      <c r="Q70" s="74">
        <f t="shared" si="3"/>
        <v>0.42500000000000004</v>
      </c>
      <c r="R70" s="53">
        <v>13.8</v>
      </c>
      <c r="S70" s="53">
        <v>121</v>
      </c>
      <c r="T70" s="16">
        <f t="shared" si="4"/>
        <v>27</v>
      </c>
      <c r="U70" s="53">
        <v>170</v>
      </c>
      <c r="V70" s="16">
        <f t="shared" si="5"/>
        <v>4590</v>
      </c>
      <c r="W70" s="53">
        <v>1</v>
      </c>
      <c r="X70" s="53" t="s">
        <v>46</v>
      </c>
      <c r="Y70" s="53" t="s">
        <v>60</v>
      </c>
      <c r="Z70" s="53" t="s">
        <v>97</v>
      </c>
      <c r="AA70" s="53" t="s">
        <v>86</v>
      </c>
      <c r="AB70" s="53" t="s">
        <v>158</v>
      </c>
    </row>
    <row r="71" spans="1:34" x14ac:dyDescent="0.15">
      <c r="A71" s="53" t="s">
        <v>41</v>
      </c>
      <c r="B71" s="53" t="s">
        <v>157</v>
      </c>
      <c r="C71" s="62">
        <v>2019</v>
      </c>
      <c r="D71" s="63" t="s">
        <v>184</v>
      </c>
      <c r="E71" s="53" t="s">
        <v>194</v>
      </c>
      <c r="F71" s="53" t="s">
        <v>185</v>
      </c>
      <c r="G71" s="53" t="s">
        <v>42</v>
      </c>
      <c r="H71" s="53" t="s">
        <v>160</v>
      </c>
      <c r="I71" s="53" t="s">
        <v>159</v>
      </c>
      <c r="J71" s="53" t="s">
        <v>38</v>
      </c>
      <c r="K71" s="53" t="s">
        <v>161</v>
      </c>
      <c r="L71" s="53">
        <v>1</v>
      </c>
      <c r="N71" s="53">
        <v>5</v>
      </c>
      <c r="O71" s="53">
        <v>0.65</v>
      </c>
      <c r="P71" s="53">
        <v>0.5</v>
      </c>
      <c r="Q71" s="74">
        <f t="shared" si="3"/>
        <v>0.57499999999999996</v>
      </c>
      <c r="R71" s="53">
        <v>13.4</v>
      </c>
      <c r="S71" s="53">
        <v>104</v>
      </c>
      <c r="T71" s="16">
        <f t="shared" si="4"/>
        <v>33</v>
      </c>
      <c r="U71" s="53">
        <v>645</v>
      </c>
      <c r="V71" s="16">
        <f t="shared" si="5"/>
        <v>4257</v>
      </c>
      <c r="W71" s="53">
        <v>3</v>
      </c>
      <c r="X71" s="53" t="s">
        <v>46</v>
      </c>
      <c r="Y71" s="53" t="s">
        <v>60</v>
      </c>
      <c r="Z71" s="53" t="s">
        <v>97</v>
      </c>
      <c r="AA71" s="53" t="s">
        <v>86</v>
      </c>
      <c r="AB71" s="53" t="s">
        <v>158</v>
      </c>
    </row>
    <row r="72" spans="1:34" x14ac:dyDescent="0.15">
      <c r="A72" s="53" t="s">
        <v>41</v>
      </c>
      <c r="B72" s="53" t="s">
        <v>157</v>
      </c>
      <c r="C72" s="62">
        <v>2019</v>
      </c>
      <c r="D72" s="63" t="s">
        <v>184</v>
      </c>
      <c r="E72" s="53" t="s">
        <v>194</v>
      </c>
      <c r="F72" s="53" t="s">
        <v>185</v>
      </c>
      <c r="G72" s="53" t="s">
        <v>42</v>
      </c>
      <c r="H72" s="53" t="s">
        <v>160</v>
      </c>
      <c r="I72" s="53" t="s">
        <v>159</v>
      </c>
      <c r="J72" s="53" t="s">
        <v>38</v>
      </c>
      <c r="K72" s="53" t="s">
        <v>161</v>
      </c>
      <c r="L72" s="53">
        <v>2</v>
      </c>
      <c r="N72" s="53">
        <v>5</v>
      </c>
      <c r="O72" s="53">
        <v>0.45</v>
      </c>
      <c r="P72" s="53">
        <v>0.5</v>
      </c>
      <c r="Q72" s="74">
        <f t="shared" si="3"/>
        <v>0.47499999999999998</v>
      </c>
      <c r="R72" s="53">
        <v>14.9</v>
      </c>
      <c r="S72" s="53">
        <v>105</v>
      </c>
      <c r="T72" s="16">
        <f t="shared" si="4"/>
        <v>33</v>
      </c>
      <c r="U72" s="53">
        <v>645</v>
      </c>
      <c r="V72" s="16">
        <f t="shared" si="5"/>
        <v>4257</v>
      </c>
      <c r="W72" s="53">
        <v>3</v>
      </c>
      <c r="X72" s="53" t="s">
        <v>46</v>
      </c>
      <c r="Y72" s="53" t="s">
        <v>60</v>
      </c>
      <c r="Z72" s="53" t="s">
        <v>97</v>
      </c>
      <c r="AA72" s="53" t="s">
        <v>86</v>
      </c>
      <c r="AB72" s="53" t="s">
        <v>158</v>
      </c>
    </row>
    <row r="73" spans="1:34" x14ac:dyDescent="0.15">
      <c r="A73" s="53" t="s">
        <v>41</v>
      </c>
      <c r="B73" s="53" t="s">
        <v>157</v>
      </c>
      <c r="C73" s="62">
        <v>2019</v>
      </c>
      <c r="D73" s="63" t="s">
        <v>184</v>
      </c>
      <c r="E73" s="53" t="s">
        <v>194</v>
      </c>
      <c r="F73" s="53" t="s">
        <v>185</v>
      </c>
      <c r="G73" s="53" t="s">
        <v>42</v>
      </c>
      <c r="H73" s="53" t="s">
        <v>160</v>
      </c>
      <c r="I73" s="53" t="s">
        <v>159</v>
      </c>
      <c r="J73" s="53" t="s">
        <v>38</v>
      </c>
      <c r="K73" s="53" t="s">
        <v>161</v>
      </c>
      <c r="L73" s="53">
        <v>3</v>
      </c>
      <c r="N73" s="53">
        <v>5</v>
      </c>
      <c r="O73" s="53">
        <v>0.5</v>
      </c>
      <c r="P73" s="53">
        <v>0.4</v>
      </c>
      <c r="Q73" s="74">
        <f t="shared" si="3"/>
        <v>0.45</v>
      </c>
      <c r="R73" s="53">
        <v>15.1</v>
      </c>
      <c r="S73" s="53">
        <v>110</v>
      </c>
      <c r="T73" s="16">
        <f t="shared" si="4"/>
        <v>33</v>
      </c>
      <c r="U73" s="53">
        <v>645</v>
      </c>
      <c r="V73" s="16">
        <f t="shared" si="5"/>
        <v>4257</v>
      </c>
      <c r="W73" s="53">
        <v>3</v>
      </c>
      <c r="X73" s="53" t="s">
        <v>46</v>
      </c>
      <c r="Y73" s="53" t="s">
        <v>60</v>
      </c>
      <c r="Z73" s="53" t="s">
        <v>97</v>
      </c>
      <c r="AA73" s="53" t="s">
        <v>86</v>
      </c>
      <c r="AB73" s="53" t="s">
        <v>158</v>
      </c>
    </row>
    <row r="74" spans="1:34" x14ac:dyDescent="0.15">
      <c r="A74" s="53" t="s">
        <v>41</v>
      </c>
      <c r="B74" s="53" t="s">
        <v>157</v>
      </c>
      <c r="C74" s="62">
        <v>2019</v>
      </c>
      <c r="D74" s="63" t="s">
        <v>184</v>
      </c>
      <c r="E74" s="53" t="s">
        <v>194</v>
      </c>
      <c r="F74" s="53" t="s">
        <v>196</v>
      </c>
      <c r="G74" s="53" t="s">
        <v>42</v>
      </c>
      <c r="H74" s="53" t="s">
        <v>164</v>
      </c>
      <c r="I74" s="53" t="s">
        <v>159</v>
      </c>
      <c r="J74" s="53" t="s">
        <v>38</v>
      </c>
      <c r="K74" s="53" t="s">
        <v>161</v>
      </c>
      <c r="L74" s="53">
        <v>1</v>
      </c>
      <c r="N74" s="53">
        <v>1</v>
      </c>
      <c r="O74" s="53">
        <v>0.65</v>
      </c>
      <c r="P74" s="53">
        <v>0.45</v>
      </c>
      <c r="Q74" s="74">
        <f t="shared" si="3"/>
        <v>0.55000000000000004</v>
      </c>
      <c r="R74" s="53">
        <v>15.1</v>
      </c>
      <c r="S74" s="53">
        <v>122</v>
      </c>
      <c r="T74" s="16">
        <f t="shared" si="4"/>
        <v>27</v>
      </c>
      <c r="U74" s="53">
        <v>105</v>
      </c>
      <c r="V74" s="16">
        <f t="shared" si="5"/>
        <v>2835</v>
      </c>
      <c r="W74" s="53">
        <v>2</v>
      </c>
      <c r="X74" s="53" t="s">
        <v>46</v>
      </c>
      <c r="Y74" s="53" t="s">
        <v>69</v>
      </c>
      <c r="Z74" s="53" t="s">
        <v>86</v>
      </c>
      <c r="AA74" s="53" t="s">
        <v>64</v>
      </c>
      <c r="AB74" s="53" t="s">
        <v>158</v>
      </c>
    </row>
    <row r="75" spans="1:34" x14ac:dyDescent="0.15">
      <c r="A75" s="53" t="s">
        <v>41</v>
      </c>
      <c r="B75" s="53" t="s">
        <v>157</v>
      </c>
      <c r="C75" s="62">
        <v>2019</v>
      </c>
      <c r="D75" s="63" t="s">
        <v>184</v>
      </c>
      <c r="E75" s="53" t="s">
        <v>194</v>
      </c>
      <c r="F75" s="53" t="s">
        <v>196</v>
      </c>
      <c r="G75" s="53" t="s">
        <v>42</v>
      </c>
      <c r="H75" s="53" t="s">
        <v>164</v>
      </c>
      <c r="I75" s="53" t="s">
        <v>159</v>
      </c>
      <c r="J75" s="53" t="s">
        <v>38</v>
      </c>
      <c r="K75" s="53" t="s">
        <v>161</v>
      </c>
      <c r="L75" s="53">
        <v>2</v>
      </c>
      <c r="N75" s="53">
        <v>1</v>
      </c>
      <c r="O75" s="53">
        <v>0.3</v>
      </c>
      <c r="P75" s="53">
        <v>0.45</v>
      </c>
      <c r="Q75" s="74">
        <f t="shared" si="3"/>
        <v>0.375</v>
      </c>
      <c r="R75" s="53">
        <v>14.2</v>
      </c>
      <c r="S75" s="53">
        <v>120</v>
      </c>
      <c r="T75" s="16">
        <f t="shared" si="4"/>
        <v>30</v>
      </c>
      <c r="U75" s="53">
        <v>105</v>
      </c>
      <c r="V75" s="16">
        <f t="shared" si="5"/>
        <v>3150</v>
      </c>
      <c r="W75" s="53">
        <v>2</v>
      </c>
      <c r="X75" s="53" t="s">
        <v>46</v>
      </c>
      <c r="Y75" s="53" t="s">
        <v>69</v>
      </c>
      <c r="Z75" s="53" t="s">
        <v>86</v>
      </c>
      <c r="AA75" s="53" t="s">
        <v>64</v>
      </c>
      <c r="AB75" s="53" t="s">
        <v>158</v>
      </c>
    </row>
    <row r="76" spans="1:34" x14ac:dyDescent="0.15">
      <c r="A76" s="53" t="s">
        <v>41</v>
      </c>
      <c r="B76" s="53" t="s">
        <v>157</v>
      </c>
      <c r="C76" s="62">
        <v>2019</v>
      </c>
      <c r="D76" s="63" t="s">
        <v>184</v>
      </c>
      <c r="E76" s="53" t="s">
        <v>194</v>
      </c>
      <c r="F76" s="53" t="s">
        <v>196</v>
      </c>
      <c r="G76" s="53" t="s">
        <v>42</v>
      </c>
      <c r="H76" s="53" t="s">
        <v>164</v>
      </c>
      <c r="I76" s="53" t="s">
        <v>159</v>
      </c>
      <c r="J76" s="53" t="s">
        <v>38</v>
      </c>
      <c r="K76" s="53" t="s">
        <v>161</v>
      </c>
      <c r="L76" s="53">
        <v>3</v>
      </c>
      <c r="N76" s="53">
        <v>1</v>
      </c>
      <c r="O76" s="53">
        <v>0.25</v>
      </c>
      <c r="P76" s="53">
        <v>0.3</v>
      </c>
      <c r="Q76" s="74">
        <f t="shared" si="3"/>
        <v>0.27500000000000002</v>
      </c>
      <c r="R76" s="53">
        <v>14.3</v>
      </c>
      <c r="S76" s="53">
        <v>124</v>
      </c>
      <c r="T76" s="16">
        <f t="shared" si="4"/>
        <v>27</v>
      </c>
      <c r="U76" s="53">
        <v>105</v>
      </c>
      <c r="V76" s="16">
        <f t="shared" si="5"/>
        <v>2835</v>
      </c>
      <c r="W76" s="53">
        <v>2</v>
      </c>
      <c r="X76" s="53" t="s">
        <v>46</v>
      </c>
      <c r="Y76" s="53" t="s">
        <v>69</v>
      </c>
      <c r="Z76" s="53" t="s">
        <v>86</v>
      </c>
      <c r="AA76" s="53" t="s">
        <v>64</v>
      </c>
      <c r="AB76" s="53" t="s">
        <v>158</v>
      </c>
    </row>
    <row r="77" spans="1:34" x14ac:dyDescent="0.15">
      <c r="A77" s="53" t="s">
        <v>41</v>
      </c>
      <c r="B77" s="53" t="s">
        <v>157</v>
      </c>
      <c r="C77" s="62">
        <v>2019</v>
      </c>
      <c r="D77" s="63" t="s">
        <v>184</v>
      </c>
      <c r="E77" s="53" t="s">
        <v>194</v>
      </c>
      <c r="F77" s="53" t="s">
        <v>196</v>
      </c>
      <c r="G77" s="53" t="s">
        <v>42</v>
      </c>
      <c r="H77" s="53" t="s">
        <v>164</v>
      </c>
      <c r="I77" s="53" t="s">
        <v>159</v>
      </c>
      <c r="J77" s="53" t="s">
        <v>38</v>
      </c>
      <c r="K77" s="53" t="s">
        <v>161</v>
      </c>
      <c r="L77" s="53">
        <v>1</v>
      </c>
      <c r="N77" s="53">
        <v>6</v>
      </c>
      <c r="O77" s="53">
        <v>0.25</v>
      </c>
      <c r="P77" s="53">
        <v>0.3</v>
      </c>
      <c r="Q77" s="74">
        <f t="shared" si="3"/>
        <v>0.27500000000000002</v>
      </c>
      <c r="R77" s="53">
        <v>15</v>
      </c>
      <c r="S77" s="53">
        <v>112</v>
      </c>
      <c r="T77" s="16">
        <f t="shared" si="4"/>
        <v>33</v>
      </c>
      <c r="U77" s="53">
        <v>429</v>
      </c>
      <c r="V77" s="16">
        <f t="shared" si="5"/>
        <v>2359.5</v>
      </c>
      <c r="W77" s="53">
        <v>1</v>
      </c>
      <c r="X77" s="53" t="s">
        <v>46</v>
      </c>
      <c r="Y77" s="53" t="s">
        <v>69</v>
      </c>
      <c r="Z77" s="53" t="s">
        <v>86</v>
      </c>
      <c r="AA77" s="53" t="s">
        <v>64</v>
      </c>
      <c r="AB77" s="53" t="s">
        <v>158</v>
      </c>
    </row>
    <row r="78" spans="1:34" x14ac:dyDescent="0.15">
      <c r="A78" s="53" t="s">
        <v>41</v>
      </c>
      <c r="B78" s="53" t="s">
        <v>157</v>
      </c>
      <c r="C78" s="62">
        <v>2019</v>
      </c>
      <c r="D78" s="63" t="s">
        <v>184</v>
      </c>
      <c r="E78" s="53" t="s">
        <v>194</v>
      </c>
      <c r="F78" s="53" t="s">
        <v>196</v>
      </c>
      <c r="G78" s="53" t="s">
        <v>42</v>
      </c>
      <c r="H78" s="53" t="s">
        <v>164</v>
      </c>
      <c r="I78" s="53" t="s">
        <v>159</v>
      </c>
      <c r="J78" s="53" t="s">
        <v>38</v>
      </c>
      <c r="K78" s="53" t="s">
        <v>161</v>
      </c>
      <c r="L78" s="53">
        <v>2</v>
      </c>
      <c r="N78" s="53">
        <v>6</v>
      </c>
      <c r="O78" s="53">
        <v>0.25</v>
      </c>
      <c r="P78" s="53">
        <v>0.45</v>
      </c>
      <c r="Q78" s="74">
        <f t="shared" si="3"/>
        <v>0.35</v>
      </c>
      <c r="R78" s="53">
        <v>12.8</v>
      </c>
      <c r="S78" s="53">
        <v>112</v>
      </c>
      <c r="T78" s="16">
        <f t="shared" si="4"/>
        <v>33</v>
      </c>
      <c r="U78" s="53">
        <v>429</v>
      </c>
      <c r="V78" s="16">
        <f t="shared" si="5"/>
        <v>2359.5</v>
      </c>
      <c r="W78" s="53">
        <v>1</v>
      </c>
      <c r="X78" s="53" t="s">
        <v>46</v>
      </c>
      <c r="Y78" s="53" t="s">
        <v>69</v>
      </c>
      <c r="Z78" s="53" t="s">
        <v>86</v>
      </c>
      <c r="AA78" s="53" t="s">
        <v>64</v>
      </c>
      <c r="AB78" s="53" t="s">
        <v>158</v>
      </c>
    </row>
    <row r="79" spans="1:34" x14ac:dyDescent="0.15">
      <c r="A79" s="53" t="s">
        <v>41</v>
      </c>
      <c r="B79" s="53" t="s">
        <v>157</v>
      </c>
      <c r="C79" s="62">
        <v>2019</v>
      </c>
      <c r="D79" s="63" t="s">
        <v>184</v>
      </c>
      <c r="E79" s="53" t="s">
        <v>194</v>
      </c>
      <c r="F79" s="53" t="s">
        <v>196</v>
      </c>
      <c r="G79" s="53" t="s">
        <v>42</v>
      </c>
      <c r="H79" s="53" t="s">
        <v>164</v>
      </c>
      <c r="I79" s="53" t="s">
        <v>159</v>
      </c>
      <c r="J79" s="53" t="s">
        <v>38</v>
      </c>
      <c r="K79" s="53" t="s">
        <v>161</v>
      </c>
      <c r="L79" s="53">
        <v>3</v>
      </c>
      <c r="N79" s="53">
        <v>6</v>
      </c>
      <c r="O79" s="53">
        <v>0.35</v>
      </c>
      <c r="P79" s="53">
        <v>0.5</v>
      </c>
      <c r="Q79" s="74">
        <f t="shared" si="3"/>
        <v>0.42499999999999999</v>
      </c>
      <c r="R79" s="53">
        <v>16.399999999999999</v>
      </c>
      <c r="S79" s="53">
        <v>113</v>
      </c>
      <c r="T79" s="16">
        <f t="shared" si="4"/>
        <v>30</v>
      </c>
      <c r="U79" s="53">
        <v>429</v>
      </c>
      <c r="V79" s="16">
        <f t="shared" si="5"/>
        <v>2145</v>
      </c>
      <c r="W79" s="53">
        <v>1</v>
      </c>
      <c r="X79" s="53" t="s">
        <v>46</v>
      </c>
      <c r="Y79" s="53" t="s">
        <v>69</v>
      </c>
      <c r="Z79" s="53" t="s">
        <v>86</v>
      </c>
      <c r="AA79" s="53" t="s">
        <v>64</v>
      </c>
      <c r="AB79" s="53" t="s">
        <v>158</v>
      </c>
    </row>
    <row r="80" spans="1:34" x14ac:dyDescent="0.15">
      <c r="A80" s="53" t="s">
        <v>41</v>
      </c>
      <c r="B80" s="53" t="s">
        <v>157</v>
      </c>
      <c r="C80" s="62">
        <v>2019</v>
      </c>
      <c r="D80" s="63" t="s">
        <v>184</v>
      </c>
      <c r="E80" s="53" t="s">
        <v>194</v>
      </c>
      <c r="F80" s="53" t="s">
        <v>196</v>
      </c>
      <c r="G80" s="53" t="s">
        <v>42</v>
      </c>
      <c r="H80" s="53" t="s">
        <v>164</v>
      </c>
      <c r="I80" s="53" t="s">
        <v>159</v>
      </c>
      <c r="J80" s="53" t="s">
        <v>38</v>
      </c>
      <c r="K80" s="53" t="s">
        <v>161</v>
      </c>
      <c r="L80" s="53">
        <v>1</v>
      </c>
      <c r="N80" s="53">
        <v>8</v>
      </c>
      <c r="O80" s="53">
        <v>0.45</v>
      </c>
      <c r="P80" s="53">
        <v>0.55000000000000004</v>
      </c>
      <c r="Q80" s="74">
        <f t="shared" si="3"/>
        <v>0.5</v>
      </c>
      <c r="R80" s="53">
        <v>15.4</v>
      </c>
      <c r="S80" s="53">
        <v>115</v>
      </c>
      <c r="T80" s="16">
        <f t="shared" si="4"/>
        <v>30</v>
      </c>
      <c r="U80" s="53">
        <v>540</v>
      </c>
      <c r="V80" s="16">
        <f t="shared" si="5"/>
        <v>2025</v>
      </c>
      <c r="W80" s="53">
        <v>1</v>
      </c>
      <c r="X80" s="53" t="s">
        <v>46</v>
      </c>
      <c r="Y80" s="53" t="s">
        <v>69</v>
      </c>
      <c r="Z80" s="53" t="s">
        <v>86</v>
      </c>
      <c r="AA80" s="53" t="s">
        <v>64</v>
      </c>
      <c r="AB80" s="53" t="s">
        <v>158</v>
      </c>
      <c r="AC80" s="76"/>
      <c r="AD80" s="76"/>
      <c r="AE80" s="76"/>
      <c r="AF80" s="76"/>
      <c r="AG80" s="76"/>
      <c r="AH80" s="76"/>
    </row>
    <row r="81" spans="1:34" x14ac:dyDescent="0.15">
      <c r="A81" s="53" t="s">
        <v>41</v>
      </c>
      <c r="B81" s="53" t="s">
        <v>157</v>
      </c>
      <c r="C81" s="62">
        <v>2019</v>
      </c>
      <c r="D81" s="63" t="s">
        <v>184</v>
      </c>
      <c r="E81" s="53" t="s">
        <v>194</v>
      </c>
      <c r="F81" s="53" t="s">
        <v>196</v>
      </c>
      <c r="G81" s="53" t="s">
        <v>42</v>
      </c>
      <c r="H81" s="53" t="s">
        <v>164</v>
      </c>
      <c r="I81" s="53" t="s">
        <v>159</v>
      </c>
      <c r="J81" s="53" t="s">
        <v>38</v>
      </c>
      <c r="K81" s="53" t="s">
        <v>161</v>
      </c>
      <c r="L81" s="53">
        <v>2</v>
      </c>
      <c r="N81" s="53">
        <v>8</v>
      </c>
      <c r="O81" s="53">
        <v>0.5</v>
      </c>
      <c r="P81" s="53">
        <v>0.45</v>
      </c>
      <c r="Q81" s="74">
        <f t="shared" si="3"/>
        <v>0.47499999999999998</v>
      </c>
      <c r="R81" s="53">
        <v>15.1</v>
      </c>
      <c r="S81" s="53">
        <v>120</v>
      </c>
      <c r="T81" s="16">
        <f t="shared" si="4"/>
        <v>30</v>
      </c>
      <c r="U81" s="53">
        <v>540</v>
      </c>
      <c r="V81" s="16">
        <f t="shared" si="5"/>
        <v>2025</v>
      </c>
      <c r="W81" s="53">
        <v>1</v>
      </c>
      <c r="X81" s="53" t="s">
        <v>46</v>
      </c>
      <c r="Y81" s="53" t="s">
        <v>69</v>
      </c>
      <c r="Z81" s="53" t="s">
        <v>86</v>
      </c>
      <c r="AA81" s="53" t="s">
        <v>64</v>
      </c>
      <c r="AB81" s="53" t="s">
        <v>158</v>
      </c>
      <c r="AC81" s="76"/>
      <c r="AD81" s="76"/>
      <c r="AE81" s="76"/>
      <c r="AF81" s="76"/>
      <c r="AG81" s="76"/>
      <c r="AH81" s="76"/>
    </row>
    <row r="82" spans="1:34" x14ac:dyDescent="0.15">
      <c r="A82" s="53" t="s">
        <v>41</v>
      </c>
      <c r="B82" s="53" t="s">
        <v>157</v>
      </c>
      <c r="C82" s="62">
        <v>2019</v>
      </c>
      <c r="D82" s="63" t="s">
        <v>184</v>
      </c>
      <c r="E82" s="53" t="s">
        <v>194</v>
      </c>
      <c r="F82" s="53" t="s">
        <v>196</v>
      </c>
      <c r="G82" s="53" t="s">
        <v>42</v>
      </c>
      <c r="H82" s="53" t="s">
        <v>164</v>
      </c>
      <c r="I82" s="53" t="s">
        <v>159</v>
      </c>
      <c r="J82" s="53" t="s">
        <v>38</v>
      </c>
      <c r="K82" s="53" t="s">
        <v>161</v>
      </c>
      <c r="L82" s="53">
        <v>3</v>
      </c>
      <c r="N82" s="53">
        <v>8</v>
      </c>
      <c r="O82" s="53">
        <v>0.55000000000000004</v>
      </c>
      <c r="P82" s="53">
        <v>0.45</v>
      </c>
      <c r="Q82" s="74">
        <f t="shared" si="3"/>
        <v>0.5</v>
      </c>
      <c r="R82" s="53">
        <v>13.7</v>
      </c>
      <c r="S82" s="53">
        <v>117</v>
      </c>
      <c r="T82" s="16">
        <f t="shared" si="4"/>
        <v>30</v>
      </c>
      <c r="U82" s="53">
        <v>540</v>
      </c>
      <c r="V82" s="16">
        <f t="shared" si="5"/>
        <v>2025</v>
      </c>
      <c r="W82" s="53">
        <v>1</v>
      </c>
      <c r="X82" s="53" t="s">
        <v>46</v>
      </c>
      <c r="Y82" s="53" t="s">
        <v>69</v>
      </c>
      <c r="Z82" s="53" t="s">
        <v>86</v>
      </c>
      <c r="AA82" s="53" t="s">
        <v>64</v>
      </c>
      <c r="AB82" s="53" t="s">
        <v>158</v>
      </c>
      <c r="AC82" s="76"/>
      <c r="AD82" s="76"/>
      <c r="AE82" s="76"/>
      <c r="AF82" s="76"/>
      <c r="AG82" s="76"/>
      <c r="AH82" s="76"/>
    </row>
    <row r="83" spans="1:34" x14ac:dyDescent="0.15">
      <c r="A83" s="53" t="s">
        <v>41</v>
      </c>
      <c r="B83" s="53" t="s">
        <v>157</v>
      </c>
      <c r="C83" s="62">
        <v>2019</v>
      </c>
      <c r="D83" s="63" t="s">
        <v>184</v>
      </c>
      <c r="E83" s="53" t="s">
        <v>194</v>
      </c>
      <c r="F83" s="53" t="s">
        <v>196</v>
      </c>
      <c r="G83" s="53" t="s">
        <v>42</v>
      </c>
      <c r="H83" s="53" t="s">
        <v>160</v>
      </c>
      <c r="I83" s="53" t="s">
        <v>159</v>
      </c>
      <c r="J83" s="53" t="s">
        <v>38</v>
      </c>
      <c r="K83" s="53" t="s">
        <v>161</v>
      </c>
      <c r="L83" s="53">
        <v>1</v>
      </c>
      <c r="N83" s="53">
        <v>1</v>
      </c>
      <c r="O83" s="53">
        <v>0.7</v>
      </c>
      <c r="P83" s="53">
        <v>0.65</v>
      </c>
      <c r="Q83" s="74">
        <f t="shared" si="3"/>
        <v>0.67500000000000004</v>
      </c>
      <c r="R83" s="53">
        <v>14.4</v>
      </c>
      <c r="S83" s="53">
        <v>122</v>
      </c>
      <c r="T83" s="16">
        <f t="shared" si="4"/>
        <v>27</v>
      </c>
      <c r="U83" s="53">
        <v>170</v>
      </c>
      <c r="V83" s="16">
        <f t="shared" si="5"/>
        <v>4590</v>
      </c>
      <c r="W83" s="53">
        <v>1</v>
      </c>
      <c r="X83" s="53" t="s">
        <v>46</v>
      </c>
      <c r="Y83" s="53" t="s">
        <v>69</v>
      </c>
      <c r="Z83" s="53" t="s">
        <v>86</v>
      </c>
      <c r="AA83" s="53" t="s">
        <v>64</v>
      </c>
      <c r="AB83" s="53" t="s">
        <v>158</v>
      </c>
      <c r="AC83" s="76"/>
      <c r="AD83" s="76"/>
      <c r="AE83" s="76"/>
      <c r="AF83" s="76"/>
      <c r="AG83" s="76"/>
      <c r="AH83" s="76"/>
    </row>
    <row r="84" spans="1:34" x14ac:dyDescent="0.15">
      <c r="A84" s="53" t="s">
        <v>41</v>
      </c>
      <c r="B84" s="53" t="s">
        <v>157</v>
      </c>
      <c r="C84" s="62">
        <v>2019</v>
      </c>
      <c r="D84" s="63" t="s">
        <v>184</v>
      </c>
      <c r="E84" s="53" t="s">
        <v>194</v>
      </c>
      <c r="F84" s="53" t="s">
        <v>196</v>
      </c>
      <c r="G84" s="53" t="s">
        <v>42</v>
      </c>
      <c r="H84" s="53" t="s">
        <v>160</v>
      </c>
      <c r="I84" s="53" t="s">
        <v>159</v>
      </c>
      <c r="J84" s="53" t="s">
        <v>38</v>
      </c>
      <c r="K84" s="53" t="s">
        <v>161</v>
      </c>
      <c r="L84" s="53">
        <v>2</v>
      </c>
      <c r="N84" s="53">
        <v>1</v>
      </c>
      <c r="O84" s="53">
        <v>0.45</v>
      </c>
      <c r="P84" s="53">
        <v>0.5</v>
      </c>
      <c r="Q84" s="74">
        <f t="shared" si="3"/>
        <v>0.47499999999999998</v>
      </c>
      <c r="R84" s="53">
        <v>14.8</v>
      </c>
      <c r="S84" s="53">
        <v>120</v>
      </c>
      <c r="T84" s="16">
        <f t="shared" si="4"/>
        <v>30</v>
      </c>
      <c r="U84" s="53">
        <v>170</v>
      </c>
      <c r="V84" s="16">
        <f t="shared" si="5"/>
        <v>5100</v>
      </c>
      <c r="W84" s="53">
        <v>1</v>
      </c>
      <c r="X84" s="53" t="s">
        <v>46</v>
      </c>
      <c r="Y84" s="53" t="s">
        <v>69</v>
      </c>
      <c r="Z84" s="53" t="s">
        <v>86</v>
      </c>
      <c r="AA84" s="53" t="s">
        <v>64</v>
      </c>
      <c r="AB84" s="53" t="s">
        <v>158</v>
      </c>
      <c r="AC84" s="76"/>
      <c r="AD84" s="76"/>
      <c r="AE84" s="76"/>
      <c r="AF84" s="76"/>
      <c r="AG84" s="76"/>
      <c r="AH84" s="76"/>
    </row>
    <row r="85" spans="1:34" x14ac:dyDescent="0.15">
      <c r="A85" s="53" t="s">
        <v>41</v>
      </c>
      <c r="B85" s="53" t="s">
        <v>157</v>
      </c>
      <c r="C85" s="62">
        <v>2019</v>
      </c>
      <c r="D85" s="63" t="s">
        <v>184</v>
      </c>
      <c r="E85" s="53" t="s">
        <v>194</v>
      </c>
      <c r="F85" s="53" t="s">
        <v>196</v>
      </c>
      <c r="G85" s="53" t="s">
        <v>42</v>
      </c>
      <c r="H85" s="53" t="s">
        <v>160</v>
      </c>
      <c r="I85" s="53" t="s">
        <v>159</v>
      </c>
      <c r="J85" s="53" t="s">
        <v>38</v>
      </c>
      <c r="K85" s="53" t="s">
        <v>161</v>
      </c>
      <c r="L85" s="53">
        <v>3</v>
      </c>
      <c r="N85" s="53">
        <v>1</v>
      </c>
      <c r="O85" s="53">
        <v>0.6</v>
      </c>
      <c r="P85" s="53">
        <v>0.45</v>
      </c>
      <c r="Q85" s="74">
        <f t="shared" si="3"/>
        <v>0.52500000000000002</v>
      </c>
      <c r="R85" s="53">
        <v>14.7</v>
      </c>
      <c r="S85" s="53">
        <v>118</v>
      </c>
      <c r="T85" s="16">
        <f t="shared" si="4"/>
        <v>30</v>
      </c>
      <c r="U85" s="53">
        <v>170</v>
      </c>
      <c r="V85" s="16">
        <f t="shared" si="5"/>
        <v>5100</v>
      </c>
      <c r="W85" s="53">
        <v>1</v>
      </c>
      <c r="X85" s="53" t="s">
        <v>46</v>
      </c>
      <c r="Y85" s="53" t="s">
        <v>69</v>
      </c>
      <c r="Z85" s="53" t="s">
        <v>86</v>
      </c>
      <c r="AA85" s="53" t="s">
        <v>64</v>
      </c>
      <c r="AB85" s="53" t="s">
        <v>158</v>
      </c>
      <c r="AC85" s="76"/>
      <c r="AD85" s="76"/>
      <c r="AE85" s="76"/>
      <c r="AF85" s="76"/>
      <c r="AG85" s="76"/>
      <c r="AH85" s="76"/>
    </row>
    <row r="86" spans="1:34" x14ac:dyDescent="0.15">
      <c r="A86" s="53" t="s">
        <v>41</v>
      </c>
      <c r="B86" s="53" t="s">
        <v>157</v>
      </c>
      <c r="C86" s="62">
        <v>2019</v>
      </c>
      <c r="D86" s="63" t="s">
        <v>184</v>
      </c>
      <c r="E86" s="53" t="s">
        <v>194</v>
      </c>
      <c r="F86" s="53" t="s">
        <v>196</v>
      </c>
      <c r="G86" s="53" t="s">
        <v>42</v>
      </c>
      <c r="H86" s="53" t="s">
        <v>160</v>
      </c>
      <c r="I86" s="53" t="s">
        <v>159</v>
      </c>
      <c r="J86" s="53" t="s">
        <v>38</v>
      </c>
      <c r="K86" s="53" t="s">
        <v>161</v>
      </c>
      <c r="L86" s="53">
        <v>1</v>
      </c>
      <c r="N86" s="53">
        <v>4</v>
      </c>
      <c r="O86" s="53">
        <v>0.5</v>
      </c>
      <c r="P86" s="53">
        <v>0.4</v>
      </c>
      <c r="Q86" s="74">
        <f t="shared" si="3"/>
        <v>0.45</v>
      </c>
      <c r="R86" s="53">
        <v>15.1</v>
      </c>
      <c r="S86" s="53">
        <v>120</v>
      </c>
      <c r="T86" s="16">
        <f t="shared" si="4"/>
        <v>30</v>
      </c>
      <c r="U86" s="53">
        <v>537</v>
      </c>
      <c r="V86" s="16">
        <f t="shared" si="5"/>
        <v>4027.5</v>
      </c>
      <c r="W86" s="53">
        <v>2</v>
      </c>
      <c r="X86" s="53" t="s">
        <v>46</v>
      </c>
      <c r="Y86" s="53" t="s">
        <v>69</v>
      </c>
      <c r="Z86" s="53" t="s">
        <v>86</v>
      </c>
      <c r="AA86" s="53" t="s">
        <v>64</v>
      </c>
      <c r="AB86" s="53" t="s">
        <v>158</v>
      </c>
      <c r="AC86" s="76"/>
      <c r="AD86" s="76"/>
      <c r="AE86" s="76"/>
      <c r="AF86" s="76"/>
      <c r="AG86" s="76"/>
      <c r="AH86" s="76"/>
    </row>
    <row r="87" spans="1:34" x14ac:dyDescent="0.15">
      <c r="A87" s="53" t="s">
        <v>41</v>
      </c>
      <c r="B87" s="53" t="s">
        <v>157</v>
      </c>
      <c r="C87" s="62">
        <v>2019</v>
      </c>
      <c r="D87" s="63" t="s">
        <v>184</v>
      </c>
      <c r="E87" s="53" t="s">
        <v>194</v>
      </c>
      <c r="F87" s="53" t="s">
        <v>196</v>
      </c>
      <c r="G87" s="53" t="s">
        <v>42</v>
      </c>
      <c r="H87" s="53" t="s">
        <v>160</v>
      </c>
      <c r="I87" s="53" t="s">
        <v>159</v>
      </c>
      <c r="J87" s="53" t="s">
        <v>38</v>
      </c>
      <c r="K87" s="53" t="s">
        <v>161</v>
      </c>
      <c r="L87" s="53">
        <v>2</v>
      </c>
      <c r="N87" s="53">
        <v>4</v>
      </c>
      <c r="O87" s="53">
        <v>0.35</v>
      </c>
      <c r="P87" s="53">
        <v>0.4</v>
      </c>
      <c r="Q87" s="74">
        <f t="shared" si="3"/>
        <v>0.375</v>
      </c>
      <c r="R87" s="53">
        <v>12.8</v>
      </c>
      <c r="S87" s="53">
        <v>115</v>
      </c>
      <c r="T87" s="16">
        <f t="shared" si="4"/>
        <v>30</v>
      </c>
      <c r="U87" s="53">
        <v>537</v>
      </c>
      <c r="V87" s="16">
        <f t="shared" si="5"/>
        <v>4027.5</v>
      </c>
      <c r="W87" s="53">
        <v>2</v>
      </c>
      <c r="X87" s="53" t="s">
        <v>46</v>
      </c>
      <c r="Y87" s="53" t="s">
        <v>69</v>
      </c>
      <c r="Z87" s="53" t="s">
        <v>86</v>
      </c>
      <c r="AA87" s="53" t="s">
        <v>64</v>
      </c>
      <c r="AB87" s="53" t="s">
        <v>158</v>
      </c>
      <c r="AC87" s="76"/>
      <c r="AD87" s="76"/>
      <c r="AE87" s="76"/>
      <c r="AF87" s="76"/>
      <c r="AG87" s="76"/>
      <c r="AH87" s="76"/>
    </row>
    <row r="88" spans="1:34" x14ac:dyDescent="0.15">
      <c r="A88" s="53" t="s">
        <v>41</v>
      </c>
      <c r="B88" s="53" t="s">
        <v>157</v>
      </c>
      <c r="C88" s="62">
        <v>2019</v>
      </c>
      <c r="D88" s="63" t="s">
        <v>184</v>
      </c>
      <c r="E88" s="53" t="s">
        <v>194</v>
      </c>
      <c r="F88" s="53" t="s">
        <v>196</v>
      </c>
      <c r="G88" s="53" t="s">
        <v>42</v>
      </c>
      <c r="H88" s="53" t="s">
        <v>160</v>
      </c>
      <c r="I88" s="53" t="s">
        <v>159</v>
      </c>
      <c r="J88" s="53" t="s">
        <v>38</v>
      </c>
      <c r="K88" s="53" t="s">
        <v>161</v>
      </c>
      <c r="L88" s="53">
        <v>3</v>
      </c>
      <c r="N88" s="53">
        <v>4</v>
      </c>
      <c r="O88" s="53">
        <v>0.25</v>
      </c>
      <c r="P88" s="53">
        <v>0.35</v>
      </c>
      <c r="Q88" s="74">
        <f t="shared" si="3"/>
        <v>0.3</v>
      </c>
      <c r="R88" s="53">
        <v>16.399999999999999</v>
      </c>
      <c r="S88" s="53">
        <v>121</v>
      </c>
      <c r="T88" s="16">
        <f t="shared" si="4"/>
        <v>27</v>
      </c>
      <c r="U88" s="53">
        <v>537</v>
      </c>
      <c r="V88" s="16">
        <f t="shared" si="5"/>
        <v>3624.75</v>
      </c>
      <c r="W88" s="53">
        <v>2</v>
      </c>
      <c r="X88" s="53" t="s">
        <v>46</v>
      </c>
      <c r="Y88" s="53" t="s">
        <v>69</v>
      </c>
      <c r="Z88" s="53" t="s">
        <v>86</v>
      </c>
      <c r="AA88" s="53" t="s">
        <v>64</v>
      </c>
      <c r="AB88" s="53" t="s">
        <v>158</v>
      </c>
      <c r="AC88" s="76"/>
      <c r="AD88" s="76"/>
      <c r="AE88" s="76"/>
      <c r="AF88" s="76"/>
      <c r="AG88" s="76"/>
      <c r="AH88" s="76"/>
    </row>
    <row r="89" spans="1:34" x14ac:dyDescent="0.15">
      <c r="A89" s="53" t="s">
        <v>41</v>
      </c>
      <c r="B89" s="53" t="s">
        <v>157</v>
      </c>
      <c r="C89" s="62">
        <v>2019</v>
      </c>
      <c r="D89" s="63" t="s">
        <v>184</v>
      </c>
      <c r="E89" s="53" t="s">
        <v>194</v>
      </c>
      <c r="F89" s="53" t="s">
        <v>196</v>
      </c>
      <c r="G89" s="53" t="s">
        <v>42</v>
      </c>
      <c r="H89" s="53" t="s">
        <v>160</v>
      </c>
      <c r="I89" s="53" t="s">
        <v>159</v>
      </c>
      <c r="J89" s="53" t="s">
        <v>38</v>
      </c>
      <c r="K89" s="53" t="s">
        <v>161</v>
      </c>
      <c r="L89" s="53">
        <v>1</v>
      </c>
      <c r="N89" s="53">
        <v>5</v>
      </c>
      <c r="O89" s="53">
        <v>0.6</v>
      </c>
      <c r="P89" s="53">
        <v>0.7</v>
      </c>
      <c r="Q89" s="74">
        <f t="shared" si="3"/>
        <v>0.64999999999999991</v>
      </c>
      <c r="R89" s="53">
        <v>15.2</v>
      </c>
      <c r="S89" s="53">
        <v>114</v>
      </c>
      <c r="T89" s="16">
        <f t="shared" si="4"/>
        <v>30</v>
      </c>
      <c r="U89" s="53">
        <v>540</v>
      </c>
      <c r="V89" s="16">
        <f t="shared" si="5"/>
        <v>3240</v>
      </c>
      <c r="W89" s="53">
        <v>2</v>
      </c>
      <c r="X89" s="53" t="s">
        <v>46</v>
      </c>
      <c r="Y89" s="53" t="s">
        <v>69</v>
      </c>
      <c r="Z89" s="53" t="s">
        <v>86</v>
      </c>
      <c r="AA89" s="53" t="s">
        <v>64</v>
      </c>
      <c r="AB89" s="53" t="s">
        <v>158</v>
      </c>
      <c r="AC89" s="76"/>
      <c r="AD89" s="76"/>
      <c r="AE89" s="76"/>
      <c r="AF89" s="76"/>
      <c r="AG89" s="76"/>
      <c r="AH89" s="76"/>
    </row>
    <row r="90" spans="1:34" x14ac:dyDescent="0.15">
      <c r="A90" s="53" t="s">
        <v>41</v>
      </c>
      <c r="B90" s="53" t="s">
        <v>157</v>
      </c>
      <c r="C90" s="62">
        <v>2019</v>
      </c>
      <c r="D90" s="63" t="s">
        <v>184</v>
      </c>
      <c r="E90" s="53" t="s">
        <v>194</v>
      </c>
      <c r="F90" s="53" t="s">
        <v>196</v>
      </c>
      <c r="G90" s="53" t="s">
        <v>42</v>
      </c>
      <c r="H90" s="53" t="s">
        <v>160</v>
      </c>
      <c r="I90" s="53" t="s">
        <v>159</v>
      </c>
      <c r="J90" s="53" t="s">
        <v>38</v>
      </c>
      <c r="K90" s="53" t="s">
        <v>161</v>
      </c>
      <c r="L90" s="53">
        <v>2</v>
      </c>
      <c r="N90" s="53">
        <v>5</v>
      </c>
      <c r="O90" s="53">
        <v>0.45</v>
      </c>
      <c r="P90" s="53">
        <v>0.5</v>
      </c>
      <c r="Q90" s="74">
        <f t="shared" si="3"/>
        <v>0.47499999999999998</v>
      </c>
      <c r="R90" s="53">
        <v>14.2</v>
      </c>
      <c r="S90" s="53">
        <v>118</v>
      </c>
      <c r="T90" s="16">
        <f t="shared" si="4"/>
        <v>30</v>
      </c>
      <c r="U90" s="53">
        <v>540</v>
      </c>
      <c r="V90" s="16">
        <f t="shared" si="5"/>
        <v>3240</v>
      </c>
      <c r="W90" s="53">
        <v>2</v>
      </c>
      <c r="X90" s="53" t="s">
        <v>46</v>
      </c>
      <c r="Y90" s="53" t="s">
        <v>69</v>
      </c>
      <c r="Z90" s="53" t="s">
        <v>86</v>
      </c>
      <c r="AA90" s="53" t="s">
        <v>64</v>
      </c>
      <c r="AB90" s="53" t="s">
        <v>158</v>
      </c>
      <c r="AC90" s="76"/>
      <c r="AD90" s="76"/>
      <c r="AE90" s="76"/>
      <c r="AF90" s="76"/>
      <c r="AG90" s="76"/>
      <c r="AH90" s="76"/>
    </row>
    <row r="91" spans="1:34" x14ac:dyDescent="0.15">
      <c r="A91" s="53" t="s">
        <v>41</v>
      </c>
      <c r="B91" s="53" t="s">
        <v>157</v>
      </c>
      <c r="C91" s="62">
        <v>2019</v>
      </c>
      <c r="D91" s="63" t="s">
        <v>184</v>
      </c>
      <c r="E91" s="53" t="s">
        <v>194</v>
      </c>
      <c r="F91" s="53" t="s">
        <v>196</v>
      </c>
      <c r="G91" s="53" t="s">
        <v>42</v>
      </c>
      <c r="H91" s="53" t="s">
        <v>160</v>
      </c>
      <c r="I91" s="53" t="s">
        <v>159</v>
      </c>
      <c r="J91" s="53" t="s">
        <v>38</v>
      </c>
      <c r="K91" s="53" t="s">
        <v>161</v>
      </c>
      <c r="L91" s="53">
        <v>3</v>
      </c>
      <c r="N91" s="53">
        <v>5</v>
      </c>
      <c r="O91" s="53">
        <v>0.8</v>
      </c>
      <c r="P91" s="53">
        <v>0.65</v>
      </c>
      <c r="Q91" s="74">
        <f t="shared" si="3"/>
        <v>0.72500000000000009</v>
      </c>
      <c r="R91" s="53">
        <v>12.8</v>
      </c>
      <c r="S91" s="53">
        <v>115</v>
      </c>
      <c r="T91" s="16">
        <f t="shared" si="4"/>
        <v>30</v>
      </c>
      <c r="U91" s="53">
        <v>540</v>
      </c>
      <c r="V91" s="16">
        <f t="shared" si="5"/>
        <v>3240</v>
      </c>
      <c r="W91" s="53">
        <v>2</v>
      </c>
      <c r="X91" s="53" t="s">
        <v>46</v>
      </c>
      <c r="Y91" s="53" t="s">
        <v>69</v>
      </c>
      <c r="Z91" s="53" t="s">
        <v>86</v>
      </c>
      <c r="AA91" s="53" t="s">
        <v>64</v>
      </c>
      <c r="AB91" s="53" t="s">
        <v>158</v>
      </c>
      <c r="AC91" s="76"/>
      <c r="AD91" s="76"/>
      <c r="AE91" s="76"/>
      <c r="AF91" s="76"/>
      <c r="AG91" s="76"/>
      <c r="AH91" s="76"/>
    </row>
    <row r="92" spans="1:34" x14ac:dyDescent="0.15">
      <c r="A92" s="53" t="s">
        <v>41</v>
      </c>
      <c r="B92" s="53" t="s">
        <v>157</v>
      </c>
      <c r="C92" s="62">
        <v>2019</v>
      </c>
      <c r="D92" s="63" t="s">
        <v>184</v>
      </c>
      <c r="E92" s="53" t="s">
        <v>198</v>
      </c>
      <c r="F92" s="53" t="s">
        <v>196</v>
      </c>
      <c r="G92" s="53" t="s">
        <v>42</v>
      </c>
      <c r="H92" s="53" t="s">
        <v>160</v>
      </c>
      <c r="I92" s="53" t="s">
        <v>159</v>
      </c>
      <c r="J92" s="53" t="s">
        <v>38</v>
      </c>
      <c r="K92" s="53" t="s">
        <v>161</v>
      </c>
      <c r="L92" s="53">
        <v>1</v>
      </c>
      <c r="N92" s="53">
        <v>6</v>
      </c>
      <c r="O92" s="53">
        <v>0.55000000000000004</v>
      </c>
      <c r="P92" s="53">
        <v>0.6</v>
      </c>
      <c r="Q92" s="16">
        <f t="shared" si="3"/>
        <v>0.57499999999999996</v>
      </c>
      <c r="R92" s="53">
        <v>13.8</v>
      </c>
      <c r="S92" s="53">
        <v>102</v>
      </c>
      <c r="T92" s="16">
        <f t="shared" si="4"/>
        <v>33</v>
      </c>
      <c r="U92" s="53">
        <v>537</v>
      </c>
      <c r="V92" s="16">
        <f t="shared" si="5"/>
        <v>2953.5</v>
      </c>
      <c r="W92" s="53">
        <v>3</v>
      </c>
      <c r="X92" s="53" t="s">
        <v>46</v>
      </c>
      <c r="Y92" s="53" t="s">
        <v>69</v>
      </c>
      <c r="Z92" s="53" t="s">
        <v>97</v>
      </c>
      <c r="AA92" s="53" t="s">
        <v>55</v>
      </c>
      <c r="AB92" s="53" t="s">
        <v>158</v>
      </c>
      <c r="AC92" s="76"/>
      <c r="AD92" s="76"/>
      <c r="AE92" s="76"/>
      <c r="AF92" s="76"/>
      <c r="AG92" s="76"/>
      <c r="AH92" s="76"/>
    </row>
    <row r="93" spans="1:34" x14ac:dyDescent="0.15">
      <c r="A93" s="53" t="s">
        <v>41</v>
      </c>
      <c r="B93" s="53" t="s">
        <v>157</v>
      </c>
      <c r="C93" s="62">
        <v>2019</v>
      </c>
      <c r="D93" s="63" t="s">
        <v>184</v>
      </c>
      <c r="E93" s="53" t="s">
        <v>198</v>
      </c>
      <c r="F93" s="53" t="s">
        <v>196</v>
      </c>
      <c r="G93" s="53" t="s">
        <v>42</v>
      </c>
      <c r="H93" s="53" t="s">
        <v>160</v>
      </c>
      <c r="I93" s="53" t="s">
        <v>159</v>
      </c>
      <c r="J93" s="53" t="s">
        <v>38</v>
      </c>
      <c r="K93" s="53" t="s">
        <v>161</v>
      </c>
      <c r="L93" s="53">
        <v>2</v>
      </c>
      <c r="N93" s="53">
        <v>6</v>
      </c>
      <c r="O93" s="53">
        <v>0.65</v>
      </c>
      <c r="P93" s="53">
        <v>0.45</v>
      </c>
      <c r="Q93" s="16">
        <f t="shared" si="3"/>
        <v>0.55000000000000004</v>
      </c>
      <c r="R93" s="53">
        <v>14.1</v>
      </c>
      <c r="S93" s="53">
        <v>104</v>
      </c>
      <c r="T93" s="16">
        <f t="shared" si="4"/>
        <v>33</v>
      </c>
      <c r="U93" s="53">
        <v>537</v>
      </c>
      <c r="V93" s="16">
        <f t="shared" si="5"/>
        <v>2953.5</v>
      </c>
      <c r="W93" s="53">
        <v>3</v>
      </c>
      <c r="X93" s="53" t="s">
        <v>46</v>
      </c>
      <c r="Y93" s="53" t="s">
        <v>69</v>
      </c>
      <c r="Z93" s="53" t="s">
        <v>97</v>
      </c>
      <c r="AA93" s="53" t="s">
        <v>55</v>
      </c>
      <c r="AB93" s="53" t="s">
        <v>158</v>
      </c>
      <c r="AC93" s="76"/>
      <c r="AD93" s="76"/>
      <c r="AE93" s="76"/>
      <c r="AF93" s="76"/>
      <c r="AG93" s="76"/>
      <c r="AH93" s="76"/>
    </row>
    <row r="94" spans="1:34" x14ac:dyDescent="0.15">
      <c r="A94" s="53" t="s">
        <v>41</v>
      </c>
      <c r="B94" s="53" t="s">
        <v>157</v>
      </c>
      <c r="C94" s="62">
        <v>2019</v>
      </c>
      <c r="D94" s="63" t="s">
        <v>184</v>
      </c>
      <c r="E94" s="53" t="s">
        <v>198</v>
      </c>
      <c r="F94" s="53" t="s">
        <v>196</v>
      </c>
      <c r="G94" s="53" t="s">
        <v>42</v>
      </c>
      <c r="H94" s="53" t="s">
        <v>160</v>
      </c>
      <c r="I94" s="53" t="s">
        <v>159</v>
      </c>
      <c r="J94" s="53" t="s">
        <v>38</v>
      </c>
      <c r="K94" s="53" t="s">
        <v>161</v>
      </c>
      <c r="L94" s="53">
        <v>3</v>
      </c>
      <c r="N94" s="53">
        <v>6</v>
      </c>
      <c r="O94" s="53">
        <v>0.5</v>
      </c>
      <c r="P94" s="53">
        <v>0.5</v>
      </c>
      <c r="Q94" s="16">
        <f t="shared" si="3"/>
        <v>0.5</v>
      </c>
      <c r="R94" s="53">
        <v>13.8</v>
      </c>
      <c r="S94" s="53">
        <v>111</v>
      </c>
      <c r="T94" s="38">
        <f t="shared" si="4"/>
        <v>33</v>
      </c>
      <c r="U94" s="53">
        <v>537</v>
      </c>
      <c r="V94" s="16">
        <f t="shared" si="5"/>
        <v>2953.5</v>
      </c>
      <c r="W94" s="53">
        <v>3</v>
      </c>
      <c r="X94" s="53" t="s">
        <v>46</v>
      </c>
      <c r="Y94" s="53" t="s">
        <v>69</v>
      </c>
      <c r="Z94" s="53" t="s">
        <v>97</v>
      </c>
      <c r="AA94" s="53" t="s">
        <v>55</v>
      </c>
      <c r="AB94" s="53" t="s">
        <v>158</v>
      </c>
      <c r="AC94" s="76"/>
      <c r="AD94" s="76"/>
      <c r="AE94" s="76"/>
      <c r="AF94" s="76"/>
      <c r="AG94" s="76"/>
      <c r="AH94" s="76"/>
    </row>
    <row r="95" spans="1:34" x14ac:dyDescent="0.15">
      <c r="A95" s="53" t="s">
        <v>41</v>
      </c>
      <c r="B95" s="53" t="s">
        <v>157</v>
      </c>
      <c r="C95" s="62">
        <v>2019</v>
      </c>
      <c r="D95" s="63" t="s">
        <v>184</v>
      </c>
      <c r="E95" s="53" t="s">
        <v>198</v>
      </c>
      <c r="F95" s="53" t="s">
        <v>196</v>
      </c>
      <c r="G95" s="53" t="s">
        <v>42</v>
      </c>
      <c r="H95" s="53" t="s">
        <v>160</v>
      </c>
      <c r="I95" s="53" t="s">
        <v>159</v>
      </c>
      <c r="J95" s="53" t="s">
        <v>38</v>
      </c>
      <c r="K95" s="53" t="s">
        <v>161</v>
      </c>
      <c r="L95" s="53">
        <v>1</v>
      </c>
      <c r="N95" s="53">
        <v>1</v>
      </c>
      <c r="O95" s="53">
        <v>0.3</v>
      </c>
      <c r="P95" s="53">
        <v>0.25</v>
      </c>
      <c r="Q95" s="16">
        <f t="shared" si="3"/>
        <v>0.27500000000000002</v>
      </c>
      <c r="R95" s="53">
        <v>16.8</v>
      </c>
      <c r="S95" s="53">
        <v>110</v>
      </c>
      <c r="T95" s="38">
        <f t="shared" si="4"/>
        <v>33</v>
      </c>
      <c r="U95" s="53">
        <v>104</v>
      </c>
      <c r="V95" s="16">
        <f t="shared" si="5"/>
        <v>3432</v>
      </c>
      <c r="W95" s="53">
        <v>5</v>
      </c>
      <c r="X95" s="53" t="s">
        <v>46</v>
      </c>
      <c r="Y95" s="53" t="s">
        <v>69</v>
      </c>
      <c r="Z95" s="53" t="s">
        <v>97</v>
      </c>
      <c r="AA95" s="53" t="s">
        <v>55</v>
      </c>
      <c r="AB95" s="53" t="s">
        <v>158</v>
      </c>
      <c r="AC95" s="76"/>
      <c r="AD95" s="76"/>
      <c r="AE95" s="76"/>
      <c r="AF95" s="76"/>
      <c r="AG95" s="76"/>
      <c r="AH95" s="76"/>
    </row>
    <row r="96" spans="1:34" x14ac:dyDescent="0.15">
      <c r="A96" s="53" t="s">
        <v>41</v>
      </c>
      <c r="B96" s="53" t="s">
        <v>157</v>
      </c>
      <c r="C96" s="62">
        <v>2019</v>
      </c>
      <c r="D96" s="63" t="s">
        <v>184</v>
      </c>
      <c r="E96" s="53" t="s">
        <v>198</v>
      </c>
      <c r="F96" s="53" t="s">
        <v>196</v>
      </c>
      <c r="G96" s="53" t="s">
        <v>42</v>
      </c>
      <c r="H96" s="53" t="s">
        <v>160</v>
      </c>
      <c r="I96" s="53" t="s">
        <v>159</v>
      </c>
      <c r="J96" s="53" t="s">
        <v>38</v>
      </c>
      <c r="K96" s="53" t="s">
        <v>161</v>
      </c>
      <c r="L96" s="53">
        <v>2</v>
      </c>
      <c r="N96" s="53">
        <v>1</v>
      </c>
      <c r="O96" s="53">
        <v>0.45</v>
      </c>
      <c r="P96" s="53">
        <v>0.3</v>
      </c>
      <c r="Q96" s="16">
        <f t="shared" si="3"/>
        <v>0.375</v>
      </c>
      <c r="R96" s="53">
        <v>15.8</v>
      </c>
      <c r="S96" s="53">
        <v>114</v>
      </c>
      <c r="T96" s="38">
        <f t="shared" si="4"/>
        <v>30</v>
      </c>
      <c r="U96" s="53">
        <v>104</v>
      </c>
      <c r="V96" s="16">
        <f t="shared" si="5"/>
        <v>3120</v>
      </c>
      <c r="W96" s="53">
        <v>5</v>
      </c>
      <c r="X96" s="53" t="s">
        <v>46</v>
      </c>
      <c r="Y96" s="53" t="s">
        <v>69</v>
      </c>
      <c r="Z96" s="53" t="s">
        <v>97</v>
      </c>
      <c r="AA96" s="53" t="s">
        <v>55</v>
      </c>
      <c r="AB96" s="53" t="s">
        <v>158</v>
      </c>
      <c r="AC96" s="76"/>
      <c r="AD96" s="76"/>
      <c r="AE96" s="76"/>
      <c r="AF96" s="76"/>
      <c r="AG96" s="76"/>
      <c r="AH96" s="76"/>
    </row>
    <row r="97" spans="1:34" x14ac:dyDescent="0.15">
      <c r="A97" s="53" t="s">
        <v>41</v>
      </c>
      <c r="B97" s="53" t="s">
        <v>157</v>
      </c>
      <c r="C97" s="62">
        <v>2019</v>
      </c>
      <c r="D97" s="63" t="s">
        <v>184</v>
      </c>
      <c r="E97" s="53" t="s">
        <v>198</v>
      </c>
      <c r="F97" s="53" t="s">
        <v>196</v>
      </c>
      <c r="G97" s="53" t="s">
        <v>42</v>
      </c>
      <c r="H97" s="53" t="s">
        <v>160</v>
      </c>
      <c r="I97" s="53" t="s">
        <v>159</v>
      </c>
      <c r="J97" s="53" t="s">
        <v>38</v>
      </c>
      <c r="K97" s="53" t="s">
        <v>161</v>
      </c>
      <c r="L97" s="53">
        <v>3</v>
      </c>
      <c r="N97" s="53">
        <v>1</v>
      </c>
      <c r="O97" s="53">
        <v>0.5</v>
      </c>
      <c r="P97" s="53">
        <v>0.35</v>
      </c>
      <c r="Q97" s="16">
        <f t="shared" si="3"/>
        <v>0.42499999999999999</v>
      </c>
      <c r="R97" s="53">
        <v>15.5</v>
      </c>
      <c r="S97" s="53">
        <v>108</v>
      </c>
      <c r="T97" s="38">
        <f t="shared" si="4"/>
        <v>33</v>
      </c>
      <c r="U97" s="53">
        <v>104</v>
      </c>
      <c r="V97" s="38">
        <f t="shared" si="5"/>
        <v>3432</v>
      </c>
      <c r="W97" s="53">
        <v>5</v>
      </c>
      <c r="X97" s="53" t="s">
        <v>46</v>
      </c>
      <c r="Y97" s="53" t="s">
        <v>69</v>
      </c>
      <c r="Z97" s="53" t="s">
        <v>97</v>
      </c>
      <c r="AA97" s="53" t="s">
        <v>55</v>
      </c>
      <c r="AB97" s="53" t="s">
        <v>158</v>
      </c>
      <c r="AC97" s="76"/>
      <c r="AD97" s="76"/>
      <c r="AE97" s="76"/>
      <c r="AF97" s="76"/>
      <c r="AG97" s="76"/>
      <c r="AH97" s="76"/>
    </row>
    <row r="98" spans="1:34" x14ac:dyDescent="0.15">
      <c r="A98" s="53" t="s">
        <v>41</v>
      </c>
      <c r="B98" s="53" t="s">
        <v>157</v>
      </c>
      <c r="C98" s="62">
        <v>2019</v>
      </c>
      <c r="D98" s="63" t="s">
        <v>184</v>
      </c>
      <c r="E98" s="53" t="s">
        <v>198</v>
      </c>
      <c r="F98" s="53" t="s">
        <v>196</v>
      </c>
      <c r="G98" s="53" t="s">
        <v>42</v>
      </c>
      <c r="H98" s="53" t="s">
        <v>164</v>
      </c>
      <c r="I98" s="53" t="s">
        <v>159</v>
      </c>
      <c r="J98" s="53" t="s">
        <v>38</v>
      </c>
      <c r="K98" s="53" t="s">
        <v>161</v>
      </c>
      <c r="L98" s="53">
        <v>1</v>
      </c>
      <c r="N98" s="53">
        <v>7</v>
      </c>
      <c r="O98" s="53">
        <v>1</v>
      </c>
      <c r="P98" s="53">
        <v>1.1499999999999999</v>
      </c>
      <c r="Q98" s="16">
        <f t="shared" si="3"/>
        <v>1.075</v>
      </c>
      <c r="R98" s="53">
        <v>11</v>
      </c>
      <c r="S98" s="53">
        <v>85</v>
      </c>
      <c r="T98" s="38">
        <f t="shared" si="4"/>
        <v>36</v>
      </c>
      <c r="U98" s="53">
        <v>428</v>
      </c>
      <c r="V98" s="38">
        <f t="shared" si="5"/>
        <v>2201.1428571428573</v>
      </c>
      <c r="W98" s="53">
        <v>2</v>
      </c>
      <c r="X98" s="53" t="s">
        <v>46</v>
      </c>
      <c r="Y98" s="53" t="s">
        <v>69</v>
      </c>
      <c r="Z98" s="53" t="s">
        <v>97</v>
      </c>
      <c r="AA98" s="53" t="s">
        <v>55</v>
      </c>
      <c r="AB98" s="53" t="s">
        <v>158</v>
      </c>
      <c r="AC98" s="76"/>
      <c r="AD98" s="76"/>
      <c r="AE98" s="76"/>
      <c r="AF98" s="76"/>
      <c r="AG98" s="76"/>
      <c r="AH98" s="76"/>
    </row>
    <row r="99" spans="1:34" x14ac:dyDescent="0.15">
      <c r="A99" s="53" t="s">
        <v>41</v>
      </c>
      <c r="B99" s="53" t="s">
        <v>157</v>
      </c>
      <c r="C99" s="62">
        <v>2019</v>
      </c>
      <c r="D99" s="63" t="s">
        <v>184</v>
      </c>
      <c r="E99" s="53" t="s">
        <v>198</v>
      </c>
      <c r="F99" s="53" t="s">
        <v>196</v>
      </c>
      <c r="G99" s="53" t="s">
        <v>42</v>
      </c>
      <c r="H99" s="53" t="s">
        <v>164</v>
      </c>
      <c r="I99" s="53" t="s">
        <v>159</v>
      </c>
      <c r="J99" s="53" t="s">
        <v>38</v>
      </c>
      <c r="K99" s="53" t="s">
        <v>161</v>
      </c>
      <c r="L99" s="53">
        <v>2</v>
      </c>
      <c r="N99" s="53">
        <v>7</v>
      </c>
      <c r="O99" s="53">
        <v>0.95</v>
      </c>
      <c r="P99" s="53">
        <v>0.9</v>
      </c>
      <c r="Q99" s="16">
        <f t="shared" si="3"/>
        <v>0.92500000000000004</v>
      </c>
      <c r="R99" s="53">
        <v>12.3</v>
      </c>
      <c r="S99" s="53">
        <v>78</v>
      </c>
      <c r="T99" s="38">
        <f t="shared" si="4"/>
        <v>39</v>
      </c>
      <c r="U99" s="53">
        <v>428</v>
      </c>
      <c r="V99" s="38">
        <f t="shared" si="5"/>
        <v>2384.5714285714289</v>
      </c>
      <c r="W99" s="53">
        <v>2</v>
      </c>
      <c r="X99" s="53" t="s">
        <v>46</v>
      </c>
      <c r="Y99" s="53" t="s">
        <v>69</v>
      </c>
      <c r="Z99" s="53" t="s">
        <v>97</v>
      </c>
      <c r="AA99" s="53" t="s">
        <v>55</v>
      </c>
      <c r="AB99" s="53" t="s">
        <v>158</v>
      </c>
      <c r="AC99" s="76"/>
      <c r="AD99" s="76"/>
      <c r="AE99" s="76"/>
      <c r="AF99" s="76"/>
      <c r="AG99" s="76"/>
      <c r="AH99" s="76"/>
    </row>
    <row r="100" spans="1:34" x14ac:dyDescent="0.15">
      <c r="A100" s="53" t="s">
        <v>41</v>
      </c>
      <c r="B100" s="53" t="s">
        <v>157</v>
      </c>
      <c r="C100" s="62">
        <v>2019</v>
      </c>
      <c r="D100" s="63" t="s">
        <v>184</v>
      </c>
      <c r="E100" s="53" t="s">
        <v>198</v>
      </c>
      <c r="F100" s="53" t="s">
        <v>196</v>
      </c>
      <c r="G100" s="53" t="s">
        <v>42</v>
      </c>
      <c r="H100" s="53" t="s">
        <v>164</v>
      </c>
      <c r="I100" s="53" t="s">
        <v>159</v>
      </c>
      <c r="J100" s="53" t="s">
        <v>38</v>
      </c>
      <c r="K100" s="53" t="s">
        <v>161</v>
      </c>
      <c r="L100" s="53">
        <v>3</v>
      </c>
      <c r="N100" s="53">
        <v>7</v>
      </c>
      <c r="O100" s="53">
        <v>1.2</v>
      </c>
      <c r="P100" s="53">
        <v>1.1499999999999999</v>
      </c>
      <c r="Q100" s="16">
        <f t="shared" si="3"/>
        <v>1.1749999999999998</v>
      </c>
      <c r="R100" s="53">
        <v>12</v>
      </c>
      <c r="S100" s="53">
        <v>80</v>
      </c>
      <c r="T100" s="38">
        <f t="shared" si="4"/>
        <v>39</v>
      </c>
      <c r="U100" s="53">
        <v>428</v>
      </c>
      <c r="V100" s="38">
        <f t="shared" si="5"/>
        <v>2384.5714285714289</v>
      </c>
      <c r="W100" s="53">
        <v>2</v>
      </c>
      <c r="X100" s="53" t="s">
        <v>46</v>
      </c>
      <c r="Y100" s="53" t="s">
        <v>69</v>
      </c>
      <c r="Z100" s="53" t="s">
        <v>97</v>
      </c>
      <c r="AA100" s="53" t="s">
        <v>55</v>
      </c>
      <c r="AB100" s="53" t="s">
        <v>158</v>
      </c>
      <c r="AC100" s="76"/>
      <c r="AD100" s="76"/>
      <c r="AE100" s="76"/>
      <c r="AF100" s="76"/>
      <c r="AG100" s="76"/>
      <c r="AH100" s="76"/>
    </row>
    <row r="101" spans="1:34" x14ac:dyDescent="0.15">
      <c r="A101" s="53" t="s">
        <v>41</v>
      </c>
      <c r="B101" s="53" t="s">
        <v>157</v>
      </c>
      <c r="C101" s="62">
        <v>2019</v>
      </c>
      <c r="D101" s="63" t="s">
        <v>184</v>
      </c>
      <c r="E101" s="53" t="s">
        <v>198</v>
      </c>
      <c r="F101" s="53" t="s">
        <v>196</v>
      </c>
      <c r="G101" s="53" t="s">
        <v>42</v>
      </c>
      <c r="H101" s="53" t="s">
        <v>164</v>
      </c>
      <c r="I101" s="53" t="s">
        <v>159</v>
      </c>
      <c r="J101" s="53" t="s">
        <v>38</v>
      </c>
      <c r="K101" s="53" t="s">
        <v>161</v>
      </c>
      <c r="L101" s="53">
        <v>1</v>
      </c>
      <c r="N101" s="53">
        <v>1</v>
      </c>
      <c r="O101" s="53">
        <v>0.65</v>
      </c>
      <c r="P101" s="53">
        <v>0.8</v>
      </c>
      <c r="Q101" s="74">
        <f t="shared" si="3"/>
        <v>0.72500000000000009</v>
      </c>
      <c r="R101" s="53">
        <v>13.8</v>
      </c>
      <c r="S101" s="53">
        <v>115</v>
      </c>
      <c r="T101" s="16">
        <f t="shared" si="4"/>
        <v>30</v>
      </c>
      <c r="U101" s="53">
        <v>104</v>
      </c>
      <c r="V101" s="16">
        <f t="shared" si="5"/>
        <v>3120</v>
      </c>
      <c r="W101" s="53">
        <v>2</v>
      </c>
      <c r="X101" s="53" t="s">
        <v>46</v>
      </c>
      <c r="Y101" s="53" t="s">
        <v>69</v>
      </c>
      <c r="Z101" s="53" t="s">
        <v>97</v>
      </c>
      <c r="AA101" s="53" t="s">
        <v>55</v>
      </c>
      <c r="AB101" s="53" t="s">
        <v>158</v>
      </c>
      <c r="AC101" s="76"/>
      <c r="AD101" s="76"/>
      <c r="AE101" s="76"/>
      <c r="AF101" s="76"/>
      <c r="AG101" s="76"/>
      <c r="AH101" s="76"/>
    </row>
    <row r="102" spans="1:34" x14ac:dyDescent="0.15">
      <c r="A102" s="53" t="s">
        <v>41</v>
      </c>
      <c r="B102" s="53" t="s">
        <v>157</v>
      </c>
      <c r="C102" s="62">
        <v>2019</v>
      </c>
      <c r="D102" s="63" t="s">
        <v>184</v>
      </c>
      <c r="E102" s="53" t="s">
        <v>198</v>
      </c>
      <c r="F102" s="53" t="s">
        <v>196</v>
      </c>
      <c r="G102" s="53" t="s">
        <v>42</v>
      </c>
      <c r="H102" s="53" t="s">
        <v>164</v>
      </c>
      <c r="I102" s="53" t="s">
        <v>159</v>
      </c>
      <c r="J102" s="53" t="s">
        <v>38</v>
      </c>
      <c r="K102" s="53" t="s">
        <v>161</v>
      </c>
      <c r="L102" s="53">
        <v>2</v>
      </c>
      <c r="N102" s="53">
        <v>1</v>
      </c>
      <c r="O102" s="53">
        <v>0.7</v>
      </c>
      <c r="P102" s="53">
        <v>0.65</v>
      </c>
      <c r="Q102" s="74">
        <f t="shared" si="3"/>
        <v>0.67500000000000004</v>
      </c>
      <c r="R102" s="53">
        <v>15.9</v>
      </c>
      <c r="S102" s="53">
        <v>114</v>
      </c>
      <c r="T102" s="16">
        <f t="shared" si="4"/>
        <v>30</v>
      </c>
      <c r="U102" s="53">
        <v>104</v>
      </c>
      <c r="V102" s="16">
        <f t="shared" si="5"/>
        <v>3120</v>
      </c>
      <c r="W102" s="53">
        <v>2</v>
      </c>
      <c r="X102" s="53" t="s">
        <v>46</v>
      </c>
      <c r="Y102" s="53" t="s">
        <v>69</v>
      </c>
      <c r="Z102" s="53" t="s">
        <v>97</v>
      </c>
      <c r="AA102" s="53" t="s">
        <v>55</v>
      </c>
      <c r="AB102" s="53" t="s">
        <v>158</v>
      </c>
      <c r="AC102" s="76"/>
      <c r="AD102" s="76"/>
      <c r="AE102" s="76"/>
      <c r="AF102" s="76"/>
      <c r="AG102" s="76"/>
      <c r="AH102" s="76"/>
    </row>
    <row r="103" spans="1:34" x14ac:dyDescent="0.15">
      <c r="A103" s="53" t="s">
        <v>41</v>
      </c>
      <c r="B103" s="53" t="s">
        <v>157</v>
      </c>
      <c r="C103" s="62">
        <v>2019</v>
      </c>
      <c r="D103" s="63" t="s">
        <v>184</v>
      </c>
      <c r="E103" s="53" t="s">
        <v>198</v>
      </c>
      <c r="F103" s="53" t="s">
        <v>196</v>
      </c>
      <c r="G103" s="53" t="s">
        <v>42</v>
      </c>
      <c r="H103" s="53" t="s">
        <v>164</v>
      </c>
      <c r="I103" s="53" t="s">
        <v>159</v>
      </c>
      <c r="J103" s="53" t="s">
        <v>38</v>
      </c>
      <c r="K103" s="53" t="s">
        <v>161</v>
      </c>
      <c r="L103" s="53">
        <v>3</v>
      </c>
      <c r="N103" s="53">
        <v>1</v>
      </c>
      <c r="O103" s="53">
        <v>0.45</v>
      </c>
      <c r="P103" s="53">
        <v>0.6</v>
      </c>
      <c r="Q103" s="74">
        <f t="shared" si="3"/>
        <v>0.52500000000000002</v>
      </c>
      <c r="R103" s="53">
        <v>14.7</v>
      </c>
      <c r="S103" s="53">
        <v>118</v>
      </c>
      <c r="T103" s="16">
        <f t="shared" si="4"/>
        <v>30</v>
      </c>
      <c r="U103" s="53">
        <v>104</v>
      </c>
      <c r="V103" s="16">
        <f t="shared" si="5"/>
        <v>3120</v>
      </c>
      <c r="W103" s="53">
        <v>2</v>
      </c>
      <c r="X103" s="53" t="s">
        <v>46</v>
      </c>
      <c r="Y103" s="53" t="s">
        <v>69</v>
      </c>
      <c r="Z103" s="53" t="s">
        <v>97</v>
      </c>
      <c r="AA103" s="53" t="s">
        <v>55</v>
      </c>
      <c r="AB103" s="53" t="s">
        <v>158</v>
      </c>
      <c r="AC103" s="76"/>
      <c r="AD103" s="76"/>
      <c r="AE103" s="76"/>
      <c r="AF103" s="76"/>
      <c r="AG103" s="76"/>
      <c r="AH103" s="76"/>
    </row>
    <row r="104" spans="1:34" x14ac:dyDescent="0.15">
      <c r="A104" s="53" t="s">
        <v>41</v>
      </c>
      <c r="B104" s="53" t="s">
        <v>157</v>
      </c>
      <c r="C104" s="62">
        <v>2019</v>
      </c>
      <c r="D104" s="63" t="s">
        <v>184</v>
      </c>
      <c r="E104" s="53" t="s">
        <v>201</v>
      </c>
      <c r="F104" s="53" t="s">
        <v>202</v>
      </c>
      <c r="G104" s="53" t="s">
        <v>42</v>
      </c>
      <c r="H104" s="53" t="s">
        <v>160</v>
      </c>
      <c r="I104" s="53" t="s">
        <v>159</v>
      </c>
      <c r="J104" s="53" t="s">
        <v>38</v>
      </c>
      <c r="K104" s="53" t="s">
        <v>161</v>
      </c>
      <c r="L104" s="53">
        <v>1</v>
      </c>
      <c r="N104" s="53">
        <v>1</v>
      </c>
      <c r="O104" s="53">
        <v>0.5</v>
      </c>
      <c r="P104" s="53">
        <v>0.45</v>
      </c>
      <c r="Q104" s="74">
        <f t="shared" si="3"/>
        <v>0.47499999999999998</v>
      </c>
      <c r="R104" s="53">
        <v>16.3</v>
      </c>
      <c r="S104" s="53">
        <v>125</v>
      </c>
      <c r="T104" s="16">
        <f t="shared" si="4"/>
        <v>27</v>
      </c>
      <c r="U104" s="53">
        <v>95</v>
      </c>
      <c r="V104" s="16">
        <f t="shared" si="5"/>
        <v>2565</v>
      </c>
      <c r="W104" s="53">
        <v>4</v>
      </c>
      <c r="X104" s="53" t="s">
        <v>46</v>
      </c>
      <c r="Y104" s="53" t="s">
        <v>55</v>
      </c>
      <c r="Z104" s="53" t="s">
        <v>69</v>
      </c>
      <c r="AA104" s="53" t="s">
        <v>97</v>
      </c>
      <c r="AB104" s="53" t="s">
        <v>158</v>
      </c>
      <c r="AC104" s="76"/>
      <c r="AD104" s="76"/>
      <c r="AE104" s="76"/>
      <c r="AF104" s="76"/>
      <c r="AG104" s="76"/>
      <c r="AH104" s="76"/>
    </row>
    <row r="105" spans="1:34" x14ac:dyDescent="0.15">
      <c r="A105" s="53" t="s">
        <v>41</v>
      </c>
      <c r="B105" s="53" t="s">
        <v>157</v>
      </c>
      <c r="C105" s="62">
        <v>2019</v>
      </c>
      <c r="D105" s="63" t="s">
        <v>184</v>
      </c>
      <c r="E105" s="53" t="s">
        <v>201</v>
      </c>
      <c r="F105" s="53" t="s">
        <v>202</v>
      </c>
      <c r="G105" s="53" t="s">
        <v>42</v>
      </c>
      <c r="H105" s="53" t="s">
        <v>160</v>
      </c>
      <c r="I105" s="53" t="s">
        <v>159</v>
      </c>
      <c r="J105" s="53" t="s">
        <v>38</v>
      </c>
      <c r="K105" s="53" t="s">
        <v>161</v>
      </c>
      <c r="L105" s="53">
        <v>2</v>
      </c>
      <c r="N105" s="53">
        <v>1</v>
      </c>
      <c r="O105" s="53">
        <v>0.55000000000000004</v>
      </c>
      <c r="P105" s="53">
        <v>0.6</v>
      </c>
      <c r="Q105" s="74">
        <f t="shared" si="3"/>
        <v>0.57499999999999996</v>
      </c>
      <c r="R105" s="53">
        <v>16.8</v>
      </c>
      <c r="S105" s="53">
        <v>128</v>
      </c>
      <c r="T105" s="16">
        <f t="shared" si="4"/>
        <v>27</v>
      </c>
      <c r="U105" s="53">
        <v>95</v>
      </c>
      <c r="V105" s="16">
        <f t="shared" si="5"/>
        <v>2565</v>
      </c>
      <c r="W105" s="53">
        <v>4</v>
      </c>
      <c r="X105" s="53" t="s">
        <v>46</v>
      </c>
      <c r="Y105" s="53" t="s">
        <v>55</v>
      </c>
      <c r="Z105" s="53" t="s">
        <v>69</v>
      </c>
      <c r="AA105" s="53" t="s">
        <v>97</v>
      </c>
      <c r="AB105" s="53" t="s">
        <v>158</v>
      </c>
      <c r="AC105" s="76"/>
      <c r="AD105" s="76"/>
      <c r="AE105" s="76"/>
      <c r="AF105" s="76"/>
      <c r="AG105" s="76"/>
      <c r="AH105" s="76"/>
    </row>
    <row r="106" spans="1:34" x14ac:dyDescent="0.15">
      <c r="A106" s="53" t="s">
        <v>41</v>
      </c>
      <c r="B106" s="53" t="s">
        <v>157</v>
      </c>
      <c r="C106" s="62">
        <v>2019</v>
      </c>
      <c r="D106" s="63" t="s">
        <v>184</v>
      </c>
      <c r="E106" s="53" t="s">
        <v>201</v>
      </c>
      <c r="F106" s="53" t="s">
        <v>202</v>
      </c>
      <c r="G106" s="53" t="s">
        <v>42</v>
      </c>
      <c r="H106" s="53" t="s">
        <v>160</v>
      </c>
      <c r="I106" s="53" t="s">
        <v>159</v>
      </c>
      <c r="J106" s="53" t="s">
        <v>38</v>
      </c>
      <c r="K106" s="53" t="s">
        <v>161</v>
      </c>
      <c r="L106" s="53">
        <v>3</v>
      </c>
      <c r="N106" s="53">
        <v>1</v>
      </c>
      <c r="O106" s="53">
        <v>0.75</v>
      </c>
      <c r="P106" s="53">
        <v>0.55000000000000004</v>
      </c>
      <c r="Q106" s="74">
        <f t="shared" si="3"/>
        <v>0.65</v>
      </c>
      <c r="R106" s="53">
        <v>17.399999999999999</v>
      </c>
      <c r="S106" s="53">
        <v>126</v>
      </c>
      <c r="T106" s="16">
        <f t="shared" si="4"/>
        <v>27</v>
      </c>
      <c r="U106" s="53">
        <v>95</v>
      </c>
      <c r="V106" s="16">
        <f t="shared" si="5"/>
        <v>2565</v>
      </c>
      <c r="W106" s="53">
        <v>4</v>
      </c>
      <c r="X106" s="53" t="s">
        <v>46</v>
      </c>
      <c r="Y106" s="53" t="s">
        <v>55</v>
      </c>
      <c r="Z106" s="53" t="s">
        <v>69</v>
      </c>
      <c r="AA106" s="53" t="s">
        <v>97</v>
      </c>
      <c r="AB106" s="53" t="s">
        <v>158</v>
      </c>
      <c r="AC106" s="76"/>
      <c r="AD106" s="76"/>
      <c r="AE106" s="76"/>
      <c r="AF106" s="76"/>
      <c r="AG106" s="76"/>
      <c r="AH106" s="76"/>
    </row>
    <row r="107" spans="1:34" x14ac:dyDescent="0.15">
      <c r="A107" s="53" t="s">
        <v>41</v>
      </c>
      <c r="B107" s="53" t="s">
        <v>157</v>
      </c>
      <c r="C107" s="62">
        <v>2019</v>
      </c>
      <c r="D107" s="63" t="s">
        <v>184</v>
      </c>
      <c r="E107" s="53" t="s">
        <v>201</v>
      </c>
      <c r="F107" s="53" t="s">
        <v>202</v>
      </c>
      <c r="G107" s="53" t="s">
        <v>42</v>
      </c>
      <c r="H107" s="53" t="s">
        <v>160</v>
      </c>
      <c r="I107" s="53" t="s">
        <v>159</v>
      </c>
      <c r="J107" s="53" t="s">
        <v>38</v>
      </c>
      <c r="K107" s="53" t="s">
        <v>161</v>
      </c>
      <c r="L107" s="53">
        <v>1</v>
      </c>
      <c r="N107" s="53">
        <v>4</v>
      </c>
      <c r="O107" s="53">
        <v>0.85</v>
      </c>
      <c r="P107" s="53">
        <v>0.65</v>
      </c>
      <c r="Q107" s="74">
        <f t="shared" si="3"/>
        <v>0.75</v>
      </c>
      <c r="R107" s="53">
        <v>15.1</v>
      </c>
      <c r="S107" s="53">
        <v>122</v>
      </c>
      <c r="T107" s="16">
        <f t="shared" si="4"/>
        <v>27</v>
      </c>
      <c r="U107" s="53">
        <v>410</v>
      </c>
      <c r="V107" s="16">
        <f t="shared" si="5"/>
        <v>2767.5</v>
      </c>
      <c r="W107" s="53">
        <v>2</v>
      </c>
      <c r="X107" s="53" t="s">
        <v>46</v>
      </c>
      <c r="Y107" s="53" t="s">
        <v>55</v>
      </c>
      <c r="Z107" s="53" t="s">
        <v>69</v>
      </c>
      <c r="AA107" s="53" t="s">
        <v>97</v>
      </c>
      <c r="AB107" s="53" t="s">
        <v>158</v>
      </c>
      <c r="AC107" s="76"/>
      <c r="AD107" s="76"/>
      <c r="AE107" s="76"/>
      <c r="AF107" s="76"/>
      <c r="AG107" s="76"/>
      <c r="AH107" s="76"/>
    </row>
    <row r="108" spans="1:34" x14ac:dyDescent="0.15">
      <c r="A108" s="53" t="s">
        <v>41</v>
      </c>
      <c r="B108" s="53" t="s">
        <v>157</v>
      </c>
      <c r="C108" s="62">
        <v>2019</v>
      </c>
      <c r="D108" s="63" t="s">
        <v>184</v>
      </c>
      <c r="E108" s="53" t="s">
        <v>201</v>
      </c>
      <c r="F108" s="53" t="s">
        <v>202</v>
      </c>
      <c r="G108" s="53" t="s">
        <v>42</v>
      </c>
      <c r="H108" s="53" t="s">
        <v>160</v>
      </c>
      <c r="I108" s="53" t="s">
        <v>159</v>
      </c>
      <c r="J108" s="53" t="s">
        <v>38</v>
      </c>
      <c r="K108" s="53" t="s">
        <v>161</v>
      </c>
      <c r="L108" s="53">
        <v>2</v>
      </c>
      <c r="N108" s="53">
        <v>4</v>
      </c>
      <c r="O108" s="53">
        <v>0.4</v>
      </c>
      <c r="P108" s="53">
        <v>0.55000000000000004</v>
      </c>
      <c r="Q108" s="74">
        <f t="shared" si="3"/>
        <v>0.47500000000000003</v>
      </c>
      <c r="R108" s="53">
        <v>15</v>
      </c>
      <c r="S108" s="53">
        <v>124</v>
      </c>
      <c r="T108" s="16">
        <f t="shared" si="4"/>
        <v>27</v>
      </c>
      <c r="U108" s="53">
        <v>410</v>
      </c>
      <c r="V108" s="16">
        <f t="shared" si="5"/>
        <v>2767.5</v>
      </c>
      <c r="W108" s="53">
        <v>2</v>
      </c>
      <c r="X108" s="53" t="s">
        <v>46</v>
      </c>
      <c r="Y108" s="53" t="s">
        <v>55</v>
      </c>
      <c r="Z108" s="53" t="s">
        <v>69</v>
      </c>
      <c r="AA108" s="53" t="s">
        <v>97</v>
      </c>
      <c r="AB108" s="53" t="s">
        <v>158</v>
      </c>
      <c r="AC108" s="76"/>
      <c r="AD108" s="76"/>
      <c r="AE108" s="76"/>
      <c r="AF108" s="76"/>
      <c r="AG108" s="76"/>
      <c r="AH108" s="76"/>
    </row>
    <row r="109" spans="1:34" x14ac:dyDescent="0.15">
      <c r="A109" s="53" t="s">
        <v>41</v>
      </c>
      <c r="B109" s="53" t="s">
        <v>157</v>
      </c>
      <c r="C109" s="62">
        <v>2019</v>
      </c>
      <c r="D109" s="63" t="s">
        <v>184</v>
      </c>
      <c r="E109" s="53" t="s">
        <v>201</v>
      </c>
      <c r="F109" s="53" t="s">
        <v>202</v>
      </c>
      <c r="G109" s="53" t="s">
        <v>42</v>
      </c>
      <c r="H109" s="53" t="s">
        <v>160</v>
      </c>
      <c r="I109" s="53" t="s">
        <v>159</v>
      </c>
      <c r="J109" s="53" t="s">
        <v>38</v>
      </c>
      <c r="K109" s="53" t="s">
        <v>161</v>
      </c>
      <c r="L109" s="53">
        <v>3</v>
      </c>
      <c r="N109" s="53">
        <v>4</v>
      </c>
      <c r="O109" s="53">
        <v>0.65</v>
      </c>
      <c r="P109" s="53">
        <v>0.45</v>
      </c>
      <c r="Q109" s="75">
        <f t="shared" si="3"/>
        <v>0.55000000000000004</v>
      </c>
      <c r="R109" s="53">
        <v>12.5</v>
      </c>
      <c r="S109" s="53">
        <v>125</v>
      </c>
      <c r="T109" s="38">
        <f t="shared" si="4"/>
        <v>27</v>
      </c>
      <c r="U109" s="53">
        <v>410</v>
      </c>
      <c r="V109" s="16">
        <f t="shared" si="5"/>
        <v>2767.5</v>
      </c>
      <c r="W109" s="53">
        <v>2</v>
      </c>
      <c r="X109" s="53" t="s">
        <v>46</v>
      </c>
      <c r="Y109" s="53" t="s">
        <v>55</v>
      </c>
      <c r="Z109" s="53" t="s">
        <v>69</v>
      </c>
      <c r="AA109" s="53" t="s">
        <v>97</v>
      </c>
      <c r="AB109" s="53" t="s">
        <v>158</v>
      </c>
      <c r="AC109" s="76"/>
      <c r="AD109" s="76"/>
      <c r="AE109" s="76"/>
      <c r="AF109" s="76"/>
      <c r="AG109" s="76"/>
      <c r="AH109" s="76"/>
    </row>
    <row r="110" spans="1:34" x14ac:dyDescent="0.15">
      <c r="A110" s="53" t="s">
        <v>41</v>
      </c>
      <c r="B110" s="53" t="s">
        <v>157</v>
      </c>
      <c r="C110" s="62">
        <v>2019</v>
      </c>
      <c r="D110" s="63" t="s">
        <v>184</v>
      </c>
      <c r="E110" s="53" t="s">
        <v>201</v>
      </c>
      <c r="F110" s="53" t="s">
        <v>202</v>
      </c>
      <c r="G110" s="53" t="s">
        <v>42</v>
      </c>
      <c r="H110" s="53" t="s">
        <v>160</v>
      </c>
      <c r="I110" s="53" t="s">
        <v>159</v>
      </c>
      <c r="J110" s="53" t="s">
        <v>38</v>
      </c>
      <c r="K110" s="53" t="s">
        <v>161</v>
      </c>
      <c r="L110" s="53">
        <v>1</v>
      </c>
      <c r="N110" s="53">
        <v>8</v>
      </c>
      <c r="O110" s="53">
        <v>0.6</v>
      </c>
      <c r="P110" s="53">
        <v>0.7</v>
      </c>
      <c r="Q110" s="75">
        <f t="shared" si="3"/>
        <v>0.64999999999999991</v>
      </c>
      <c r="R110" s="53">
        <v>13.1</v>
      </c>
      <c r="S110" s="53">
        <v>120</v>
      </c>
      <c r="T110" s="38">
        <f t="shared" si="4"/>
        <v>30</v>
      </c>
      <c r="U110" s="53">
        <v>537</v>
      </c>
      <c r="V110" s="16">
        <f t="shared" si="5"/>
        <v>2013.75</v>
      </c>
      <c r="W110" s="53">
        <v>2</v>
      </c>
      <c r="X110" s="53" t="s">
        <v>46</v>
      </c>
      <c r="Y110" s="53" t="s">
        <v>55</v>
      </c>
      <c r="Z110" s="53" t="s">
        <v>69</v>
      </c>
      <c r="AA110" s="53" t="s">
        <v>97</v>
      </c>
      <c r="AB110" s="53" t="s">
        <v>158</v>
      </c>
      <c r="AC110" s="76"/>
      <c r="AD110" s="76"/>
      <c r="AE110" s="76"/>
      <c r="AF110" s="76"/>
      <c r="AG110" s="76"/>
      <c r="AH110" s="76"/>
    </row>
    <row r="111" spans="1:34" x14ac:dyDescent="0.15">
      <c r="A111" s="53" t="s">
        <v>41</v>
      </c>
      <c r="B111" s="53" t="s">
        <v>157</v>
      </c>
      <c r="C111" s="62">
        <v>2019</v>
      </c>
      <c r="D111" s="63" t="s">
        <v>184</v>
      </c>
      <c r="E111" s="53" t="s">
        <v>201</v>
      </c>
      <c r="F111" s="53" t="s">
        <v>202</v>
      </c>
      <c r="G111" s="53" t="s">
        <v>42</v>
      </c>
      <c r="H111" s="53" t="s">
        <v>160</v>
      </c>
      <c r="I111" s="53" t="s">
        <v>159</v>
      </c>
      <c r="J111" s="53" t="s">
        <v>38</v>
      </c>
      <c r="K111" s="53" t="s">
        <v>161</v>
      </c>
      <c r="L111" s="53">
        <v>2</v>
      </c>
      <c r="N111" s="53">
        <v>8</v>
      </c>
      <c r="O111" s="53">
        <v>0.45</v>
      </c>
      <c r="P111" s="53">
        <v>0.5</v>
      </c>
      <c r="Q111" s="75">
        <f t="shared" si="3"/>
        <v>0.47499999999999998</v>
      </c>
      <c r="R111" s="53">
        <v>14.7</v>
      </c>
      <c r="S111" s="53">
        <v>117</v>
      </c>
      <c r="T111" s="38">
        <f t="shared" si="4"/>
        <v>30</v>
      </c>
      <c r="U111" s="53">
        <v>537</v>
      </c>
      <c r="V111" s="16">
        <f t="shared" si="5"/>
        <v>2013.75</v>
      </c>
      <c r="W111" s="53">
        <v>2</v>
      </c>
      <c r="X111" s="53" t="s">
        <v>46</v>
      </c>
      <c r="Y111" s="53" t="s">
        <v>55</v>
      </c>
      <c r="Z111" s="53" t="s">
        <v>69</v>
      </c>
      <c r="AA111" s="53" t="s">
        <v>97</v>
      </c>
      <c r="AB111" s="53" t="s">
        <v>158</v>
      </c>
      <c r="AC111" s="76"/>
      <c r="AD111" s="76"/>
      <c r="AE111" s="76"/>
      <c r="AF111" s="76"/>
      <c r="AG111" s="76"/>
      <c r="AH111" s="76"/>
    </row>
    <row r="112" spans="1:34" x14ac:dyDescent="0.15">
      <c r="A112" s="53" t="s">
        <v>41</v>
      </c>
      <c r="B112" s="53" t="s">
        <v>157</v>
      </c>
      <c r="C112" s="62">
        <v>2019</v>
      </c>
      <c r="D112" s="63" t="s">
        <v>184</v>
      </c>
      <c r="E112" s="53" t="s">
        <v>201</v>
      </c>
      <c r="F112" s="53" t="s">
        <v>202</v>
      </c>
      <c r="G112" s="53" t="s">
        <v>42</v>
      </c>
      <c r="H112" s="53" t="s">
        <v>160</v>
      </c>
      <c r="I112" s="53" t="s">
        <v>159</v>
      </c>
      <c r="J112" s="53" t="s">
        <v>38</v>
      </c>
      <c r="K112" s="53" t="s">
        <v>161</v>
      </c>
      <c r="L112" s="53">
        <v>3</v>
      </c>
      <c r="N112" s="53">
        <v>8</v>
      </c>
      <c r="O112" s="53">
        <v>0.8</v>
      </c>
      <c r="P112" s="53">
        <v>0.65</v>
      </c>
      <c r="Q112" s="75">
        <f t="shared" si="3"/>
        <v>0.72500000000000009</v>
      </c>
      <c r="R112" s="53">
        <v>14.1</v>
      </c>
      <c r="S112" s="53">
        <v>114</v>
      </c>
      <c r="T112" s="38">
        <f t="shared" si="4"/>
        <v>30</v>
      </c>
      <c r="U112" s="53">
        <v>537</v>
      </c>
      <c r="V112" s="38">
        <f t="shared" si="5"/>
        <v>2013.75</v>
      </c>
      <c r="W112" s="53">
        <v>2</v>
      </c>
      <c r="X112" s="53" t="s">
        <v>46</v>
      </c>
      <c r="Y112" s="53" t="s">
        <v>55</v>
      </c>
      <c r="Z112" s="53" t="s">
        <v>69</v>
      </c>
      <c r="AA112" s="53" t="s">
        <v>97</v>
      </c>
      <c r="AB112" s="53" t="s">
        <v>158</v>
      </c>
      <c r="AC112" s="76"/>
      <c r="AD112" s="76"/>
      <c r="AE112" s="76"/>
      <c r="AF112" s="76"/>
      <c r="AG112" s="76"/>
      <c r="AH112" s="76"/>
    </row>
    <row r="113" spans="1:34" x14ac:dyDescent="0.15">
      <c r="A113" s="53" t="s">
        <v>41</v>
      </c>
      <c r="B113" s="53" t="s">
        <v>157</v>
      </c>
      <c r="C113" s="62">
        <v>2019</v>
      </c>
      <c r="D113" s="63" t="s">
        <v>184</v>
      </c>
      <c r="E113" s="53" t="s">
        <v>201</v>
      </c>
      <c r="F113" s="53" t="s">
        <v>202</v>
      </c>
      <c r="G113" s="53" t="s">
        <v>42</v>
      </c>
      <c r="H113" s="53" t="s">
        <v>160</v>
      </c>
      <c r="I113" s="53" t="s">
        <v>159</v>
      </c>
      <c r="J113" s="53" t="s">
        <v>38</v>
      </c>
      <c r="K113" s="53" t="s">
        <v>161</v>
      </c>
      <c r="L113" s="53">
        <v>1</v>
      </c>
      <c r="N113" s="53">
        <v>10</v>
      </c>
      <c r="O113" s="53">
        <v>0.35</v>
      </c>
      <c r="P113" s="53">
        <v>0.45</v>
      </c>
      <c r="Q113" s="75">
        <f t="shared" si="3"/>
        <v>0.4</v>
      </c>
      <c r="R113" s="53">
        <v>15.9</v>
      </c>
      <c r="S113" s="53">
        <v>121</v>
      </c>
      <c r="T113" s="38">
        <f t="shared" si="4"/>
        <v>27</v>
      </c>
      <c r="U113" s="53">
        <v>734</v>
      </c>
      <c r="V113" s="16">
        <f t="shared" si="5"/>
        <v>1981.8000000000002</v>
      </c>
      <c r="W113" s="53">
        <v>4</v>
      </c>
      <c r="X113" s="53" t="s">
        <v>46</v>
      </c>
      <c r="Y113" s="53" t="s">
        <v>55</v>
      </c>
      <c r="Z113" s="53" t="s">
        <v>69</v>
      </c>
      <c r="AA113" s="53" t="s">
        <v>97</v>
      </c>
      <c r="AB113" s="53" t="s">
        <v>158</v>
      </c>
      <c r="AC113" s="76"/>
      <c r="AD113" s="76"/>
      <c r="AE113" s="76"/>
      <c r="AF113" s="76"/>
      <c r="AG113" s="76"/>
      <c r="AH113" s="76"/>
    </row>
    <row r="114" spans="1:34" x14ac:dyDescent="0.15">
      <c r="A114" s="53" t="s">
        <v>41</v>
      </c>
      <c r="B114" s="53" t="s">
        <v>157</v>
      </c>
      <c r="C114" s="62">
        <v>2019</v>
      </c>
      <c r="D114" s="63" t="s">
        <v>184</v>
      </c>
      <c r="E114" s="53" t="s">
        <v>201</v>
      </c>
      <c r="F114" s="53" t="s">
        <v>202</v>
      </c>
      <c r="G114" s="53" t="s">
        <v>42</v>
      </c>
      <c r="H114" s="53" t="s">
        <v>160</v>
      </c>
      <c r="I114" s="53" t="s">
        <v>159</v>
      </c>
      <c r="J114" s="53" t="s">
        <v>38</v>
      </c>
      <c r="K114" s="53" t="s">
        <v>161</v>
      </c>
      <c r="L114" s="53">
        <v>2</v>
      </c>
      <c r="N114" s="53">
        <v>10</v>
      </c>
      <c r="O114" s="53">
        <v>0.25</v>
      </c>
      <c r="P114" s="53">
        <v>0.3</v>
      </c>
      <c r="Q114" s="75">
        <f t="shared" si="3"/>
        <v>0.27500000000000002</v>
      </c>
      <c r="R114" s="53">
        <v>16.399999999999999</v>
      </c>
      <c r="S114" s="53">
        <v>121</v>
      </c>
      <c r="T114" s="38">
        <f t="shared" si="4"/>
        <v>27</v>
      </c>
      <c r="U114" s="53">
        <v>734</v>
      </c>
      <c r="V114" s="16">
        <f t="shared" si="5"/>
        <v>1981.8000000000002</v>
      </c>
      <c r="W114" s="53">
        <v>4</v>
      </c>
      <c r="X114" s="53" t="s">
        <v>46</v>
      </c>
      <c r="Y114" s="53" t="s">
        <v>55</v>
      </c>
      <c r="Z114" s="53" t="s">
        <v>69</v>
      </c>
      <c r="AA114" s="53" t="s">
        <v>97</v>
      </c>
      <c r="AB114" s="53" t="s">
        <v>158</v>
      </c>
      <c r="AC114" s="76"/>
      <c r="AD114" s="76"/>
      <c r="AE114" s="76"/>
      <c r="AF114" s="76"/>
      <c r="AG114" s="76"/>
      <c r="AH114" s="76"/>
    </row>
    <row r="115" spans="1:34" x14ac:dyDescent="0.15">
      <c r="A115" s="53" t="s">
        <v>41</v>
      </c>
      <c r="B115" s="53" t="s">
        <v>157</v>
      </c>
      <c r="C115" s="62">
        <v>2019</v>
      </c>
      <c r="D115" s="63" t="s">
        <v>184</v>
      </c>
      <c r="E115" s="53" t="s">
        <v>201</v>
      </c>
      <c r="F115" s="53" t="s">
        <v>202</v>
      </c>
      <c r="G115" s="53" t="s">
        <v>42</v>
      </c>
      <c r="H115" s="53" t="s">
        <v>160</v>
      </c>
      <c r="I115" s="53" t="s">
        <v>159</v>
      </c>
      <c r="J115" s="53" t="s">
        <v>38</v>
      </c>
      <c r="K115" s="53" t="s">
        <v>161</v>
      </c>
      <c r="L115" s="53">
        <v>3</v>
      </c>
      <c r="N115" s="53">
        <v>10</v>
      </c>
      <c r="O115" s="53">
        <v>0.25</v>
      </c>
      <c r="P115" s="53">
        <v>0.35</v>
      </c>
      <c r="Q115" s="75">
        <f t="shared" si="3"/>
        <v>0.3</v>
      </c>
      <c r="R115" s="53">
        <v>16.600000000000001</v>
      </c>
      <c r="S115" s="53">
        <v>124</v>
      </c>
      <c r="T115" s="38">
        <f t="shared" si="4"/>
        <v>27</v>
      </c>
      <c r="U115" s="53">
        <v>734</v>
      </c>
      <c r="V115" s="38">
        <f t="shared" si="5"/>
        <v>1981.8000000000002</v>
      </c>
      <c r="W115" s="53">
        <v>4</v>
      </c>
      <c r="X115" s="53" t="s">
        <v>46</v>
      </c>
      <c r="Y115" s="53" t="s">
        <v>55</v>
      </c>
      <c r="Z115" s="53" t="s">
        <v>69</v>
      </c>
      <c r="AA115" s="53" t="s">
        <v>97</v>
      </c>
      <c r="AB115" s="53" t="s">
        <v>158</v>
      </c>
      <c r="AC115" s="76"/>
      <c r="AD115" s="76"/>
      <c r="AE115" s="76"/>
      <c r="AF115" s="76"/>
      <c r="AG115" s="76"/>
      <c r="AH115" s="76"/>
    </row>
    <row r="116" spans="1:34" x14ac:dyDescent="0.15">
      <c r="A116" s="53" t="s">
        <v>41</v>
      </c>
      <c r="B116" s="53" t="s">
        <v>157</v>
      </c>
      <c r="C116" s="62">
        <v>2019</v>
      </c>
      <c r="D116" s="63" t="s">
        <v>184</v>
      </c>
      <c r="E116" s="53" t="s">
        <v>201</v>
      </c>
      <c r="F116" s="53" t="s">
        <v>202</v>
      </c>
      <c r="G116" s="53" t="s">
        <v>42</v>
      </c>
      <c r="H116" s="53" t="s">
        <v>164</v>
      </c>
      <c r="I116" s="53" t="s">
        <v>159</v>
      </c>
      <c r="J116" s="53" t="s">
        <v>38</v>
      </c>
      <c r="K116" s="53" t="s">
        <v>161</v>
      </c>
      <c r="L116" s="53">
        <v>1</v>
      </c>
      <c r="N116" s="53">
        <v>1</v>
      </c>
      <c r="O116" s="53">
        <v>0.55000000000000004</v>
      </c>
      <c r="P116" s="53">
        <v>0.6</v>
      </c>
      <c r="Q116" s="75">
        <f>IF(OR(O116="",P116=""),"",AVERAGE(O116,P116))</f>
        <v>0.57499999999999996</v>
      </c>
      <c r="R116" s="53">
        <v>14.2</v>
      </c>
      <c r="S116" s="53">
        <v>130</v>
      </c>
      <c r="T116" s="38">
        <f t="shared" si="4"/>
        <v>25</v>
      </c>
      <c r="U116" s="53">
        <v>95</v>
      </c>
      <c r="V116" s="38">
        <f>IF(OR(N116="",U116="",T116=""),"",U116/N116*T116)</f>
        <v>2375</v>
      </c>
      <c r="W116" s="53">
        <v>2</v>
      </c>
      <c r="X116" s="53" t="s">
        <v>46</v>
      </c>
      <c r="Y116" s="53" t="s">
        <v>55</v>
      </c>
      <c r="Z116" s="53" t="s">
        <v>69</v>
      </c>
      <c r="AA116" s="53" t="s">
        <v>97</v>
      </c>
      <c r="AB116" s="53" t="s">
        <v>158</v>
      </c>
      <c r="AC116" s="76"/>
      <c r="AD116" s="76"/>
      <c r="AE116" s="76"/>
      <c r="AF116" s="76"/>
      <c r="AG116" s="76"/>
      <c r="AH116" s="76"/>
    </row>
    <row r="117" spans="1:34" x14ac:dyDescent="0.15">
      <c r="A117" s="53" t="s">
        <v>41</v>
      </c>
      <c r="B117" s="53" t="s">
        <v>157</v>
      </c>
      <c r="C117" s="62">
        <v>2019</v>
      </c>
      <c r="D117" s="63" t="s">
        <v>184</v>
      </c>
      <c r="E117" s="53" t="s">
        <v>201</v>
      </c>
      <c r="F117" s="53" t="s">
        <v>202</v>
      </c>
      <c r="G117" s="53" t="s">
        <v>42</v>
      </c>
      <c r="H117" s="53" t="s">
        <v>164</v>
      </c>
      <c r="I117" s="53" t="s">
        <v>159</v>
      </c>
      <c r="J117" s="53" t="s">
        <v>38</v>
      </c>
      <c r="K117" s="53" t="s">
        <v>161</v>
      </c>
      <c r="L117" s="53">
        <v>2</v>
      </c>
      <c r="N117" s="53">
        <v>1</v>
      </c>
      <c r="O117" s="53">
        <v>0.65</v>
      </c>
      <c r="P117" s="53">
        <v>0.45</v>
      </c>
      <c r="Q117" s="75">
        <f>IF(OR(O117="",P117=""),"",AVERAGE(O117,P117))</f>
        <v>0.55000000000000004</v>
      </c>
      <c r="R117" s="53">
        <v>15.1</v>
      </c>
      <c r="S117" s="53">
        <v>130</v>
      </c>
      <c r="T117" s="38">
        <f t="shared" si="4"/>
        <v>25</v>
      </c>
      <c r="U117" s="53">
        <v>95</v>
      </c>
      <c r="V117" s="38">
        <f>IF(OR(N117="",U117="",T117=""),"",U117/N117*T117)</f>
        <v>2375</v>
      </c>
      <c r="W117" s="53">
        <v>2</v>
      </c>
      <c r="X117" s="53" t="s">
        <v>46</v>
      </c>
      <c r="Y117" s="53" t="s">
        <v>55</v>
      </c>
      <c r="Z117" s="53" t="s">
        <v>69</v>
      </c>
      <c r="AA117" s="53" t="s">
        <v>97</v>
      </c>
      <c r="AB117" s="53" t="s">
        <v>158</v>
      </c>
      <c r="AC117" s="76"/>
      <c r="AD117" s="76"/>
      <c r="AE117" s="76"/>
      <c r="AF117" s="76"/>
      <c r="AG117" s="76"/>
      <c r="AH117" s="76"/>
    </row>
    <row r="118" spans="1:34" x14ac:dyDescent="0.15">
      <c r="A118" s="53" t="s">
        <v>41</v>
      </c>
      <c r="B118" s="53" t="s">
        <v>157</v>
      </c>
      <c r="C118" s="62">
        <v>2019</v>
      </c>
      <c r="D118" s="63" t="s">
        <v>184</v>
      </c>
      <c r="E118" s="53" t="s">
        <v>201</v>
      </c>
      <c r="F118" s="53" t="s">
        <v>202</v>
      </c>
      <c r="G118" s="53" t="s">
        <v>42</v>
      </c>
      <c r="H118" s="53" t="s">
        <v>164</v>
      </c>
      <c r="I118" s="53" t="s">
        <v>159</v>
      </c>
      <c r="J118" s="53" t="s">
        <v>38</v>
      </c>
      <c r="K118" s="53" t="s">
        <v>161</v>
      </c>
      <c r="L118" s="53">
        <v>3</v>
      </c>
      <c r="N118" s="53">
        <v>1</v>
      </c>
      <c r="O118" s="53">
        <v>0.5</v>
      </c>
      <c r="P118" s="53">
        <v>0.5</v>
      </c>
      <c r="Q118" s="75">
        <f>IF(OR(O118="",P118=""),"",AVERAGE(O118,P118))</f>
        <v>0.5</v>
      </c>
      <c r="R118" s="53">
        <v>15.9</v>
      </c>
      <c r="S118" s="53">
        <v>132</v>
      </c>
      <c r="T118" s="38">
        <f t="shared" si="4"/>
        <v>25</v>
      </c>
      <c r="U118" s="53">
        <v>95</v>
      </c>
      <c r="V118" s="38">
        <f>IF(OR(N118="",U118="",T118=""),"",U118/N118*T118)</f>
        <v>2375</v>
      </c>
      <c r="W118" s="53">
        <v>2</v>
      </c>
      <c r="X118" s="53" t="s">
        <v>46</v>
      </c>
      <c r="Y118" s="53" t="s">
        <v>55</v>
      </c>
      <c r="Z118" s="53" t="s">
        <v>69</v>
      </c>
      <c r="AA118" s="53" t="s">
        <v>97</v>
      </c>
      <c r="AB118" s="53" t="s">
        <v>158</v>
      </c>
      <c r="AC118" s="76"/>
      <c r="AD118" s="76"/>
      <c r="AE118" s="76"/>
      <c r="AF118" s="76"/>
      <c r="AG118" s="76"/>
      <c r="AH118" s="76"/>
    </row>
    <row r="119" spans="1:34" x14ac:dyDescent="0.15">
      <c r="A119" s="53" t="s">
        <v>41</v>
      </c>
      <c r="B119" s="53" t="s">
        <v>157</v>
      </c>
      <c r="C119" s="62">
        <v>2019</v>
      </c>
      <c r="D119" s="63" t="s">
        <v>184</v>
      </c>
      <c r="E119" s="53" t="s">
        <v>201</v>
      </c>
      <c r="F119" s="53" t="s">
        <v>202</v>
      </c>
      <c r="G119" s="53" t="s">
        <v>42</v>
      </c>
      <c r="H119" s="53" t="s">
        <v>164</v>
      </c>
      <c r="I119" s="53" t="s">
        <v>159</v>
      </c>
      <c r="J119" s="53" t="s">
        <v>38</v>
      </c>
      <c r="K119" s="53" t="s">
        <v>161</v>
      </c>
      <c r="L119" s="53">
        <v>1</v>
      </c>
      <c r="N119" s="53">
        <v>5</v>
      </c>
      <c r="O119" s="53">
        <v>0.3</v>
      </c>
      <c r="P119" s="53">
        <v>0.25</v>
      </c>
      <c r="Q119" s="74">
        <f>IF(OR(O119="",P119=""),"",AVERAGE(O119,P119))</f>
        <v>0.27500000000000002</v>
      </c>
      <c r="R119" s="53">
        <v>14</v>
      </c>
      <c r="S119" s="53">
        <v>114</v>
      </c>
      <c r="T119" s="16">
        <f t="shared" si="4"/>
        <v>30</v>
      </c>
      <c r="U119" s="53">
        <v>378</v>
      </c>
      <c r="V119" s="16">
        <f>IF(OR(N119="",U119="",T119=""),"",U119/N119*T119)</f>
        <v>2268</v>
      </c>
      <c r="W119" s="53">
        <v>2</v>
      </c>
      <c r="X119" s="53" t="s">
        <v>46</v>
      </c>
      <c r="Y119" s="53" t="s">
        <v>55</v>
      </c>
      <c r="Z119" s="53" t="s">
        <v>69</v>
      </c>
      <c r="AA119" s="53" t="s">
        <v>97</v>
      </c>
      <c r="AB119" s="53" t="s">
        <v>158</v>
      </c>
      <c r="AC119" s="76"/>
      <c r="AD119" s="76"/>
      <c r="AE119" s="76"/>
      <c r="AF119" s="76"/>
      <c r="AG119" s="76"/>
      <c r="AH119" s="76"/>
    </row>
    <row r="120" spans="1:34" x14ac:dyDescent="0.15">
      <c r="A120" s="53" t="s">
        <v>41</v>
      </c>
      <c r="B120" s="53" t="s">
        <v>157</v>
      </c>
      <c r="C120" s="62">
        <v>2019</v>
      </c>
      <c r="D120" s="63" t="s">
        <v>184</v>
      </c>
      <c r="E120" s="53" t="s">
        <v>201</v>
      </c>
      <c r="F120" s="53" t="s">
        <v>202</v>
      </c>
      <c r="G120" s="53" t="s">
        <v>42</v>
      </c>
      <c r="H120" s="53" t="s">
        <v>164</v>
      </c>
      <c r="I120" s="53" t="s">
        <v>159</v>
      </c>
      <c r="J120" s="53" t="s">
        <v>38</v>
      </c>
      <c r="K120" s="53" t="s">
        <v>161</v>
      </c>
      <c r="L120" s="53">
        <v>2</v>
      </c>
      <c r="N120" s="53">
        <v>5</v>
      </c>
      <c r="O120" s="53">
        <v>0.45</v>
      </c>
      <c r="P120" s="53">
        <v>0.3</v>
      </c>
      <c r="Q120" s="74">
        <f t="shared" ref="Q120:Q151" si="6">IF(OR(O120="",P120=""),"",AVERAGE(O120,P120))</f>
        <v>0.375</v>
      </c>
      <c r="R120" s="53">
        <v>16</v>
      </c>
      <c r="S120" s="53">
        <v>115</v>
      </c>
      <c r="T120" s="16">
        <f t="shared" si="4"/>
        <v>30</v>
      </c>
      <c r="U120" s="53">
        <v>378</v>
      </c>
      <c r="V120" s="16">
        <f t="shared" ref="V120:V151" si="7">IF(OR(N120="",U120="",T120=""),"",U120/N120*T120)</f>
        <v>2268</v>
      </c>
      <c r="W120" s="53">
        <v>2</v>
      </c>
      <c r="X120" s="53" t="s">
        <v>46</v>
      </c>
      <c r="Y120" s="53" t="s">
        <v>55</v>
      </c>
      <c r="Z120" s="53" t="s">
        <v>69</v>
      </c>
      <c r="AA120" s="53" t="s">
        <v>97</v>
      </c>
      <c r="AB120" s="53" t="s">
        <v>158</v>
      </c>
      <c r="AC120" s="76"/>
      <c r="AD120" s="76"/>
      <c r="AE120" s="76"/>
      <c r="AF120" s="76"/>
      <c r="AG120" s="76"/>
      <c r="AH120" s="76"/>
    </row>
    <row r="121" spans="1:34" x14ac:dyDescent="0.15">
      <c r="A121" s="53" t="s">
        <v>41</v>
      </c>
      <c r="B121" s="53" t="s">
        <v>157</v>
      </c>
      <c r="C121" s="62">
        <v>2019</v>
      </c>
      <c r="D121" s="63" t="s">
        <v>184</v>
      </c>
      <c r="E121" s="53" t="s">
        <v>201</v>
      </c>
      <c r="F121" s="53" t="s">
        <v>202</v>
      </c>
      <c r="G121" s="53" t="s">
        <v>42</v>
      </c>
      <c r="H121" s="53" t="s">
        <v>164</v>
      </c>
      <c r="I121" s="53" t="s">
        <v>159</v>
      </c>
      <c r="J121" s="53" t="s">
        <v>38</v>
      </c>
      <c r="K121" s="53" t="s">
        <v>161</v>
      </c>
      <c r="L121" s="53">
        <v>3</v>
      </c>
      <c r="N121" s="53">
        <v>5</v>
      </c>
      <c r="O121" s="53">
        <v>0.5</v>
      </c>
      <c r="P121" s="53">
        <v>0.35</v>
      </c>
      <c r="Q121" s="74">
        <f t="shared" si="6"/>
        <v>0.42499999999999999</v>
      </c>
      <c r="R121" s="53">
        <v>12.4</v>
      </c>
      <c r="S121" s="53">
        <v>111</v>
      </c>
      <c r="T121" s="16">
        <f t="shared" si="4"/>
        <v>33</v>
      </c>
      <c r="U121" s="53">
        <v>378</v>
      </c>
      <c r="V121" s="16">
        <f t="shared" si="7"/>
        <v>2494.7999999999997</v>
      </c>
      <c r="W121" s="53">
        <v>2</v>
      </c>
      <c r="X121" s="53" t="s">
        <v>46</v>
      </c>
      <c r="Y121" s="53" t="s">
        <v>55</v>
      </c>
      <c r="Z121" s="53" t="s">
        <v>69</v>
      </c>
      <c r="AA121" s="53" t="s">
        <v>97</v>
      </c>
      <c r="AB121" s="53" t="s">
        <v>158</v>
      </c>
      <c r="AC121" s="76"/>
      <c r="AD121" s="76"/>
      <c r="AE121" s="76"/>
      <c r="AF121" s="76"/>
      <c r="AG121" s="76"/>
      <c r="AH121" s="76"/>
    </row>
    <row r="122" spans="1:34" x14ac:dyDescent="0.15">
      <c r="A122" s="53" t="s">
        <v>41</v>
      </c>
      <c r="B122" s="53" t="s">
        <v>157</v>
      </c>
      <c r="C122" s="62">
        <v>2019</v>
      </c>
      <c r="D122" s="63" t="s">
        <v>184</v>
      </c>
      <c r="E122" s="53" t="s">
        <v>201</v>
      </c>
      <c r="F122" s="53" t="s">
        <v>202</v>
      </c>
      <c r="G122" s="53" t="s">
        <v>42</v>
      </c>
      <c r="H122" s="53" t="s">
        <v>164</v>
      </c>
      <c r="I122" s="53" t="s">
        <v>159</v>
      </c>
      <c r="J122" s="53" t="s">
        <v>38</v>
      </c>
      <c r="K122" s="53" t="s">
        <v>161</v>
      </c>
      <c r="L122" s="53">
        <v>1</v>
      </c>
      <c r="N122" s="53">
        <v>8</v>
      </c>
      <c r="O122" s="53">
        <v>0.3</v>
      </c>
      <c r="P122" s="53">
        <v>0.45</v>
      </c>
      <c r="Q122" s="74">
        <f t="shared" si="6"/>
        <v>0.375</v>
      </c>
      <c r="R122" s="53">
        <v>12.5</v>
      </c>
      <c r="S122" s="53">
        <v>105</v>
      </c>
      <c r="T122" s="16">
        <f t="shared" si="4"/>
        <v>33</v>
      </c>
      <c r="U122" s="53">
        <v>537</v>
      </c>
      <c r="V122" s="16">
        <f t="shared" si="7"/>
        <v>2215.125</v>
      </c>
      <c r="W122" s="53">
        <v>2</v>
      </c>
      <c r="X122" s="53" t="s">
        <v>46</v>
      </c>
      <c r="Y122" s="53" t="s">
        <v>55</v>
      </c>
      <c r="Z122" s="53" t="s">
        <v>69</v>
      </c>
      <c r="AA122" s="53" t="s">
        <v>97</v>
      </c>
      <c r="AB122" s="53" t="s">
        <v>158</v>
      </c>
      <c r="AC122" s="76"/>
      <c r="AD122" s="76"/>
      <c r="AE122" s="76"/>
      <c r="AF122" s="76"/>
      <c r="AG122" s="76"/>
      <c r="AH122" s="76"/>
    </row>
    <row r="123" spans="1:34" x14ac:dyDescent="0.15">
      <c r="A123" s="53" t="s">
        <v>41</v>
      </c>
      <c r="B123" s="53" t="s">
        <v>157</v>
      </c>
      <c r="C123" s="62">
        <v>2019</v>
      </c>
      <c r="D123" s="63" t="s">
        <v>184</v>
      </c>
      <c r="E123" s="53" t="s">
        <v>201</v>
      </c>
      <c r="F123" s="53" t="s">
        <v>202</v>
      </c>
      <c r="G123" s="53" t="s">
        <v>42</v>
      </c>
      <c r="H123" s="53" t="s">
        <v>164</v>
      </c>
      <c r="I123" s="53" t="s">
        <v>159</v>
      </c>
      <c r="J123" s="53" t="s">
        <v>38</v>
      </c>
      <c r="K123" s="53" t="s">
        <v>161</v>
      </c>
      <c r="L123" s="53">
        <v>2</v>
      </c>
      <c r="N123" s="53">
        <v>8</v>
      </c>
      <c r="O123" s="53">
        <v>0.45</v>
      </c>
      <c r="P123" s="53">
        <v>0.5</v>
      </c>
      <c r="Q123" s="74">
        <f t="shared" si="6"/>
        <v>0.47499999999999998</v>
      </c>
      <c r="R123" s="53">
        <v>13.8</v>
      </c>
      <c r="S123" s="53">
        <v>111</v>
      </c>
      <c r="T123" s="16">
        <f t="shared" si="4"/>
        <v>33</v>
      </c>
      <c r="U123" s="53">
        <v>537</v>
      </c>
      <c r="V123" s="16">
        <f t="shared" si="7"/>
        <v>2215.125</v>
      </c>
      <c r="W123" s="53">
        <v>2</v>
      </c>
      <c r="X123" s="53" t="s">
        <v>46</v>
      </c>
      <c r="Y123" s="53" t="s">
        <v>55</v>
      </c>
      <c r="Z123" s="53" t="s">
        <v>69</v>
      </c>
      <c r="AA123" s="53" t="s">
        <v>97</v>
      </c>
      <c r="AB123" s="53" t="s">
        <v>158</v>
      </c>
      <c r="AC123" s="76"/>
      <c r="AD123" s="76"/>
      <c r="AE123" s="76"/>
      <c r="AF123" s="76"/>
      <c r="AG123" s="76"/>
      <c r="AH123" s="76"/>
    </row>
    <row r="124" spans="1:34" x14ac:dyDescent="0.15">
      <c r="A124" s="53" t="s">
        <v>41</v>
      </c>
      <c r="B124" s="53" t="s">
        <v>157</v>
      </c>
      <c r="C124" s="62">
        <v>2019</v>
      </c>
      <c r="D124" s="63" t="s">
        <v>184</v>
      </c>
      <c r="E124" s="53" t="s">
        <v>201</v>
      </c>
      <c r="F124" s="53" t="s">
        <v>202</v>
      </c>
      <c r="G124" s="53" t="s">
        <v>42</v>
      </c>
      <c r="H124" s="53" t="s">
        <v>164</v>
      </c>
      <c r="I124" s="53" t="s">
        <v>159</v>
      </c>
      <c r="J124" s="53" t="s">
        <v>38</v>
      </c>
      <c r="K124" s="53" t="s">
        <v>161</v>
      </c>
      <c r="L124" s="53">
        <v>3</v>
      </c>
      <c r="N124" s="53">
        <v>8</v>
      </c>
      <c r="O124" s="53">
        <v>0.6</v>
      </c>
      <c r="P124" s="53">
        <v>0.45</v>
      </c>
      <c r="Q124" s="75">
        <f t="shared" si="6"/>
        <v>0.52500000000000002</v>
      </c>
      <c r="R124" s="53">
        <v>14.7</v>
      </c>
      <c r="S124" s="53">
        <v>108</v>
      </c>
      <c r="T124" s="38">
        <f t="shared" si="4"/>
        <v>33</v>
      </c>
      <c r="U124" s="53">
        <v>537</v>
      </c>
      <c r="V124" s="16">
        <f t="shared" si="7"/>
        <v>2215.125</v>
      </c>
      <c r="W124" s="53">
        <v>2</v>
      </c>
      <c r="X124" s="53" t="s">
        <v>46</v>
      </c>
      <c r="Y124" s="53" t="s">
        <v>55</v>
      </c>
      <c r="Z124" s="53" t="s">
        <v>69</v>
      </c>
      <c r="AA124" s="53" t="s">
        <v>97</v>
      </c>
      <c r="AB124" s="53" t="s">
        <v>158</v>
      </c>
      <c r="AC124" s="76"/>
      <c r="AD124" s="76"/>
      <c r="AE124" s="76"/>
      <c r="AF124" s="76"/>
      <c r="AG124" s="76"/>
      <c r="AH124" s="76"/>
    </row>
    <row r="125" spans="1:34" x14ac:dyDescent="0.15">
      <c r="A125" s="53" t="s">
        <v>41</v>
      </c>
      <c r="B125" s="53" t="s">
        <v>157</v>
      </c>
      <c r="C125" s="62">
        <v>2019</v>
      </c>
      <c r="D125" s="63" t="s">
        <v>184</v>
      </c>
      <c r="E125" s="53" t="s">
        <v>201</v>
      </c>
      <c r="F125" s="53" t="s">
        <v>202</v>
      </c>
      <c r="G125" s="53" t="s">
        <v>42</v>
      </c>
      <c r="H125" s="53" t="s">
        <v>164</v>
      </c>
      <c r="I125" s="53" t="s">
        <v>159</v>
      </c>
      <c r="J125" s="53" t="s">
        <v>38</v>
      </c>
      <c r="K125" s="53" t="s">
        <v>161</v>
      </c>
      <c r="L125" s="53">
        <v>1</v>
      </c>
      <c r="N125" s="53">
        <v>12</v>
      </c>
      <c r="O125" s="53">
        <v>0.7</v>
      </c>
      <c r="P125" s="53">
        <v>0.85</v>
      </c>
      <c r="Q125" s="74">
        <f t="shared" si="6"/>
        <v>0.77499999999999991</v>
      </c>
      <c r="R125" s="53">
        <v>11.3</v>
      </c>
      <c r="S125" s="53">
        <v>120</v>
      </c>
      <c r="T125" s="16">
        <f t="shared" si="4"/>
        <v>30</v>
      </c>
      <c r="U125" s="53">
        <v>734</v>
      </c>
      <c r="V125" s="16">
        <f t="shared" si="7"/>
        <v>1835</v>
      </c>
      <c r="W125" s="53">
        <v>4</v>
      </c>
      <c r="X125" s="53" t="s">
        <v>46</v>
      </c>
      <c r="Y125" s="53" t="s">
        <v>55</v>
      </c>
      <c r="Z125" s="53" t="s">
        <v>69</v>
      </c>
      <c r="AA125" s="53" t="s">
        <v>97</v>
      </c>
      <c r="AB125" s="53" t="s">
        <v>158</v>
      </c>
      <c r="AC125" s="76"/>
      <c r="AD125" s="76"/>
      <c r="AE125" s="76"/>
      <c r="AF125" s="76"/>
      <c r="AG125" s="76"/>
      <c r="AH125" s="76"/>
    </row>
    <row r="126" spans="1:34" x14ac:dyDescent="0.15">
      <c r="A126" s="53" t="s">
        <v>41</v>
      </c>
      <c r="B126" s="53" t="s">
        <v>157</v>
      </c>
      <c r="C126" s="62">
        <v>2019</v>
      </c>
      <c r="D126" s="63" t="s">
        <v>184</v>
      </c>
      <c r="E126" s="53" t="s">
        <v>201</v>
      </c>
      <c r="F126" s="53" t="s">
        <v>202</v>
      </c>
      <c r="G126" s="53" t="s">
        <v>42</v>
      </c>
      <c r="H126" s="53" t="s">
        <v>164</v>
      </c>
      <c r="I126" s="53" t="s">
        <v>159</v>
      </c>
      <c r="J126" s="53" t="s">
        <v>38</v>
      </c>
      <c r="K126" s="53" t="s">
        <v>161</v>
      </c>
      <c r="L126" s="53">
        <v>2</v>
      </c>
      <c r="N126" s="53">
        <v>12</v>
      </c>
      <c r="O126" s="53">
        <v>0.75</v>
      </c>
      <c r="P126" s="53">
        <v>0.6</v>
      </c>
      <c r="Q126" s="74">
        <f t="shared" si="6"/>
        <v>0.67500000000000004</v>
      </c>
      <c r="R126" s="53">
        <v>13.2</v>
      </c>
      <c r="S126" s="53">
        <v>114</v>
      </c>
      <c r="T126" s="16">
        <f t="shared" si="4"/>
        <v>30</v>
      </c>
      <c r="U126" s="53">
        <v>734</v>
      </c>
      <c r="V126" s="16">
        <f t="shared" si="7"/>
        <v>1835</v>
      </c>
      <c r="W126" s="53">
        <v>4</v>
      </c>
      <c r="X126" s="53" t="s">
        <v>46</v>
      </c>
      <c r="Y126" s="53" t="s">
        <v>55</v>
      </c>
      <c r="Z126" s="53" t="s">
        <v>69</v>
      </c>
      <c r="AA126" s="53" t="s">
        <v>97</v>
      </c>
      <c r="AB126" s="53" t="s">
        <v>158</v>
      </c>
      <c r="AC126" s="76"/>
      <c r="AD126" s="76"/>
      <c r="AE126" s="76"/>
      <c r="AF126" s="76"/>
      <c r="AG126" s="76"/>
      <c r="AH126" s="76"/>
    </row>
    <row r="127" spans="1:34" x14ac:dyDescent="0.15">
      <c r="A127" s="53" t="s">
        <v>41</v>
      </c>
      <c r="B127" s="53" t="s">
        <v>157</v>
      </c>
      <c r="C127" s="62">
        <v>2019</v>
      </c>
      <c r="D127" s="63" t="s">
        <v>184</v>
      </c>
      <c r="E127" s="53" t="s">
        <v>201</v>
      </c>
      <c r="F127" s="53" t="s">
        <v>202</v>
      </c>
      <c r="G127" s="53" t="s">
        <v>42</v>
      </c>
      <c r="H127" s="53" t="s">
        <v>164</v>
      </c>
      <c r="I127" s="53" t="s">
        <v>159</v>
      </c>
      <c r="J127" s="53" t="s">
        <v>38</v>
      </c>
      <c r="K127" s="53" t="s">
        <v>161</v>
      </c>
      <c r="L127" s="53">
        <v>3</v>
      </c>
      <c r="N127" s="53">
        <v>12</v>
      </c>
      <c r="O127" s="53">
        <v>0.8</v>
      </c>
      <c r="P127" s="53">
        <v>0.7</v>
      </c>
      <c r="Q127" s="75">
        <f t="shared" si="6"/>
        <v>0.75</v>
      </c>
      <c r="R127" s="53">
        <v>13.4</v>
      </c>
      <c r="S127" s="53">
        <v>115</v>
      </c>
      <c r="T127" s="38">
        <f t="shared" si="4"/>
        <v>30</v>
      </c>
      <c r="U127" s="53">
        <v>734</v>
      </c>
      <c r="V127" s="16">
        <f t="shared" si="7"/>
        <v>1835</v>
      </c>
      <c r="W127" s="53">
        <v>4</v>
      </c>
      <c r="X127" s="53" t="s">
        <v>46</v>
      </c>
      <c r="Y127" s="53" t="s">
        <v>55</v>
      </c>
      <c r="Z127" s="53" t="s">
        <v>69</v>
      </c>
      <c r="AA127" s="53" t="s">
        <v>97</v>
      </c>
      <c r="AB127" s="53" t="s">
        <v>158</v>
      </c>
      <c r="AC127" s="76"/>
      <c r="AD127" s="76"/>
      <c r="AE127" s="76"/>
      <c r="AF127" s="76"/>
      <c r="AG127" s="76"/>
      <c r="AH127" s="76"/>
    </row>
    <row r="128" spans="1:34" x14ac:dyDescent="0.15">
      <c r="A128" s="53" t="s">
        <v>41</v>
      </c>
      <c r="B128" s="53" t="s">
        <v>157</v>
      </c>
      <c r="C128" s="62">
        <v>2019</v>
      </c>
      <c r="D128" s="63" t="s">
        <v>184</v>
      </c>
      <c r="E128" s="53" t="s">
        <v>201</v>
      </c>
      <c r="F128" s="53" t="s">
        <v>208</v>
      </c>
      <c r="G128" s="53" t="s">
        <v>42</v>
      </c>
      <c r="H128" s="53" t="s">
        <v>160</v>
      </c>
      <c r="I128" s="53" t="s">
        <v>159</v>
      </c>
      <c r="J128" s="53" t="s">
        <v>38</v>
      </c>
      <c r="K128" s="53" t="s">
        <v>161</v>
      </c>
      <c r="L128" s="53">
        <v>1</v>
      </c>
      <c r="N128" s="53">
        <v>1</v>
      </c>
      <c r="O128" s="53">
        <v>0.45</v>
      </c>
      <c r="P128" s="53">
        <v>0.4</v>
      </c>
      <c r="Q128" s="75">
        <f t="shared" si="6"/>
        <v>0.42500000000000004</v>
      </c>
      <c r="R128" s="53">
        <v>14.1</v>
      </c>
      <c r="S128" s="53">
        <v>130</v>
      </c>
      <c r="T128" s="38">
        <f t="shared" si="4"/>
        <v>25</v>
      </c>
      <c r="U128" s="53">
        <v>105</v>
      </c>
      <c r="V128" s="16">
        <f t="shared" si="7"/>
        <v>2625</v>
      </c>
      <c r="W128" s="53">
        <v>2</v>
      </c>
      <c r="X128" s="53" t="s">
        <v>46</v>
      </c>
      <c r="Y128" s="53" t="s">
        <v>55</v>
      </c>
      <c r="Z128" s="53" t="s">
        <v>69</v>
      </c>
      <c r="AA128" s="53" t="s">
        <v>97</v>
      </c>
      <c r="AB128" s="53" t="s">
        <v>158</v>
      </c>
      <c r="AC128" s="76"/>
      <c r="AD128" s="76"/>
      <c r="AE128" s="76"/>
      <c r="AF128" s="76"/>
      <c r="AG128" s="76"/>
      <c r="AH128" s="76"/>
    </row>
    <row r="129" spans="1:34" x14ac:dyDescent="0.15">
      <c r="A129" s="53" t="s">
        <v>41</v>
      </c>
      <c r="B129" s="53" t="s">
        <v>157</v>
      </c>
      <c r="C129" s="62">
        <v>2019</v>
      </c>
      <c r="D129" s="63" t="s">
        <v>184</v>
      </c>
      <c r="E129" s="53" t="s">
        <v>201</v>
      </c>
      <c r="F129" s="53" t="s">
        <v>208</v>
      </c>
      <c r="G129" s="53" t="s">
        <v>42</v>
      </c>
      <c r="H129" s="53" t="s">
        <v>160</v>
      </c>
      <c r="I129" s="53" t="s">
        <v>159</v>
      </c>
      <c r="J129" s="53" t="s">
        <v>38</v>
      </c>
      <c r="K129" s="53" t="s">
        <v>161</v>
      </c>
      <c r="L129" s="53">
        <v>2</v>
      </c>
      <c r="N129" s="53">
        <v>1</v>
      </c>
      <c r="O129" s="53">
        <v>0.25</v>
      </c>
      <c r="P129" s="53">
        <v>0.3</v>
      </c>
      <c r="Q129" s="75">
        <f t="shared" si="6"/>
        <v>0.27500000000000002</v>
      </c>
      <c r="R129" s="53">
        <v>13.5</v>
      </c>
      <c r="S129" s="53">
        <v>133</v>
      </c>
      <c r="T129" s="38">
        <f t="shared" si="4"/>
        <v>25</v>
      </c>
      <c r="U129" s="53">
        <v>105</v>
      </c>
      <c r="V129" s="16">
        <f t="shared" si="7"/>
        <v>2625</v>
      </c>
      <c r="W129" s="53">
        <v>2</v>
      </c>
      <c r="X129" s="53" t="s">
        <v>46</v>
      </c>
      <c r="Y129" s="53" t="s">
        <v>55</v>
      </c>
      <c r="Z129" s="53" t="s">
        <v>69</v>
      </c>
      <c r="AA129" s="53" t="s">
        <v>97</v>
      </c>
      <c r="AB129" s="53" t="s">
        <v>158</v>
      </c>
      <c r="AC129" s="76"/>
      <c r="AD129" s="76"/>
      <c r="AE129" s="76"/>
      <c r="AF129" s="76"/>
      <c r="AG129" s="76"/>
      <c r="AH129" s="76"/>
    </row>
    <row r="130" spans="1:34" x14ac:dyDescent="0.15">
      <c r="A130" s="53" t="s">
        <v>41</v>
      </c>
      <c r="B130" s="53" t="s">
        <v>157</v>
      </c>
      <c r="C130" s="62">
        <v>2019</v>
      </c>
      <c r="D130" s="63" t="s">
        <v>184</v>
      </c>
      <c r="E130" s="53" t="s">
        <v>201</v>
      </c>
      <c r="F130" s="53" t="s">
        <v>208</v>
      </c>
      <c r="G130" s="53" t="s">
        <v>42</v>
      </c>
      <c r="H130" s="53" t="s">
        <v>160</v>
      </c>
      <c r="I130" s="53" t="s">
        <v>159</v>
      </c>
      <c r="J130" s="53" t="s">
        <v>38</v>
      </c>
      <c r="K130" s="53" t="s">
        <v>161</v>
      </c>
      <c r="L130" s="53">
        <v>3</v>
      </c>
      <c r="N130" s="53">
        <v>1</v>
      </c>
      <c r="O130" s="53">
        <v>0.35</v>
      </c>
      <c r="P130" s="53">
        <v>0.35</v>
      </c>
      <c r="Q130" s="75">
        <f t="shared" si="6"/>
        <v>0.35</v>
      </c>
      <c r="R130" s="53">
        <v>12.9</v>
      </c>
      <c r="S130" s="53">
        <v>129</v>
      </c>
      <c r="T130" s="38">
        <f t="shared" ref="T130:T193" si="8">IF(H130="","",IF(OR(H130="GREEN",H130="GK"),IF(S130&gt;=$AX$2,VLOOKUP(S130,$AX$2:$AY$10,2,1),""),IF(S130&gt;=$AZ$2,VLOOKUP(S130,$AZ$2:$BA$10,2,1),"")))</f>
        <v>25</v>
      </c>
      <c r="U130" s="53">
        <v>105</v>
      </c>
      <c r="V130" s="38">
        <f t="shared" si="7"/>
        <v>2625</v>
      </c>
      <c r="W130" s="53">
        <v>2</v>
      </c>
      <c r="X130" s="53" t="s">
        <v>46</v>
      </c>
      <c r="Y130" s="53" t="s">
        <v>55</v>
      </c>
      <c r="Z130" s="53" t="s">
        <v>69</v>
      </c>
      <c r="AA130" s="53" t="s">
        <v>97</v>
      </c>
      <c r="AB130" s="53" t="s">
        <v>158</v>
      </c>
      <c r="AC130" s="76"/>
      <c r="AD130" s="76"/>
      <c r="AE130" s="76"/>
      <c r="AF130" s="76"/>
      <c r="AG130" s="76"/>
      <c r="AH130" s="76"/>
    </row>
    <row r="131" spans="1:34" x14ac:dyDescent="0.15">
      <c r="A131" s="53" t="s">
        <v>41</v>
      </c>
      <c r="B131" s="53" t="s">
        <v>157</v>
      </c>
      <c r="C131" s="62">
        <v>2019</v>
      </c>
      <c r="D131" s="63" t="s">
        <v>184</v>
      </c>
      <c r="E131" s="53" t="s">
        <v>201</v>
      </c>
      <c r="F131" s="53" t="s">
        <v>208</v>
      </c>
      <c r="G131" s="53" t="s">
        <v>42</v>
      </c>
      <c r="H131" s="53" t="s">
        <v>160</v>
      </c>
      <c r="I131" s="53" t="s">
        <v>159</v>
      </c>
      <c r="J131" s="53" t="s">
        <v>38</v>
      </c>
      <c r="K131" s="53" t="s">
        <v>161</v>
      </c>
      <c r="L131" s="53">
        <v>1</v>
      </c>
      <c r="N131" s="53">
        <v>4</v>
      </c>
      <c r="O131" s="53">
        <v>0.45</v>
      </c>
      <c r="P131" s="53">
        <v>0.5</v>
      </c>
      <c r="Q131" s="75">
        <f t="shared" si="6"/>
        <v>0.47499999999999998</v>
      </c>
      <c r="R131" s="53">
        <v>13.8</v>
      </c>
      <c r="S131" s="53">
        <v>121</v>
      </c>
      <c r="T131" s="38">
        <f t="shared" si="8"/>
        <v>27</v>
      </c>
      <c r="U131" s="53">
        <v>518</v>
      </c>
      <c r="V131" s="38">
        <f t="shared" si="7"/>
        <v>3496.5</v>
      </c>
      <c r="W131" s="53">
        <v>2</v>
      </c>
      <c r="X131" s="53" t="s">
        <v>46</v>
      </c>
      <c r="Y131" s="53" t="s">
        <v>55</v>
      </c>
      <c r="Z131" s="53" t="s">
        <v>69</v>
      </c>
      <c r="AA131" s="53" t="s">
        <v>97</v>
      </c>
      <c r="AB131" s="53" t="s">
        <v>158</v>
      </c>
      <c r="AC131" s="76"/>
      <c r="AD131" s="76"/>
      <c r="AE131" s="76"/>
      <c r="AF131" s="76"/>
      <c r="AG131" s="76"/>
      <c r="AH131" s="76"/>
    </row>
    <row r="132" spans="1:34" x14ac:dyDescent="0.15">
      <c r="A132" s="53" t="s">
        <v>41</v>
      </c>
      <c r="B132" s="53" t="s">
        <v>157</v>
      </c>
      <c r="C132" s="62">
        <v>2019</v>
      </c>
      <c r="D132" s="63" t="s">
        <v>184</v>
      </c>
      <c r="E132" s="53" t="s">
        <v>201</v>
      </c>
      <c r="F132" s="53" t="s">
        <v>208</v>
      </c>
      <c r="G132" s="53" t="s">
        <v>42</v>
      </c>
      <c r="H132" s="53" t="s">
        <v>160</v>
      </c>
      <c r="I132" s="53" t="s">
        <v>159</v>
      </c>
      <c r="J132" s="53" t="s">
        <v>38</v>
      </c>
      <c r="K132" s="53" t="s">
        <v>161</v>
      </c>
      <c r="L132" s="53">
        <v>2</v>
      </c>
      <c r="N132" s="53">
        <v>4</v>
      </c>
      <c r="O132" s="53">
        <v>0.6</v>
      </c>
      <c r="P132" s="53">
        <v>0.75</v>
      </c>
      <c r="Q132" s="75">
        <f t="shared" si="6"/>
        <v>0.67500000000000004</v>
      </c>
      <c r="R132" s="53">
        <v>14.7</v>
      </c>
      <c r="S132" s="53">
        <v>120</v>
      </c>
      <c r="T132" s="38">
        <f t="shared" si="8"/>
        <v>30</v>
      </c>
      <c r="U132" s="53">
        <v>518</v>
      </c>
      <c r="V132" s="38">
        <f t="shared" si="7"/>
        <v>3885</v>
      </c>
      <c r="W132" s="53">
        <v>2</v>
      </c>
      <c r="X132" s="53" t="s">
        <v>46</v>
      </c>
      <c r="Y132" s="53" t="s">
        <v>55</v>
      </c>
      <c r="Z132" s="53" t="s">
        <v>69</v>
      </c>
      <c r="AA132" s="53" t="s">
        <v>97</v>
      </c>
      <c r="AB132" s="53" t="s">
        <v>158</v>
      </c>
      <c r="AC132" s="76"/>
      <c r="AD132" s="76"/>
      <c r="AE132" s="76"/>
      <c r="AF132" s="76"/>
      <c r="AG132" s="76"/>
      <c r="AH132" s="76"/>
    </row>
    <row r="133" spans="1:34" x14ac:dyDescent="0.15">
      <c r="A133" s="53" t="s">
        <v>41</v>
      </c>
      <c r="B133" s="53" t="s">
        <v>157</v>
      </c>
      <c r="C133" s="62">
        <v>2019</v>
      </c>
      <c r="D133" s="63" t="s">
        <v>184</v>
      </c>
      <c r="E133" s="53" t="s">
        <v>201</v>
      </c>
      <c r="F133" s="53" t="s">
        <v>208</v>
      </c>
      <c r="G133" s="53" t="s">
        <v>42</v>
      </c>
      <c r="H133" s="53" t="s">
        <v>160</v>
      </c>
      <c r="I133" s="53" t="s">
        <v>159</v>
      </c>
      <c r="J133" s="53" t="s">
        <v>38</v>
      </c>
      <c r="K133" s="53" t="s">
        <v>161</v>
      </c>
      <c r="L133" s="53">
        <v>3</v>
      </c>
      <c r="N133" s="53">
        <v>4</v>
      </c>
      <c r="O133" s="53">
        <v>0.5</v>
      </c>
      <c r="P133" s="53">
        <v>0.5</v>
      </c>
      <c r="Q133" s="75">
        <f t="shared" si="6"/>
        <v>0.5</v>
      </c>
      <c r="R133" s="53">
        <v>12.4</v>
      </c>
      <c r="S133" s="53">
        <v>118</v>
      </c>
      <c r="T133" s="38">
        <f t="shared" si="8"/>
        <v>30</v>
      </c>
      <c r="U133" s="53">
        <v>518</v>
      </c>
      <c r="V133" s="38">
        <f t="shared" si="7"/>
        <v>3885</v>
      </c>
      <c r="W133" s="53">
        <v>2</v>
      </c>
      <c r="X133" s="53" t="s">
        <v>46</v>
      </c>
      <c r="Y133" s="53" t="s">
        <v>55</v>
      </c>
      <c r="Z133" s="53" t="s">
        <v>69</v>
      </c>
      <c r="AA133" s="53" t="s">
        <v>97</v>
      </c>
      <c r="AB133" s="53" t="s">
        <v>158</v>
      </c>
      <c r="AC133" s="76"/>
      <c r="AD133" s="76"/>
      <c r="AE133" s="76"/>
      <c r="AF133" s="76"/>
      <c r="AG133" s="76"/>
      <c r="AH133" s="76"/>
    </row>
    <row r="134" spans="1:34" x14ac:dyDescent="0.15">
      <c r="A134" s="53" t="s">
        <v>41</v>
      </c>
      <c r="B134" s="53" t="s">
        <v>157</v>
      </c>
      <c r="C134" s="62">
        <v>2019</v>
      </c>
      <c r="D134" s="63" t="s">
        <v>184</v>
      </c>
      <c r="E134" s="53" t="s">
        <v>201</v>
      </c>
      <c r="F134" s="53" t="s">
        <v>208</v>
      </c>
      <c r="G134" s="53" t="s">
        <v>42</v>
      </c>
      <c r="H134" s="53" t="s">
        <v>160</v>
      </c>
      <c r="I134" s="53" t="s">
        <v>159</v>
      </c>
      <c r="J134" s="53" t="s">
        <v>38</v>
      </c>
      <c r="K134" s="53" t="s">
        <v>161</v>
      </c>
      <c r="L134" s="53">
        <v>1</v>
      </c>
      <c r="N134" s="53">
        <v>7</v>
      </c>
      <c r="O134" s="53">
        <v>0.8</v>
      </c>
      <c r="P134" s="53">
        <v>0.7</v>
      </c>
      <c r="Q134" s="74">
        <f t="shared" si="6"/>
        <v>0.75</v>
      </c>
      <c r="R134" s="53">
        <v>15.1</v>
      </c>
      <c r="S134" s="53">
        <v>120</v>
      </c>
      <c r="T134" s="16">
        <f t="shared" si="8"/>
        <v>30</v>
      </c>
      <c r="U134" s="53">
        <v>734</v>
      </c>
      <c r="V134" s="16">
        <f t="shared" si="7"/>
        <v>3145.7142857142858</v>
      </c>
      <c r="W134" s="53">
        <v>3</v>
      </c>
      <c r="X134" s="53" t="s">
        <v>46</v>
      </c>
      <c r="Y134" s="53" t="s">
        <v>55</v>
      </c>
      <c r="Z134" s="53" t="s">
        <v>69</v>
      </c>
      <c r="AA134" s="53" t="s">
        <v>97</v>
      </c>
      <c r="AB134" s="53" t="s">
        <v>158</v>
      </c>
      <c r="AC134" s="76"/>
      <c r="AD134" s="76"/>
      <c r="AE134" s="76"/>
      <c r="AF134" s="76"/>
      <c r="AG134" s="76"/>
      <c r="AH134" s="76"/>
    </row>
    <row r="135" spans="1:34" x14ac:dyDescent="0.15">
      <c r="A135" s="53" t="s">
        <v>41</v>
      </c>
      <c r="B135" s="53" t="s">
        <v>157</v>
      </c>
      <c r="C135" s="62">
        <v>2019</v>
      </c>
      <c r="D135" s="63" t="s">
        <v>184</v>
      </c>
      <c r="E135" s="53" t="s">
        <v>201</v>
      </c>
      <c r="F135" s="53" t="s">
        <v>208</v>
      </c>
      <c r="G135" s="53" t="s">
        <v>42</v>
      </c>
      <c r="H135" s="53" t="s">
        <v>160</v>
      </c>
      <c r="I135" s="53" t="s">
        <v>159</v>
      </c>
      <c r="J135" s="53" t="s">
        <v>38</v>
      </c>
      <c r="K135" s="53" t="s">
        <v>161</v>
      </c>
      <c r="L135" s="53">
        <v>2</v>
      </c>
      <c r="N135" s="53">
        <v>7</v>
      </c>
      <c r="O135" s="53">
        <v>0.65</v>
      </c>
      <c r="P135" s="53">
        <v>0.5</v>
      </c>
      <c r="Q135" s="74">
        <f t="shared" si="6"/>
        <v>0.57499999999999996</v>
      </c>
      <c r="R135" s="53">
        <v>12.8</v>
      </c>
      <c r="S135" s="53">
        <v>114</v>
      </c>
      <c r="T135" s="16">
        <f t="shared" si="8"/>
        <v>30</v>
      </c>
      <c r="U135" s="53">
        <v>734</v>
      </c>
      <c r="V135" s="16">
        <f t="shared" si="7"/>
        <v>3145.7142857142858</v>
      </c>
      <c r="W135" s="53">
        <v>3</v>
      </c>
      <c r="X135" s="53" t="s">
        <v>46</v>
      </c>
      <c r="Y135" s="53" t="s">
        <v>55</v>
      </c>
      <c r="Z135" s="53" t="s">
        <v>69</v>
      </c>
      <c r="AA135" s="53" t="s">
        <v>97</v>
      </c>
      <c r="AB135" s="53" t="s">
        <v>158</v>
      </c>
      <c r="AC135" s="76"/>
      <c r="AD135" s="76"/>
      <c r="AE135" s="76"/>
      <c r="AF135" s="76"/>
      <c r="AG135" s="76"/>
      <c r="AH135" s="76"/>
    </row>
    <row r="136" spans="1:34" x14ac:dyDescent="0.15">
      <c r="A136" s="53" t="s">
        <v>41</v>
      </c>
      <c r="B136" s="53" t="s">
        <v>157</v>
      </c>
      <c r="C136" s="62">
        <v>2019</v>
      </c>
      <c r="D136" s="63" t="s">
        <v>184</v>
      </c>
      <c r="E136" s="53" t="s">
        <v>201</v>
      </c>
      <c r="F136" s="53" t="s">
        <v>208</v>
      </c>
      <c r="G136" s="53" t="s">
        <v>42</v>
      </c>
      <c r="H136" s="53" t="s">
        <v>160</v>
      </c>
      <c r="I136" s="53" t="s">
        <v>159</v>
      </c>
      <c r="J136" s="53" t="s">
        <v>38</v>
      </c>
      <c r="K136" s="53" t="s">
        <v>161</v>
      </c>
      <c r="L136" s="53">
        <v>3</v>
      </c>
      <c r="N136" s="53">
        <v>7</v>
      </c>
      <c r="O136" s="53">
        <v>0.35</v>
      </c>
      <c r="P136" s="53">
        <v>0.4</v>
      </c>
      <c r="Q136" s="74">
        <f t="shared" si="6"/>
        <v>0.375</v>
      </c>
      <c r="R136" s="53">
        <v>13</v>
      </c>
      <c r="S136" s="53">
        <v>116</v>
      </c>
      <c r="T136" s="16">
        <f t="shared" si="8"/>
        <v>30</v>
      </c>
      <c r="U136" s="53">
        <v>734</v>
      </c>
      <c r="V136" s="16">
        <f t="shared" si="7"/>
        <v>3145.7142857142858</v>
      </c>
      <c r="W136" s="53">
        <v>3</v>
      </c>
      <c r="X136" s="53" t="s">
        <v>46</v>
      </c>
      <c r="Y136" s="53" t="s">
        <v>55</v>
      </c>
      <c r="Z136" s="53" t="s">
        <v>69</v>
      </c>
      <c r="AA136" s="53" t="s">
        <v>97</v>
      </c>
      <c r="AB136" s="53" t="s">
        <v>158</v>
      </c>
      <c r="AC136" s="76"/>
      <c r="AD136" s="76"/>
      <c r="AE136" s="76"/>
      <c r="AF136" s="76"/>
      <c r="AG136" s="76"/>
      <c r="AH136" s="76"/>
    </row>
    <row r="137" spans="1:34" x14ac:dyDescent="0.15">
      <c r="A137" s="53" t="s">
        <v>41</v>
      </c>
      <c r="B137" s="53" t="s">
        <v>157</v>
      </c>
      <c r="C137" s="62">
        <v>2019</v>
      </c>
      <c r="D137" s="63" t="s">
        <v>184</v>
      </c>
      <c r="E137" s="53" t="s">
        <v>201</v>
      </c>
      <c r="F137" s="53" t="s">
        <v>208</v>
      </c>
      <c r="G137" s="53" t="s">
        <v>42</v>
      </c>
      <c r="H137" s="53" t="s">
        <v>164</v>
      </c>
      <c r="I137" s="53" t="s">
        <v>159</v>
      </c>
      <c r="J137" s="53" t="s">
        <v>38</v>
      </c>
      <c r="K137" s="53" t="s">
        <v>161</v>
      </c>
      <c r="L137" s="53">
        <v>1</v>
      </c>
      <c r="N137" s="53">
        <v>1</v>
      </c>
      <c r="O137" s="53">
        <v>0.4</v>
      </c>
      <c r="P137" s="53">
        <v>0.4</v>
      </c>
      <c r="Q137" s="74">
        <f t="shared" si="6"/>
        <v>0.4</v>
      </c>
      <c r="R137" s="53">
        <v>13.2</v>
      </c>
      <c r="S137" s="53">
        <v>125</v>
      </c>
      <c r="T137" s="16">
        <f t="shared" si="8"/>
        <v>27</v>
      </c>
      <c r="U137" s="53">
        <v>138</v>
      </c>
      <c r="V137" s="16">
        <f t="shared" si="7"/>
        <v>3726</v>
      </c>
      <c r="W137" s="53">
        <v>2</v>
      </c>
      <c r="X137" s="53" t="s">
        <v>46</v>
      </c>
      <c r="Y137" s="53" t="s">
        <v>55</v>
      </c>
      <c r="Z137" s="53" t="s">
        <v>69</v>
      </c>
      <c r="AA137" s="53" t="s">
        <v>97</v>
      </c>
      <c r="AB137" s="53" t="s">
        <v>158</v>
      </c>
      <c r="AC137" s="76"/>
      <c r="AD137" s="76"/>
      <c r="AE137" s="76"/>
      <c r="AF137" s="76"/>
      <c r="AG137" s="76"/>
      <c r="AH137" s="76"/>
    </row>
    <row r="138" spans="1:34" x14ac:dyDescent="0.15">
      <c r="A138" s="53" t="s">
        <v>41</v>
      </c>
      <c r="B138" s="53" t="s">
        <v>157</v>
      </c>
      <c r="C138" s="62">
        <v>2019</v>
      </c>
      <c r="D138" s="63" t="s">
        <v>184</v>
      </c>
      <c r="E138" s="53" t="s">
        <v>201</v>
      </c>
      <c r="F138" s="53" t="s">
        <v>208</v>
      </c>
      <c r="G138" s="53" t="s">
        <v>42</v>
      </c>
      <c r="H138" s="53" t="s">
        <v>164</v>
      </c>
      <c r="I138" s="53" t="s">
        <v>159</v>
      </c>
      <c r="J138" s="53" t="s">
        <v>38</v>
      </c>
      <c r="K138" s="53" t="s">
        <v>161</v>
      </c>
      <c r="L138" s="53">
        <v>2</v>
      </c>
      <c r="N138" s="53">
        <v>1</v>
      </c>
      <c r="O138" s="53">
        <v>0.6</v>
      </c>
      <c r="P138" s="53">
        <v>0.55000000000000004</v>
      </c>
      <c r="Q138" s="74">
        <f t="shared" si="6"/>
        <v>0.57499999999999996</v>
      </c>
      <c r="R138" s="53">
        <v>15.1</v>
      </c>
      <c r="S138" s="53">
        <v>127</v>
      </c>
      <c r="T138" s="16">
        <f t="shared" si="8"/>
        <v>27</v>
      </c>
      <c r="U138" s="53">
        <v>138</v>
      </c>
      <c r="V138" s="16">
        <f t="shared" si="7"/>
        <v>3726</v>
      </c>
      <c r="W138" s="53">
        <v>2</v>
      </c>
      <c r="X138" s="53" t="s">
        <v>46</v>
      </c>
      <c r="Y138" s="53" t="s">
        <v>55</v>
      </c>
      <c r="Z138" s="53" t="s">
        <v>69</v>
      </c>
      <c r="AA138" s="53" t="s">
        <v>97</v>
      </c>
      <c r="AB138" s="53" t="s">
        <v>158</v>
      </c>
      <c r="AC138" s="76"/>
      <c r="AD138" s="76"/>
      <c r="AE138" s="76"/>
      <c r="AF138" s="76"/>
      <c r="AG138" s="76"/>
      <c r="AH138" s="76"/>
    </row>
    <row r="139" spans="1:34" x14ac:dyDescent="0.15">
      <c r="A139" s="53" t="s">
        <v>41</v>
      </c>
      <c r="B139" s="53" t="s">
        <v>157</v>
      </c>
      <c r="C139" s="62">
        <v>2019</v>
      </c>
      <c r="D139" s="63" t="s">
        <v>184</v>
      </c>
      <c r="E139" s="53" t="s">
        <v>201</v>
      </c>
      <c r="F139" s="53" t="s">
        <v>208</v>
      </c>
      <c r="G139" s="53" t="s">
        <v>42</v>
      </c>
      <c r="H139" s="53" t="s">
        <v>164</v>
      </c>
      <c r="I139" s="53" t="s">
        <v>159</v>
      </c>
      <c r="J139" s="53" t="s">
        <v>38</v>
      </c>
      <c r="K139" s="53" t="s">
        <v>161</v>
      </c>
      <c r="L139" s="53">
        <v>3</v>
      </c>
      <c r="N139" s="53">
        <v>1</v>
      </c>
      <c r="O139" s="53">
        <v>0.5</v>
      </c>
      <c r="P139" s="53">
        <v>0.4</v>
      </c>
      <c r="Q139" s="74">
        <f t="shared" si="6"/>
        <v>0.45</v>
      </c>
      <c r="R139" s="53">
        <v>13.3</v>
      </c>
      <c r="S139" s="53">
        <v>128</v>
      </c>
      <c r="T139" s="16">
        <f t="shared" si="8"/>
        <v>27</v>
      </c>
      <c r="U139" s="53">
        <v>138</v>
      </c>
      <c r="V139" s="16">
        <f t="shared" si="7"/>
        <v>3726</v>
      </c>
      <c r="W139" s="53">
        <v>2</v>
      </c>
      <c r="X139" s="53" t="s">
        <v>46</v>
      </c>
      <c r="Y139" s="53" t="s">
        <v>55</v>
      </c>
      <c r="Z139" s="53" t="s">
        <v>69</v>
      </c>
      <c r="AA139" s="53" t="s">
        <v>97</v>
      </c>
      <c r="AB139" s="53" t="s">
        <v>158</v>
      </c>
      <c r="AC139" s="76"/>
      <c r="AD139" s="76"/>
      <c r="AE139" s="76"/>
      <c r="AF139" s="76"/>
      <c r="AG139" s="76"/>
      <c r="AH139" s="76"/>
    </row>
    <row r="140" spans="1:34" x14ac:dyDescent="0.15">
      <c r="A140" s="53" t="s">
        <v>41</v>
      </c>
      <c r="B140" s="53" t="s">
        <v>157</v>
      </c>
      <c r="C140" s="62">
        <v>2019</v>
      </c>
      <c r="D140" s="63" t="s">
        <v>184</v>
      </c>
      <c r="E140" s="53" t="s">
        <v>201</v>
      </c>
      <c r="F140" s="53" t="s">
        <v>208</v>
      </c>
      <c r="G140" s="53" t="s">
        <v>42</v>
      </c>
      <c r="H140" s="53" t="s">
        <v>164</v>
      </c>
      <c r="I140" s="53" t="s">
        <v>159</v>
      </c>
      <c r="J140" s="53" t="s">
        <v>38</v>
      </c>
      <c r="K140" s="53" t="s">
        <v>161</v>
      </c>
      <c r="L140" s="53">
        <v>1</v>
      </c>
      <c r="N140" s="53">
        <v>5</v>
      </c>
      <c r="O140" s="53">
        <v>0.65</v>
      </c>
      <c r="P140" s="53">
        <v>0.8</v>
      </c>
      <c r="Q140" s="74">
        <f t="shared" si="6"/>
        <v>0.72500000000000009</v>
      </c>
      <c r="R140" s="53">
        <v>14.1</v>
      </c>
      <c r="S140" s="53">
        <v>105</v>
      </c>
      <c r="T140" s="16">
        <f t="shared" si="8"/>
        <v>33</v>
      </c>
      <c r="U140" s="53">
        <v>410</v>
      </c>
      <c r="V140" s="16">
        <f t="shared" si="7"/>
        <v>2706</v>
      </c>
      <c r="W140" s="53">
        <v>1</v>
      </c>
      <c r="X140" s="53" t="s">
        <v>46</v>
      </c>
      <c r="Y140" s="53" t="s">
        <v>55</v>
      </c>
      <c r="Z140" s="53" t="s">
        <v>69</v>
      </c>
      <c r="AA140" s="53" t="s">
        <v>97</v>
      </c>
      <c r="AB140" s="53" t="s">
        <v>158</v>
      </c>
      <c r="AC140" s="76"/>
      <c r="AD140" s="76"/>
      <c r="AE140" s="76"/>
      <c r="AF140" s="76"/>
      <c r="AG140" s="76"/>
      <c r="AH140" s="76"/>
    </row>
    <row r="141" spans="1:34" x14ac:dyDescent="0.15">
      <c r="A141" s="53" t="s">
        <v>41</v>
      </c>
      <c r="B141" s="53" t="s">
        <v>157</v>
      </c>
      <c r="C141" s="62">
        <v>2019</v>
      </c>
      <c r="D141" s="63" t="s">
        <v>184</v>
      </c>
      <c r="E141" s="53" t="s">
        <v>201</v>
      </c>
      <c r="F141" s="53" t="s">
        <v>208</v>
      </c>
      <c r="G141" s="53" t="s">
        <v>42</v>
      </c>
      <c r="H141" s="53" t="s">
        <v>164</v>
      </c>
      <c r="I141" s="53" t="s">
        <v>159</v>
      </c>
      <c r="J141" s="53" t="s">
        <v>38</v>
      </c>
      <c r="K141" s="53" t="s">
        <v>161</v>
      </c>
      <c r="L141" s="53">
        <v>2</v>
      </c>
      <c r="N141" s="53">
        <v>5</v>
      </c>
      <c r="O141" s="53">
        <v>0.8</v>
      </c>
      <c r="P141" s="53">
        <v>0.9</v>
      </c>
      <c r="Q141" s="74">
        <f t="shared" si="6"/>
        <v>0.85000000000000009</v>
      </c>
      <c r="R141" s="53">
        <v>12.8</v>
      </c>
      <c r="S141" s="53">
        <v>100</v>
      </c>
      <c r="T141" s="16">
        <f t="shared" si="8"/>
        <v>33</v>
      </c>
      <c r="U141" s="53">
        <v>410</v>
      </c>
      <c r="V141" s="16">
        <f t="shared" si="7"/>
        <v>2706</v>
      </c>
      <c r="W141" s="53">
        <v>1</v>
      </c>
      <c r="X141" s="53" t="s">
        <v>46</v>
      </c>
      <c r="Y141" s="53" t="s">
        <v>55</v>
      </c>
      <c r="Z141" s="53" t="s">
        <v>69</v>
      </c>
      <c r="AA141" s="53" t="s">
        <v>97</v>
      </c>
      <c r="AB141" s="53" t="s">
        <v>158</v>
      </c>
      <c r="AC141" s="76"/>
      <c r="AD141" s="76"/>
      <c r="AE141" s="76"/>
      <c r="AF141" s="76"/>
      <c r="AG141" s="76"/>
      <c r="AH141" s="76"/>
    </row>
    <row r="142" spans="1:34" x14ac:dyDescent="0.15">
      <c r="A142" s="53" t="s">
        <v>41</v>
      </c>
      <c r="B142" s="53" t="s">
        <v>157</v>
      </c>
      <c r="C142" s="62">
        <v>2019</v>
      </c>
      <c r="D142" s="63" t="s">
        <v>184</v>
      </c>
      <c r="E142" s="53" t="s">
        <v>201</v>
      </c>
      <c r="F142" s="53" t="s">
        <v>208</v>
      </c>
      <c r="G142" s="53" t="s">
        <v>42</v>
      </c>
      <c r="H142" s="53" t="s">
        <v>164</v>
      </c>
      <c r="I142" s="53" t="s">
        <v>159</v>
      </c>
      <c r="J142" s="53" t="s">
        <v>38</v>
      </c>
      <c r="K142" s="53" t="s">
        <v>161</v>
      </c>
      <c r="L142" s="53">
        <v>3</v>
      </c>
      <c r="N142" s="53">
        <v>5</v>
      </c>
      <c r="O142" s="53">
        <v>0.9</v>
      </c>
      <c r="P142" s="53">
        <v>1</v>
      </c>
      <c r="Q142" s="74">
        <f t="shared" si="6"/>
        <v>0.95</v>
      </c>
      <c r="R142" s="53">
        <v>16</v>
      </c>
      <c r="S142" s="53">
        <v>104</v>
      </c>
      <c r="T142" s="16">
        <f t="shared" si="8"/>
        <v>33</v>
      </c>
      <c r="U142" s="53">
        <v>410</v>
      </c>
      <c r="V142" s="16">
        <f t="shared" si="7"/>
        <v>2706</v>
      </c>
      <c r="W142" s="53">
        <v>1</v>
      </c>
      <c r="X142" s="53" t="s">
        <v>46</v>
      </c>
      <c r="Y142" s="53" t="s">
        <v>55</v>
      </c>
      <c r="Z142" s="53" t="s">
        <v>69</v>
      </c>
      <c r="AA142" s="53" t="s">
        <v>97</v>
      </c>
      <c r="AB142" s="53" t="s">
        <v>158</v>
      </c>
      <c r="AC142" s="76"/>
      <c r="AD142" s="76"/>
      <c r="AE142" s="76"/>
      <c r="AF142" s="76"/>
      <c r="AG142" s="76"/>
      <c r="AH142" s="76"/>
    </row>
    <row r="143" spans="1:34" x14ac:dyDescent="0.15">
      <c r="A143" s="53" t="s">
        <v>41</v>
      </c>
      <c r="B143" s="53" t="s">
        <v>157</v>
      </c>
      <c r="C143" s="62">
        <v>2019</v>
      </c>
      <c r="D143" s="63" t="s">
        <v>184</v>
      </c>
      <c r="E143" s="53" t="s">
        <v>201</v>
      </c>
      <c r="F143" s="53" t="s">
        <v>208</v>
      </c>
      <c r="G143" s="53" t="s">
        <v>42</v>
      </c>
      <c r="H143" s="53" t="s">
        <v>164</v>
      </c>
      <c r="I143" s="53" t="s">
        <v>159</v>
      </c>
      <c r="J143" s="53" t="s">
        <v>38</v>
      </c>
      <c r="K143" s="53" t="s">
        <v>161</v>
      </c>
      <c r="L143" s="53">
        <v>1</v>
      </c>
      <c r="N143" s="53">
        <v>8</v>
      </c>
      <c r="O143" s="53">
        <v>0.65</v>
      </c>
      <c r="P143" s="53">
        <v>0.4</v>
      </c>
      <c r="Q143" s="74">
        <f t="shared" si="6"/>
        <v>0.52500000000000002</v>
      </c>
      <c r="R143" s="53">
        <v>14.7</v>
      </c>
      <c r="S143" s="53">
        <v>120</v>
      </c>
      <c r="T143" s="16">
        <f t="shared" si="8"/>
        <v>30</v>
      </c>
      <c r="U143" s="53">
        <v>626</v>
      </c>
      <c r="V143" s="16">
        <f t="shared" si="7"/>
        <v>2347.5</v>
      </c>
      <c r="W143" s="53">
        <v>4</v>
      </c>
      <c r="X143" s="53" t="s">
        <v>46</v>
      </c>
      <c r="Y143" s="53" t="s">
        <v>55</v>
      </c>
      <c r="Z143" s="53" t="s">
        <v>69</v>
      </c>
      <c r="AA143" s="53" t="s">
        <v>97</v>
      </c>
      <c r="AB143" s="53" t="s">
        <v>158</v>
      </c>
      <c r="AC143" s="76"/>
      <c r="AD143" s="76"/>
      <c r="AE143" s="76"/>
      <c r="AF143" s="76"/>
      <c r="AG143" s="76"/>
      <c r="AH143" s="76"/>
    </row>
    <row r="144" spans="1:34" x14ac:dyDescent="0.15">
      <c r="A144" s="53" t="s">
        <v>41</v>
      </c>
      <c r="B144" s="53" t="s">
        <v>157</v>
      </c>
      <c r="C144" s="62">
        <v>2019</v>
      </c>
      <c r="D144" s="63" t="s">
        <v>184</v>
      </c>
      <c r="E144" s="53" t="s">
        <v>201</v>
      </c>
      <c r="F144" s="53" t="s">
        <v>208</v>
      </c>
      <c r="G144" s="53" t="s">
        <v>42</v>
      </c>
      <c r="H144" s="53" t="s">
        <v>164</v>
      </c>
      <c r="I144" s="53" t="s">
        <v>159</v>
      </c>
      <c r="J144" s="53" t="s">
        <v>38</v>
      </c>
      <c r="K144" s="53" t="s">
        <v>161</v>
      </c>
      <c r="L144" s="53">
        <v>2</v>
      </c>
      <c r="N144" s="53">
        <v>8</v>
      </c>
      <c r="O144" s="53">
        <v>0.7</v>
      </c>
      <c r="P144" s="53">
        <v>0.7</v>
      </c>
      <c r="Q144" s="74">
        <f t="shared" si="6"/>
        <v>0.7</v>
      </c>
      <c r="R144" s="53">
        <v>15.2</v>
      </c>
      <c r="S144" s="53">
        <v>118</v>
      </c>
      <c r="T144" s="16">
        <f t="shared" si="8"/>
        <v>30</v>
      </c>
      <c r="U144" s="53">
        <v>626</v>
      </c>
      <c r="V144" s="16">
        <f t="shared" si="7"/>
        <v>2347.5</v>
      </c>
      <c r="W144" s="53">
        <v>4</v>
      </c>
      <c r="X144" s="53" t="s">
        <v>46</v>
      </c>
      <c r="Y144" s="53" t="s">
        <v>55</v>
      </c>
      <c r="Z144" s="53" t="s">
        <v>69</v>
      </c>
      <c r="AA144" s="53" t="s">
        <v>97</v>
      </c>
      <c r="AB144" s="53" t="s">
        <v>158</v>
      </c>
      <c r="AC144" s="76"/>
      <c r="AD144" s="76"/>
      <c r="AE144" s="76"/>
      <c r="AF144" s="76"/>
      <c r="AG144" s="76"/>
      <c r="AH144" s="76"/>
    </row>
    <row r="145" spans="1:34" x14ac:dyDescent="0.15">
      <c r="A145" s="53" t="s">
        <v>41</v>
      </c>
      <c r="B145" s="53" t="s">
        <v>157</v>
      </c>
      <c r="C145" s="62">
        <v>2019</v>
      </c>
      <c r="D145" s="63" t="s">
        <v>184</v>
      </c>
      <c r="E145" s="53" t="s">
        <v>201</v>
      </c>
      <c r="F145" s="53" t="s">
        <v>208</v>
      </c>
      <c r="G145" s="53" t="s">
        <v>42</v>
      </c>
      <c r="H145" s="53" t="s">
        <v>164</v>
      </c>
      <c r="I145" s="53" t="s">
        <v>159</v>
      </c>
      <c r="J145" s="53" t="s">
        <v>38</v>
      </c>
      <c r="K145" s="53" t="s">
        <v>161</v>
      </c>
      <c r="L145" s="53">
        <v>3</v>
      </c>
      <c r="N145" s="53">
        <v>8</v>
      </c>
      <c r="O145" s="53">
        <v>0.6</v>
      </c>
      <c r="P145" s="53">
        <v>0.7</v>
      </c>
      <c r="Q145" s="75">
        <f t="shared" si="6"/>
        <v>0.64999999999999991</v>
      </c>
      <c r="R145" s="53">
        <v>13.1</v>
      </c>
      <c r="S145" s="53">
        <v>119</v>
      </c>
      <c r="T145" s="38">
        <f t="shared" si="8"/>
        <v>30</v>
      </c>
      <c r="U145" s="53">
        <v>626</v>
      </c>
      <c r="V145" s="16">
        <f t="shared" si="7"/>
        <v>2347.5</v>
      </c>
      <c r="W145" s="53">
        <v>4</v>
      </c>
      <c r="X145" s="53" t="s">
        <v>46</v>
      </c>
      <c r="Y145" s="53" t="s">
        <v>55</v>
      </c>
      <c r="Z145" s="53" t="s">
        <v>69</v>
      </c>
      <c r="AA145" s="53" t="s">
        <v>97</v>
      </c>
      <c r="AB145" s="53" t="s">
        <v>158</v>
      </c>
      <c r="AC145" s="76"/>
      <c r="AD145" s="76"/>
      <c r="AE145" s="76"/>
      <c r="AF145" s="76"/>
      <c r="AG145" s="76"/>
      <c r="AH145" s="76"/>
    </row>
    <row r="146" spans="1:34" x14ac:dyDescent="0.15">
      <c r="A146" s="53" t="s">
        <v>41</v>
      </c>
      <c r="B146" s="53" t="s">
        <v>157</v>
      </c>
      <c r="C146" s="62">
        <v>2019</v>
      </c>
      <c r="D146" s="63" t="s">
        <v>184</v>
      </c>
      <c r="E146" s="53" t="s">
        <v>204</v>
      </c>
      <c r="F146" s="53" t="s">
        <v>205</v>
      </c>
      <c r="G146" s="53" t="s">
        <v>42</v>
      </c>
      <c r="H146" s="53" t="s">
        <v>164</v>
      </c>
      <c r="I146" s="53" t="s">
        <v>159</v>
      </c>
      <c r="J146" s="53" t="s">
        <v>38</v>
      </c>
      <c r="K146" s="53" t="s">
        <v>161</v>
      </c>
      <c r="L146" s="53">
        <v>1</v>
      </c>
      <c r="N146" s="53">
        <v>1</v>
      </c>
      <c r="O146" s="53">
        <v>0.7</v>
      </c>
      <c r="P146" s="53">
        <v>0.65</v>
      </c>
      <c r="Q146" s="75">
        <f t="shared" si="6"/>
        <v>0.67500000000000004</v>
      </c>
      <c r="R146" s="53">
        <v>13.5</v>
      </c>
      <c r="S146" s="53">
        <v>123</v>
      </c>
      <c r="T146" s="38">
        <f t="shared" si="8"/>
        <v>27</v>
      </c>
      <c r="U146" s="53">
        <v>104</v>
      </c>
      <c r="V146" s="16">
        <f t="shared" si="7"/>
        <v>2808</v>
      </c>
      <c r="W146" s="53">
        <v>8</v>
      </c>
      <c r="X146" s="53" t="s">
        <v>46</v>
      </c>
      <c r="Y146" s="53" t="s">
        <v>97</v>
      </c>
      <c r="Z146" s="53" t="s">
        <v>69</v>
      </c>
      <c r="AA146" s="53" t="s">
        <v>86</v>
      </c>
      <c r="AB146" s="53" t="s">
        <v>158</v>
      </c>
      <c r="AC146" s="76"/>
      <c r="AD146" s="76"/>
      <c r="AE146" s="76"/>
      <c r="AF146" s="76"/>
      <c r="AG146" s="76"/>
      <c r="AH146" s="76"/>
    </row>
    <row r="147" spans="1:34" x14ac:dyDescent="0.15">
      <c r="A147" s="53" t="s">
        <v>41</v>
      </c>
      <c r="B147" s="53" t="s">
        <v>157</v>
      </c>
      <c r="C147" s="62">
        <v>2019</v>
      </c>
      <c r="D147" s="63" t="s">
        <v>184</v>
      </c>
      <c r="E147" s="53" t="s">
        <v>204</v>
      </c>
      <c r="F147" s="53" t="s">
        <v>205</v>
      </c>
      <c r="G147" s="53" t="s">
        <v>42</v>
      </c>
      <c r="H147" s="53" t="s">
        <v>164</v>
      </c>
      <c r="I147" s="53" t="s">
        <v>159</v>
      </c>
      <c r="J147" s="53" t="s">
        <v>38</v>
      </c>
      <c r="K147" s="53" t="s">
        <v>161</v>
      </c>
      <c r="L147" s="53">
        <v>2</v>
      </c>
      <c r="N147" s="53">
        <v>1</v>
      </c>
      <c r="O147" s="53">
        <v>0.6</v>
      </c>
      <c r="P147" s="53">
        <v>0.5</v>
      </c>
      <c r="Q147" s="75">
        <f t="shared" si="6"/>
        <v>0.55000000000000004</v>
      </c>
      <c r="R147" s="53">
        <v>13.6</v>
      </c>
      <c r="S147" s="53">
        <v>124</v>
      </c>
      <c r="T147" s="38">
        <f t="shared" si="8"/>
        <v>27</v>
      </c>
      <c r="U147" s="53">
        <v>104</v>
      </c>
      <c r="V147" s="16">
        <f t="shared" si="7"/>
        <v>2808</v>
      </c>
      <c r="W147" s="53">
        <v>8</v>
      </c>
      <c r="X147" s="53" t="s">
        <v>46</v>
      </c>
      <c r="Y147" s="53" t="s">
        <v>97</v>
      </c>
      <c r="Z147" s="53" t="s">
        <v>69</v>
      </c>
      <c r="AA147" s="53" t="s">
        <v>86</v>
      </c>
      <c r="AB147" s="53" t="s">
        <v>158</v>
      </c>
      <c r="AC147" s="76"/>
      <c r="AD147" s="76"/>
      <c r="AE147" s="76"/>
      <c r="AF147" s="76"/>
      <c r="AG147" s="76"/>
      <c r="AH147" s="76"/>
    </row>
    <row r="148" spans="1:34" x14ac:dyDescent="0.15">
      <c r="A148" s="53" t="s">
        <v>41</v>
      </c>
      <c r="B148" s="53" t="s">
        <v>157</v>
      </c>
      <c r="C148" s="62">
        <v>2019</v>
      </c>
      <c r="D148" s="63" t="s">
        <v>184</v>
      </c>
      <c r="E148" s="53" t="s">
        <v>204</v>
      </c>
      <c r="F148" s="53" t="s">
        <v>205</v>
      </c>
      <c r="G148" s="53" t="s">
        <v>42</v>
      </c>
      <c r="H148" s="53" t="s">
        <v>164</v>
      </c>
      <c r="I148" s="53" t="s">
        <v>159</v>
      </c>
      <c r="J148" s="53" t="s">
        <v>38</v>
      </c>
      <c r="K148" s="53" t="s">
        <v>161</v>
      </c>
      <c r="L148" s="53">
        <v>3</v>
      </c>
      <c r="N148" s="53">
        <v>1</v>
      </c>
      <c r="O148" s="53">
        <v>0.5</v>
      </c>
      <c r="P148" s="53">
        <v>0.45</v>
      </c>
      <c r="Q148" s="75">
        <f t="shared" si="6"/>
        <v>0.47499999999999998</v>
      </c>
      <c r="R148" s="53">
        <v>15.7</v>
      </c>
      <c r="S148" s="53">
        <v>126</v>
      </c>
      <c r="T148" s="38">
        <f t="shared" si="8"/>
        <v>27</v>
      </c>
      <c r="U148" s="53">
        <v>104</v>
      </c>
      <c r="V148" s="38">
        <f t="shared" si="7"/>
        <v>2808</v>
      </c>
      <c r="W148" s="53">
        <v>8</v>
      </c>
      <c r="X148" s="53" t="s">
        <v>46</v>
      </c>
      <c r="Y148" s="53" t="s">
        <v>97</v>
      </c>
      <c r="Z148" s="53" t="s">
        <v>69</v>
      </c>
      <c r="AA148" s="53" t="s">
        <v>86</v>
      </c>
      <c r="AB148" s="53" t="s">
        <v>158</v>
      </c>
      <c r="AC148" s="76"/>
      <c r="AD148" s="76"/>
      <c r="AE148" s="76"/>
      <c r="AF148" s="76"/>
      <c r="AG148" s="76"/>
      <c r="AH148" s="76"/>
    </row>
    <row r="149" spans="1:34" x14ac:dyDescent="0.15">
      <c r="A149" s="53" t="s">
        <v>41</v>
      </c>
      <c r="B149" s="53" t="s">
        <v>157</v>
      </c>
      <c r="C149" s="62">
        <v>2018</v>
      </c>
      <c r="D149" s="63" t="s">
        <v>184</v>
      </c>
      <c r="E149" s="53" t="s">
        <v>204</v>
      </c>
      <c r="F149" s="53" t="s">
        <v>205</v>
      </c>
      <c r="G149" s="53" t="s">
        <v>42</v>
      </c>
      <c r="H149" s="53" t="s">
        <v>164</v>
      </c>
      <c r="I149" s="53" t="s">
        <v>159</v>
      </c>
      <c r="J149" s="53" t="s">
        <v>38</v>
      </c>
      <c r="K149" s="53" t="s">
        <v>161</v>
      </c>
      <c r="L149" s="53">
        <v>1</v>
      </c>
      <c r="N149" s="53">
        <v>8</v>
      </c>
      <c r="O149" s="53">
        <v>0.8</v>
      </c>
      <c r="P149" s="53">
        <v>0.85</v>
      </c>
      <c r="Q149" s="16">
        <f t="shared" si="6"/>
        <v>0.82499999999999996</v>
      </c>
      <c r="R149" s="53">
        <v>14.2</v>
      </c>
      <c r="S149" s="53">
        <v>111</v>
      </c>
      <c r="T149" s="16">
        <f t="shared" si="8"/>
        <v>33</v>
      </c>
      <c r="U149" s="53">
        <v>626</v>
      </c>
      <c r="V149" s="16">
        <f t="shared" si="7"/>
        <v>2582.25</v>
      </c>
      <c r="W149" s="53">
        <v>2</v>
      </c>
      <c r="X149" s="53" t="s">
        <v>46</v>
      </c>
      <c r="Y149" s="53" t="s">
        <v>97</v>
      </c>
      <c r="Z149" s="53" t="s">
        <v>69</v>
      </c>
      <c r="AA149" s="53" t="s">
        <v>86</v>
      </c>
      <c r="AB149" s="53" t="s">
        <v>158</v>
      </c>
    </row>
    <row r="150" spans="1:34" x14ac:dyDescent="0.15">
      <c r="A150" s="53" t="s">
        <v>41</v>
      </c>
      <c r="B150" s="53" t="s">
        <v>157</v>
      </c>
      <c r="C150" s="62">
        <v>2018</v>
      </c>
      <c r="D150" s="63" t="s">
        <v>184</v>
      </c>
      <c r="E150" s="53" t="s">
        <v>204</v>
      </c>
      <c r="F150" s="53" t="s">
        <v>205</v>
      </c>
      <c r="G150" s="53" t="s">
        <v>42</v>
      </c>
      <c r="H150" s="53" t="s">
        <v>164</v>
      </c>
      <c r="I150" s="53" t="s">
        <v>159</v>
      </c>
      <c r="J150" s="53" t="s">
        <v>38</v>
      </c>
      <c r="K150" s="53" t="s">
        <v>161</v>
      </c>
      <c r="L150" s="53">
        <v>2</v>
      </c>
      <c r="N150" s="53">
        <v>8</v>
      </c>
      <c r="O150" s="53">
        <v>0.8</v>
      </c>
      <c r="P150" s="53">
        <v>0.95</v>
      </c>
      <c r="Q150" s="16">
        <f t="shared" si="6"/>
        <v>0.875</v>
      </c>
      <c r="R150" s="53">
        <v>14.4</v>
      </c>
      <c r="S150" s="53">
        <v>110</v>
      </c>
      <c r="T150" s="16">
        <f t="shared" si="8"/>
        <v>33</v>
      </c>
      <c r="U150" s="53">
        <v>626</v>
      </c>
      <c r="V150" s="16">
        <f t="shared" si="7"/>
        <v>2582.25</v>
      </c>
      <c r="W150" s="53">
        <v>2</v>
      </c>
      <c r="X150" s="53" t="s">
        <v>46</v>
      </c>
      <c r="Y150" s="53" t="s">
        <v>97</v>
      </c>
      <c r="Z150" s="53" t="s">
        <v>69</v>
      </c>
      <c r="AA150" s="53" t="s">
        <v>86</v>
      </c>
      <c r="AB150" s="53" t="s">
        <v>158</v>
      </c>
    </row>
    <row r="151" spans="1:34" x14ac:dyDescent="0.15">
      <c r="A151" s="53" t="s">
        <v>41</v>
      </c>
      <c r="B151" s="53" t="s">
        <v>157</v>
      </c>
      <c r="C151" s="62">
        <v>2018</v>
      </c>
      <c r="D151" s="63" t="s">
        <v>184</v>
      </c>
      <c r="E151" s="53" t="s">
        <v>204</v>
      </c>
      <c r="F151" s="53" t="s">
        <v>205</v>
      </c>
      <c r="G151" s="53" t="s">
        <v>42</v>
      </c>
      <c r="H151" s="53" t="s">
        <v>164</v>
      </c>
      <c r="I151" s="53" t="s">
        <v>159</v>
      </c>
      <c r="J151" s="53" t="s">
        <v>38</v>
      </c>
      <c r="K151" s="53" t="s">
        <v>161</v>
      </c>
      <c r="L151" s="53">
        <v>3</v>
      </c>
      <c r="N151" s="53">
        <v>8</v>
      </c>
      <c r="O151" s="53">
        <v>1</v>
      </c>
      <c r="P151" s="53">
        <v>1.05</v>
      </c>
      <c r="Q151" s="16">
        <f t="shared" si="6"/>
        <v>1.0249999999999999</v>
      </c>
      <c r="R151" s="53">
        <v>14</v>
      </c>
      <c r="S151" s="53">
        <v>115</v>
      </c>
      <c r="T151" s="16">
        <f t="shared" si="8"/>
        <v>30</v>
      </c>
      <c r="U151" s="53">
        <v>626</v>
      </c>
      <c r="V151" s="16">
        <f t="shared" si="7"/>
        <v>2347.5</v>
      </c>
      <c r="W151" s="53">
        <v>2</v>
      </c>
      <c r="X151" s="53" t="s">
        <v>46</v>
      </c>
      <c r="Y151" s="53" t="s">
        <v>97</v>
      </c>
      <c r="Z151" s="53" t="s">
        <v>69</v>
      </c>
      <c r="AA151" s="53" t="s">
        <v>86</v>
      </c>
      <c r="AB151" s="53" t="s">
        <v>158</v>
      </c>
    </row>
    <row r="152" spans="1:34" x14ac:dyDescent="0.15">
      <c r="A152" s="53" t="s">
        <v>41</v>
      </c>
      <c r="B152" s="53" t="s">
        <v>157</v>
      </c>
      <c r="C152" s="62">
        <v>2018</v>
      </c>
      <c r="D152" s="63" t="s">
        <v>184</v>
      </c>
      <c r="E152" s="53" t="s">
        <v>204</v>
      </c>
      <c r="F152" s="53" t="s">
        <v>205</v>
      </c>
      <c r="G152" s="53" t="s">
        <v>42</v>
      </c>
      <c r="H152" s="53" t="s">
        <v>160</v>
      </c>
      <c r="I152" s="53" t="s">
        <v>159</v>
      </c>
      <c r="J152" s="53" t="s">
        <v>38</v>
      </c>
      <c r="K152" s="53" t="s">
        <v>161</v>
      </c>
      <c r="L152" s="53">
        <v>1</v>
      </c>
      <c r="N152" s="53">
        <v>1</v>
      </c>
      <c r="O152" s="53">
        <v>0.45</v>
      </c>
      <c r="P152" s="53">
        <v>0.4</v>
      </c>
      <c r="Q152" s="16">
        <f>IF(OR(O152="",P152=""),"",AVERAGE(O152,P152))</f>
        <v>0.42500000000000004</v>
      </c>
      <c r="R152" s="53">
        <v>15</v>
      </c>
      <c r="S152" s="53">
        <v>123</v>
      </c>
      <c r="T152" s="16">
        <f t="shared" si="8"/>
        <v>27</v>
      </c>
      <c r="U152" s="53">
        <v>138</v>
      </c>
      <c r="V152" s="16">
        <f>IF(OR(N152="",U152="",T152=""),"",U152/N152*T152)</f>
        <v>3726</v>
      </c>
      <c r="W152" s="53">
        <v>1</v>
      </c>
      <c r="X152" s="53" t="s">
        <v>46</v>
      </c>
      <c r="Y152" s="53" t="s">
        <v>97</v>
      </c>
      <c r="Z152" s="53" t="s">
        <v>69</v>
      </c>
      <c r="AA152" s="53" t="s">
        <v>86</v>
      </c>
      <c r="AB152" s="53" t="s">
        <v>158</v>
      </c>
    </row>
    <row r="153" spans="1:34" x14ac:dyDescent="0.15">
      <c r="A153" s="53" t="s">
        <v>41</v>
      </c>
      <c r="B153" s="53" t="s">
        <v>157</v>
      </c>
      <c r="C153" s="62">
        <v>2018</v>
      </c>
      <c r="D153" s="63" t="s">
        <v>184</v>
      </c>
      <c r="E153" s="53" t="s">
        <v>204</v>
      </c>
      <c r="F153" s="53" t="s">
        <v>205</v>
      </c>
      <c r="G153" s="53" t="s">
        <v>42</v>
      </c>
      <c r="H153" s="53" t="s">
        <v>160</v>
      </c>
      <c r="I153" s="53" t="s">
        <v>159</v>
      </c>
      <c r="J153" s="53" t="s">
        <v>38</v>
      </c>
      <c r="K153" s="53" t="s">
        <v>161</v>
      </c>
      <c r="L153" s="53">
        <v>2</v>
      </c>
      <c r="N153" s="53">
        <v>1</v>
      </c>
      <c r="O153" s="53">
        <v>0.5</v>
      </c>
      <c r="P153" s="53">
        <v>0.35</v>
      </c>
      <c r="Q153" s="16">
        <f>IF(OR(O153="",P153=""),"",AVERAGE(O153,P153))</f>
        <v>0.42499999999999999</v>
      </c>
      <c r="R153" s="53">
        <v>12.1</v>
      </c>
      <c r="S153" s="53">
        <v>124</v>
      </c>
      <c r="T153" s="16">
        <f t="shared" si="8"/>
        <v>27</v>
      </c>
      <c r="U153" s="53">
        <v>138</v>
      </c>
      <c r="V153" s="16">
        <f>IF(OR(N153="",U153="",T153=""),"",U153/N153*T153)</f>
        <v>3726</v>
      </c>
      <c r="W153" s="53">
        <v>1</v>
      </c>
      <c r="X153" s="53" t="s">
        <v>46</v>
      </c>
      <c r="Y153" s="53" t="s">
        <v>97</v>
      </c>
      <c r="Z153" s="53" t="s">
        <v>69</v>
      </c>
      <c r="AA153" s="53" t="s">
        <v>86</v>
      </c>
      <c r="AB153" s="53" t="s">
        <v>158</v>
      </c>
    </row>
    <row r="154" spans="1:34" x14ac:dyDescent="0.15">
      <c r="A154" s="53" t="s">
        <v>41</v>
      </c>
      <c r="B154" s="53" t="s">
        <v>157</v>
      </c>
      <c r="C154" s="62">
        <v>2018</v>
      </c>
      <c r="D154" s="63" t="s">
        <v>184</v>
      </c>
      <c r="E154" s="53" t="s">
        <v>204</v>
      </c>
      <c r="F154" s="53" t="s">
        <v>205</v>
      </c>
      <c r="G154" s="53" t="s">
        <v>42</v>
      </c>
      <c r="H154" s="53" t="s">
        <v>160</v>
      </c>
      <c r="I154" s="53" t="s">
        <v>159</v>
      </c>
      <c r="J154" s="53" t="s">
        <v>38</v>
      </c>
      <c r="K154" s="53" t="s">
        <v>161</v>
      </c>
      <c r="L154" s="53">
        <v>3</v>
      </c>
      <c r="N154" s="53">
        <v>1</v>
      </c>
      <c r="O154" s="53">
        <v>0.6</v>
      </c>
      <c r="P154" s="53">
        <v>0.5</v>
      </c>
      <c r="Q154" s="16">
        <f>IF(OR(O154="",P154=""),"",AVERAGE(O154,P154))</f>
        <v>0.55000000000000004</v>
      </c>
      <c r="R154" s="53">
        <v>13</v>
      </c>
      <c r="S154" s="53">
        <v>126</v>
      </c>
      <c r="T154" s="16">
        <f t="shared" si="8"/>
        <v>27</v>
      </c>
      <c r="U154" s="53">
        <v>138</v>
      </c>
      <c r="V154" s="16">
        <f>IF(OR(N154="",U154="",T154=""),"",U154/N154*T154)</f>
        <v>3726</v>
      </c>
      <c r="W154" s="53">
        <v>1</v>
      </c>
      <c r="X154" s="53" t="s">
        <v>46</v>
      </c>
      <c r="Y154" s="53" t="s">
        <v>97</v>
      </c>
      <c r="Z154" s="53" t="s">
        <v>69</v>
      </c>
      <c r="AA154" s="53" t="s">
        <v>86</v>
      </c>
      <c r="AB154" s="53" t="s">
        <v>158</v>
      </c>
    </row>
    <row r="155" spans="1:34" x14ac:dyDescent="0.15">
      <c r="A155" s="53" t="s">
        <v>41</v>
      </c>
      <c r="B155" s="53" t="s">
        <v>157</v>
      </c>
      <c r="C155" s="62">
        <v>2019</v>
      </c>
      <c r="D155" s="63" t="s">
        <v>184</v>
      </c>
      <c r="E155" s="53" t="s">
        <v>210</v>
      </c>
      <c r="F155" s="53" t="s">
        <v>211</v>
      </c>
      <c r="G155" s="53" t="s">
        <v>42</v>
      </c>
      <c r="H155" s="53" t="s">
        <v>160</v>
      </c>
      <c r="I155" s="53" t="s">
        <v>159</v>
      </c>
      <c r="J155" s="53" t="s">
        <v>38</v>
      </c>
      <c r="K155" s="53" t="s">
        <v>161</v>
      </c>
      <c r="L155" s="53">
        <v>1</v>
      </c>
      <c r="N155" s="53">
        <v>1</v>
      </c>
      <c r="O155" s="53">
        <v>0.65</v>
      </c>
      <c r="P155" s="53">
        <v>0.8</v>
      </c>
      <c r="Q155" s="16">
        <f t="shared" ref="Q155:Q218" si="9">IF(OR(O155="",P155=""),"",AVERAGE(O155,P155))</f>
        <v>0.72500000000000009</v>
      </c>
      <c r="R155" s="53">
        <v>13.8</v>
      </c>
      <c r="S155" s="53">
        <v>132</v>
      </c>
      <c r="T155" s="38">
        <f t="shared" si="8"/>
        <v>25</v>
      </c>
      <c r="U155" s="53">
        <v>96</v>
      </c>
      <c r="V155" s="38">
        <f t="shared" ref="V155:V218" si="10">IF(OR(N155="",U155="",T155=""),"",U155/N155*T155)</f>
        <v>2400</v>
      </c>
      <c r="W155" s="53">
        <v>5</v>
      </c>
      <c r="X155" s="53" t="s">
        <v>46</v>
      </c>
      <c r="Y155" s="53" t="s">
        <v>55</v>
      </c>
      <c r="Z155" s="53" t="s">
        <v>69</v>
      </c>
      <c r="AA155" s="53" t="s">
        <v>97</v>
      </c>
      <c r="AB155" s="53" t="s">
        <v>158</v>
      </c>
      <c r="AC155" s="76"/>
      <c r="AD155" s="76"/>
      <c r="AE155" s="76"/>
      <c r="AF155" s="76"/>
      <c r="AG155" s="76"/>
      <c r="AH155" s="76"/>
    </row>
    <row r="156" spans="1:34" x14ac:dyDescent="0.15">
      <c r="A156" s="53" t="s">
        <v>41</v>
      </c>
      <c r="B156" s="53" t="s">
        <v>157</v>
      </c>
      <c r="C156" s="62">
        <v>2019</v>
      </c>
      <c r="D156" s="63" t="s">
        <v>184</v>
      </c>
      <c r="E156" s="53" t="s">
        <v>210</v>
      </c>
      <c r="F156" s="53" t="s">
        <v>211</v>
      </c>
      <c r="G156" s="53" t="s">
        <v>42</v>
      </c>
      <c r="H156" s="53" t="s">
        <v>160</v>
      </c>
      <c r="I156" s="53" t="s">
        <v>159</v>
      </c>
      <c r="J156" s="53" t="s">
        <v>38</v>
      </c>
      <c r="K156" s="53" t="s">
        <v>161</v>
      </c>
      <c r="L156" s="53">
        <v>2</v>
      </c>
      <c r="N156" s="53">
        <v>1</v>
      </c>
      <c r="O156" s="53">
        <v>0.85</v>
      </c>
      <c r="P156" s="53">
        <v>0.7</v>
      </c>
      <c r="Q156" s="16">
        <f t="shared" si="9"/>
        <v>0.77499999999999991</v>
      </c>
      <c r="R156" s="53">
        <v>15</v>
      </c>
      <c r="S156" s="53">
        <v>135</v>
      </c>
      <c r="T156" s="38">
        <f t="shared" si="8"/>
        <v>25</v>
      </c>
      <c r="U156" s="53">
        <v>96</v>
      </c>
      <c r="V156" s="38">
        <f t="shared" si="10"/>
        <v>2400</v>
      </c>
      <c r="W156" s="53">
        <v>5</v>
      </c>
      <c r="X156" s="53" t="s">
        <v>46</v>
      </c>
      <c r="Y156" s="53" t="s">
        <v>55</v>
      </c>
      <c r="Z156" s="53" t="s">
        <v>69</v>
      </c>
      <c r="AA156" s="53" t="s">
        <v>97</v>
      </c>
      <c r="AB156" s="53" t="s">
        <v>158</v>
      </c>
      <c r="AC156" s="76"/>
      <c r="AD156" s="76"/>
      <c r="AE156" s="76"/>
      <c r="AF156" s="76"/>
      <c r="AG156" s="76"/>
      <c r="AH156" s="76"/>
    </row>
    <row r="157" spans="1:34" x14ac:dyDescent="0.15">
      <c r="A157" s="53" t="s">
        <v>41</v>
      </c>
      <c r="B157" s="53" t="s">
        <v>157</v>
      </c>
      <c r="C157" s="62">
        <v>2019</v>
      </c>
      <c r="D157" s="63" t="s">
        <v>184</v>
      </c>
      <c r="E157" s="53" t="s">
        <v>210</v>
      </c>
      <c r="F157" s="53" t="s">
        <v>211</v>
      </c>
      <c r="G157" s="53" t="s">
        <v>42</v>
      </c>
      <c r="H157" s="53" t="s">
        <v>160</v>
      </c>
      <c r="I157" s="53" t="s">
        <v>159</v>
      </c>
      <c r="J157" s="53" t="s">
        <v>38</v>
      </c>
      <c r="K157" s="53" t="s">
        <v>161</v>
      </c>
      <c r="L157" s="53">
        <v>3</v>
      </c>
      <c r="N157" s="53">
        <v>1</v>
      </c>
      <c r="O157" s="53">
        <v>0.7</v>
      </c>
      <c r="P157" s="53">
        <v>0.8</v>
      </c>
      <c r="Q157" s="16">
        <f t="shared" si="9"/>
        <v>0.75</v>
      </c>
      <c r="R157" s="53">
        <v>15.1</v>
      </c>
      <c r="S157" s="53">
        <v>130</v>
      </c>
      <c r="T157" s="38">
        <f t="shared" si="8"/>
        <v>25</v>
      </c>
      <c r="U157" s="53">
        <v>96</v>
      </c>
      <c r="V157" s="38">
        <f t="shared" si="10"/>
        <v>2400</v>
      </c>
      <c r="W157" s="53">
        <v>5</v>
      </c>
      <c r="X157" s="53" t="s">
        <v>46</v>
      </c>
      <c r="Y157" s="53" t="s">
        <v>55</v>
      </c>
      <c r="Z157" s="53" t="s">
        <v>69</v>
      </c>
      <c r="AA157" s="53" t="s">
        <v>97</v>
      </c>
      <c r="AB157" s="53" t="s">
        <v>158</v>
      </c>
      <c r="AC157" s="76"/>
      <c r="AD157" s="76"/>
      <c r="AE157" s="76"/>
      <c r="AF157" s="76"/>
      <c r="AG157" s="76"/>
      <c r="AH157" s="76"/>
    </row>
    <row r="158" spans="1:34" x14ac:dyDescent="0.15">
      <c r="A158" s="53" t="s">
        <v>41</v>
      </c>
      <c r="B158" s="53" t="s">
        <v>157</v>
      </c>
      <c r="C158" s="62">
        <v>2019</v>
      </c>
      <c r="D158" s="63" t="s">
        <v>184</v>
      </c>
      <c r="E158" s="53" t="s">
        <v>210</v>
      </c>
      <c r="F158" s="53" t="s">
        <v>211</v>
      </c>
      <c r="G158" s="53" t="s">
        <v>42</v>
      </c>
      <c r="H158" s="53" t="s">
        <v>160</v>
      </c>
      <c r="I158" s="53" t="s">
        <v>159</v>
      </c>
      <c r="J158" s="53" t="s">
        <v>38</v>
      </c>
      <c r="K158" s="53" t="s">
        <v>161</v>
      </c>
      <c r="L158" s="53">
        <v>1</v>
      </c>
      <c r="N158" s="53">
        <v>4</v>
      </c>
      <c r="O158" s="53">
        <v>0.25</v>
      </c>
      <c r="P158" s="53">
        <v>0.1</v>
      </c>
      <c r="Q158" s="16">
        <f t="shared" si="9"/>
        <v>0.17499999999999999</v>
      </c>
      <c r="R158" s="53">
        <v>14.6</v>
      </c>
      <c r="S158" s="53">
        <v>115</v>
      </c>
      <c r="T158" s="38">
        <f t="shared" si="8"/>
        <v>30</v>
      </c>
      <c r="U158" s="53">
        <v>320</v>
      </c>
      <c r="V158" s="38">
        <f t="shared" si="10"/>
        <v>2400</v>
      </c>
      <c r="W158" s="53">
        <v>3</v>
      </c>
      <c r="X158" s="53" t="s">
        <v>46</v>
      </c>
      <c r="Y158" s="53" t="s">
        <v>55</v>
      </c>
      <c r="Z158" s="53" t="s">
        <v>69</v>
      </c>
      <c r="AA158" s="53" t="s">
        <v>97</v>
      </c>
      <c r="AB158" s="53" t="s">
        <v>158</v>
      </c>
      <c r="AC158" s="76"/>
      <c r="AD158" s="76"/>
      <c r="AE158" s="76"/>
      <c r="AF158" s="76"/>
      <c r="AG158" s="76"/>
      <c r="AH158" s="76"/>
    </row>
    <row r="159" spans="1:34" x14ac:dyDescent="0.15">
      <c r="A159" s="53" t="s">
        <v>41</v>
      </c>
      <c r="B159" s="53" t="s">
        <v>157</v>
      </c>
      <c r="C159" s="62">
        <v>2019</v>
      </c>
      <c r="D159" s="63" t="s">
        <v>184</v>
      </c>
      <c r="E159" s="53" t="s">
        <v>210</v>
      </c>
      <c r="F159" s="53" t="s">
        <v>211</v>
      </c>
      <c r="G159" s="53" t="s">
        <v>42</v>
      </c>
      <c r="H159" s="53" t="s">
        <v>160</v>
      </c>
      <c r="I159" s="53" t="s">
        <v>159</v>
      </c>
      <c r="J159" s="53" t="s">
        <v>38</v>
      </c>
      <c r="K159" s="53" t="s">
        <v>161</v>
      </c>
      <c r="L159" s="53">
        <v>2</v>
      </c>
      <c r="N159" s="53">
        <v>4</v>
      </c>
      <c r="O159" s="53">
        <v>0.2</v>
      </c>
      <c r="P159" s="53">
        <v>0.25</v>
      </c>
      <c r="Q159" s="16">
        <f t="shared" si="9"/>
        <v>0.22500000000000001</v>
      </c>
      <c r="R159" s="53">
        <v>12.8</v>
      </c>
      <c r="S159" s="53">
        <v>121</v>
      </c>
      <c r="T159" s="38">
        <f t="shared" si="8"/>
        <v>27</v>
      </c>
      <c r="U159" s="53">
        <v>320</v>
      </c>
      <c r="V159" s="38">
        <f t="shared" si="10"/>
        <v>2160</v>
      </c>
      <c r="W159" s="53">
        <v>3</v>
      </c>
      <c r="X159" s="53" t="s">
        <v>46</v>
      </c>
      <c r="Y159" s="53" t="s">
        <v>55</v>
      </c>
      <c r="Z159" s="53" t="s">
        <v>69</v>
      </c>
      <c r="AA159" s="53" t="s">
        <v>97</v>
      </c>
      <c r="AB159" s="53" t="s">
        <v>158</v>
      </c>
      <c r="AC159" s="76"/>
      <c r="AD159" s="76"/>
      <c r="AE159" s="76"/>
      <c r="AF159" s="76"/>
      <c r="AG159" s="76"/>
      <c r="AH159" s="76"/>
    </row>
    <row r="160" spans="1:34" x14ac:dyDescent="0.15">
      <c r="A160" s="53" t="s">
        <v>41</v>
      </c>
      <c r="B160" s="53" t="s">
        <v>157</v>
      </c>
      <c r="C160" s="62">
        <v>2019</v>
      </c>
      <c r="D160" s="63" t="s">
        <v>184</v>
      </c>
      <c r="E160" s="53" t="s">
        <v>210</v>
      </c>
      <c r="F160" s="53" t="s">
        <v>211</v>
      </c>
      <c r="G160" s="53" t="s">
        <v>42</v>
      </c>
      <c r="H160" s="53" t="s">
        <v>160</v>
      </c>
      <c r="I160" s="53" t="s">
        <v>159</v>
      </c>
      <c r="J160" s="53" t="s">
        <v>38</v>
      </c>
      <c r="K160" s="53" t="s">
        <v>161</v>
      </c>
      <c r="L160" s="53">
        <v>3</v>
      </c>
      <c r="N160" s="53">
        <v>4</v>
      </c>
      <c r="O160" s="53">
        <v>0.2</v>
      </c>
      <c r="P160" s="53">
        <v>0.2</v>
      </c>
      <c r="Q160" s="16">
        <f t="shared" si="9"/>
        <v>0.2</v>
      </c>
      <c r="R160" s="53">
        <v>12.6</v>
      </c>
      <c r="S160" s="53">
        <v>114</v>
      </c>
      <c r="T160" s="38">
        <f t="shared" si="8"/>
        <v>30</v>
      </c>
      <c r="U160" s="53">
        <v>320</v>
      </c>
      <c r="V160" s="38">
        <f t="shared" si="10"/>
        <v>2400</v>
      </c>
      <c r="W160" s="53">
        <v>3</v>
      </c>
      <c r="X160" s="53" t="s">
        <v>46</v>
      </c>
      <c r="Y160" s="53" t="s">
        <v>55</v>
      </c>
      <c r="Z160" s="53" t="s">
        <v>69</v>
      </c>
      <c r="AA160" s="53" t="s">
        <v>97</v>
      </c>
      <c r="AB160" s="53" t="s">
        <v>158</v>
      </c>
      <c r="AC160" s="76"/>
      <c r="AD160" s="76"/>
      <c r="AE160" s="76"/>
      <c r="AF160" s="76"/>
      <c r="AG160" s="76"/>
      <c r="AH160" s="76"/>
    </row>
    <row r="161" spans="1:34" x14ac:dyDescent="0.15">
      <c r="A161" s="53" t="s">
        <v>41</v>
      </c>
      <c r="B161" s="53" t="s">
        <v>157</v>
      </c>
      <c r="C161" s="62">
        <v>2019</v>
      </c>
      <c r="D161" s="63" t="s">
        <v>184</v>
      </c>
      <c r="E161" s="53" t="s">
        <v>210</v>
      </c>
      <c r="F161" s="53" t="s">
        <v>211</v>
      </c>
      <c r="G161" s="53" t="s">
        <v>42</v>
      </c>
      <c r="H161" s="53" t="s">
        <v>164</v>
      </c>
      <c r="I161" s="53" t="s">
        <v>159</v>
      </c>
      <c r="J161" s="53" t="s">
        <v>38</v>
      </c>
      <c r="K161" s="53" t="s">
        <v>161</v>
      </c>
      <c r="L161" s="53">
        <v>1</v>
      </c>
      <c r="N161" s="53">
        <v>1</v>
      </c>
      <c r="O161" s="53">
        <v>0.2</v>
      </c>
      <c r="P161" s="53">
        <v>0.2</v>
      </c>
      <c r="Q161" s="16">
        <f t="shared" si="9"/>
        <v>0.2</v>
      </c>
      <c r="R161" s="53">
        <v>14.7</v>
      </c>
      <c r="S161" s="53">
        <v>125</v>
      </c>
      <c r="T161" s="38">
        <f t="shared" si="8"/>
        <v>27</v>
      </c>
      <c r="U161" s="53">
        <v>96</v>
      </c>
      <c r="V161" s="38">
        <f t="shared" si="10"/>
        <v>2592</v>
      </c>
      <c r="W161" s="53">
        <v>4</v>
      </c>
      <c r="X161" s="53" t="s">
        <v>46</v>
      </c>
      <c r="Y161" s="53" t="s">
        <v>55</v>
      </c>
      <c r="Z161" s="53" t="s">
        <v>69</v>
      </c>
      <c r="AA161" s="53" t="s">
        <v>97</v>
      </c>
      <c r="AB161" s="53" t="s">
        <v>158</v>
      </c>
      <c r="AC161" s="76"/>
      <c r="AD161" s="76"/>
      <c r="AE161" s="76"/>
      <c r="AF161" s="76"/>
      <c r="AG161" s="76"/>
      <c r="AH161" s="76"/>
    </row>
    <row r="162" spans="1:34" x14ac:dyDescent="0.15">
      <c r="A162" s="53" t="s">
        <v>41</v>
      </c>
      <c r="B162" s="53" t="s">
        <v>157</v>
      </c>
      <c r="C162" s="62">
        <v>2019</v>
      </c>
      <c r="D162" s="63" t="s">
        <v>184</v>
      </c>
      <c r="E162" s="53" t="s">
        <v>210</v>
      </c>
      <c r="F162" s="53" t="s">
        <v>211</v>
      </c>
      <c r="G162" s="53" t="s">
        <v>42</v>
      </c>
      <c r="H162" s="53" t="s">
        <v>164</v>
      </c>
      <c r="I162" s="53" t="s">
        <v>159</v>
      </c>
      <c r="J162" s="53" t="s">
        <v>38</v>
      </c>
      <c r="K162" s="53" t="s">
        <v>161</v>
      </c>
      <c r="L162" s="53">
        <v>2</v>
      </c>
      <c r="N162" s="53">
        <v>1</v>
      </c>
      <c r="O162" s="53">
        <v>0.3</v>
      </c>
      <c r="P162" s="53">
        <v>0.15</v>
      </c>
      <c r="Q162" s="16">
        <f t="shared" si="9"/>
        <v>0.22499999999999998</v>
      </c>
      <c r="R162" s="53">
        <v>16.100000000000001</v>
      </c>
      <c r="S162" s="53">
        <v>127</v>
      </c>
      <c r="T162" s="38">
        <f t="shared" si="8"/>
        <v>27</v>
      </c>
      <c r="U162" s="53">
        <v>96</v>
      </c>
      <c r="V162" s="38">
        <f t="shared" si="10"/>
        <v>2592</v>
      </c>
      <c r="W162" s="53">
        <v>4</v>
      </c>
      <c r="X162" s="53" t="s">
        <v>46</v>
      </c>
      <c r="Y162" s="53" t="s">
        <v>55</v>
      </c>
      <c r="Z162" s="53" t="s">
        <v>69</v>
      </c>
      <c r="AA162" s="53" t="s">
        <v>97</v>
      </c>
      <c r="AB162" s="53" t="s">
        <v>158</v>
      </c>
      <c r="AC162" s="76"/>
      <c r="AD162" s="76"/>
      <c r="AE162" s="76"/>
      <c r="AF162" s="76"/>
      <c r="AG162" s="76"/>
      <c r="AH162" s="76"/>
    </row>
    <row r="163" spans="1:34" x14ac:dyDescent="0.15">
      <c r="A163" s="53" t="s">
        <v>41</v>
      </c>
      <c r="B163" s="53" t="s">
        <v>157</v>
      </c>
      <c r="C163" s="62">
        <v>2019</v>
      </c>
      <c r="D163" s="63" t="s">
        <v>184</v>
      </c>
      <c r="E163" s="53" t="s">
        <v>210</v>
      </c>
      <c r="F163" s="53" t="s">
        <v>211</v>
      </c>
      <c r="G163" s="53" t="s">
        <v>42</v>
      </c>
      <c r="H163" s="53" t="s">
        <v>164</v>
      </c>
      <c r="I163" s="53" t="s">
        <v>159</v>
      </c>
      <c r="J163" s="53" t="s">
        <v>38</v>
      </c>
      <c r="K163" s="53" t="s">
        <v>161</v>
      </c>
      <c r="L163" s="53">
        <v>3</v>
      </c>
      <c r="N163" s="53">
        <v>1</v>
      </c>
      <c r="O163" s="53">
        <v>0.3</v>
      </c>
      <c r="P163" s="53">
        <v>0.2</v>
      </c>
      <c r="Q163" s="16">
        <f t="shared" si="9"/>
        <v>0.25</v>
      </c>
      <c r="R163" s="53">
        <v>12.8</v>
      </c>
      <c r="S163" s="53">
        <v>126</v>
      </c>
      <c r="T163" s="38">
        <f t="shared" si="8"/>
        <v>27</v>
      </c>
      <c r="U163" s="53">
        <v>96</v>
      </c>
      <c r="V163" s="38">
        <f t="shared" si="10"/>
        <v>2592</v>
      </c>
      <c r="W163" s="53">
        <v>4</v>
      </c>
      <c r="X163" s="53" t="s">
        <v>46</v>
      </c>
      <c r="Y163" s="53" t="s">
        <v>55</v>
      </c>
      <c r="Z163" s="53" t="s">
        <v>69</v>
      </c>
      <c r="AA163" s="53" t="s">
        <v>97</v>
      </c>
      <c r="AB163" s="53" t="s">
        <v>158</v>
      </c>
      <c r="AC163" s="76"/>
      <c r="AD163" s="76"/>
      <c r="AE163" s="76"/>
      <c r="AF163" s="76"/>
      <c r="AG163" s="76"/>
      <c r="AH163" s="76"/>
    </row>
    <row r="164" spans="1:34" x14ac:dyDescent="0.15">
      <c r="A164" s="53" t="s">
        <v>41</v>
      </c>
      <c r="B164" s="53" t="s">
        <v>157</v>
      </c>
      <c r="C164" s="62">
        <v>2019</v>
      </c>
      <c r="D164" s="63" t="s">
        <v>184</v>
      </c>
      <c r="E164" s="53" t="s">
        <v>210</v>
      </c>
      <c r="F164" s="53" t="s">
        <v>211</v>
      </c>
      <c r="G164" s="53" t="s">
        <v>42</v>
      </c>
      <c r="H164" s="53" t="s">
        <v>164</v>
      </c>
      <c r="I164" s="53" t="s">
        <v>159</v>
      </c>
      <c r="J164" s="53" t="s">
        <v>38</v>
      </c>
      <c r="K164" s="53" t="s">
        <v>161</v>
      </c>
      <c r="L164" s="53">
        <v>1</v>
      </c>
      <c r="N164" s="53">
        <v>4</v>
      </c>
      <c r="O164" s="53">
        <v>0.9</v>
      </c>
      <c r="P164" s="53">
        <v>0.8</v>
      </c>
      <c r="Q164" s="16">
        <f t="shared" si="9"/>
        <v>0.85000000000000009</v>
      </c>
      <c r="R164" s="53">
        <v>13.4</v>
      </c>
      <c r="S164" s="53">
        <v>110</v>
      </c>
      <c r="T164" s="38">
        <f t="shared" si="8"/>
        <v>33</v>
      </c>
      <c r="U164" s="53">
        <v>320</v>
      </c>
      <c r="V164" s="38">
        <f t="shared" si="10"/>
        <v>2640</v>
      </c>
      <c r="W164" s="53">
        <v>2</v>
      </c>
      <c r="X164" s="53" t="s">
        <v>46</v>
      </c>
      <c r="Y164" s="53" t="s">
        <v>55</v>
      </c>
      <c r="Z164" s="53" t="s">
        <v>69</v>
      </c>
      <c r="AA164" s="53" t="s">
        <v>97</v>
      </c>
      <c r="AB164" s="53" t="s">
        <v>158</v>
      </c>
      <c r="AC164" s="76"/>
      <c r="AD164" s="76"/>
      <c r="AE164" s="76"/>
      <c r="AF164" s="76"/>
      <c r="AG164" s="76"/>
      <c r="AH164" s="76"/>
    </row>
    <row r="165" spans="1:34" x14ac:dyDescent="0.15">
      <c r="A165" s="53" t="s">
        <v>41</v>
      </c>
      <c r="B165" s="53" t="s">
        <v>157</v>
      </c>
      <c r="C165" s="62">
        <v>2019</v>
      </c>
      <c r="D165" s="63" t="s">
        <v>184</v>
      </c>
      <c r="E165" s="53" t="s">
        <v>210</v>
      </c>
      <c r="F165" s="53" t="s">
        <v>211</v>
      </c>
      <c r="G165" s="53" t="s">
        <v>42</v>
      </c>
      <c r="H165" s="53" t="s">
        <v>164</v>
      </c>
      <c r="I165" s="53" t="s">
        <v>159</v>
      </c>
      <c r="J165" s="53" t="s">
        <v>38</v>
      </c>
      <c r="K165" s="53" t="s">
        <v>161</v>
      </c>
      <c r="L165" s="53">
        <v>2</v>
      </c>
      <c r="N165" s="53">
        <v>4</v>
      </c>
      <c r="O165" s="53">
        <v>0.95</v>
      </c>
      <c r="P165" s="53">
        <v>0.8</v>
      </c>
      <c r="Q165" s="16">
        <f t="shared" si="9"/>
        <v>0.875</v>
      </c>
      <c r="R165" s="53">
        <v>15.1</v>
      </c>
      <c r="S165" s="53">
        <v>115</v>
      </c>
      <c r="T165" s="38">
        <f t="shared" si="8"/>
        <v>30</v>
      </c>
      <c r="U165" s="53">
        <v>320</v>
      </c>
      <c r="V165" s="38">
        <f t="shared" si="10"/>
        <v>2400</v>
      </c>
      <c r="W165" s="53">
        <v>2</v>
      </c>
      <c r="X165" s="53" t="s">
        <v>46</v>
      </c>
      <c r="Y165" s="53" t="s">
        <v>55</v>
      </c>
      <c r="Z165" s="53" t="s">
        <v>69</v>
      </c>
      <c r="AA165" s="53" t="s">
        <v>97</v>
      </c>
      <c r="AB165" s="53" t="s">
        <v>158</v>
      </c>
      <c r="AC165" s="76"/>
      <c r="AD165" s="76"/>
      <c r="AE165" s="76"/>
      <c r="AF165" s="76"/>
      <c r="AG165" s="76"/>
      <c r="AH165" s="76"/>
    </row>
    <row r="166" spans="1:34" x14ac:dyDescent="0.15">
      <c r="A166" s="53" t="s">
        <v>41</v>
      </c>
      <c r="B166" s="53" t="s">
        <v>157</v>
      </c>
      <c r="C166" s="62">
        <v>2019</v>
      </c>
      <c r="D166" s="63" t="s">
        <v>184</v>
      </c>
      <c r="E166" s="53" t="s">
        <v>210</v>
      </c>
      <c r="F166" s="53" t="s">
        <v>211</v>
      </c>
      <c r="G166" s="53" t="s">
        <v>42</v>
      </c>
      <c r="H166" s="53" t="s">
        <v>164</v>
      </c>
      <c r="I166" s="53" t="s">
        <v>159</v>
      </c>
      <c r="J166" s="53" t="s">
        <v>38</v>
      </c>
      <c r="K166" s="53" t="s">
        <v>161</v>
      </c>
      <c r="L166" s="53">
        <v>3</v>
      </c>
      <c r="N166" s="53">
        <v>4</v>
      </c>
      <c r="O166" s="53">
        <v>0.9</v>
      </c>
      <c r="P166" s="53">
        <v>0.9</v>
      </c>
      <c r="Q166" s="16">
        <f t="shared" si="9"/>
        <v>0.9</v>
      </c>
      <c r="R166" s="53">
        <v>14.4</v>
      </c>
      <c r="S166" s="53">
        <v>114</v>
      </c>
      <c r="T166" s="38">
        <f t="shared" si="8"/>
        <v>30</v>
      </c>
      <c r="U166" s="53">
        <v>320</v>
      </c>
      <c r="V166" s="38">
        <f t="shared" si="10"/>
        <v>2400</v>
      </c>
      <c r="W166" s="53">
        <v>2</v>
      </c>
      <c r="X166" s="53" t="s">
        <v>46</v>
      </c>
      <c r="Y166" s="53" t="s">
        <v>55</v>
      </c>
      <c r="Z166" s="53" t="s">
        <v>69</v>
      </c>
      <c r="AA166" s="53" t="s">
        <v>97</v>
      </c>
      <c r="AB166" s="53" t="s">
        <v>158</v>
      </c>
      <c r="AC166" s="76"/>
      <c r="AD166" s="76"/>
      <c r="AE166" s="76"/>
      <c r="AF166" s="76"/>
      <c r="AG166" s="76"/>
      <c r="AH166" s="76"/>
    </row>
    <row r="167" spans="1:34" x14ac:dyDescent="0.15">
      <c r="Q167" s="74" t="str">
        <f t="shared" si="9"/>
        <v/>
      </c>
      <c r="T167" s="16" t="str">
        <f t="shared" si="8"/>
        <v/>
      </c>
      <c r="V167" s="16" t="str">
        <f t="shared" si="10"/>
        <v/>
      </c>
    </row>
    <row r="168" spans="1:34" x14ac:dyDescent="0.15">
      <c r="Q168" s="74" t="str">
        <f t="shared" si="9"/>
        <v/>
      </c>
      <c r="T168" s="16" t="str">
        <f t="shared" si="8"/>
        <v/>
      </c>
      <c r="V168" s="16" t="str">
        <f t="shared" si="10"/>
        <v/>
      </c>
    </row>
    <row r="169" spans="1:34" x14ac:dyDescent="0.15">
      <c r="Q169" s="74" t="str">
        <f t="shared" si="9"/>
        <v/>
      </c>
      <c r="T169" s="16" t="str">
        <f t="shared" si="8"/>
        <v/>
      </c>
      <c r="V169" s="16" t="str">
        <f t="shared" si="10"/>
        <v/>
      </c>
    </row>
    <row r="170" spans="1:34" x14ac:dyDescent="0.15">
      <c r="Q170" s="74" t="str">
        <f t="shared" si="9"/>
        <v/>
      </c>
      <c r="T170" s="16" t="str">
        <f t="shared" si="8"/>
        <v/>
      </c>
      <c r="V170" s="16" t="str">
        <f t="shared" si="10"/>
        <v/>
      </c>
    </row>
    <row r="171" spans="1:34" x14ac:dyDescent="0.15">
      <c r="Q171" s="74" t="str">
        <f t="shared" si="9"/>
        <v/>
      </c>
      <c r="T171" s="16" t="str">
        <f t="shared" si="8"/>
        <v/>
      </c>
      <c r="V171" s="16" t="str">
        <f t="shared" si="10"/>
        <v/>
      </c>
    </row>
    <row r="172" spans="1:34" x14ac:dyDescent="0.15">
      <c r="Q172" s="74" t="str">
        <f t="shared" si="9"/>
        <v/>
      </c>
      <c r="T172" s="16" t="str">
        <f t="shared" si="8"/>
        <v/>
      </c>
      <c r="V172" s="16" t="str">
        <f t="shared" si="10"/>
        <v/>
      </c>
    </row>
    <row r="173" spans="1:34" x14ac:dyDescent="0.15">
      <c r="Q173" s="74" t="str">
        <f t="shared" si="9"/>
        <v/>
      </c>
      <c r="T173" s="16" t="str">
        <f t="shared" si="8"/>
        <v/>
      </c>
      <c r="V173" s="16" t="str">
        <f t="shared" si="10"/>
        <v/>
      </c>
    </row>
    <row r="174" spans="1:34" x14ac:dyDescent="0.15">
      <c r="Q174" s="74" t="str">
        <f t="shared" si="9"/>
        <v/>
      </c>
      <c r="T174" s="16" t="str">
        <f t="shared" si="8"/>
        <v/>
      </c>
      <c r="V174" s="16" t="str">
        <f t="shared" si="10"/>
        <v/>
      </c>
    </row>
    <row r="175" spans="1:34" x14ac:dyDescent="0.15">
      <c r="Q175" s="74" t="str">
        <f t="shared" si="9"/>
        <v/>
      </c>
      <c r="T175" s="16" t="str">
        <f t="shared" si="8"/>
        <v/>
      </c>
      <c r="V175" s="16" t="str">
        <f t="shared" si="10"/>
        <v/>
      </c>
    </row>
    <row r="176" spans="1:34" x14ac:dyDescent="0.15">
      <c r="Q176" s="74" t="str">
        <f t="shared" si="9"/>
        <v/>
      </c>
      <c r="T176" s="16" t="str">
        <f t="shared" si="8"/>
        <v/>
      </c>
      <c r="V176" s="16" t="str">
        <f t="shared" si="10"/>
        <v/>
      </c>
    </row>
    <row r="177" spans="17:22" x14ac:dyDescent="0.15">
      <c r="Q177" s="74" t="str">
        <f t="shared" si="9"/>
        <v/>
      </c>
      <c r="T177" s="16" t="str">
        <f t="shared" si="8"/>
        <v/>
      </c>
      <c r="V177" s="16" t="str">
        <f t="shared" si="10"/>
        <v/>
      </c>
    </row>
    <row r="178" spans="17:22" x14ac:dyDescent="0.15">
      <c r="Q178" s="74" t="str">
        <f t="shared" si="9"/>
        <v/>
      </c>
      <c r="T178" s="16" t="str">
        <f t="shared" si="8"/>
        <v/>
      </c>
      <c r="V178" s="16" t="str">
        <f t="shared" si="10"/>
        <v/>
      </c>
    </row>
    <row r="179" spans="17:22" x14ac:dyDescent="0.15">
      <c r="Q179" s="74" t="str">
        <f t="shared" si="9"/>
        <v/>
      </c>
      <c r="T179" s="16" t="str">
        <f t="shared" si="8"/>
        <v/>
      </c>
      <c r="V179" s="16" t="str">
        <f t="shared" si="10"/>
        <v/>
      </c>
    </row>
    <row r="180" spans="17:22" x14ac:dyDescent="0.15">
      <c r="Q180" s="74" t="str">
        <f t="shared" si="9"/>
        <v/>
      </c>
      <c r="T180" s="16" t="str">
        <f t="shared" si="8"/>
        <v/>
      </c>
      <c r="V180" s="16" t="str">
        <f t="shared" si="10"/>
        <v/>
      </c>
    </row>
    <row r="181" spans="17:22" x14ac:dyDescent="0.15">
      <c r="Q181" s="74" t="str">
        <f t="shared" si="9"/>
        <v/>
      </c>
      <c r="T181" s="16" t="str">
        <f t="shared" si="8"/>
        <v/>
      </c>
      <c r="V181" s="16" t="str">
        <f t="shared" si="10"/>
        <v/>
      </c>
    </row>
    <row r="182" spans="17:22" x14ac:dyDescent="0.15">
      <c r="Q182" s="74" t="str">
        <f t="shared" si="9"/>
        <v/>
      </c>
      <c r="T182" s="16" t="str">
        <f t="shared" si="8"/>
        <v/>
      </c>
      <c r="V182" s="16" t="str">
        <f t="shared" si="10"/>
        <v/>
      </c>
    </row>
    <row r="183" spans="17:22" x14ac:dyDescent="0.15">
      <c r="Q183" s="74" t="str">
        <f t="shared" si="9"/>
        <v/>
      </c>
      <c r="T183" s="16" t="str">
        <f t="shared" si="8"/>
        <v/>
      </c>
      <c r="V183" s="16" t="str">
        <f t="shared" si="10"/>
        <v/>
      </c>
    </row>
    <row r="184" spans="17:22" x14ac:dyDescent="0.15">
      <c r="Q184" s="74" t="str">
        <f t="shared" si="9"/>
        <v/>
      </c>
      <c r="T184" s="16" t="str">
        <f t="shared" si="8"/>
        <v/>
      </c>
      <c r="V184" s="16" t="str">
        <f t="shared" si="10"/>
        <v/>
      </c>
    </row>
    <row r="185" spans="17:22" x14ac:dyDescent="0.15">
      <c r="Q185" s="74" t="str">
        <f t="shared" si="9"/>
        <v/>
      </c>
      <c r="T185" s="16" t="str">
        <f t="shared" si="8"/>
        <v/>
      </c>
      <c r="V185" s="16" t="str">
        <f t="shared" si="10"/>
        <v/>
      </c>
    </row>
    <row r="186" spans="17:22" x14ac:dyDescent="0.15">
      <c r="Q186" s="74" t="str">
        <f t="shared" si="9"/>
        <v/>
      </c>
      <c r="T186" s="16" t="str">
        <f t="shared" si="8"/>
        <v/>
      </c>
      <c r="V186" s="16" t="str">
        <f t="shared" si="10"/>
        <v/>
      </c>
    </row>
    <row r="187" spans="17:22" x14ac:dyDescent="0.15">
      <c r="Q187" s="74" t="str">
        <f t="shared" si="9"/>
        <v/>
      </c>
      <c r="T187" s="16" t="str">
        <f t="shared" si="8"/>
        <v/>
      </c>
      <c r="V187" s="16" t="str">
        <f t="shared" si="10"/>
        <v/>
      </c>
    </row>
    <row r="188" spans="17:22" x14ac:dyDescent="0.15">
      <c r="Q188" s="74" t="str">
        <f t="shared" si="9"/>
        <v/>
      </c>
      <c r="T188" s="16" t="str">
        <f t="shared" si="8"/>
        <v/>
      </c>
      <c r="V188" s="16" t="str">
        <f t="shared" si="10"/>
        <v/>
      </c>
    </row>
    <row r="189" spans="17:22" x14ac:dyDescent="0.15">
      <c r="Q189" s="74" t="str">
        <f t="shared" si="9"/>
        <v/>
      </c>
      <c r="T189" s="16" t="str">
        <f t="shared" si="8"/>
        <v/>
      </c>
      <c r="V189" s="16" t="str">
        <f t="shared" si="10"/>
        <v/>
      </c>
    </row>
    <row r="190" spans="17:22" x14ac:dyDescent="0.15">
      <c r="Q190" s="74" t="str">
        <f t="shared" si="9"/>
        <v/>
      </c>
      <c r="T190" s="16" t="str">
        <f t="shared" si="8"/>
        <v/>
      </c>
      <c r="V190" s="16" t="str">
        <f t="shared" si="10"/>
        <v/>
      </c>
    </row>
    <row r="191" spans="17:22" x14ac:dyDescent="0.15">
      <c r="Q191" s="74" t="str">
        <f t="shared" si="9"/>
        <v/>
      </c>
      <c r="T191" s="16" t="str">
        <f t="shared" si="8"/>
        <v/>
      </c>
      <c r="V191" s="16" t="str">
        <f t="shared" si="10"/>
        <v/>
      </c>
    </row>
    <row r="192" spans="17:22" x14ac:dyDescent="0.15">
      <c r="Q192" s="74" t="str">
        <f t="shared" si="9"/>
        <v/>
      </c>
      <c r="T192" s="16" t="str">
        <f t="shared" si="8"/>
        <v/>
      </c>
      <c r="V192" s="16" t="str">
        <f t="shared" si="10"/>
        <v/>
      </c>
    </row>
    <row r="193" spans="17:22" x14ac:dyDescent="0.15">
      <c r="Q193" s="74" t="str">
        <f t="shared" si="9"/>
        <v/>
      </c>
      <c r="T193" s="16" t="str">
        <f t="shared" si="8"/>
        <v/>
      </c>
      <c r="V193" s="16" t="str">
        <f t="shared" si="10"/>
        <v/>
      </c>
    </row>
    <row r="194" spans="17:22" x14ac:dyDescent="0.15">
      <c r="Q194" s="74" t="str">
        <f t="shared" si="9"/>
        <v/>
      </c>
      <c r="T194" s="16" t="str">
        <f t="shared" ref="T194:T257" si="11">IF(H194="","",IF(OR(H194="GREEN",H194="GK"),IF(S194&gt;=$AX$2,VLOOKUP(S194,$AX$2:$AY$10,2,1),""),IF(S194&gt;=$AZ$2,VLOOKUP(S194,$AZ$2:$BA$10,2,1),"")))</f>
        <v/>
      </c>
      <c r="V194" s="16" t="str">
        <f t="shared" si="10"/>
        <v/>
      </c>
    </row>
    <row r="195" spans="17:22" x14ac:dyDescent="0.15">
      <c r="Q195" s="74" t="str">
        <f t="shared" si="9"/>
        <v/>
      </c>
      <c r="T195" s="16" t="str">
        <f t="shared" si="11"/>
        <v/>
      </c>
      <c r="V195" s="16" t="str">
        <f t="shared" si="10"/>
        <v/>
      </c>
    </row>
    <row r="196" spans="17:22" x14ac:dyDescent="0.15">
      <c r="Q196" s="74" t="str">
        <f t="shared" si="9"/>
        <v/>
      </c>
      <c r="T196" s="16" t="str">
        <f t="shared" si="11"/>
        <v/>
      </c>
      <c r="V196" s="16" t="str">
        <f t="shared" si="10"/>
        <v/>
      </c>
    </row>
    <row r="197" spans="17:22" x14ac:dyDescent="0.15">
      <c r="Q197" s="74" t="str">
        <f t="shared" si="9"/>
        <v/>
      </c>
      <c r="T197" s="16" t="str">
        <f t="shared" si="11"/>
        <v/>
      </c>
      <c r="V197" s="16" t="str">
        <f t="shared" si="10"/>
        <v/>
      </c>
    </row>
    <row r="198" spans="17:22" x14ac:dyDescent="0.15">
      <c r="Q198" s="74" t="str">
        <f t="shared" si="9"/>
        <v/>
      </c>
      <c r="T198" s="16" t="str">
        <f t="shared" si="11"/>
        <v/>
      </c>
      <c r="V198" s="16" t="str">
        <f t="shared" si="10"/>
        <v/>
      </c>
    </row>
    <row r="199" spans="17:22" x14ac:dyDescent="0.15">
      <c r="Q199" s="74" t="str">
        <f t="shared" si="9"/>
        <v/>
      </c>
      <c r="T199" s="16" t="str">
        <f t="shared" si="11"/>
        <v/>
      </c>
      <c r="V199" s="16" t="str">
        <f t="shared" si="10"/>
        <v/>
      </c>
    </row>
    <row r="200" spans="17:22" x14ac:dyDescent="0.15">
      <c r="Q200" s="74" t="str">
        <f t="shared" si="9"/>
        <v/>
      </c>
      <c r="T200" s="16" t="str">
        <f t="shared" si="11"/>
        <v/>
      </c>
      <c r="V200" s="16" t="str">
        <f t="shared" si="10"/>
        <v/>
      </c>
    </row>
    <row r="201" spans="17:22" x14ac:dyDescent="0.15">
      <c r="Q201" s="74" t="str">
        <f t="shared" si="9"/>
        <v/>
      </c>
      <c r="T201" s="16" t="str">
        <f t="shared" si="11"/>
        <v/>
      </c>
      <c r="V201" s="16" t="str">
        <f t="shared" si="10"/>
        <v/>
      </c>
    </row>
    <row r="202" spans="17:22" x14ac:dyDescent="0.15">
      <c r="Q202" s="74" t="str">
        <f t="shared" si="9"/>
        <v/>
      </c>
      <c r="T202" s="16" t="str">
        <f t="shared" si="11"/>
        <v/>
      </c>
      <c r="V202" s="16" t="str">
        <f t="shared" si="10"/>
        <v/>
      </c>
    </row>
    <row r="203" spans="17:22" x14ac:dyDescent="0.15">
      <c r="Q203" s="74" t="str">
        <f t="shared" si="9"/>
        <v/>
      </c>
      <c r="T203" s="16" t="str">
        <f t="shared" si="11"/>
        <v/>
      </c>
      <c r="V203" s="16" t="str">
        <f t="shared" si="10"/>
        <v/>
      </c>
    </row>
    <row r="204" spans="17:22" x14ac:dyDescent="0.15">
      <c r="Q204" s="74" t="str">
        <f t="shared" si="9"/>
        <v/>
      </c>
      <c r="T204" s="16" t="str">
        <f t="shared" si="11"/>
        <v/>
      </c>
      <c r="V204" s="16" t="str">
        <f t="shared" si="10"/>
        <v/>
      </c>
    </row>
    <row r="205" spans="17:22" x14ac:dyDescent="0.15">
      <c r="Q205" s="74" t="str">
        <f t="shared" si="9"/>
        <v/>
      </c>
      <c r="T205" s="16" t="str">
        <f t="shared" si="11"/>
        <v/>
      </c>
      <c r="V205" s="16" t="str">
        <f t="shared" si="10"/>
        <v/>
      </c>
    </row>
    <row r="206" spans="17:22" x14ac:dyDescent="0.15">
      <c r="Q206" s="74" t="str">
        <f t="shared" si="9"/>
        <v/>
      </c>
      <c r="T206" s="16" t="str">
        <f t="shared" si="11"/>
        <v/>
      </c>
      <c r="V206" s="16" t="str">
        <f t="shared" si="10"/>
        <v/>
      </c>
    </row>
    <row r="207" spans="17:22" x14ac:dyDescent="0.15">
      <c r="Q207" s="74" t="str">
        <f t="shared" si="9"/>
        <v/>
      </c>
      <c r="T207" s="16" t="str">
        <f t="shared" si="11"/>
        <v/>
      </c>
      <c r="V207" s="16" t="str">
        <f t="shared" si="10"/>
        <v/>
      </c>
    </row>
    <row r="208" spans="17:22" x14ac:dyDescent="0.15">
      <c r="Q208" s="74" t="str">
        <f t="shared" si="9"/>
        <v/>
      </c>
      <c r="T208" s="16" t="str">
        <f t="shared" si="11"/>
        <v/>
      </c>
      <c r="V208" s="16" t="str">
        <f t="shared" si="10"/>
        <v/>
      </c>
    </row>
    <row r="209" spans="17:22" x14ac:dyDescent="0.15">
      <c r="Q209" s="74" t="str">
        <f t="shared" si="9"/>
        <v/>
      </c>
      <c r="T209" s="16" t="str">
        <f t="shared" si="11"/>
        <v/>
      </c>
      <c r="V209" s="16" t="str">
        <f t="shared" si="10"/>
        <v/>
      </c>
    </row>
    <row r="210" spans="17:22" x14ac:dyDescent="0.15">
      <c r="Q210" s="74" t="str">
        <f t="shared" si="9"/>
        <v/>
      </c>
      <c r="T210" s="16" t="str">
        <f t="shared" si="11"/>
        <v/>
      </c>
      <c r="V210" s="16" t="str">
        <f t="shared" si="10"/>
        <v/>
      </c>
    </row>
    <row r="211" spans="17:22" x14ac:dyDescent="0.15">
      <c r="Q211" s="74" t="str">
        <f t="shared" si="9"/>
        <v/>
      </c>
      <c r="T211" s="16" t="str">
        <f t="shared" si="11"/>
        <v/>
      </c>
      <c r="V211" s="16" t="str">
        <f t="shared" si="10"/>
        <v/>
      </c>
    </row>
    <row r="212" spans="17:22" x14ac:dyDescent="0.15">
      <c r="Q212" s="74" t="str">
        <f t="shared" si="9"/>
        <v/>
      </c>
      <c r="T212" s="16" t="str">
        <f t="shared" si="11"/>
        <v/>
      </c>
      <c r="V212" s="16" t="str">
        <f t="shared" si="10"/>
        <v/>
      </c>
    </row>
    <row r="213" spans="17:22" x14ac:dyDescent="0.15">
      <c r="Q213" s="74" t="str">
        <f t="shared" si="9"/>
        <v/>
      </c>
      <c r="T213" s="16" t="str">
        <f t="shared" si="11"/>
        <v/>
      </c>
      <c r="V213" s="16" t="str">
        <f t="shared" si="10"/>
        <v/>
      </c>
    </row>
    <row r="214" spans="17:22" x14ac:dyDescent="0.15">
      <c r="Q214" s="74" t="str">
        <f t="shared" si="9"/>
        <v/>
      </c>
      <c r="T214" s="16" t="str">
        <f t="shared" si="11"/>
        <v/>
      </c>
      <c r="V214" s="16" t="str">
        <f t="shared" si="10"/>
        <v/>
      </c>
    </row>
    <row r="215" spans="17:22" x14ac:dyDescent="0.15">
      <c r="Q215" s="74" t="str">
        <f t="shared" si="9"/>
        <v/>
      </c>
      <c r="T215" s="16" t="str">
        <f t="shared" si="11"/>
        <v/>
      </c>
      <c r="V215" s="16" t="str">
        <f t="shared" si="10"/>
        <v/>
      </c>
    </row>
    <row r="216" spans="17:22" x14ac:dyDescent="0.15">
      <c r="Q216" s="74" t="str">
        <f t="shared" si="9"/>
        <v/>
      </c>
      <c r="T216" s="16" t="str">
        <f t="shared" si="11"/>
        <v/>
      </c>
      <c r="V216" s="16" t="str">
        <f t="shared" si="10"/>
        <v/>
      </c>
    </row>
    <row r="217" spans="17:22" x14ac:dyDescent="0.15">
      <c r="Q217" s="74" t="str">
        <f t="shared" si="9"/>
        <v/>
      </c>
      <c r="T217" s="16" t="str">
        <f t="shared" si="11"/>
        <v/>
      </c>
      <c r="V217" s="16" t="str">
        <f t="shared" si="10"/>
        <v/>
      </c>
    </row>
    <row r="218" spans="17:22" x14ac:dyDescent="0.15">
      <c r="Q218" s="74" t="str">
        <f t="shared" si="9"/>
        <v/>
      </c>
      <c r="T218" s="16" t="str">
        <f t="shared" si="11"/>
        <v/>
      </c>
      <c r="V218" s="16" t="str">
        <f t="shared" si="10"/>
        <v/>
      </c>
    </row>
    <row r="219" spans="17:22" x14ac:dyDescent="0.15">
      <c r="Q219" s="74" t="str">
        <f t="shared" ref="Q219:Q282" si="12">IF(OR(O219="",P219=""),"",AVERAGE(O219,P219))</f>
        <v/>
      </c>
      <c r="T219" s="16" t="str">
        <f t="shared" si="11"/>
        <v/>
      </c>
      <c r="V219" s="16" t="str">
        <f t="shared" ref="V219:V282" si="13">IF(OR(N219="",U219="",T219=""),"",U219/N219*T219)</f>
        <v/>
      </c>
    </row>
    <row r="220" spans="17:22" x14ac:dyDescent="0.15">
      <c r="Q220" s="74" t="str">
        <f t="shared" si="12"/>
        <v/>
      </c>
      <c r="T220" s="16" t="str">
        <f t="shared" si="11"/>
        <v/>
      </c>
      <c r="V220" s="16" t="str">
        <f t="shared" si="13"/>
        <v/>
      </c>
    </row>
    <row r="221" spans="17:22" x14ac:dyDescent="0.15">
      <c r="Q221" s="74" t="str">
        <f t="shared" si="12"/>
        <v/>
      </c>
      <c r="T221" s="16" t="str">
        <f t="shared" si="11"/>
        <v/>
      </c>
      <c r="V221" s="16" t="str">
        <f t="shared" si="13"/>
        <v/>
      </c>
    </row>
    <row r="222" spans="17:22" x14ac:dyDescent="0.15">
      <c r="Q222" s="74" t="str">
        <f t="shared" si="12"/>
        <v/>
      </c>
      <c r="T222" s="16" t="str">
        <f t="shared" si="11"/>
        <v/>
      </c>
      <c r="V222" s="16" t="str">
        <f t="shared" si="13"/>
        <v/>
      </c>
    </row>
    <row r="223" spans="17:22" x14ac:dyDescent="0.15">
      <c r="Q223" s="74" t="str">
        <f t="shared" si="12"/>
        <v/>
      </c>
      <c r="T223" s="16" t="str">
        <f t="shared" si="11"/>
        <v/>
      </c>
      <c r="V223" s="16" t="str">
        <f t="shared" si="13"/>
        <v/>
      </c>
    </row>
    <row r="224" spans="17:22" x14ac:dyDescent="0.15">
      <c r="Q224" s="74" t="str">
        <f t="shared" si="12"/>
        <v/>
      </c>
      <c r="T224" s="16" t="str">
        <f t="shared" si="11"/>
        <v/>
      </c>
      <c r="V224" s="16" t="str">
        <f t="shared" si="13"/>
        <v/>
      </c>
    </row>
    <row r="225" spans="17:22" x14ac:dyDescent="0.15">
      <c r="Q225" s="74" t="str">
        <f t="shared" si="12"/>
        <v/>
      </c>
      <c r="T225" s="16" t="str">
        <f t="shared" si="11"/>
        <v/>
      </c>
      <c r="V225" s="16" t="str">
        <f t="shared" si="13"/>
        <v/>
      </c>
    </row>
    <row r="226" spans="17:22" x14ac:dyDescent="0.15">
      <c r="Q226" s="74" t="str">
        <f t="shared" si="12"/>
        <v/>
      </c>
      <c r="T226" s="16" t="str">
        <f t="shared" si="11"/>
        <v/>
      </c>
      <c r="V226" s="16" t="str">
        <f t="shared" si="13"/>
        <v/>
      </c>
    </row>
    <row r="227" spans="17:22" x14ac:dyDescent="0.15">
      <c r="Q227" s="74" t="str">
        <f t="shared" si="12"/>
        <v/>
      </c>
      <c r="T227" s="16" t="str">
        <f t="shared" si="11"/>
        <v/>
      </c>
      <c r="V227" s="16" t="str">
        <f t="shared" si="13"/>
        <v/>
      </c>
    </row>
    <row r="228" spans="17:22" x14ac:dyDescent="0.15">
      <c r="Q228" s="74" t="str">
        <f t="shared" si="12"/>
        <v/>
      </c>
      <c r="T228" s="16" t="str">
        <f t="shared" si="11"/>
        <v/>
      </c>
      <c r="V228" s="16" t="str">
        <f t="shared" si="13"/>
        <v/>
      </c>
    </row>
    <row r="229" spans="17:22" x14ac:dyDescent="0.15">
      <c r="Q229" s="74" t="str">
        <f t="shared" si="12"/>
        <v/>
      </c>
      <c r="T229" s="16" t="str">
        <f t="shared" si="11"/>
        <v/>
      </c>
      <c r="V229" s="16" t="str">
        <f t="shared" si="13"/>
        <v/>
      </c>
    </row>
    <row r="230" spans="17:22" x14ac:dyDescent="0.15">
      <c r="Q230" s="74" t="str">
        <f t="shared" si="12"/>
        <v/>
      </c>
      <c r="T230" s="16" t="str">
        <f t="shared" si="11"/>
        <v/>
      </c>
      <c r="V230" s="16" t="str">
        <f t="shared" si="13"/>
        <v/>
      </c>
    </row>
    <row r="231" spans="17:22" x14ac:dyDescent="0.15">
      <c r="Q231" s="74" t="str">
        <f t="shared" si="12"/>
        <v/>
      </c>
      <c r="T231" s="16" t="str">
        <f t="shared" si="11"/>
        <v/>
      </c>
      <c r="V231" s="16" t="str">
        <f t="shared" si="13"/>
        <v/>
      </c>
    </row>
    <row r="232" spans="17:22" x14ac:dyDescent="0.15">
      <c r="Q232" s="74" t="str">
        <f t="shared" si="12"/>
        <v/>
      </c>
      <c r="T232" s="16" t="str">
        <f t="shared" si="11"/>
        <v/>
      </c>
      <c r="V232" s="16" t="str">
        <f t="shared" si="13"/>
        <v/>
      </c>
    </row>
    <row r="233" spans="17:22" x14ac:dyDescent="0.15">
      <c r="Q233" s="74" t="str">
        <f t="shared" si="12"/>
        <v/>
      </c>
      <c r="T233" s="16" t="str">
        <f t="shared" si="11"/>
        <v/>
      </c>
      <c r="V233" s="16" t="str">
        <f t="shared" si="13"/>
        <v/>
      </c>
    </row>
    <row r="234" spans="17:22" x14ac:dyDescent="0.15">
      <c r="Q234" s="74" t="str">
        <f t="shared" si="12"/>
        <v/>
      </c>
      <c r="T234" s="16" t="str">
        <f t="shared" si="11"/>
        <v/>
      </c>
      <c r="V234" s="16" t="str">
        <f t="shared" si="13"/>
        <v/>
      </c>
    </row>
    <row r="235" spans="17:22" x14ac:dyDescent="0.15">
      <c r="Q235" s="74" t="str">
        <f t="shared" si="12"/>
        <v/>
      </c>
      <c r="T235" s="16" t="str">
        <f t="shared" si="11"/>
        <v/>
      </c>
      <c r="V235" s="16" t="str">
        <f t="shared" si="13"/>
        <v/>
      </c>
    </row>
    <row r="236" spans="17:22" x14ac:dyDescent="0.15">
      <c r="Q236" s="74" t="str">
        <f t="shared" si="12"/>
        <v/>
      </c>
      <c r="T236" s="16" t="str">
        <f t="shared" si="11"/>
        <v/>
      </c>
      <c r="V236" s="16" t="str">
        <f t="shared" si="13"/>
        <v/>
      </c>
    </row>
    <row r="237" spans="17:22" x14ac:dyDescent="0.15">
      <c r="Q237" s="74" t="str">
        <f t="shared" si="12"/>
        <v/>
      </c>
      <c r="T237" s="16" t="str">
        <f t="shared" si="11"/>
        <v/>
      </c>
      <c r="V237" s="16" t="str">
        <f t="shared" si="13"/>
        <v/>
      </c>
    </row>
    <row r="238" spans="17:22" x14ac:dyDescent="0.15">
      <c r="Q238" s="74" t="str">
        <f t="shared" si="12"/>
        <v/>
      </c>
      <c r="T238" s="16" t="str">
        <f t="shared" si="11"/>
        <v/>
      </c>
      <c r="V238" s="16" t="str">
        <f t="shared" si="13"/>
        <v/>
      </c>
    </row>
    <row r="239" spans="17:22" x14ac:dyDescent="0.15">
      <c r="Q239" s="74" t="str">
        <f t="shared" si="12"/>
        <v/>
      </c>
      <c r="T239" s="16" t="str">
        <f t="shared" si="11"/>
        <v/>
      </c>
      <c r="V239" s="16" t="str">
        <f t="shared" si="13"/>
        <v/>
      </c>
    </row>
    <row r="240" spans="17:22" x14ac:dyDescent="0.15">
      <c r="Q240" s="74" t="str">
        <f t="shared" si="12"/>
        <v/>
      </c>
      <c r="T240" s="16" t="str">
        <f t="shared" si="11"/>
        <v/>
      </c>
      <c r="V240" s="16" t="str">
        <f t="shared" si="13"/>
        <v/>
      </c>
    </row>
    <row r="241" spans="17:22" x14ac:dyDescent="0.15">
      <c r="Q241" s="74" t="str">
        <f t="shared" si="12"/>
        <v/>
      </c>
      <c r="T241" s="16" t="str">
        <f t="shared" si="11"/>
        <v/>
      </c>
      <c r="V241" s="16" t="str">
        <f t="shared" si="13"/>
        <v/>
      </c>
    </row>
    <row r="242" spans="17:22" x14ac:dyDescent="0.15">
      <c r="Q242" s="74" t="str">
        <f t="shared" si="12"/>
        <v/>
      </c>
      <c r="T242" s="16" t="str">
        <f t="shared" si="11"/>
        <v/>
      </c>
      <c r="V242" s="16" t="str">
        <f t="shared" si="13"/>
        <v/>
      </c>
    </row>
    <row r="243" spans="17:22" x14ac:dyDescent="0.15">
      <c r="Q243" s="74" t="str">
        <f t="shared" si="12"/>
        <v/>
      </c>
      <c r="T243" s="16" t="str">
        <f t="shared" si="11"/>
        <v/>
      </c>
      <c r="V243" s="16" t="str">
        <f t="shared" si="13"/>
        <v/>
      </c>
    </row>
    <row r="244" spans="17:22" x14ac:dyDescent="0.15">
      <c r="Q244" s="74" t="str">
        <f t="shared" si="12"/>
        <v/>
      </c>
      <c r="T244" s="16" t="str">
        <f t="shared" si="11"/>
        <v/>
      </c>
      <c r="V244" s="16" t="str">
        <f t="shared" si="13"/>
        <v/>
      </c>
    </row>
    <row r="245" spans="17:22" x14ac:dyDescent="0.15">
      <c r="Q245" s="74" t="str">
        <f t="shared" si="12"/>
        <v/>
      </c>
      <c r="T245" s="16" t="str">
        <f t="shared" si="11"/>
        <v/>
      </c>
      <c r="V245" s="16" t="str">
        <f t="shared" si="13"/>
        <v/>
      </c>
    </row>
    <row r="246" spans="17:22" x14ac:dyDescent="0.15">
      <c r="Q246" s="74" t="str">
        <f t="shared" si="12"/>
        <v/>
      </c>
      <c r="T246" s="16" t="str">
        <f t="shared" si="11"/>
        <v/>
      </c>
      <c r="V246" s="16" t="str">
        <f t="shared" si="13"/>
        <v/>
      </c>
    </row>
    <row r="247" spans="17:22" x14ac:dyDescent="0.15">
      <c r="Q247" s="74" t="str">
        <f t="shared" si="12"/>
        <v/>
      </c>
      <c r="T247" s="16" t="str">
        <f t="shared" si="11"/>
        <v/>
      </c>
      <c r="V247" s="16" t="str">
        <f t="shared" si="13"/>
        <v/>
      </c>
    </row>
    <row r="248" spans="17:22" x14ac:dyDescent="0.15">
      <c r="Q248" s="74" t="str">
        <f t="shared" si="12"/>
        <v/>
      </c>
      <c r="T248" s="16" t="str">
        <f t="shared" si="11"/>
        <v/>
      </c>
      <c r="V248" s="16" t="str">
        <f t="shared" si="13"/>
        <v/>
      </c>
    </row>
    <row r="249" spans="17:22" x14ac:dyDescent="0.15">
      <c r="Q249" s="74" t="str">
        <f t="shared" si="12"/>
        <v/>
      </c>
      <c r="T249" s="16" t="str">
        <f t="shared" si="11"/>
        <v/>
      </c>
      <c r="V249" s="16" t="str">
        <f t="shared" si="13"/>
        <v/>
      </c>
    </row>
    <row r="250" spans="17:22" x14ac:dyDescent="0.15">
      <c r="Q250" s="74" t="str">
        <f t="shared" si="12"/>
        <v/>
      </c>
      <c r="T250" s="16" t="str">
        <f t="shared" si="11"/>
        <v/>
      </c>
      <c r="V250" s="16" t="str">
        <f t="shared" si="13"/>
        <v/>
      </c>
    </row>
    <row r="251" spans="17:22" x14ac:dyDescent="0.15">
      <c r="Q251" s="74" t="str">
        <f t="shared" si="12"/>
        <v/>
      </c>
      <c r="T251" s="16" t="str">
        <f t="shared" si="11"/>
        <v/>
      </c>
      <c r="V251" s="16" t="str">
        <f t="shared" si="13"/>
        <v/>
      </c>
    </row>
    <row r="252" spans="17:22" x14ac:dyDescent="0.15">
      <c r="Q252" s="74" t="str">
        <f t="shared" si="12"/>
        <v/>
      </c>
      <c r="T252" s="16" t="str">
        <f t="shared" si="11"/>
        <v/>
      </c>
      <c r="V252" s="16" t="str">
        <f t="shared" si="13"/>
        <v/>
      </c>
    </row>
    <row r="253" spans="17:22" x14ac:dyDescent="0.15">
      <c r="Q253" s="74" t="str">
        <f t="shared" si="12"/>
        <v/>
      </c>
      <c r="T253" s="16" t="str">
        <f t="shared" si="11"/>
        <v/>
      </c>
      <c r="V253" s="16" t="str">
        <f t="shared" si="13"/>
        <v/>
      </c>
    </row>
    <row r="254" spans="17:22" x14ac:dyDescent="0.15">
      <c r="Q254" s="74" t="str">
        <f t="shared" si="12"/>
        <v/>
      </c>
      <c r="T254" s="16" t="str">
        <f t="shared" si="11"/>
        <v/>
      </c>
      <c r="V254" s="16" t="str">
        <f t="shared" si="13"/>
        <v/>
      </c>
    </row>
    <row r="255" spans="17:22" x14ac:dyDescent="0.15">
      <c r="Q255" s="74" t="str">
        <f t="shared" si="12"/>
        <v/>
      </c>
      <c r="T255" s="16" t="str">
        <f t="shared" si="11"/>
        <v/>
      </c>
      <c r="V255" s="16" t="str">
        <f t="shared" si="13"/>
        <v/>
      </c>
    </row>
    <row r="256" spans="17:22" x14ac:dyDescent="0.15">
      <c r="Q256" s="74" t="str">
        <f t="shared" si="12"/>
        <v/>
      </c>
      <c r="T256" s="16" t="str">
        <f t="shared" si="11"/>
        <v/>
      </c>
      <c r="V256" s="16" t="str">
        <f t="shared" si="13"/>
        <v/>
      </c>
    </row>
    <row r="257" spans="17:22" x14ac:dyDescent="0.15">
      <c r="Q257" s="74" t="str">
        <f t="shared" si="12"/>
        <v/>
      </c>
      <c r="T257" s="16" t="str">
        <f t="shared" si="11"/>
        <v/>
      </c>
      <c r="V257" s="16" t="str">
        <f t="shared" si="13"/>
        <v/>
      </c>
    </row>
    <row r="258" spans="17:22" x14ac:dyDescent="0.15">
      <c r="Q258" s="74" t="str">
        <f t="shared" si="12"/>
        <v/>
      </c>
      <c r="T258" s="16" t="str">
        <f t="shared" ref="T258:T321" si="14">IF(H258="","",IF(OR(H258="GREEN",H258="GK"),IF(S258&gt;=$AX$2,VLOOKUP(S258,$AX$2:$AY$10,2,1),""),IF(S258&gt;=$AZ$2,VLOOKUP(S258,$AZ$2:$BA$10,2,1),"")))</f>
        <v/>
      </c>
      <c r="V258" s="16" t="str">
        <f t="shared" si="13"/>
        <v/>
      </c>
    </row>
    <row r="259" spans="17:22" x14ac:dyDescent="0.15">
      <c r="Q259" s="74" t="str">
        <f t="shared" si="12"/>
        <v/>
      </c>
      <c r="T259" s="16" t="str">
        <f t="shared" si="14"/>
        <v/>
      </c>
      <c r="V259" s="16" t="str">
        <f t="shared" si="13"/>
        <v/>
      </c>
    </row>
    <row r="260" spans="17:22" x14ac:dyDescent="0.15">
      <c r="Q260" s="74" t="str">
        <f t="shared" si="12"/>
        <v/>
      </c>
      <c r="T260" s="16" t="str">
        <f t="shared" si="14"/>
        <v/>
      </c>
      <c r="V260" s="16" t="str">
        <f t="shared" si="13"/>
        <v/>
      </c>
    </row>
    <row r="261" spans="17:22" x14ac:dyDescent="0.15">
      <c r="Q261" s="74" t="str">
        <f t="shared" si="12"/>
        <v/>
      </c>
      <c r="T261" s="16" t="str">
        <f t="shared" si="14"/>
        <v/>
      </c>
      <c r="V261" s="16" t="str">
        <f t="shared" si="13"/>
        <v/>
      </c>
    </row>
    <row r="262" spans="17:22" x14ac:dyDescent="0.15">
      <c r="Q262" s="74" t="str">
        <f t="shared" si="12"/>
        <v/>
      </c>
      <c r="T262" s="16" t="str">
        <f t="shared" si="14"/>
        <v/>
      </c>
      <c r="V262" s="16" t="str">
        <f t="shared" si="13"/>
        <v/>
      </c>
    </row>
    <row r="263" spans="17:22" x14ac:dyDescent="0.15">
      <c r="Q263" s="74" t="str">
        <f t="shared" si="12"/>
        <v/>
      </c>
      <c r="T263" s="16" t="str">
        <f t="shared" si="14"/>
        <v/>
      </c>
      <c r="V263" s="16" t="str">
        <f t="shared" si="13"/>
        <v/>
      </c>
    </row>
    <row r="264" spans="17:22" x14ac:dyDescent="0.15">
      <c r="Q264" s="74" t="str">
        <f t="shared" si="12"/>
        <v/>
      </c>
      <c r="T264" s="16" t="str">
        <f t="shared" si="14"/>
        <v/>
      </c>
      <c r="V264" s="16" t="str">
        <f t="shared" si="13"/>
        <v/>
      </c>
    </row>
    <row r="265" spans="17:22" x14ac:dyDescent="0.15">
      <c r="Q265" s="74" t="str">
        <f t="shared" si="12"/>
        <v/>
      </c>
      <c r="T265" s="16" t="str">
        <f t="shared" si="14"/>
        <v/>
      </c>
      <c r="V265" s="16" t="str">
        <f t="shared" si="13"/>
        <v/>
      </c>
    </row>
    <row r="266" spans="17:22" x14ac:dyDescent="0.15">
      <c r="Q266" s="74" t="str">
        <f t="shared" si="12"/>
        <v/>
      </c>
      <c r="T266" s="16" t="str">
        <f t="shared" si="14"/>
        <v/>
      </c>
      <c r="V266" s="16" t="str">
        <f t="shared" si="13"/>
        <v/>
      </c>
    </row>
    <row r="267" spans="17:22" x14ac:dyDescent="0.15">
      <c r="Q267" s="74" t="str">
        <f t="shared" si="12"/>
        <v/>
      </c>
      <c r="T267" s="16" t="str">
        <f t="shared" si="14"/>
        <v/>
      </c>
      <c r="V267" s="16" t="str">
        <f t="shared" si="13"/>
        <v/>
      </c>
    </row>
    <row r="268" spans="17:22" x14ac:dyDescent="0.15">
      <c r="Q268" s="74" t="str">
        <f t="shared" si="12"/>
        <v/>
      </c>
      <c r="T268" s="16" t="str">
        <f t="shared" si="14"/>
        <v/>
      </c>
      <c r="V268" s="16" t="str">
        <f t="shared" si="13"/>
        <v/>
      </c>
    </row>
    <row r="269" spans="17:22" x14ac:dyDescent="0.15">
      <c r="Q269" s="74" t="str">
        <f t="shared" si="12"/>
        <v/>
      </c>
      <c r="T269" s="16" t="str">
        <f t="shared" si="14"/>
        <v/>
      </c>
      <c r="V269" s="16" t="str">
        <f t="shared" si="13"/>
        <v/>
      </c>
    </row>
    <row r="270" spans="17:22" x14ac:dyDescent="0.15">
      <c r="Q270" s="74" t="str">
        <f t="shared" si="12"/>
        <v/>
      </c>
      <c r="T270" s="16" t="str">
        <f t="shared" si="14"/>
        <v/>
      </c>
      <c r="V270" s="16" t="str">
        <f t="shared" si="13"/>
        <v/>
      </c>
    </row>
    <row r="271" spans="17:22" x14ac:dyDescent="0.15">
      <c r="Q271" s="74" t="str">
        <f t="shared" si="12"/>
        <v/>
      </c>
      <c r="T271" s="16" t="str">
        <f t="shared" si="14"/>
        <v/>
      </c>
      <c r="V271" s="16" t="str">
        <f t="shared" si="13"/>
        <v/>
      </c>
    </row>
    <row r="272" spans="17:22" x14ac:dyDescent="0.15">
      <c r="Q272" s="74" t="str">
        <f t="shared" si="12"/>
        <v/>
      </c>
      <c r="T272" s="16" t="str">
        <f t="shared" si="14"/>
        <v/>
      </c>
      <c r="V272" s="16" t="str">
        <f t="shared" si="13"/>
        <v/>
      </c>
    </row>
    <row r="273" spans="17:22" x14ac:dyDescent="0.15">
      <c r="Q273" s="74" t="str">
        <f t="shared" si="12"/>
        <v/>
      </c>
      <c r="T273" s="16" t="str">
        <f t="shared" si="14"/>
        <v/>
      </c>
      <c r="V273" s="16" t="str">
        <f t="shared" si="13"/>
        <v/>
      </c>
    </row>
    <row r="274" spans="17:22" x14ac:dyDescent="0.15">
      <c r="Q274" s="74" t="str">
        <f t="shared" si="12"/>
        <v/>
      </c>
      <c r="T274" s="16" t="str">
        <f t="shared" si="14"/>
        <v/>
      </c>
      <c r="V274" s="16" t="str">
        <f t="shared" si="13"/>
        <v/>
      </c>
    </row>
    <row r="275" spans="17:22" x14ac:dyDescent="0.15">
      <c r="Q275" s="74" t="str">
        <f t="shared" si="12"/>
        <v/>
      </c>
      <c r="T275" s="16" t="str">
        <f t="shared" si="14"/>
        <v/>
      </c>
      <c r="V275" s="16" t="str">
        <f t="shared" si="13"/>
        <v/>
      </c>
    </row>
    <row r="276" spans="17:22" x14ac:dyDescent="0.15">
      <c r="Q276" s="74" t="str">
        <f t="shared" si="12"/>
        <v/>
      </c>
      <c r="T276" s="16" t="str">
        <f t="shared" si="14"/>
        <v/>
      </c>
      <c r="V276" s="16" t="str">
        <f t="shared" si="13"/>
        <v/>
      </c>
    </row>
    <row r="277" spans="17:22" x14ac:dyDescent="0.15">
      <c r="Q277" s="74" t="str">
        <f t="shared" si="12"/>
        <v/>
      </c>
      <c r="T277" s="16" t="str">
        <f t="shared" si="14"/>
        <v/>
      </c>
      <c r="V277" s="16" t="str">
        <f t="shared" si="13"/>
        <v/>
      </c>
    </row>
    <row r="278" spans="17:22" x14ac:dyDescent="0.15">
      <c r="Q278" s="74" t="str">
        <f t="shared" si="12"/>
        <v/>
      </c>
      <c r="T278" s="16" t="str">
        <f t="shared" si="14"/>
        <v/>
      </c>
      <c r="V278" s="16" t="str">
        <f t="shared" si="13"/>
        <v/>
      </c>
    </row>
    <row r="279" spans="17:22" x14ac:dyDescent="0.15">
      <c r="Q279" s="74" t="str">
        <f t="shared" si="12"/>
        <v/>
      </c>
      <c r="T279" s="16" t="str">
        <f t="shared" si="14"/>
        <v/>
      </c>
      <c r="V279" s="16" t="str">
        <f t="shared" si="13"/>
        <v/>
      </c>
    </row>
    <row r="280" spans="17:22" x14ac:dyDescent="0.15">
      <c r="Q280" s="74" t="str">
        <f t="shared" si="12"/>
        <v/>
      </c>
      <c r="T280" s="16" t="str">
        <f t="shared" si="14"/>
        <v/>
      </c>
      <c r="V280" s="16" t="str">
        <f t="shared" si="13"/>
        <v/>
      </c>
    </row>
    <row r="281" spans="17:22" x14ac:dyDescent="0.15">
      <c r="Q281" s="74" t="str">
        <f t="shared" si="12"/>
        <v/>
      </c>
      <c r="T281" s="16" t="str">
        <f t="shared" si="14"/>
        <v/>
      </c>
      <c r="V281" s="16" t="str">
        <f t="shared" si="13"/>
        <v/>
      </c>
    </row>
    <row r="282" spans="17:22" x14ac:dyDescent="0.15">
      <c r="Q282" s="74" t="str">
        <f t="shared" si="12"/>
        <v/>
      </c>
      <c r="T282" s="16" t="str">
        <f t="shared" si="14"/>
        <v/>
      </c>
      <c r="V282" s="16" t="str">
        <f t="shared" si="13"/>
        <v/>
      </c>
    </row>
    <row r="283" spans="17:22" x14ac:dyDescent="0.15">
      <c r="Q283" s="74" t="str">
        <f t="shared" ref="Q283:Q346" si="15">IF(OR(O283="",P283=""),"",AVERAGE(O283,P283))</f>
        <v/>
      </c>
      <c r="T283" s="16" t="str">
        <f t="shared" si="14"/>
        <v/>
      </c>
      <c r="V283" s="16" t="str">
        <f t="shared" ref="V283:V346" si="16">IF(OR(N283="",U283="",T283=""),"",U283/N283*T283)</f>
        <v/>
      </c>
    </row>
    <row r="284" spans="17:22" x14ac:dyDescent="0.15">
      <c r="Q284" s="74" t="str">
        <f t="shared" si="15"/>
        <v/>
      </c>
      <c r="T284" s="16" t="str">
        <f t="shared" si="14"/>
        <v/>
      </c>
      <c r="V284" s="16" t="str">
        <f t="shared" si="16"/>
        <v/>
      </c>
    </row>
    <row r="285" spans="17:22" x14ac:dyDescent="0.15">
      <c r="Q285" s="74" t="str">
        <f t="shared" si="15"/>
        <v/>
      </c>
      <c r="T285" s="16" t="str">
        <f t="shared" si="14"/>
        <v/>
      </c>
      <c r="V285" s="16" t="str">
        <f t="shared" si="16"/>
        <v/>
      </c>
    </row>
    <row r="286" spans="17:22" x14ac:dyDescent="0.15">
      <c r="Q286" s="74" t="str">
        <f t="shared" si="15"/>
        <v/>
      </c>
      <c r="T286" s="16" t="str">
        <f t="shared" si="14"/>
        <v/>
      </c>
      <c r="V286" s="16" t="str">
        <f t="shared" si="16"/>
        <v/>
      </c>
    </row>
    <row r="287" spans="17:22" x14ac:dyDescent="0.15">
      <c r="Q287" s="74" t="str">
        <f t="shared" si="15"/>
        <v/>
      </c>
      <c r="T287" s="16" t="str">
        <f t="shared" si="14"/>
        <v/>
      </c>
      <c r="V287" s="16" t="str">
        <f t="shared" si="16"/>
        <v/>
      </c>
    </row>
    <row r="288" spans="17:22" x14ac:dyDescent="0.15">
      <c r="Q288" s="74" t="str">
        <f t="shared" si="15"/>
        <v/>
      </c>
      <c r="T288" s="16" t="str">
        <f t="shared" si="14"/>
        <v/>
      </c>
      <c r="V288" s="16" t="str">
        <f t="shared" si="16"/>
        <v/>
      </c>
    </row>
    <row r="289" spans="17:22" x14ac:dyDescent="0.15">
      <c r="Q289" s="74" t="str">
        <f t="shared" si="15"/>
        <v/>
      </c>
      <c r="T289" s="16" t="str">
        <f t="shared" si="14"/>
        <v/>
      </c>
      <c r="V289" s="16" t="str">
        <f t="shared" si="16"/>
        <v/>
      </c>
    </row>
    <row r="290" spans="17:22" x14ac:dyDescent="0.15">
      <c r="Q290" s="74" t="str">
        <f t="shared" si="15"/>
        <v/>
      </c>
      <c r="T290" s="16" t="str">
        <f t="shared" si="14"/>
        <v/>
      </c>
      <c r="V290" s="16" t="str">
        <f t="shared" si="16"/>
        <v/>
      </c>
    </row>
    <row r="291" spans="17:22" x14ac:dyDescent="0.15">
      <c r="Q291" s="74" t="str">
        <f t="shared" si="15"/>
        <v/>
      </c>
      <c r="T291" s="16" t="str">
        <f t="shared" si="14"/>
        <v/>
      </c>
      <c r="V291" s="16" t="str">
        <f t="shared" si="16"/>
        <v/>
      </c>
    </row>
    <row r="292" spans="17:22" x14ac:dyDescent="0.15">
      <c r="Q292" s="74" t="str">
        <f t="shared" si="15"/>
        <v/>
      </c>
      <c r="T292" s="16" t="str">
        <f t="shared" si="14"/>
        <v/>
      </c>
      <c r="V292" s="16" t="str">
        <f t="shared" si="16"/>
        <v/>
      </c>
    </row>
    <row r="293" spans="17:22" x14ac:dyDescent="0.15">
      <c r="Q293" s="74" t="str">
        <f t="shared" si="15"/>
        <v/>
      </c>
      <c r="T293" s="16" t="str">
        <f t="shared" si="14"/>
        <v/>
      </c>
      <c r="V293" s="16" t="str">
        <f t="shared" si="16"/>
        <v/>
      </c>
    </row>
    <row r="294" spans="17:22" x14ac:dyDescent="0.15">
      <c r="Q294" s="74" t="str">
        <f t="shared" si="15"/>
        <v/>
      </c>
      <c r="T294" s="16" t="str">
        <f t="shared" si="14"/>
        <v/>
      </c>
      <c r="V294" s="16" t="str">
        <f t="shared" si="16"/>
        <v/>
      </c>
    </row>
    <row r="295" spans="17:22" x14ac:dyDescent="0.15">
      <c r="Q295" s="74" t="str">
        <f t="shared" si="15"/>
        <v/>
      </c>
      <c r="T295" s="16" t="str">
        <f t="shared" si="14"/>
        <v/>
      </c>
      <c r="V295" s="16" t="str">
        <f t="shared" si="16"/>
        <v/>
      </c>
    </row>
    <row r="296" spans="17:22" x14ac:dyDescent="0.15">
      <c r="Q296" s="74" t="str">
        <f t="shared" si="15"/>
        <v/>
      </c>
      <c r="T296" s="16" t="str">
        <f t="shared" si="14"/>
        <v/>
      </c>
      <c r="V296" s="16" t="str">
        <f t="shared" si="16"/>
        <v/>
      </c>
    </row>
    <row r="297" spans="17:22" x14ac:dyDescent="0.15">
      <c r="Q297" s="74" t="str">
        <f t="shared" si="15"/>
        <v/>
      </c>
      <c r="T297" s="16" t="str">
        <f t="shared" si="14"/>
        <v/>
      </c>
      <c r="V297" s="16" t="str">
        <f t="shared" si="16"/>
        <v/>
      </c>
    </row>
    <row r="298" spans="17:22" x14ac:dyDescent="0.15">
      <c r="Q298" s="74" t="str">
        <f t="shared" si="15"/>
        <v/>
      </c>
      <c r="T298" s="16" t="str">
        <f t="shared" si="14"/>
        <v/>
      </c>
      <c r="V298" s="16" t="str">
        <f t="shared" si="16"/>
        <v/>
      </c>
    </row>
    <row r="299" spans="17:22" x14ac:dyDescent="0.15">
      <c r="Q299" s="74" t="str">
        <f t="shared" si="15"/>
        <v/>
      </c>
      <c r="T299" s="16" t="str">
        <f t="shared" si="14"/>
        <v/>
      </c>
      <c r="V299" s="16" t="str">
        <f t="shared" si="16"/>
        <v/>
      </c>
    </row>
    <row r="300" spans="17:22" x14ac:dyDescent="0.15">
      <c r="Q300" s="74" t="str">
        <f t="shared" si="15"/>
        <v/>
      </c>
      <c r="T300" s="16" t="str">
        <f t="shared" si="14"/>
        <v/>
      </c>
      <c r="V300" s="16" t="str">
        <f t="shared" si="16"/>
        <v/>
      </c>
    </row>
    <row r="301" spans="17:22" x14ac:dyDescent="0.15">
      <c r="Q301" s="74" t="str">
        <f t="shared" si="15"/>
        <v/>
      </c>
      <c r="T301" s="16" t="str">
        <f t="shared" si="14"/>
        <v/>
      </c>
      <c r="V301" s="16" t="str">
        <f t="shared" si="16"/>
        <v/>
      </c>
    </row>
    <row r="302" spans="17:22" x14ac:dyDescent="0.15">
      <c r="Q302" s="74" t="str">
        <f t="shared" si="15"/>
        <v/>
      </c>
      <c r="T302" s="16" t="str">
        <f t="shared" si="14"/>
        <v/>
      </c>
      <c r="V302" s="16" t="str">
        <f t="shared" si="16"/>
        <v/>
      </c>
    </row>
    <row r="303" spans="17:22" x14ac:dyDescent="0.15">
      <c r="Q303" s="74" t="str">
        <f t="shared" si="15"/>
        <v/>
      </c>
      <c r="T303" s="16" t="str">
        <f t="shared" si="14"/>
        <v/>
      </c>
      <c r="V303" s="16" t="str">
        <f t="shared" si="16"/>
        <v/>
      </c>
    </row>
    <row r="304" spans="17:22" x14ac:dyDescent="0.15">
      <c r="Q304" s="74" t="str">
        <f t="shared" si="15"/>
        <v/>
      </c>
      <c r="T304" s="16" t="str">
        <f t="shared" si="14"/>
        <v/>
      </c>
      <c r="V304" s="16" t="str">
        <f t="shared" si="16"/>
        <v/>
      </c>
    </row>
    <row r="305" spans="17:22" x14ac:dyDescent="0.15">
      <c r="Q305" s="74" t="str">
        <f t="shared" si="15"/>
        <v/>
      </c>
      <c r="T305" s="16" t="str">
        <f t="shared" si="14"/>
        <v/>
      </c>
      <c r="V305" s="16" t="str">
        <f t="shared" si="16"/>
        <v/>
      </c>
    </row>
    <row r="306" spans="17:22" x14ac:dyDescent="0.15">
      <c r="Q306" s="74" t="str">
        <f t="shared" si="15"/>
        <v/>
      </c>
      <c r="T306" s="16" t="str">
        <f t="shared" si="14"/>
        <v/>
      </c>
      <c r="V306" s="16" t="str">
        <f t="shared" si="16"/>
        <v/>
      </c>
    </row>
    <row r="307" spans="17:22" x14ac:dyDescent="0.15">
      <c r="Q307" s="74" t="str">
        <f t="shared" si="15"/>
        <v/>
      </c>
      <c r="T307" s="16" t="str">
        <f t="shared" si="14"/>
        <v/>
      </c>
      <c r="V307" s="16" t="str">
        <f t="shared" si="16"/>
        <v/>
      </c>
    </row>
    <row r="308" spans="17:22" x14ac:dyDescent="0.15">
      <c r="Q308" s="74" t="str">
        <f t="shared" si="15"/>
        <v/>
      </c>
      <c r="T308" s="16" t="str">
        <f t="shared" si="14"/>
        <v/>
      </c>
      <c r="V308" s="16" t="str">
        <f t="shared" si="16"/>
        <v/>
      </c>
    </row>
    <row r="309" spans="17:22" x14ac:dyDescent="0.15">
      <c r="Q309" s="74" t="str">
        <f t="shared" si="15"/>
        <v/>
      </c>
      <c r="T309" s="16" t="str">
        <f t="shared" si="14"/>
        <v/>
      </c>
      <c r="V309" s="16" t="str">
        <f t="shared" si="16"/>
        <v/>
      </c>
    </row>
    <row r="310" spans="17:22" x14ac:dyDescent="0.15">
      <c r="Q310" s="74" t="str">
        <f t="shared" si="15"/>
        <v/>
      </c>
      <c r="T310" s="16" t="str">
        <f t="shared" si="14"/>
        <v/>
      </c>
      <c r="V310" s="16" t="str">
        <f t="shared" si="16"/>
        <v/>
      </c>
    </row>
    <row r="311" spans="17:22" x14ac:dyDescent="0.15">
      <c r="Q311" s="74" t="str">
        <f t="shared" si="15"/>
        <v/>
      </c>
      <c r="T311" s="16" t="str">
        <f t="shared" si="14"/>
        <v/>
      </c>
      <c r="V311" s="16" t="str">
        <f t="shared" si="16"/>
        <v/>
      </c>
    </row>
    <row r="312" spans="17:22" x14ac:dyDescent="0.15">
      <c r="Q312" s="74" t="str">
        <f t="shared" si="15"/>
        <v/>
      </c>
      <c r="T312" s="16" t="str">
        <f t="shared" si="14"/>
        <v/>
      </c>
      <c r="V312" s="16" t="str">
        <f t="shared" si="16"/>
        <v/>
      </c>
    </row>
    <row r="313" spans="17:22" x14ac:dyDescent="0.15">
      <c r="Q313" s="74" t="str">
        <f t="shared" si="15"/>
        <v/>
      </c>
      <c r="T313" s="16" t="str">
        <f t="shared" si="14"/>
        <v/>
      </c>
      <c r="V313" s="16" t="str">
        <f t="shared" si="16"/>
        <v/>
      </c>
    </row>
    <row r="314" spans="17:22" x14ac:dyDescent="0.15">
      <c r="Q314" s="74" t="str">
        <f t="shared" si="15"/>
        <v/>
      </c>
      <c r="T314" s="16" t="str">
        <f t="shared" si="14"/>
        <v/>
      </c>
      <c r="V314" s="16" t="str">
        <f t="shared" si="16"/>
        <v/>
      </c>
    </row>
    <row r="315" spans="17:22" x14ac:dyDescent="0.15">
      <c r="Q315" s="74" t="str">
        <f t="shared" si="15"/>
        <v/>
      </c>
      <c r="T315" s="16" t="str">
        <f t="shared" si="14"/>
        <v/>
      </c>
      <c r="V315" s="16" t="str">
        <f t="shared" si="16"/>
        <v/>
      </c>
    </row>
    <row r="316" spans="17:22" x14ac:dyDescent="0.15">
      <c r="Q316" s="74" t="str">
        <f t="shared" si="15"/>
        <v/>
      </c>
      <c r="T316" s="16" t="str">
        <f t="shared" si="14"/>
        <v/>
      </c>
      <c r="V316" s="16" t="str">
        <f t="shared" si="16"/>
        <v/>
      </c>
    </row>
    <row r="317" spans="17:22" x14ac:dyDescent="0.15">
      <c r="Q317" s="74" t="str">
        <f t="shared" si="15"/>
        <v/>
      </c>
      <c r="T317" s="16" t="str">
        <f t="shared" si="14"/>
        <v/>
      </c>
      <c r="V317" s="16" t="str">
        <f t="shared" si="16"/>
        <v/>
      </c>
    </row>
    <row r="318" spans="17:22" x14ac:dyDescent="0.15">
      <c r="Q318" s="74" t="str">
        <f t="shared" si="15"/>
        <v/>
      </c>
      <c r="T318" s="16" t="str">
        <f t="shared" si="14"/>
        <v/>
      </c>
      <c r="V318" s="16" t="str">
        <f t="shared" si="16"/>
        <v/>
      </c>
    </row>
    <row r="319" spans="17:22" x14ac:dyDescent="0.15">
      <c r="Q319" s="74" t="str">
        <f t="shared" si="15"/>
        <v/>
      </c>
      <c r="T319" s="16" t="str">
        <f t="shared" si="14"/>
        <v/>
      </c>
      <c r="V319" s="16" t="str">
        <f t="shared" si="16"/>
        <v/>
      </c>
    </row>
    <row r="320" spans="17:22" x14ac:dyDescent="0.15">
      <c r="Q320" s="74" t="str">
        <f t="shared" si="15"/>
        <v/>
      </c>
      <c r="T320" s="16" t="str">
        <f t="shared" si="14"/>
        <v/>
      </c>
      <c r="V320" s="16" t="str">
        <f t="shared" si="16"/>
        <v/>
      </c>
    </row>
    <row r="321" spans="17:22" x14ac:dyDescent="0.15">
      <c r="Q321" s="74" t="str">
        <f t="shared" si="15"/>
        <v/>
      </c>
      <c r="T321" s="16" t="str">
        <f t="shared" si="14"/>
        <v/>
      </c>
      <c r="V321" s="16" t="str">
        <f t="shared" si="16"/>
        <v/>
      </c>
    </row>
    <row r="322" spans="17:22" x14ac:dyDescent="0.15">
      <c r="Q322" s="74" t="str">
        <f t="shared" si="15"/>
        <v/>
      </c>
      <c r="T322" s="16" t="str">
        <f t="shared" ref="T322:T385" si="17">IF(H322="","",IF(OR(H322="GREEN",H322="GK"),IF(S322&gt;=$AX$2,VLOOKUP(S322,$AX$2:$AY$10,2,1),""),IF(S322&gt;=$AZ$2,VLOOKUP(S322,$AZ$2:$BA$10,2,1),"")))</f>
        <v/>
      </c>
      <c r="V322" s="16" t="str">
        <f t="shared" si="16"/>
        <v/>
      </c>
    </row>
    <row r="323" spans="17:22" x14ac:dyDescent="0.15">
      <c r="Q323" s="74" t="str">
        <f t="shared" si="15"/>
        <v/>
      </c>
      <c r="T323" s="16" t="str">
        <f t="shared" si="17"/>
        <v/>
      </c>
      <c r="V323" s="16" t="str">
        <f t="shared" si="16"/>
        <v/>
      </c>
    </row>
    <row r="324" spans="17:22" x14ac:dyDescent="0.15">
      <c r="Q324" s="74" t="str">
        <f t="shared" si="15"/>
        <v/>
      </c>
      <c r="T324" s="16" t="str">
        <f t="shared" si="17"/>
        <v/>
      </c>
      <c r="V324" s="16" t="str">
        <f t="shared" si="16"/>
        <v/>
      </c>
    </row>
    <row r="325" spans="17:22" x14ac:dyDescent="0.15">
      <c r="Q325" s="74" t="str">
        <f t="shared" si="15"/>
        <v/>
      </c>
      <c r="T325" s="16" t="str">
        <f t="shared" si="17"/>
        <v/>
      </c>
      <c r="V325" s="16" t="str">
        <f t="shared" si="16"/>
        <v/>
      </c>
    </row>
    <row r="326" spans="17:22" x14ac:dyDescent="0.15">
      <c r="Q326" s="74" t="str">
        <f t="shared" si="15"/>
        <v/>
      </c>
      <c r="T326" s="16" t="str">
        <f t="shared" si="17"/>
        <v/>
      </c>
      <c r="V326" s="16" t="str">
        <f t="shared" si="16"/>
        <v/>
      </c>
    </row>
    <row r="327" spans="17:22" x14ac:dyDescent="0.15">
      <c r="Q327" s="74" t="str">
        <f t="shared" si="15"/>
        <v/>
      </c>
      <c r="T327" s="16" t="str">
        <f t="shared" si="17"/>
        <v/>
      </c>
      <c r="V327" s="16" t="str">
        <f t="shared" si="16"/>
        <v/>
      </c>
    </row>
    <row r="328" spans="17:22" x14ac:dyDescent="0.15">
      <c r="Q328" s="74" t="str">
        <f t="shared" si="15"/>
        <v/>
      </c>
      <c r="T328" s="16" t="str">
        <f t="shared" si="17"/>
        <v/>
      </c>
      <c r="V328" s="16" t="str">
        <f t="shared" si="16"/>
        <v/>
      </c>
    </row>
    <row r="329" spans="17:22" x14ac:dyDescent="0.15">
      <c r="Q329" s="74" t="str">
        <f t="shared" si="15"/>
        <v/>
      </c>
      <c r="T329" s="16" t="str">
        <f t="shared" si="17"/>
        <v/>
      </c>
      <c r="V329" s="16" t="str">
        <f t="shared" si="16"/>
        <v/>
      </c>
    </row>
    <row r="330" spans="17:22" x14ac:dyDescent="0.15">
      <c r="Q330" s="74" t="str">
        <f t="shared" si="15"/>
        <v/>
      </c>
      <c r="T330" s="16" t="str">
        <f t="shared" si="17"/>
        <v/>
      </c>
      <c r="V330" s="16" t="str">
        <f t="shared" si="16"/>
        <v/>
      </c>
    </row>
    <row r="331" spans="17:22" x14ac:dyDescent="0.15">
      <c r="Q331" s="74" t="str">
        <f t="shared" si="15"/>
        <v/>
      </c>
      <c r="T331" s="16" t="str">
        <f t="shared" si="17"/>
        <v/>
      </c>
      <c r="V331" s="16" t="str">
        <f t="shared" si="16"/>
        <v/>
      </c>
    </row>
    <row r="332" spans="17:22" x14ac:dyDescent="0.15">
      <c r="Q332" s="74" t="str">
        <f t="shared" si="15"/>
        <v/>
      </c>
      <c r="T332" s="16" t="str">
        <f t="shared" si="17"/>
        <v/>
      </c>
      <c r="V332" s="16" t="str">
        <f t="shared" si="16"/>
        <v/>
      </c>
    </row>
    <row r="333" spans="17:22" x14ac:dyDescent="0.15">
      <c r="Q333" s="74" t="str">
        <f t="shared" si="15"/>
        <v/>
      </c>
      <c r="T333" s="16" t="str">
        <f t="shared" si="17"/>
        <v/>
      </c>
      <c r="V333" s="16" t="str">
        <f t="shared" si="16"/>
        <v/>
      </c>
    </row>
    <row r="334" spans="17:22" x14ac:dyDescent="0.15">
      <c r="Q334" s="74" t="str">
        <f t="shared" si="15"/>
        <v/>
      </c>
      <c r="T334" s="16" t="str">
        <f t="shared" si="17"/>
        <v/>
      </c>
      <c r="V334" s="16" t="str">
        <f t="shared" si="16"/>
        <v/>
      </c>
    </row>
    <row r="335" spans="17:22" x14ac:dyDescent="0.15">
      <c r="Q335" s="74" t="str">
        <f t="shared" si="15"/>
        <v/>
      </c>
      <c r="T335" s="16" t="str">
        <f t="shared" si="17"/>
        <v/>
      </c>
      <c r="V335" s="16" t="str">
        <f t="shared" si="16"/>
        <v/>
      </c>
    </row>
    <row r="336" spans="17:22" x14ac:dyDescent="0.15">
      <c r="Q336" s="74" t="str">
        <f t="shared" si="15"/>
        <v/>
      </c>
      <c r="T336" s="16" t="str">
        <f t="shared" si="17"/>
        <v/>
      </c>
      <c r="V336" s="16" t="str">
        <f t="shared" si="16"/>
        <v/>
      </c>
    </row>
    <row r="337" spans="17:22" x14ac:dyDescent="0.15">
      <c r="Q337" s="74" t="str">
        <f t="shared" si="15"/>
        <v/>
      </c>
      <c r="T337" s="16" t="str">
        <f t="shared" si="17"/>
        <v/>
      </c>
      <c r="V337" s="16" t="str">
        <f t="shared" si="16"/>
        <v/>
      </c>
    </row>
    <row r="338" spans="17:22" x14ac:dyDescent="0.15">
      <c r="Q338" s="74" t="str">
        <f t="shared" si="15"/>
        <v/>
      </c>
      <c r="T338" s="16" t="str">
        <f t="shared" si="17"/>
        <v/>
      </c>
      <c r="V338" s="16" t="str">
        <f t="shared" si="16"/>
        <v/>
      </c>
    </row>
    <row r="339" spans="17:22" x14ac:dyDescent="0.15">
      <c r="Q339" s="74" t="str">
        <f t="shared" si="15"/>
        <v/>
      </c>
      <c r="T339" s="16" t="str">
        <f t="shared" si="17"/>
        <v/>
      </c>
      <c r="V339" s="16" t="str">
        <f t="shared" si="16"/>
        <v/>
      </c>
    </row>
    <row r="340" spans="17:22" x14ac:dyDescent="0.15">
      <c r="Q340" s="74" t="str">
        <f t="shared" si="15"/>
        <v/>
      </c>
      <c r="T340" s="16" t="str">
        <f t="shared" si="17"/>
        <v/>
      </c>
      <c r="V340" s="16" t="str">
        <f t="shared" si="16"/>
        <v/>
      </c>
    </row>
    <row r="341" spans="17:22" x14ac:dyDescent="0.15">
      <c r="Q341" s="74" t="str">
        <f t="shared" si="15"/>
        <v/>
      </c>
      <c r="T341" s="16" t="str">
        <f t="shared" si="17"/>
        <v/>
      </c>
      <c r="V341" s="16" t="str">
        <f t="shared" si="16"/>
        <v/>
      </c>
    </row>
    <row r="342" spans="17:22" x14ac:dyDescent="0.15">
      <c r="Q342" s="74" t="str">
        <f t="shared" si="15"/>
        <v/>
      </c>
      <c r="T342" s="16" t="str">
        <f t="shared" si="17"/>
        <v/>
      </c>
      <c r="V342" s="16" t="str">
        <f t="shared" si="16"/>
        <v/>
      </c>
    </row>
    <row r="343" spans="17:22" x14ac:dyDescent="0.15">
      <c r="Q343" s="74" t="str">
        <f t="shared" si="15"/>
        <v/>
      </c>
      <c r="T343" s="16" t="str">
        <f t="shared" si="17"/>
        <v/>
      </c>
      <c r="V343" s="16" t="str">
        <f t="shared" si="16"/>
        <v/>
      </c>
    </row>
    <row r="344" spans="17:22" x14ac:dyDescent="0.15">
      <c r="Q344" s="74" t="str">
        <f t="shared" si="15"/>
        <v/>
      </c>
      <c r="T344" s="16" t="str">
        <f t="shared" si="17"/>
        <v/>
      </c>
      <c r="V344" s="16" t="str">
        <f t="shared" si="16"/>
        <v/>
      </c>
    </row>
    <row r="345" spans="17:22" x14ac:dyDescent="0.15">
      <c r="Q345" s="74" t="str">
        <f t="shared" si="15"/>
        <v/>
      </c>
      <c r="T345" s="16" t="str">
        <f t="shared" si="17"/>
        <v/>
      </c>
      <c r="V345" s="16" t="str">
        <f t="shared" si="16"/>
        <v/>
      </c>
    </row>
    <row r="346" spans="17:22" x14ac:dyDescent="0.15">
      <c r="Q346" s="74" t="str">
        <f t="shared" si="15"/>
        <v/>
      </c>
      <c r="T346" s="16" t="str">
        <f t="shared" si="17"/>
        <v/>
      </c>
      <c r="V346" s="16" t="str">
        <f t="shared" si="16"/>
        <v/>
      </c>
    </row>
    <row r="347" spans="17:22" x14ac:dyDescent="0.15">
      <c r="Q347" s="74" t="str">
        <f t="shared" ref="Q347:Q383" si="18">IF(OR(O347="",P347=""),"",AVERAGE(O347,P347))</f>
        <v/>
      </c>
      <c r="T347" s="16" t="str">
        <f t="shared" si="17"/>
        <v/>
      </c>
      <c r="V347" s="16" t="str">
        <f t="shared" ref="V347:V391" si="19">IF(OR(N347="",U347="",T347=""),"",U347/N347*T347)</f>
        <v/>
      </c>
    </row>
    <row r="348" spans="17:22" x14ac:dyDescent="0.15">
      <c r="Q348" s="74" t="str">
        <f t="shared" si="18"/>
        <v/>
      </c>
      <c r="T348" s="16" t="str">
        <f t="shared" si="17"/>
        <v/>
      </c>
      <c r="V348" s="16" t="str">
        <f t="shared" si="19"/>
        <v/>
      </c>
    </row>
    <row r="349" spans="17:22" x14ac:dyDescent="0.15">
      <c r="Q349" s="74" t="str">
        <f t="shared" si="18"/>
        <v/>
      </c>
      <c r="T349" s="16" t="str">
        <f t="shared" si="17"/>
        <v/>
      </c>
      <c r="V349" s="16" t="str">
        <f t="shared" si="19"/>
        <v/>
      </c>
    </row>
    <row r="350" spans="17:22" x14ac:dyDescent="0.15">
      <c r="Q350" s="74" t="str">
        <f t="shared" si="18"/>
        <v/>
      </c>
      <c r="T350" s="16" t="str">
        <f t="shared" si="17"/>
        <v/>
      </c>
      <c r="V350" s="16" t="str">
        <f t="shared" si="19"/>
        <v/>
      </c>
    </row>
    <row r="351" spans="17:22" x14ac:dyDescent="0.15">
      <c r="Q351" s="74" t="str">
        <f t="shared" si="18"/>
        <v/>
      </c>
      <c r="T351" s="16" t="str">
        <f t="shared" si="17"/>
        <v/>
      </c>
      <c r="V351" s="16" t="str">
        <f t="shared" si="19"/>
        <v/>
      </c>
    </row>
    <row r="352" spans="17:22" x14ac:dyDescent="0.15">
      <c r="Q352" s="74" t="str">
        <f t="shared" si="18"/>
        <v/>
      </c>
      <c r="T352" s="16" t="str">
        <f t="shared" si="17"/>
        <v/>
      </c>
      <c r="V352" s="16" t="str">
        <f t="shared" si="19"/>
        <v/>
      </c>
    </row>
    <row r="353" spans="17:22" x14ac:dyDescent="0.15">
      <c r="Q353" s="74" t="str">
        <f t="shared" si="18"/>
        <v/>
      </c>
      <c r="T353" s="16" t="str">
        <f t="shared" si="17"/>
        <v/>
      </c>
      <c r="V353" s="16" t="str">
        <f t="shared" si="19"/>
        <v/>
      </c>
    </row>
    <row r="354" spans="17:22" x14ac:dyDescent="0.15">
      <c r="Q354" s="74" t="str">
        <f t="shared" si="18"/>
        <v/>
      </c>
      <c r="T354" s="16" t="str">
        <f t="shared" si="17"/>
        <v/>
      </c>
      <c r="V354" s="16" t="str">
        <f t="shared" si="19"/>
        <v/>
      </c>
    </row>
    <row r="355" spans="17:22" x14ac:dyDescent="0.15">
      <c r="Q355" s="74" t="str">
        <f t="shared" si="18"/>
        <v/>
      </c>
      <c r="T355" s="16" t="str">
        <f t="shared" si="17"/>
        <v/>
      </c>
      <c r="V355" s="16" t="str">
        <f t="shared" si="19"/>
        <v/>
      </c>
    </row>
    <row r="356" spans="17:22" x14ac:dyDescent="0.15">
      <c r="Q356" s="74" t="str">
        <f t="shared" si="18"/>
        <v/>
      </c>
      <c r="T356" s="16" t="str">
        <f t="shared" si="17"/>
        <v/>
      </c>
      <c r="V356" s="16" t="str">
        <f t="shared" si="19"/>
        <v/>
      </c>
    </row>
    <row r="357" spans="17:22" x14ac:dyDescent="0.15">
      <c r="Q357" s="74" t="str">
        <f t="shared" si="18"/>
        <v/>
      </c>
      <c r="T357" s="16" t="str">
        <f t="shared" si="17"/>
        <v/>
      </c>
      <c r="V357" s="16" t="str">
        <f t="shared" si="19"/>
        <v/>
      </c>
    </row>
    <row r="358" spans="17:22" x14ac:dyDescent="0.15">
      <c r="Q358" s="74" t="str">
        <f t="shared" si="18"/>
        <v/>
      </c>
      <c r="T358" s="16" t="str">
        <f t="shared" si="17"/>
        <v/>
      </c>
      <c r="V358" s="16" t="str">
        <f t="shared" si="19"/>
        <v/>
      </c>
    </row>
    <row r="359" spans="17:22" x14ac:dyDescent="0.15">
      <c r="Q359" s="74" t="str">
        <f t="shared" si="18"/>
        <v/>
      </c>
      <c r="T359" s="16" t="str">
        <f t="shared" si="17"/>
        <v/>
      </c>
      <c r="V359" s="16" t="str">
        <f t="shared" si="19"/>
        <v/>
      </c>
    </row>
    <row r="360" spans="17:22" x14ac:dyDescent="0.15">
      <c r="Q360" s="74" t="str">
        <f t="shared" si="18"/>
        <v/>
      </c>
      <c r="T360" s="16" t="str">
        <f t="shared" si="17"/>
        <v/>
      </c>
      <c r="V360" s="16" t="str">
        <f t="shared" si="19"/>
        <v/>
      </c>
    </row>
    <row r="361" spans="17:22" x14ac:dyDescent="0.15">
      <c r="Q361" s="74" t="str">
        <f t="shared" si="18"/>
        <v/>
      </c>
      <c r="T361" s="16" t="str">
        <f t="shared" si="17"/>
        <v/>
      </c>
      <c r="V361" s="16" t="str">
        <f t="shared" si="19"/>
        <v/>
      </c>
    </row>
    <row r="362" spans="17:22" x14ac:dyDescent="0.15">
      <c r="Q362" s="74" t="str">
        <f t="shared" si="18"/>
        <v/>
      </c>
      <c r="T362" s="16" t="str">
        <f t="shared" si="17"/>
        <v/>
      </c>
      <c r="V362" s="16" t="str">
        <f t="shared" si="19"/>
        <v/>
      </c>
    </row>
    <row r="363" spans="17:22" x14ac:dyDescent="0.15">
      <c r="Q363" s="74" t="str">
        <f t="shared" si="18"/>
        <v/>
      </c>
      <c r="T363" s="16" t="str">
        <f t="shared" si="17"/>
        <v/>
      </c>
      <c r="V363" s="16" t="str">
        <f t="shared" si="19"/>
        <v/>
      </c>
    </row>
    <row r="364" spans="17:22" x14ac:dyDescent="0.15">
      <c r="Q364" s="74" t="str">
        <f t="shared" si="18"/>
        <v/>
      </c>
      <c r="T364" s="16" t="str">
        <f t="shared" si="17"/>
        <v/>
      </c>
      <c r="V364" s="16" t="str">
        <f t="shared" si="19"/>
        <v/>
      </c>
    </row>
    <row r="365" spans="17:22" x14ac:dyDescent="0.15">
      <c r="Q365" s="74" t="str">
        <f t="shared" si="18"/>
        <v/>
      </c>
      <c r="T365" s="16" t="str">
        <f t="shared" si="17"/>
        <v/>
      </c>
      <c r="V365" s="16" t="str">
        <f t="shared" si="19"/>
        <v/>
      </c>
    </row>
    <row r="366" spans="17:22" x14ac:dyDescent="0.15">
      <c r="Q366" s="74" t="str">
        <f t="shared" si="18"/>
        <v/>
      </c>
      <c r="T366" s="16" t="str">
        <f t="shared" si="17"/>
        <v/>
      </c>
      <c r="V366" s="16" t="str">
        <f t="shared" si="19"/>
        <v/>
      </c>
    </row>
    <row r="367" spans="17:22" x14ac:dyDescent="0.15">
      <c r="Q367" s="74" t="str">
        <f t="shared" si="18"/>
        <v/>
      </c>
      <c r="T367" s="16" t="str">
        <f t="shared" si="17"/>
        <v/>
      </c>
      <c r="V367" s="16" t="str">
        <f t="shared" si="19"/>
        <v/>
      </c>
    </row>
    <row r="368" spans="17:22" x14ac:dyDescent="0.15">
      <c r="Q368" s="74" t="str">
        <f t="shared" si="18"/>
        <v/>
      </c>
      <c r="T368" s="16" t="str">
        <f t="shared" si="17"/>
        <v/>
      </c>
      <c r="V368" s="16" t="str">
        <f t="shared" si="19"/>
        <v/>
      </c>
    </row>
    <row r="369" spans="17:22" x14ac:dyDescent="0.15">
      <c r="Q369" s="74" t="str">
        <f t="shared" si="18"/>
        <v/>
      </c>
      <c r="T369" s="16" t="str">
        <f t="shared" si="17"/>
        <v/>
      </c>
      <c r="V369" s="16" t="str">
        <f t="shared" si="19"/>
        <v/>
      </c>
    </row>
    <row r="370" spans="17:22" x14ac:dyDescent="0.15">
      <c r="Q370" s="74" t="str">
        <f t="shared" si="18"/>
        <v/>
      </c>
      <c r="T370" s="16" t="str">
        <f t="shared" si="17"/>
        <v/>
      </c>
      <c r="V370" s="16" t="str">
        <f t="shared" si="19"/>
        <v/>
      </c>
    </row>
    <row r="371" spans="17:22" x14ac:dyDescent="0.15">
      <c r="Q371" s="74" t="str">
        <f t="shared" si="18"/>
        <v/>
      </c>
      <c r="T371" s="16" t="str">
        <f t="shared" si="17"/>
        <v/>
      </c>
      <c r="V371" s="16" t="str">
        <f t="shared" si="19"/>
        <v/>
      </c>
    </row>
    <row r="372" spans="17:22" x14ac:dyDescent="0.15">
      <c r="Q372" s="74" t="str">
        <f t="shared" si="18"/>
        <v/>
      </c>
      <c r="T372" s="16" t="str">
        <f t="shared" si="17"/>
        <v/>
      </c>
      <c r="V372" s="16" t="str">
        <f t="shared" si="19"/>
        <v/>
      </c>
    </row>
    <row r="373" spans="17:22" x14ac:dyDescent="0.15">
      <c r="Q373" s="74" t="str">
        <f t="shared" si="18"/>
        <v/>
      </c>
      <c r="T373" s="16" t="str">
        <f t="shared" si="17"/>
        <v/>
      </c>
      <c r="V373" s="16" t="str">
        <f t="shared" si="19"/>
        <v/>
      </c>
    </row>
    <row r="374" spans="17:22" x14ac:dyDescent="0.15">
      <c r="Q374" s="74" t="str">
        <f t="shared" si="18"/>
        <v/>
      </c>
      <c r="T374" s="16" t="str">
        <f t="shared" si="17"/>
        <v/>
      </c>
      <c r="V374" s="16" t="str">
        <f t="shared" si="19"/>
        <v/>
      </c>
    </row>
    <row r="375" spans="17:22" x14ac:dyDescent="0.15">
      <c r="Q375" s="74" t="str">
        <f t="shared" si="18"/>
        <v/>
      </c>
      <c r="T375" s="16" t="str">
        <f t="shared" si="17"/>
        <v/>
      </c>
      <c r="V375" s="16" t="str">
        <f t="shared" si="19"/>
        <v/>
      </c>
    </row>
    <row r="376" spans="17:22" x14ac:dyDescent="0.15">
      <c r="Q376" s="74" t="str">
        <f t="shared" si="18"/>
        <v/>
      </c>
      <c r="T376" s="16" t="str">
        <f t="shared" si="17"/>
        <v/>
      </c>
      <c r="V376" s="16" t="str">
        <f t="shared" si="19"/>
        <v/>
      </c>
    </row>
    <row r="377" spans="17:22" x14ac:dyDescent="0.15">
      <c r="Q377" s="74" t="str">
        <f t="shared" si="18"/>
        <v/>
      </c>
      <c r="T377" s="16" t="str">
        <f t="shared" si="17"/>
        <v/>
      </c>
      <c r="V377" s="16" t="str">
        <f t="shared" si="19"/>
        <v/>
      </c>
    </row>
    <row r="378" spans="17:22" x14ac:dyDescent="0.15">
      <c r="Q378" s="74" t="str">
        <f t="shared" si="18"/>
        <v/>
      </c>
      <c r="T378" s="16" t="str">
        <f t="shared" si="17"/>
        <v/>
      </c>
      <c r="V378" s="16" t="str">
        <f t="shared" si="19"/>
        <v/>
      </c>
    </row>
    <row r="379" spans="17:22" x14ac:dyDescent="0.15">
      <c r="Q379" s="74" t="str">
        <f t="shared" si="18"/>
        <v/>
      </c>
      <c r="T379" s="16" t="str">
        <f t="shared" si="17"/>
        <v/>
      </c>
      <c r="V379" s="16" t="str">
        <f t="shared" si="19"/>
        <v/>
      </c>
    </row>
    <row r="380" spans="17:22" x14ac:dyDescent="0.15">
      <c r="Q380" s="74" t="str">
        <f t="shared" si="18"/>
        <v/>
      </c>
      <c r="T380" s="16" t="str">
        <f t="shared" si="17"/>
        <v/>
      </c>
      <c r="V380" s="16" t="str">
        <f t="shared" si="19"/>
        <v/>
      </c>
    </row>
    <row r="381" spans="17:22" x14ac:dyDescent="0.15">
      <c r="Q381" s="74" t="str">
        <f t="shared" si="18"/>
        <v/>
      </c>
      <c r="T381" s="16" t="str">
        <f t="shared" si="17"/>
        <v/>
      </c>
      <c r="V381" s="16" t="str">
        <f t="shared" si="19"/>
        <v/>
      </c>
    </row>
    <row r="382" spans="17:22" x14ac:dyDescent="0.15">
      <c r="Q382" s="74" t="str">
        <f t="shared" si="18"/>
        <v/>
      </c>
      <c r="T382" s="16" t="str">
        <f t="shared" si="17"/>
        <v/>
      </c>
      <c r="V382" s="16" t="str">
        <f t="shared" si="19"/>
        <v/>
      </c>
    </row>
    <row r="383" spans="17:22" x14ac:dyDescent="0.15">
      <c r="Q383" s="74" t="str">
        <f t="shared" si="18"/>
        <v/>
      </c>
      <c r="T383" s="16" t="str">
        <f t="shared" si="17"/>
        <v/>
      </c>
      <c r="V383" s="16" t="str">
        <f t="shared" si="19"/>
        <v/>
      </c>
    </row>
    <row r="384" spans="17:22" x14ac:dyDescent="0.15">
      <c r="T384" s="16" t="str">
        <f t="shared" si="17"/>
        <v/>
      </c>
      <c r="V384" s="16" t="str">
        <f t="shared" si="19"/>
        <v/>
      </c>
    </row>
    <row r="385" spans="20:22" x14ac:dyDescent="0.15">
      <c r="T385" s="16" t="str">
        <f t="shared" si="17"/>
        <v/>
      </c>
      <c r="V385" s="16" t="str">
        <f t="shared" si="19"/>
        <v/>
      </c>
    </row>
    <row r="386" spans="20:22" x14ac:dyDescent="0.15">
      <c r="T386" s="16" t="str">
        <f t="shared" ref="T386:T411" si="20">IF(H386="","",IF(OR(H386="GREEN",H386="GK"),IF(S386&gt;=$AX$2,VLOOKUP(S386,$AX$2:$AY$10,2,1),""),IF(S386&gt;=$AZ$2,VLOOKUP(S386,$AZ$2:$BA$10,2,1),"")))</f>
        <v/>
      </c>
      <c r="V386" s="16" t="str">
        <f t="shared" si="19"/>
        <v/>
      </c>
    </row>
    <row r="387" spans="20:22" x14ac:dyDescent="0.15">
      <c r="T387" s="16" t="str">
        <f t="shared" si="20"/>
        <v/>
      </c>
      <c r="V387" s="16" t="str">
        <f t="shared" si="19"/>
        <v/>
      </c>
    </row>
    <row r="388" spans="20:22" x14ac:dyDescent="0.15">
      <c r="T388" s="16" t="str">
        <f t="shared" si="20"/>
        <v/>
      </c>
      <c r="V388" s="16" t="str">
        <f t="shared" si="19"/>
        <v/>
      </c>
    </row>
    <row r="389" spans="20:22" x14ac:dyDescent="0.15">
      <c r="T389" s="16" t="str">
        <f t="shared" si="20"/>
        <v/>
      </c>
      <c r="V389" s="16" t="str">
        <f t="shared" si="19"/>
        <v/>
      </c>
    </row>
    <row r="390" spans="20:22" x14ac:dyDescent="0.15">
      <c r="T390" s="16" t="str">
        <f t="shared" si="20"/>
        <v/>
      </c>
      <c r="V390" s="16" t="str">
        <f t="shared" si="19"/>
        <v/>
      </c>
    </row>
    <row r="391" spans="20:22" x14ac:dyDescent="0.15">
      <c r="T391" s="16" t="str">
        <f t="shared" si="20"/>
        <v/>
      </c>
      <c r="V391" s="16" t="str">
        <f t="shared" si="19"/>
        <v/>
      </c>
    </row>
    <row r="392" spans="20:22" x14ac:dyDescent="0.15">
      <c r="T392" s="16" t="str">
        <f t="shared" si="20"/>
        <v/>
      </c>
    </row>
    <row r="393" spans="20:22" x14ac:dyDescent="0.15">
      <c r="T393" s="16" t="str">
        <f t="shared" si="20"/>
        <v/>
      </c>
    </row>
    <row r="394" spans="20:22" x14ac:dyDescent="0.15">
      <c r="T394" s="16" t="str">
        <f t="shared" si="20"/>
        <v/>
      </c>
    </row>
    <row r="395" spans="20:22" x14ac:dyDescent="0.15">
      <c r="T395" s="16" t="str">
        <f t="shared" si="20"/>
        <v/>
      </c>
    </row>
    <row r="396" spans="20:22" x14ac:dyDescent="0.15">
      <c r="T396" s="16" t="str">
        <f t="shared" si="20"/>
        <v/>
      </c>
    </row>
    <row r="397" spans="20:22" x14ac:dyDescent="0.15">
      <c r="T397" s="16" t="str">
        <f t="shared" si="20"/>
        <v/>
      </c>
    </row>
    <row r="398" spans="20:22" x14ac:dyDescent="0.15">
      <c r="T398" s="16" t="str">
        <f t="shared" si="20"/>
        <v/>
      </c>
    </row>
    <row r="399" spans="20:22" x14ac:dyDescent="0.15">
      <c r="T399" s="16" t="str">
        <f t="shared" si="20"/>
        <v/>
      </c>
    </row>
    <row r="400" spans="20:22" x14ac:dyDescent="0.15">
      <c r="T400" s="16" t="str">
        <f t="shared" si="20"/>
        <v/>
      </c>
    </row>
    <row r="401" spans="20:20" x14ac:dyDescent="0.15">
      <c r="T401" s="16" t="str">
        <f t="shared" si="20"/>
        <v/>
      </c>
    </row>
    <row r="402" spans="20:20" x14ac:dyDescent="0.15">
      <c r="T402" s="16" t="str">
        <f t="shared" si="20"/>
        <v/>
      </c>
    </row>
    <row r="403" spans="20:20" x14ac:dyDescent="0.15">
      <c r="T403" s="16" t="str">
        <f t="shared" si="20"/>
        <v/>
      </c>
    </row>
    <row r="404" spans="20:20" x14ac:dyDescent="0.15">
      <c r="T404" s="16" t="str">
        <f t="shared" si="20"/>
        <v/>
      </c>
    </row>
    <row r="405" spans="20:20" x14ac:dyDescent="0.15">
      <c r="T405" s="16" t="str">
        <f t="shared" si="20"/>
        <v/>
      </c>
    </row>
    <row r="406" spans="20:20" x14ac:dyDescent="0.15">
      <c r="T406" s="16" t="str">
        <f t="shared" si="20"/>
        <v/>
      </c>
    </row>
    <row r="407" spans="20:20" x14ac:dyDescent="0.15">
      <c r="T407" s="16" t="str">
        <f t="shared" si="20"/>
        <v/>
      </c>
    </row>
    <row r="408" spans="20:20" x14ac:dyDescent="0.15">
      <c r="T408" s="16" t="str">
        <f t="shared" si="20"/>
        <v/>
      </c>
    </row>
    <row r="409" spans="20:20" x14ac:dyDescent="0.15">
      <c r="T409" s="16" t="str">
        <f t="shared" si="20"/>
        <v/>
      </c>
    </row>
    <row r="410" spans="20:20" x14ac:dyDescent="0.15">
      <c r="T410" s="16" t="str">
        <f t="shared" si="20"/>
        <v/>
      </c>
    </row>
    <row r="411" spans="20:20" x14ac:dyDescent="0.15">
      <c r="T411" s="16" t="str">
        <f t="shared" si="20"/>
        <v/>
      </c>
    </row>
  </sheetData>
  <autoFilter ref="A1:BA411" xr:uid="{00000000-0009-0000-0000-000001000000}"/>
  <phoneticPr fontId="3"/>
  <dataValidations count="14">
    <dataValidation type="list" allowBlank="1" showInputMessage="1" showErrorMessage="1" sqref="Y167:AA367" xr:uid="{8A52A1DF-8447-411E-8564-566C7063B890}">
      <formula1>$AV$2:$AV$16</formula1>
    </dataValidation>
    <dataValidation type="decimal" allowBlank="1" showInputMessage="1" showErrorMessage="1" error="硬度を正しく入力して下さい。" sqref="O2:P367" xr:uid="{529CCF3E-9164-4568-B0C9-729A707029E9}">
      <formula1>0</formula1>
      <formula2>7</formula2>
    </dataValidation>
    <dataValidation type="list" allowBlank="1" showInputMessage="1" showErrorMessage="1" sqref="X2:X367" xr:uid="{4E5464B7-50E0-44ED-80B2-66C6A6B5610F}">
      <formula1>$AT$2:$AT$3</formula1>
    </dataValidation>
    <dataValidation type="list" allowBlank="1" showInputMessage="1" showErrorMessage="1" sqref="K184:K367" xr:uid="{C2B3E94C-E679-44AF-9612-A52C7C16B58C}">
      <formula1>$AR$2:$AR$19</formula1>
    </dataValidation>
    <dataValidation allowBlank="1" showInputMessage="1" showErrorMessage="1" sqref="B2:B166" xr:uid="{89216574-880B-4628-B0C4-2CE72BBE5450}"/>
    <dataValidation type="list" allowBlank="1" showInputMessage="1" showErrorMessage="1" sqref="F1:F1048576" xr:uid="{E459D737-AFB7-48D6-93E4-CD586DD2C581}">
      <formula1>$AH$2:$AH$11</formula1>
    </dataValidation>
    <dataValidation type="list" allowBlank="1" showInputMessage="1" showErrorMessage="1" sqref="J2:J367" xr:uid="{C2012032-1C10-456F-8546-4EE920060980}">
      <formula1>$AP$2:$AP$19</formula1>
    </dataValidation>
    <dataValidation type="list" allowBlank="1" showInputMessage="1" showErrorMessage="1" sqref="E1:E1048576" xr:uid="{474706FB-68F7-449C-896A-4E843030EFAD}">
      <formula1>$AG$2:$AG$11</formula1>
    </dataValidation>
    <dataValidation type="list" allowBlank="1" showInputMessage="1" showErrorMessage="1" sqref="I2:I367" xr:uid="{EB3D2D26-9835-4562-8D25-95712470E18B}">
      <formula1>$AN$5:$AN$6</formula1>
    </dataValidation>
    <dataValidation type="list" allowBlank="1" showInputMessage="1" showErrorMessage="1" sqref="G2:G367" xr:uid="{7F17D044-7FAB-45DA-998E-907733589FEF}">
      <formula1>$AJ$2:$AJ$4</formula1>
    </dataValidation>
    <dataValidation type="list" allowBlank="1" showInputMessage="1" showErrorMessage="1" sqref="Y2:AA166" xr:uid="{6363641F-B68C-464E-A0DA-9D8CA931ED98}">
      <formula1>$AV$2:$AV$23</formula1>
    </dataValidation>
    <dataValidation type="list" allowBlank="1" showInputMessage="1" showErrorMessage="1" sqref="K2:K183" xr:uid="{76A20A97-9D31-4ADE-A255-D7FCD695CBB7}">
      <formula1>$AR$2:$AR$23</formula1>
    </dataValidation>
    <dataValidation type="list" allowBlank="1" showInputMessage="1" showErrorMessage="1" sqref="A2:A367" xr:uid="{D4D7D8DB-C6C3-449F-A10F-EB9E4B5AB216}">
      <formula1>$AE$2:$AE$16</formula1>
    </dataValidation>
    <dataValidation type="list" allowBlank="1" showInputMessage="1" showErrorMessage="1" sqref="H2:H367" xr:uid="{61AAD657-6518-48FD-82BB-2954219F258B}">
      <formula1>$AL$2:$AL$8</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96789-4DA8-4FBD-A2D0-6FE6502AA179}">
  <dimension ref="A1:BA82"/>
  <sheetViews>
    <sheetView zoomScale="85" zoomScaleNormal="85" workbookViewId="0">
      <selection activeCell="AB45" sqref="AB45"/>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232</v>
      </c>
      <c r="C2" s="53">
        <v>2019</v>
      </c>
      <c r="D2" s="81" t="s">
        <v>233</v>
      </c>
      <c r="E2" s="53" t="s">
        <v>234</v>
      </c>
      <c r="F2" s="53" t="s">
        <v>235</v>
      </c>
      <c r="G2" s="53" t="s">
        <v>42</v>
      </c>
      <c r="H2" s="53" t="s">
        <v>164</v>
      </c>
      <c r="I2" s="53" t="s">
        <v>165</v>
      </c>
      <c r="J2" s="53" t="s">
        <v>38</v>
      </c>
      <c r="K2" s="53" t="s">
        <v>161</v>
      </c>
      <c r="L2" s="53">
        <v>1</v>
      </c>
      <c r="N2" s="53">
        <v>5</v>
      </c>
      <c r="O2" s="53">
        <v>0.85</v>
      </c>
      <c r="P2" s="53">
        <v>0.95</v>
      </c>
      <c r="Q2" s="74">
        <f t="shared" ref="Q2:Q61" si="0">IF(OR(O2="",P2=""),"",AVERAGE(O2,P2))</f>
        <v>0.89999999999999991</v>
      </c>
      <c r="R2" s="53">
        <v>13.9</v>
      </c>
      <c r="S2" s="53">
        <v>102</v>
      </c>
      <c r="T2" s="16">
        <f t="shared" ref="T2:T61" si="1">IF(H2="","",IF(OR(H2="GREEN",H2="GK"),IF(S2&gt;=$AX$2,VLOOKUP(S2,$AX$2:$AY$10,2,1),""),IF(S2&gt;=$AZ$2,VLOOKUP(S2,$AZ$2:$BA$10,2,1),"")))</f>
        <v>33</v>
      </c>
      <c r="U2" s="53">
        <v>538</v>
      </c>
      <c r="V2" s="16">
        <f t="shared" ref="V2:V61" si="2">IF(OR(N2="",U2="",T2=""),"",U2/N2*T2)</f>
        <v>3550.7999999999997</v>
      </c>
      <c r="W2" s="53">
        <v>6</v>
      </c>
      <c r="X2" s="53" t="s">
        <v>46</v>
      </c>
      <c r="Y2" s="53" t="s">
        <v>55</v>
      </c>
      <c r="Z2" s="53" t="s">
        <v>106</v>
      </c>
      <c r="AA2" s="53" t="s">
        <v>47</v>
      </c>
      <c r="AB2" s="53" t="s">
        <v>158</v>
      </c>
      <c r="AE2" s="64" t="s">
        <v>35</v>
      </c>
      <c r="AG2" s="23" t="s">
        <v>236</v>
      </c>
      <c r="AH2" s="82" t="s">
        <v>237</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232</v>
      </c>
      <c r="C3" s="53">
        <v>2019</v>
      </c>
      <c r="D3" s="81" t="s">
        <v>233</v>
      </c>
      <c r="E3" s="53" t="s">
        <v>234</v>
      </c>
      <c r="F3" s="53" t="s">
        <v>235</v>
      </c>
      <c r="G3" s="53" t="s">
        <v>42</v>
      </c>
      <c r="H3" s="53" t="s">
        <v>164</v>
      </c>
      <c r="I3" s="53" t="s">
        <v>165</v>
      </c>
      <c r="J3" s="53" t="s">
        <v>38</v>
      </c>
      <c r="K3" s="53" t="s">
        <v>161</v>
      </c>
      <c r="L3" s="53">
        <v>2</v>
      </c>
      <c r="N3" s="53">
        <v>5</v>
      </c>
      <c r="O3" s="53">
        <v>0.75</v>
      </c>
      <c r="P3" s="53">
        <v>0.8</v>
      </c>
      <c r="Q3" s="74">
        <f t="shared" si="0"/>
        <v>0.77500000000000002</v>
      </c>
      <c r="R3" s="53">
        <v>15.2</v>
      </c>
      <c r="S3" s="53">
        <v>94</v>
      </c>
      <c r="T3" s="16">
        <f t="shared" si="1"/>
        <v>36</v>
      </c>
      <c r="U3" s="53">
        <v>538</v>
      </c>
      <c r="V3" s="16">
        <f t="shared" si="2"/>
        <v>3873.6</v>
      </c>
      <c r="W3" s="53">
        <v>6</v>
      </c>
      <c r="X3" s="53" t="s">
        <v>46</v>
      </c>
      <c r="Y3" s="53" t="s">
        <v>55</v>
      </c>
      <c r="Z3" s="53" t="s">
        <v>106</v>
      </c>
      <c r="AA3" s="53" t="s">
        <v>47</v>
      </c>
      <c r="AB3" s="53" t="s">
        <v>158</v>
      </c>
      <c r="AE3" s="22" t="s">
        <v>41</v>
      </c>
      <c r="AG3" s="23" t="s">
        <v>238</v>
      </c>
      <c r="AH3" s="82" t="s">
        <v>235</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232</v>
      </c>
      <c r="C4" s="53">
        <v>2019</v>
      </c>
      <c r="D4" s="81" t="s">
        <v>233</v>
      </c>
      <c r="E4" s="53" t="s">
        <v>234</v>
      </c>
      <c r="F4" s="53" t="s">
        <v>235</v>
      </c>
      <c r="G4" s="53" t="s">
        <v>42</v>
      </c>
      <c r="H4" s="53" t="s">
        <v>164</v>
      </c>
      <c r="I4" s="53" t="s">
        <v>165</v>
      </c>
      <c r="J4" s="53" t="s">
        <v>38</v>
      </c>
      <c r="K4" s="53" t="s">
        <v>161</v>
      </c>
      <c r="L4" s="53">
        <v>3</v>
      </c>
      <c r="N4" s="53">
        <v>5</v>
      </c>
      <c r="O4" s="53">
        <v>0.7</v>
      </c>
      <c r="P4" s="53">
        <v>0.75</v>
      </c>
      <c r="Q4" s="74">
        <f t="shared" si="0"/>
        <v>0.72499999999999998</v>
      </c>
      <c r="R4" s="53">
        <v>14.1</v>
      </c>
      <c r="S4" s="53">
        <v>98</v>
      </c>
      <c r="T4" s="16">
        <f t="shared" si="1"/>
        <v>36</v>
      </c>
      <c r="U4" s="53">
        <v>538</v>
      </c>
      <c r="V4" s="16">
        <f t="shared" si="2"/>
        <v>3873.6</v>
      </c>
      <c r="W4" s="53">
        <v>6</v>
      </c>
      <c r="X4" s="53" t="s">
        <v>46</v>
      </c>
      <c r="Y4" s="53" t="s">
        <v>55</v>
      </c>
      <c r="Z4" s="53" t="s">
        <v>106</v>
      </c>
      <c r="AA4" s="53" t="s">
        <v>47</v>
      </c>
      <c r="AB4" s="53" t="s">
        <v>158</v>
      </c>
      <c r="AE4" s="22" t="s">
        <v>34</v>
      </c>
      <c r="AG4" s="23" t="s">
        <v>239</v>
      </c>
      <c r="AH4" s="82" t="s">
        <v>240</v>
      </c>
      <c r="AJ4" s="27" t="s">
        <v>48</v>
      </c>
      <c r="AL4" s="27" t="s">
        <v>241</v>
      </c>
      <c r="AN4" s="28" t="s">
        <v>49</v>
      </c>
      <c r="AP4" s="23" t="s">
        <v>93</v>
      </c>
      <c r="AR4" s="23" t="s">
        <v>121</v>
      </c>
      <c r="AT4" s="28"/>
      <c r="AV4" s="23" t="s">
        <v>50</v>
      </c>
      <c r="AX4" s="24">
        <v>75</v>
      </c>
      <c r="AY4" s="25">
        <v>42</v>
      </c>
      <c r="AZ4" s="25">
        <v>76</v>
      </c>
      <c r="BA4" s="26">
        <v>39</v>
      </c>
    </row>
    <row r="5" spans="1:53" x14ac:dyDescent="0.15">
      <c r="A5" s="53" t="s">
        <v>56</v>
      </c>
      <c r="B5" s="53" t="s">
        <v>232</v>
      </c>
      <c r="C5" s="53">
        <v>2019</v>
      </c>
      <c r="D5" s="81" t="s">
        <v>233</v>
      </c>
      <c r="E5" s="53" t="s">
        <v>234</v>
      </c>
      <c r="F5" s="53" t="s">
        <v>235</v>
      </c>
      <c r="G5" s="53" t="s">
        <v>42</v>
      </c>
      <c r="H5" s="53" t="s">
        <v>160</v>
      </c>
      <c r="I5" s="53" t="s">
        <v>165</v>
      </c>
      <c r="J5" s="53" t="s">
        <v>38</v>
      </c>
      <c r="K5" s="53" t="s">
        <v>161</v>
      </c>
      <c r="L5" s="53">
        <v>1</v>
      </c>
      <c r="N5" s="53">
        <v>1</v>
      </c>
      <c r="O5" s="53">
        <v>0.55000000000000004</v>
      </c>
      <c r="P5" s="53">
        <v>0.6</v>
      </c>
      <c r="Q5" s="74">
        <f t="shared" si="0"/>
        <v>0.57499999999999996</v>
      </c>
      <c r="R5" s="53">
        <v>15.3</v>
      </c>
      <c r="S5" s="53">
        <v>141</v>
      </c>
      <c r="T5" s="16">
        <f t="shared" si="1"/>
        <v>22</v>
      </c>
      <c r="U5" s="53">
        <v>182</v>
      </c>
      <c r="V5" s="16">
        <f t="shared" si="2"/>
        <v>4004</v>
      </c>
      <c r="W5" s="53">
        <v>6</v>
      </c>
      <c r="X5" s="53" t="s">
        <v>46</v>
      </c>
      <c r="Y5" s="53" t="s">
        <v>55</v>
      </c>
      <c r="Z5" s="53" t="s">
        <v>106</v>
      </c>
      <c r="AA5" s="53" t="s">
        <v>47</v>
      </c>
      <c r="AB5" s="53" t="s">
        <v>158</v>
      </c>
      <c r="AE5" s="22" t="s">
        <v>51</v>
      </c>
      <c r="AG5" s="23" t="s">
        <v>242</v>
      </c>
      <c r="AH5" s="82" t="s">
        <v>243</v>
      </c>
      <c r="AJ5" s="28"/>
      <c r="AL5" s="72" t="s">
        <v>66</v>
      </c>
      <c r="AN5" s="72" t="s">
        <v>52</v>
      </c>
      <c r="AP5" s="23" t="s">
        <v>244</v>
      </c>
      <c r="AR5" s="23" t="s">
        <v>54</v>
      </c>
      <c r="AV5" s="23" t="s">
        <v>55</v>
      </c>
      <c r="AX5" s="24">
        <v>84</v>
      </c>
      <c r="AY5" s="25">
        <v>39</v>
      </c>
      <c r="AZ5" s="25">
        <v>84</v>
      </c>
      <c r="BA5" s="26">
        <v>36</v>
      </c>
    </row>
    <row r="6" spans="1:53" x14ac:dyDescent="0.15">
      <c r="A6" s="53" t="s">
        <v>56</v>
      </c>
      <c r="B6" s="53" t="s">
        <v>232</v>
      </c>
      <c r="C6" s="53">
        <v>2019</v>
      </c>
      <c r="D6" s="81" t="s">
        <v>233</v>
      </c>
      <c r="E6" s="53" t="s">
        <v>234</v>
      </c>
      <c r="F6" s="53" t="s">
        <v>235</v>
      </c>
      <c r="G6" s="53" t="s">
        <v>42</v>
      </c>
      <c r="H6" s="53" t="s">
        <v>160</v>
      </c>
      <c r="I6" s="53" t="s">
        <v>165</v>
      </c>
      <c r="J6" s="53" t="s">
        <v>38</v>
      </c>
      <c r="K6" s="53" t="s">
        <v>161</v>
      </c>
      <c r="L6" s="53">
        <v>2</v>
      </c>
      <c r="N6" s="53">
        <v>1</v>
      </c>
      <c r="O6" s="53">
        <v>0.5</v>
      </c>
      <c r="P6" s="53">
        <v>0.5</v>
      </c>
      <c r="Q6" s="74">
        <f t="shared" si="0"/>
        <v>0.5</v>
      </c>
      <c r="R6" s="53">
        <v>16.600000000000001</v>
      </c>
      <c r="S6" s="53">
        <v>144</v>
      </c>
      <c r="T6" s="16">
        <f t="shared" si="1"/>
        <v>22</v>
      </c>
      <c r="U6" s="53">
        <v>182</v>
      </c>
      <c r="V6" s="16">
        <f t="shared" si="2"/>
        <v>4004</v>
      </c>
      <c r="W6" s="53">
        <v>6</v>
      </c>
      <c r="X6" s="53" t="s">
        <v>46</v>
      </c>
      <c r="Y6" s="53" t="s">
        <v>55</v>
      </c>
      <c r="Z6" s="53" t="s">
        <v>106</v>
      </c>
      <c r="AA6" s="53" t="s">
        <v>47</v>
      </c>
      <c r="AB6" s="53" t="s">
        <v>158</v>
      </c>
      <c r="AE6" s="22" t="s">
        <v>56</v>
      </c>
      <c r="AG6" s="23" t="s">
        <v>245</v>
      </c>
      <c r="AH6" s="82" t="s">
        <v>243</v>
      </c>
      <c r="AL6" s="72" t="s">
        <v>99</v>
      </c>
      <c r="AN6" s="72" t="s">
        <v>57</v>
      </c>
      <c r="AP6" s="23" t="s">
        <v>53</v>
      </c>
      <c r="AR6" s="23" t="s">
        <v>59</v>
      </c>
      <c r="AV6" s="23" t="s">
        <v>60</v>
      </c>
      <c r="AX6" s="24">
        <v>97</v>
      </c>
      <c r="AY6" s="25">
        <v>36</v>
      </c>
      <c r="AZ6" s="25">
        <v>99</v>
      </c>
      <c r="BA6" s="26">
        <v>33</v>
      </c>
    </row>
    <row r="7" spans="1:53" x14ac:dyDescent="0.15">
      <c r="A7" s="53" t="s">
        <v>56</v>
      </c>
      <c r="B7" s="53" t="s">
        <v>232</v>
      </c>
      <c r="C7" s="53">
        <v>2019</v>
      </c>
      <c r="D7" s="81" t="s">
        <v>233</v>
      </c>
      <c r="E7" s="53" t="s">
        <v>234</v>
      </c>
      <c r="F7" s="53" t="s">
        <v>235</v>
      </c>
      <c r="G7" s="53" t="s">
        <v>42</v>
      </c>
      <c r="H7" s="53" t="s">
        <v>160</v>
      </c>
      <c r="I7" s="53" t="s">
        <v>165</v>
      </c>
      <c r="J7" s="53" t="s">
        <v>38</v>
      </c>
      <c r="K7" s="53" t="s">
        <v>161</v>
      </c>
      <c r="L7" s="53">
        <v>3</v>
      </c>
      <c r="N7" s="53">
        <v>1</v>
      </c>
      <c r="O7" s="53">
        <v>0.55000000000000004</v>
      </c>
      <c r="P7" s="53">
        <v>0.6</v>
      </c>
      <c r="Q7" s="74">
        <f t="shared" si="0"/>
        <v>0.57499999999999996</v>
      </c>
      <c r="R7" s="53">
        <v>17.5</v>
      </c>
      <c r="S7" s="53">
        <v>135</v>
      </c>
      <c r="T7" s="16">
        <f t="shared" si="1"/>
        <v>25</v>
      </c>
      <c r="U7" s="53">
        <v>182</v>
      </c>
      <c r="V7" s="16">
        <f t="shared" si="2"/>
        <v>4550</v>
      </c>
      <c r="W7" s="53">
        <v>6</v>
      </c>
      <c r="X7" s="53" t="s">
        <v>46</v>
      </c>
      <c r="Y7" s="53" t="s">
        <v>55</v>
      </c>
      <c r="Z7" s="53" t="s">
        <v>106</v>
      </c>
      <c r="AA7" s="53" t="s">
        <v>47</v>
      </c>
      <c r="AB7" s="53" t="s">
        <v>158</v>
      </c>
      <c r="AE7" s="22" t="s">
        <v>61</v>
      </c>
      <c r="AG7" s="23" t="s">
        <v>246</v>
      </c>
      <c r="AH7" s="82" t="s">
        <v>247</v>
      </c>
      <c r="AL7" s="83" t="s">
        <v>109</v>
      </c>
      <c r="AP7" s="23" t="s">
        <v>58</v>
      </c>
      <c r="AR7" s="23" t="s">
        <v>122</v>
      </c>
      <c r="AV7" s="23" t="s">
        <v>64</v>
      </c>
      <c r="AX7" s="24">
        <v>109</v>
      </c>
      <c r="AY7" s="25">
        <v>33</v>
      </c>
      <c r="AZ7" s="25">
        <v>113</v>
      </c>
      <c r="BA7" s="26">
        <v>30</v>
      </c>
    </row>
    <row r="8" spans="1:53" x14ac:dyDescent="0.15">
      <c r="A8" s="53" t="s">
        <v>56</v>
      </c>
      <c r="B8" s="53" t="s">
        <v>232</v>
      </c>
      <c r="C8" s="53">
        <v>2019</v>
      </c>
      <c r="D8" s="81" t="s">
        <v>233</v>
      </c>
      <c r="E8" s="53" t="s">
        <v>248</v>
      </c>
      <c r="F8" s="53" t="s">
        <v>235</v>
      </c>
      <c r="G8" s="53" t="s">
        <v>42</v>
      </c>
      <c r="H8" s="53" t="s">
        <v>164</v>
      </c>
      <c r="I8" s="53" t="s">
        <v>159</v>
      </c>
      <c r="J8" s="53" t="s">
        <v>38</v>
      </c>
      <c r="K8" s="53" t="s">
        <v>161</v>
      </c>
      <c r="L8" s="53">
        <v>1</v>
      </c>
      <c r="N8" s="53">
        <v>1</v>
      </c>
      <c r="O8" s="53">
        <v>0.55000000000000004</v>
      </c>
      <c r="P8" s="53">
        <v>0.55000000000000004</v>
      </c>
      <c r="Q8" s="74">
        <f t="shared" si="0"/>
        <v>0.55000000000000004</v>
      </c>
      <c r="R8" s="53">
        <v>16.2</v>
      </c>
      <c r="S8" s="53">
        <v>139</v>
      </c>
      <c r="T8" s="16">
        <f t="shared" si="1"/>
        <v>22</v>
      </c>
      <c r="U8" s="53">
        <v>138</v>
      </c>
      <c r="V8" s="16">
        <f t="shared" si="2"/>
        <v>3036</v>
      </c>
      <c r="W8" s="53">
        <v>8</v>
      </c>
      <c r="X8" s="53" t="s">
        <v>46</v>
      </c>
      <c r="Y8" s="53" t="s">
        <v>55</v>
      </c>
      <c r="Z8" s="53" t="s">
        <v>86</v>
      </c>
      <c r="AA8" s="53" t="s">
        <v>90</v>
      </c>
      <c r="AB8" s="53" t="s">
        <v>158</v>
      </c>
      <c r="AE8" s="22" t="s">
        <v>59</v>
      </c>
      <c r="AG8" s="23" t="s">
        <v>249</v>
      </c>
      <c r="AH8" s="82" t="s">
        <v>247</v>
      </c>
      <c r="AL8" s="83" t="s">
        <v>134</v>
      </c>
      <c r="AP8" s="23" t="s">
        <v>62</v>
      </c>
      <c r="AR8" s="23" t="s">
        <v>81</v>
      </c>
      <c r="AV8" s="23" t="s">
        <v>97</v>
      </c>
      <c r="AX8" s="24">
        <v>119</v>
      </c>
      <c r="AY8" s="25">
        <v>30</v>
      </c>
      <c r="AZ8" s="25">
        <v>121</v>
      </c>
      <c r="BA8" s="26">
        <v>27</v>
      </c>
    </row>
    <row r="9" spans="1:53" x14ac:dyDescent="0.15">
      <c r="A9" s="53" t="s">
        <v>56</v>
      </c>
      <c r="B9" s="53" t="s">
        <v>232</v>
      </c>
      <c r="C9" s="53">
        <v>2019</v>
      </c>
      <c r="D9" s="81" t="s">
        <v>233</v>
      </c>
      <c r="E9" s="53" t="s">
        <v>248</v>
      </c>
      <c r="F9" s="53" t="s">
        <v>235</v>
      </c>
      <c r="G9" s="53" t="s">
        <v>42</v>
      </c>
      <c r="H9" s="53" t="s">
        <v>164</v>
      </c>
      <c r="I9" s="53" t="s">
        <v>159</v>
      </c>
      <c r="J9" s="53" t="s">
        <v>38</v>
      </c>
      <c r="K9" s="53" t="s">
        <v>161</v>
      </c>
      <c r="L9" s="53">
        <v>2</v>
      </c>
      <c r="N9" s="53">
        <v>1</v>
      </c>
      <c r="O9" s="53">
        <v>0.6</v>
      </c>
      <c r="P9" s="53">
        <v>0.6</v>
      </c>
      <c r="Q9" s="74">
        <f t="shared" si="0"/>
        <v>0.6</v>
      </c>
      <c r="R9" s="53">
        <v>15.4</v>
      </c>
      <c r="S9" s="53">
        <v>146</v>
      </c>
      <c r="T9" s="16">
        <f t="shared" si="1"/>
        <v>22</v>
      </c>
      <c r="U9" s="53">
        <v>138</v>
      </c>
      <c r="V9" s="16">
        <f t="shared" si="2"/>
        <v>3036</v>
      </c>
      <c r="W9" s="53">
        <v>8</v>
      </c>
      <c r="X9" s="53" t="s">
        <v>46</v>
      </c>
      <c r="Y9" s="53" t="s">
        <v>55</v>
      </c>
      <c r="Z9" s="53" t="s">
        <v>86</v>
      </c>
      <c r="AA9" s="53" t="s">
        <v>90</v>
      </c>
      <c r="AB9" s="53" t="s">
        <v>158</v>
      </c>
      <c r="AE9" s="22" t="s">
        <v>98</v>
      </c>
      <c r="AG9" s="23" t="s">
        <v>234</v>
      </c>
      <c r="AH9" s="23" t="s">
        <v>235</v>
      </c>
      <c r="AL9" s="72"/>
      <c r="AP9" s="23" t="s">
        <v>95</v>
      </c>
      <c r="AR9" s="23" t="s">
        <v>89</v>
      </c>
      <c r="AV9" s="23" t="s">
        <v>102</v>
      </c>
      <c r="AX9" s="24">
        <v>128</v>
      </c>
      <c r="AY9" s="25">
        <v>27</v>
      </c>
      <c r="AZ9" s="25">
        <v>129</v>
      </c>
      <c r="BA9" s="26">
        <v>25</v>
      </c>
    </row>
    <row r="10" spans="1:53" x14ac:dyDescent="0.15">
      <c r="A10" s="53" t="s">
        <v>56</v>
      </c>
      <c r="B10" s="53" t="s">
        <v>232</v>
      </c>
      <c r="C10" s="53">
        <v>2019</v>
      </c>
      <c r="D10" s="81" t="s">
        <v>233</v>
      </c>
      <c r="E10" s="53" t="s">
        <v>248</v>
      </c>
      <c r="F10" s="53" t="s">
        <v>235</v>
      </c>
      <c r="G10" s="53" t="s">
        <v>42</v>
      </c>
      <c r="H10" s="53" t="s">
        <v>164</v>
      </c>
      <c r="I10" s="53" t="s">
        <v>159</v>
      </c>
      <c r="J10" s="53" t="s">
        <v>38</v>
      </c>
      <c r="K10" s="53" t="s">
        <v>161</v>
      </c>
      <c r="L10" s="53">
        <v>3</v>
      </c>
      <c r="N10" s="53">
        <v>1</v>
      </c>
      <c r="O10" s="53">
        <v>0.55000000000000004</v>
      </c>
      <c r="P10" s="53">
        <v>0.55000000000000004</v>
      </c>
      <c r="Q10" s="74">
        <f t="shared" si="0"/>
        <v>0.55000000000000004</v>
      </c>
      <c r="R10" s="53">
        <v>17.100000000000001</v>
      </c>
      <c r="S10" s="53">
        <v>149</v>
      </c>
      <c r="T10" s="16">
        <f t="shared" si="1"/>
        <v>22</v>
      </c>
      <c r="U10" s="53">
        <v>138</v>
      </c>
      <c r="V10" s="16">
        <f t="shared" si="2"/>
        <v>3036</v>
      </c>
      <c r="W10" s="53">
        <v>8</v>
      </c>
      <c r="X10" s="53" t="s">
        <v>46</v>
      </c>
      <c r="Y10" s="53" t="s">
        <v>55</v>
      </c>
      <c r="Z10" s="53" t="s">
        <v>86</v>
      </c>
      <c r="AA10" s="53" t="s">
        <v>90</v>
      </c>
      <c r="AB10" s="53" t="s">
        <v>158</v>
      </c>
      <c r="AE10" s="22" t="s">
        <v>103</v>
      </c>
      <c r="AG10" s="23" t="s">
        <v>246</v>
      </c>
      <c r="AH10" s="82" t="s">
        <v>243</v>
      </c>
      <c r="AL10" s="83"/>
      <c r="AP10" s="23" t="s">
        <v>100</v>
      </c>
      <c r="AR10" s="23" t="s">
        <v>123</v>
      </c>
      <c r="AV10" s="23" t="s">
        <v>106</v>
      </c>
      <c r="AX10" s="24">
        <v>138</v>
      </c>
      <c r="AY10" s="25">
        <v>25</v>
      </c>
      <c r="AZ10" s="25">
        <v>138</v>
      </c>
      <c r="BA10" s="26">
        <v>22</v>
      </c>
    </row>
    <row r="11" spans="1:53" x14ac:dyDescent="0.15">
      <c r="A11" s="53" t="s">
        <v>56</v>
      </c>
      <c r="B11" s="53" t="s">
        <v>232</v>
      </c>
      <c r="C11" s="53">
        <v>2019</v>
      </c>
      <c r="D11" s="81" t="s">
        <v>233</v>
      </c>
      <c r="E11" s="53" t="s">
        <v>248</v>
      </c>
      <c r="F11" s="53" t="s">
        <v>235</v>
      </c>
      <c r="G11" s="53" t="s">
        <v>42</v>
      </c>
      <c r="H11" s="53" t="s">
        <v>160</v>
      </c>
      <c r="I11" s="53" t="s">
        <v>159</v>
      </c>
      <c r="J11" s="53" t="s">
        <v>38</v>
      </c>
      <c r="K11" s="53" t="s">
        <v>161</v>
      </c>
      <c r="L11" s="53">
        <v>1</v>
      </c>
      <c r="N11" s="53">
        <v>1</v>
      </c>
      <c r="O11" s="53">
        <v>0.6</v>
      </c>
      <c r="P11" s="53">
        <v>0.65</v>
      </c>
      <c r="Q11" s="74">
        <f t="shared" si="0"/>
        <v>0.625</v>
      </c>
      <c r="R11" s="53">
        <v>17.100000000000001</v>
      </c>
      <c r="S11" s="53">
        <v>125</v>
      </c>
      <c r="T11" s="16">
        <f t="shared" si="1"/>
        <v>27</v>
      </c>
      <c r="U11" s="53">
        <v>138</v>
      </c>
      <c r="V11" s="16">
        <f t="shared" si="2"/>
        <v>3726</v>
      </c>
      <c r="W11" s="53">
        <v>12</v>
      </c>
      <c r="X11" s="53" t="s">
        <v>46</v>
      </c>
      <c r="Y11" s="53" t="s">
        <v>55</v>
      </c>
      <c r="Z11" s="53" t="s">
        <v>86</v>
      </c>
      <c r="AA11" s="53" t="s">
        <v>90</v>
      </c>
      <c r="AB11" s="53" t="s">
        <v>158</v>
      </c>
      <c r="AE11" s="22" t="s">
        <v>65</v>
      </c>
      <c r="AG11" s="23" t="s">
        <v>245</v>
      </c>
      <c r="AH11" s="82" t="s">
        <v>243</v>
      </c>
      <c r="AJ11" s="83"/>
      <c r="AP11" s="23" t="s">
        <v>104</v>
      </c>
      <c r="AR11" s="23" t="s">
        <v>87</v>
      </c>
      <c r="AV11" s="23" t="s">
        <v>69</v>
      </c>
    </row>
    <row r="12" spans="1:53" x14ac:dyDescent="0.15">
      <c r="A12" s="53" t="s">
        <v>56</v>
      </c>
      <c r="B12" s="53" t="s">
        <v>232</v>
      </c>
      <c r="C12" s="53">
        <v>2019</v>
      </c>
      <c r="D12" s="81" t="s">
        <v>233</v>
      </c>
      <c r="E12" s="53" t="s">
        <v>248</v>
      </c>
      <c r="F12" s="53" t="s">
        <v>235</v>
      </c>
      <c r="G12" s="53" t="s">
        <v>42</v>
      </c>
      <c r="H12" s="53" t="s">
        <v>160</v>
      </c>
      <c r="I12" s="53" t="s">
        <v>159</v>
      </c>
      <c r="J12" s="53" t="s">
        <v>38</v>
      </c>
      <c r="K12" s="53" t="s">
        <v>161</v>
      </c>
      <c r="L12" s="53">
        <v>2</v>
      </c>
      <c r="N12" s="53">
        <v>1</v>
      </c>
      <c r="O12" s="53">
        <v>0.75</v>
      </c>
      <c r="P12" s="53">
        <v>0.75</v>
      </c>
      <c r="Q12" s="74">
        <f t="shared" si="0"/>
        <v>0.75</v>
      </c>
      <c r="R12" s="53">
        <v>15.8</v>
      </c>
      <c r="S12" s="53">
        <v>119</v>
      </c>
      <c r="T12" s="16">
        <f t="shared" si="1"/>
        <v>30</v>
      </c>
      <c r="U12" s="53">
        <v>138</v>
      </c>
      <c r="V12" s="16">
        <f t="shared" si="2"/>
        <v>4140</v>
      </c>
      <c r="W12" s="53">
        <v>12</v>
      </c>
      <c r="X12" s="53" t="s">
        <v>46</v>
      </c>
      <c r="Y12" s="53" t="s">
        <v>55</v>
      </c>
      <c r="Z12" s="53" t="s">
        <v>86</v>
      </c>
      <c r="AA12" s="53" t="s">
        <v>90</v>
      </c>
      <c r="AB12" s="53" t="s">
        <v>158</v>
      </c>
      <c r="AE12" s="22" t="s">
        <v>70</v>
      </c>
      <c r="AG12" s="23" t="s">
        <v>238</v>
      </c>
      <c r="AH12" s="82" t="s">
        <v>243</v>
      </c>
      <c r="AJ12" s="83"/>
      <c r="AP12" s="23" t="s">
        <v>67</v>
      </c>
      <c r="AR12" s="23" t="s">
        <v>124</v>
      </c>
      <c r="AV12" s="23" t="s">
        <v>72</v>
      </c>
    </row>
    <row r="13" spans="1:53" x14ac:dyDescent="0.15">
      <c r="A13" s="53" t="s">
        <v>56</v>
      </c>
      <c r="B13" s="53" t="s">
        <v>232</v>
      </c>
      <c r="C13" s="53">
        <v>2019</v>
      </c>
      <c r="D13" s="81" t="s">
        <v>233</v>
      </c>
      <c r="E13" s="53" t="s">
        <v>248</v>
      </c>
      <c r="F13" s="53" t="s">
        <v>235</v>
      </c>
      <c r="G13" s="53" t="s">
        <v>42</v>
      </c>
      <c r="H13" s="53" t="s">
        <v>160</v>
      </c>
      <c r="I13" s="53" t="s">
        <v>159</v>
      </c>
      <c r="J13" s="53" t="s">
        <v>38</v>
      </c>
      <c r="K13" s="53" t="s">
        <v>161</v>
      </c>
      <c r="L13" s="53">
        <v>3</v>
      </c>
      <c r="N13" s="53">
        <v>1</v>
      </c>
      <c r="O13" s="53">
        <v>0.65</v>
      </c>
      <c r="P13" s="53">
        <v>0.6</v>
      </c>
      <c r="Q13" s="74">
        <f t="shared" si="0"/>
        <v>0.625</v>
      </c>
      <c r="R13" s="53">
        <v>15.5</v>
      </c>
      <c r="S13" s="53">
        <v>119</v>
      </c>
      <c r="T13" s="16">
        <f t="shared" si="1"/>
        <v>30</v>
      </c>
      <c r="U13" s="53">
        <v>138</v>
      </c>
      <c r="V13" s="16">
        <f t="shared" si="2"/>
        <v>4140</v>
      </c>
      <c r="W13" s="53">
        <v>12</v>
      </c>
      <c r="X13" s="53" t="s">
        <v>46</v>
      </c>
      <c r="Y13" s="53" t="s">
        <v>55</v>
      </c>
      <c r="Z13" s="53" t="s">
        <v>86</v>
      </c>
      <c r="AA13" s="53" t="s">
        <v>90</v>
      </c>
      <c r="AB13" s="53" t="s">
        <v>158</v>
      </c>
      <c r="AE13" s="22" t="s">
        <v>73</v>
      </c>
      <c r="AP13" s="23" t="s">
        <v>71</v>
      </c>
      <c r="AR13" s="23" t="s">
        <v>103</v>
      </c>
      <c r="AV13" s="23" t="s">
        <v>75</v>
      </c>
    </row>
    <row r="14" spans="1:53" x14ac:dyDescent="0.15">
      <c r="A14" s="53" t="s">
        <v>56</v>
      </c>
      <c r="B14" s="53" t="s">
        <v>232</v>
      </c>
      <c r="C14" s="53">
        <v>2019</v>
      </c>
      <c r="D14" s="81" t="s">
        <v>233</v>
      </c>
      <c r="E14" s="53" t="s">
        <v>162</v>
      </c>
      <c r="F14" s="53" t="s">
        <v>250</v>
      </c>
      <c r="G14" s="53" t="s">
        <v>42</v>
      </c>
      <c r="H14" s="53" t="s">
        <v>164</v>
      </c>
      <c r="I14" s="53" t="s">
        <v>159</v>
      </c>
      <c r="J14" s="53" t="s">
        <v>38</v>
      </c>
      <c r="K14" s="53" t="s">
        <v>161</v>
      </c>
      <c r="L14" s="53">
        <v>1</v>
      </c>
      <c r="N14" s="53">
        <v>1</v>
      </c>
      <c r="O14" s="53">
        <v>0.55000000000000004</v>
      </c>
      <c r="P14" s="53">
        <v>0.55000000000000004</v>
      </c>
      <c r="Q14" s="74">
        <f t="shared" si="0"/>
        <v>0.55000000000000004</v>
      </c>
      <c r="R14" s="53">
        <v>16.899999999999999</v>
      </c>
      <c r="S14" s="53">
        <v>112</v>
      </c>
      <c r="T14" s="16">
        <f t="shared" si="1"/>
        <v>33</v>
      </c>
      <c r="U14" s="53">
        <v>106</v>
      </c>
      <c r="V14" s="16">
        <f t="shared" si="2"/>
        <v>3498</v>
      </c>
      <c r="W14" s="53">
        <v>4</v>
      </c>
      <c r="X14" s="53" t="s">
        <v>46</v>
      </c>
      <c r="Y14" s="53" t="s">
        <v>55</v>
      </c>
      <c r="Z14" s="53" t="s">
        <v>64</v>
      </c>
      <c r="AA14" s="53" t="s">
        <v>86</v>
      </c>
      <c r="AB14" s="53" t="s">
        <v>158</v>
      </c>
      <c r="AE14" s="22" t="s">
        <v>76</v>
      </c>
      <c r="AP14" s="23" t="s">
        <v>74</v>
      </c>
      <c r="AR14" s="23" t="s">
        <v>125</v>
      </c>
      <c r="AV14" s="23" t="s">
        <v>78</v>
      </c>
    </row>
    <row r="15" spans="1:53" x14ac:dyDescent="0.15">
      <c r="A15" s="53" t="s">
        <v>56</v>
      </c>
      <c r="B15" s="53" t="s">
        <v>232</v>
      </c>
      <c r="C15" s="53">
        <v>2019</v>
      </c>
      <c r="D15" s="81" t="s">
        <v>233</v>
      </c>
      <c r="E15" s="53" t="s">
        <v>162</v>
      </c>
      <c r="F15" s="53" t="s">
        <v>250</v>
      </c>
      <c r="G15" s="53" t="s">
        <v>42</v>
      </c>
      <c r="H15" s="53" t="s">
        <v>164</v>
      </c>
      <c r="I15" s="53" t="s">
        <v>159</v>
      </c>
      <c r="J15" s="53" t="s">
        <v>38</v>
      </c>
      <c r="K15" s="53" t="s">
        <v>161</v>
      </c>
      <c r="L15" s="53">
        <v>2</v>
      </c>
      <c r="N15" s="53">
        <v>1</v>
      </c>
      <c r="O15" s="53">
        <v>0.55000000000000004</v>
      </c>
      <c r="P15" s="53">
        <v>0.55000000000000004</v>
      </c>
      <c r="Q15" s="74">
        <f t="shared" si="0"/>
        <v>0.55000000000000004</v>
      </c>
      <c r="R15" s="53">
        <v>15.2</v>
      </c>
      <c r="S15" s="53">
        <v>110</v>
      </c>
      <c r="T15" s="16">
        <f t="shared" si="1"/>
        <v>33</v>
      </c>
      <c r="U15" s="53">
        <v>106</v>
      </c>
      <c r="V15" s="16">
        <f t="shared" si="2"/>
        <v>3498</v>
      </c>
      <c r="W15" s="53">
        <v>4</v>
      </c>
      <c r="X15" s="53" t="s">
        <v>46</v>
      </c>
      <c r="Y15" s="53" t="s">
        <v>55</v>
      </c>
      <c r="Z15" s="53" t="s">
        <v>64</v>
      </c>
      <c r="AA15" s="53" t="s">
        <v>86</v>
      </c>
      <c r="AB15" s="53" t="s">
        <v>158</v>
      </c>
      <c r="AE15" s="22" t="s">
        <v>79</v>
      </c>
      <c r="AP15" s="23" t="s">
        <v>77</v>
      </c>
      <c r="AR15" s="23" t="s">
        <v>94</v>
      </c>
      <c r="AV15" s="23" t="s">
        <v>107</v>
      </c>
    </row>
    <row r="16" spans="1:53" x14ac:dyDescent="0.15">
      <c r="A16" s="53" t="s">
        <v>56</v>
      </c>
      <c r="B16" s="53" t="s">
        <v>232</v>
      </c>
      <c r="C16" s="53">
        <v>2019</v>
      </c>
      <c r="D16" s="81" t="s">
        <v>233</v>
      </c>
      <c r="E16" s="53" t="s">
        <v>162</v>
      </c>
      <c r="F16" s="53" t="s">
        <v>250</v>
      </c>
      <c r="G16" s="53" t="s">
        <v>42</v>
      </c>
      <c r="H16" s="53" t="s">
        <v>164</v>
      </c>
      <c r="I16" s="53" t="s">
        <v>159</v>
      </c>
      <c r="J16" s="53" t="s">
        <v>38</v>
      </c>
      <c r="K16" s="53" t="s">
        <v>161</v>
      </c>
      <c r="L16" s="53">
        <v>3</v>
      </c>
      <c r="N16" s="53">
        <v>1</v>
      </c>
      <c r="O16" s="53">
        <v>0.65</v>
      </c>
      <c r="P16" s="53">
        <v>0.65</v>
      </c>
      <c r="Q16" s="74">
        <f t="shared" si="0"/>
        <v>0.65</v>
      </c>
      <c r="R16" s="53">
        <v>15.7</v>
      </c>
      <c r="S16" s="53">
        <v>120</v>
      </c>
      <c r="T16" s="16">
        <f t="shared" si="1"/>
        <v>30</v>
      </c>
      <c r="U16" s="53">
        <v>106</v>
      </c>
      <c r="V16" s="16">
        <f t="shared" si="2"/>
        <v>3180</v>
      </c>
      <c r="W16" s="53">
        <v>4</v>
      </c>
      <c r="X16" s="53" t="s">
        <v>46</v>
      </c>
      <c r="Y16" s="53" t="s">
        <v>55</v>
      </c>
      <c r="Z16" s="53" t="s">
        <v>64</v>
      </c>
      <c r="AA16" s="53" t="s">
        <v>86</v>
      </c>
      <c r="AB16" s="53" t="s">
        <v>158</v>
      </c>
      <c r="AE16" s="22" t="s">
        <v>82</v>
      </c>
      <c r="AP16" s="23" t="s">
        <v>80</v>
      </c>
      <c r="AR16" s="23" t="s">
        <v>63</v>
      </c>
      <c r="AV16" s="23" t="s">
        <v>84</v>
      </c>
    </row>
    <row r="17" spans="1:48" x14ac:dyDescent="0.15">
      <c r="A17" s="53" t="s">
        <v>56</v>
      </c>
      <c r="B17" s="53" t="s">
        <v>232</v>
      </c>
      <c r="C17" s="53">
        <v>2019</v>
      </c>
      <c r="D17" s="81" t="s">
        <v>233</v>
      </c>
      <c r="E17" s="53" t="s">
        <v>162</v>
      </c>
      <c r="F17" s="53" t="s">
        <v>250</v>
      </c>
      <c r="G17" s="53" t="s">
        <v>42</v>
      </c>
      <c r="H17" s="53" t="s">
        <v>160</v>
      </c>
      <c r="I17" s="53" t="s">
        <v>159</v>
      </c>
      <c r="J17" s="53" t="s">
        <v>38</v>
      </c>
      <c r="K17" s="53" t="s">
        <v>161</v>
      </c>
      <c r="L17" s="53">
        <v>1</v>
      </c>
      <c r="N17" s="53">
        <v>1</v>
      </c>
      <c r="O17" s="53">
        <v>0.7</v>
      </c>
      <c r="P17" s="53">
        <v>0.7</v>
      </c>
      <c r="Q17" s="74">
        <f t="shared" si="0"/>
        <v>0.7</v>
      </c>
      <c r="R17" s="53">
        <v>17.5</v>
      </c>
      <c r="S17" s="53">
        <v>127</v>
      </c>
      <c r="T17" s="16">
        <f t="shared" si="1"/>
        <v>27</v>
      </c>
      <c r="U17" s="53">
        <v>106</v>
      </c>
      <c r="V17" s="16">
        <f t="shared" si="2"/>
        <v>2862</v>
      </c>
      <c r="W17" s="53">
        <v>4</v>
      </c>
      <c r="X17" s="53" t="s">
        <v>46</v>
      </c>
      <c r="Y17" s="53" t="s">
        <v>55</v>
      </c>
      <c r="Z17" s="53" t="s">
        <v>64</v>
      </c>
      <c r="AA17" s="53" t="s">
        <v>86</v>
      </c>
      <c r="AB17" s="53" t="s">
        <v>158</v>
      </c>
      <c r="AE17" s="22" t="s">
        <v>85</v>
      </c>
      <c r="AP17" s="27" t="s">
        <v>110</v>
      </c>
      <c r="AR17" s="23" t="s">
        <v>96</v>
      </c>
      <c r="AV17" s="23" t="s">
        <v>86</v>
      </c>
    </row>
    <row r="18" spans="1:48" x14ac:dyDescent="0.15">
      <c r="A18" s="53" t="s">
        <v>56</v>
      </c>
      <c r="B18" s="53" t="s">
        <v>232</v>
      </c>
      <c r="C18" s="53">
        <v>2019</v>
      </c>
      <c r="D18" s="81" t="s">
        <v>233</v>
      </c>
      <c r="E18" s="53" t="s">
        <v>162</v>
      </c>
      <c r="F18" s="53" t="s">
        <v>250</v>
      </c>
      <c r="G18" s="53" t="s">
        <v>42</v>
      </c>
      <c r="H18" s="53" t="s">
        <v>160</v>
      </c>
      <c r="I18" s="53" t="s">
        <v>159</v>
      </c>
      <c r="J18" s="53" t="s">
        <v>38</v>
      </c>
      <c r="K18" s="53" t="s">
        <v>161</v>
      </c>
      <c r="L18" s="53">
        <v>2</v>
      </c>
      <c r="N18" s="53">
        <v>1</v>
      </c>
      <c r="O18" s="53">
        <v>0.65</v>
      </c>
      <c r="P18" s="53">
        <v>0.6</v>
      </c>
      <c r="Q18" s="74">
        <f t="shared" si="0"/>
        <v>0.625</v>
      </c>
      <c r="R18" s="53">
        <v>16.600000000000001</v>
      </c>
      <c r="S18" s="53">
        <v>133</v>
      </c>
      <c r="T18" s="16">
        <f t="shared" si="1"/>
        <v>25</v>
      </c>
      <c r="U18" s="53">
        <v>106</v>
      </c>
      <c r="V18" s="16">
        <f t="shared" si="2"/>
        <v>2650</v>
      </c>
      <c r="W18" s="53">
        <v>4</v>
      </c>
      <c r="X18" s="53" t="s">
        <v>46</v>
      </c>
      <c r="Y18" s="53" t="s">
        <v>55</v>
      </c>
      <c r="Z18" s="53" t="s">
        <v>64</v>
      </c>
      <c r="AA18" s="53" t="s">
        <v>86</v>
      </c>
      <c r="AB18" s="53" t="s">
        <v>158</v>
      </c>
      <c r="AE18" s="22" t="s">
        <v>87</v>
      </c>
      <c r="AP18" s="27" t="s">
        <v>111</v>
      </c>
      <c r="AR18" s="23" t="s">
        <v>101</v>
      </c>
      <c r="AV18" s="23" t="s">
        <v>88</v>
      </c>
    </row>
    <row r="19" spans="1:48" x14ac:dyDescent="0.15">
      <c r="A19" s="53" t="s">
        <v>56</v>
      </c>
      <c r="B19" s="53" t="s">
        <v>232</v>
      </c>
      <c r="C19" s="53">
        <v>2019</v>
      </c>
      <c r="D19" s="81" t="s">
        <v>233</v>
      </c>
      <c r="E19" s="53" t="s">
        <v>162</v>
      </c>
      <c r="F19" s="53" t="s">
        <v>250</v>
      </c>
      <c r="G19" s="53" t="s">
        <v>42</v>
      </c>
      <c r="H19" s="53" t="s">
        <v>160</v>
      </c>
      <c r="I19" s="53" t="s">
        <v>159</v>
      </c>
      <c r="J19" s="53" t="s">
        <v>38</v>
      </c>
      <c r="K19" s="53" t="s">
        <v>161</v>
      </c>
      <c r="L19" s="53">
        <v>3</v>
      </c>
      <c r="N19" s="53">
        <v>1</v>
      </c>
      <c r="O19" s="53">
        <v>0.5</v>
      </c>
      <c r="P19" s="53">
        <v>0.5</v>
      </c>
      <c r="Q19" s="74">
        <f t="shared" si="0"/>
        <v>0.5</v>
      </c>
      <c r="R19" s="53">
        <v>17.5</v>
      </c>
      <c r="S19" s="53">
        <v>130</v>
      </c>
      <c r="T19" s="16">
        <f t="shared" si="1"/>
        <v>25</v>
      </c>
      <c r="U19" s="53">
        <v>106</v>
      </c>
      <c r="V19" s="16">
        <f t="shared" si="2"/>
        <v>2650</v>
      </c>
      <c r="W19" s="53">
        <v>4</v>
      </c>
      <c r="X19" s="53" t="s">
        <v>46</v>
      </c>
      <c r="Y19" s="53" t="s">
        <v>55</v>
      </c>
      <c r="Z19" s="53" t="s">
        <v>64</v>
      </c>
      <c r="AA19" s="53" t="s">
        <v>86</v>
      </c>
      <c r="AB19" s="53" t="s">
        <v>158</v>
      </c>
      <c r="AE19" s="35" t="s">
        <v>89</v>
      </c>
      <c r="AP19" s="27" t="s">
        <v>112</v>
      </c>
      <c r="AR19" s="23" t="s">
        <v>126</v>
      </c>
      <c r="AV19" s="23" t="s">
        <v>90</v>
      </c>
    </row>
    <row r="20" spans="1:48" x14ac:dyDescent="0.15">
      <c r="A20" s="53" t="s">
        <v>56</v>
      </c>
      <c r="B20" s="53" t="s">
        <v>232</v>
      </c>
      <c r="C20" s="53">
        <v>2019</v>
      </c>
      <c r="D20" s="81" t="s">
        <v>233</v>
      </c>
      <c r="E20" s="53" t="s">
        <v>251</v>
      </c>
      <c r="F20" s="53" t="s">
        <v>252</v>
      </c>
      <c r="G20" s="53" t="s">
        <v>42</v>
      </c>
      <c r="H20" s="53" t="s">
        <v>164</v>
      </c>
      <c r="I20" s="53" t="s">
        <v>159</v>
      </c>
      <c r="J20" s="53" t="s">
        <v>38</v>
      </c>
      <c r="K20" s="53" t="s">
        <v>161</v>
      </c>
      <c r="L20" s="53">
        <v>1</v>
      </c>
      <c r="N20" s="53">
        <v>1</v>
      </c>
      <c r="O20" s="53">
        <v>0.6</v>
      </c>
      <c r="P20" s="53">
        <v>0.6</v>
      </c>
      <c r="Q20" s="74">
        <f t="shared" si="0"/>
        <v>0.6</v>
      </c>
      <c r="R20" s="53">
        <v>16.899999999999999</v>
      </c>
      <c r="S20" s="53">
        <v>117</v>
      </c>
      <c r="T20" s="16">
        <f t="shared" si="1"/>
        <v>30</v>
      </c>
      <c r="U20" s="53">
        <v>138</v>
      </c>
      <c r="V20" s="16">
        <f t="shared" si="2"/>
        <v>4140</v>
      </c>
      <c r="W20" s="53">
        <v>4</v>
      </c>
      <c r="X20" s="53" t="s">
        <v>46</v>
      </c>
      <c r="Y20" s="53" t="s">
        <v>55</v>
      </c>
      <c r="Z20" s="53" t="s">
        <v>78</v>
      </c>
      <c r="AA20" s="53" t="s">
        <v>64</v>
      </c>
      <c r="AB20" s="53" t="s">
        <v>158</v>
      </c>
      <c r="AP20" s="27" t="s">
        <v>113</v>
      </c>
      <c r="AR20" s="23" t="s">
        <v>105</v>
      </c>
      <c r="AV20" s="27" t="s">
        <v>135</v>
      </c>
    </row>
    <row r="21" spans="1:48" x14ac:dyDescent="0.15">
      <c r="A21" s="53" t="s">
        <v>56</v>
      </c>
      <c r="B21" s="53" t="s">
        <v>232</v>
      </c>
      <c r="C21" s="53">
        <v>2019</v>
      </c>
      <c r="D21" s="81" t="s">
        <v>233</v>
      </c>
      <c r="E21" s="53" t="s">
        <v>251</v>
      </c>
      <c r="F21" s="53" t="s">
        <v>252</v>
      </c>
      <c r="G21" s="53" t="s">
        <v>42</v>
      </c>
      <c r="H21" s="53" t="s">
        <v>164</v>
      </c>
      <c r="I21" s="53" t="s">
        <v>159</v>
      </c>
      <c r="J21" s="53" t="s">
        <v>38</v>
      </c>
      <c r="K21" s="53" t="s">
        <v>161</v>
      </c>
      <c r="L21" s="53">
        <v>2</v>
      </c>
      <c r="N21" s="53">
        <v>1</v>
      </c>
      <c r="O21" s="53">
        <v>0.7</v>
      </c>
      <c r="P21" s="53">
        <v>0.7</v>
      </c>
      <c r="Q21" s="74">
        <f t="shared" si="0"/>
        <v>0.7</v>
      </c>
      <c r="R21" s="53">
        <v>12.9</v>
      </c>
      <c r="S21" s="53">
        <v>117</v>
      </c>
      <c r="T21" s="16">
        <f t="shared" si="1"/>
        <v>30</v>
      </c>
      <c r="U21" s="53">
        <v>138</v>
      </c>
      <c r="V21" s="16">
        <f t="shared" si="2"/>
        <v>4140</v>
      </c>
      <c r="W21" s="53">
        <v>4</v>
      </c>
      <c r="X21" s="53" t="s">
        <v>46</v>
      </c>
      <c r="Y21" s="53" t="s">
        <v>55</v>
      </c>
      <c r="Z21" s="53" t="s">
        <v>78</v>
      </c>
      <c r="AA21" s="53" t="s">
        <v>64</v>
      </c>
      <c r="AB21" s="53" t="s">
        <v>158</v>
      </c>
      <c r="AP21" s="27" t="s">
        <v>114</v>
      </c>
      <c r="AR21" s="23" t="s">
        <v>68</v>
      </c>
      <c r="AV21" s="28" t="s">
        <v>253</v>
      </c>
    </row>
    <row r="22" spans="1:48" x14ac:dyDescent="0.15">
      <c r="A22" s="53" t="s">
        <v>56</v>
      </c>
      <c r="B22" s="53" t="s">
        <v>232</v>
      </c>
      <c r="C22" s="53">
        <v>2019</v>
      </c>
      <c r="D22" s="81" t="s">
        <v>233</v>
      </c>
      <c r="E22" s="53" t="s">
        <v>251</v>
      </c>
      <c r="F22" s="53" t="s">
        <v>252</v>
      </c>
      <c r="G22" s="53" t="s">
        <v>42</v>
      </c>
      <c r="H22" s="53" t="s">
        <v>164</v>
      </c>
      <c r="I22" s="53" t="s">
        <v>159</v>
      </c>
      <c r="J22" s="53" t="s">
        <v>38</v>
      </c>
      <c r="K22" s="53" t="s">
        <v>161</v>
      </c>
      <c r="L22" s="53">
        <v>3</v>
      </c>
      <c r="N22" s="53">
        <v>1</v>
      </c>
      <c r="O22" s="53">
        <v>0.6</v>
      </c>
      <c r="P22" s="53">
        <v>0.6</v>
      </c>
      <c r="Q22" s="74">
        <f t="shared" si="0"/>
        <v>0.6</v>
      </c>
      <c r="R22" s="53">
        <v>13.2</v>
      </c>
      <c r="S22" s="53">
        <v>118</v>
      </c>
      <c r="T22" s="16">
        <f t="shared" si="1"/>
        <v>30</v>
      </c>
      <c r="U22" s="53">
        <v>138</v>
      </c>
      <c r="V22" s="16">
        <f t="shared" si="2"/>
        <v>4140</v>
      </c>
      <c r="W22" s="53">
        <v>4</v>
      </c>
      <c r="X22" s="53" t="s">
        <v>46</v>
      </c>
      <c r="Y22" s="53" t="s">
        <v>55</v>
      </c>
      <c r="Z22" s="53" t="s">
        <v>78</v>
      </c>
      <c r="AA22" s="53" t="s">
        <v>64</v>
      </c>
      <c r="AB22" s="53" t="s">
        <v>158</v>
      </c>
      <c r="AP22" s="27" t="s">
        <v>115</v>
      </c>
      <c r="AR22" s="23" t="s">
        <v>83</v>
      </c>
    </row>
    <row r="23" spans="1:48" x14ac:dyDescent="0.15">
      <c r="A23" s="53" t="s">
        <v>56</v>
      </c>
      <c r="B23" s="53" t="s">
        <v>232</v>
      </c>
      <c r="C23" s="53">
        <v>2019</v>
      </c>
      <c r="D23" s="81" t="s">
        <v>233</v>
      </c>
      <c r="E23" s="53" t="s">
        <v>251</v>
      </c>
      <c r="F23" s="53" t="s">
        <v>252</v>
      </c>
      <c r="G23" s="53" t="s">
        <v>42</v>
      </c>
      <c r="H23" s="53" t="s">
        <v>160</v>
      </c>
      <c r="I23" s="53" t="s">
        <v>159</v>
      </c>
      <c r="J23" s="53" t="s">
        <v>38</v>
      </c>
      <c r="K23" s="53" t="s">
        <v>161</v>
      </c>
      <c r="L23" s="53">
        <v>1</v>
      </c>
      <c r="N23" s="53">
        <v>1</v>
      </c>
      <c r="O23" s="53">
        <v>0.7</v>
      </c>
      <c r="P23" s="53">
        <v>0.8</v>
      </c>
      <c r="Q23" s="74">
        <f t="shared" si="0"/>
        <v>0.75</v>
      </c>
      <c r="R23" s="53">
        <v>14.9</v>
      </c>
      <c r="S23" s="53">
        <v>127</v>
      </c>
      <c r="T23" s="16">
        <f t="shared" si="1"/>
        <v>27</v>
      </c>
      <c r="U23" s="53">
        <v>138</v>
      </c>
      <c r="V23" s="16">
        <f t="shared" si="2"/>
        <v>3726</v>
      </c>
      <c r="W23" s="53">
        <v>6</v>
      </c>
      <c r="X23" s="53" t="s">
        <v>46</v>
      </c>
      <c r="Y23" s="53" t="s">
        <v>55</v>
      </c>
      <c r="Z23" s="53" t="s">
        <v>78</v>
      </c>
      <c r="AA23" s="53" t="s">
        <v>64</v>
      </c>
      <c r="AB23" s="53" t="s">
        <v>158</v>
      </c>
      <c r="AP23" s="27" t="s">
        <v>137</v>
      </c>
      <c r="AR23" s="23" t="s">
        <v>61</v>
      </c>
    </row>
    <row r="24" spans="1:48" x14ac:dyDescent="0.15">
      <c r="A24" s="53" t="s">
        <v>56</v>
      </c>
      <c r="B24" s="53" t="s">
        <v>232</v>
      </c>
      <c r="C24" s="53">
        <v>2019</v>
      </c>
      <c r="D24" s="81" t="s">
        <v>233</v>
      </c>
      <c r="E24" s="53" t="s">
        <v>251</v>
      </c>
      <c r="F24" s="53" t="s">
        <v>252</v>
      </c>
      <c r="G24" s="53" t="s">
        <v>42</v>
      </c>
      <c r="H24" s="53" t="s">
        <v>160</v>
      </c>
      <c r="I24" s="53" t="s">
        <v>159</v>
      </c>
      <c r="J24" s="53" t="s">
        <v>38</v>
      </c>
      <c r="K24" s="53" t="s">
        <v>161</v>
      </c>
      <c r="L24" s="53">
        <v>2</v>
      </c>
      <c r="N24" s="53">
        <v>1</v>
      </c>
      <c r="O24" s="53">
        <v>0.7</v>
      </c>
      <c r="P24" s="53">
        <v>0.7</v>
      </c>
      <c r="Q24" s="74">
        <f t="shared" si="0"/>
        <v>0.7</v>
      </c>
      <c r="R24" s="53">
        <v>16.600000000000001</v>
      </c>
      <c r="S24" s="53">
        <v>127</v>
      </c>
      <c r="T24" s="16">
        <f t="shared" si="1"/>
        <v>27</v>
      </c>
      <c r="U24" s="53">
        <v>138</v>
      </c>
      <c r="V24" s="16">
        <f t="shared" si="2"/>
        <v>3726</v>
      </c>
      <c r="W24" s="53">
        <v>6</v>
      </c>
      <c r="X24" s="53" t="s">
        <v>46</v>
      </c>
      <c r="Y24" s="53" t="s">
        <v>55</v>
      </c>
      <c r="Z24" s="53" t="s">
        <v>78</v>
      </c>
      <c r="AA24" s="53" t="s">
        <v>64</v>
      </c>
      <c r="AB24" s="53" t="s">
        <v>158</v>
      </c>
      <c r="AP24" s="27" t="s">
        <v>138</v>
      </c>
      <c r="AR24" s="23" t="s">
        <v>91</v>
      </c>
    </row>
    <row r="25" spans="1:48" x14ac:dyDescent="0.15">
      <c r="A25" s="53" t="s">
        <v>56</v>
      </c>
      <c r="B25" s="53" t="s">
        <v>232</v>
      </c>
      <c r="C25" s="53">
        <v>2019</v>
      </c>
      <c r="D25" s="81" t="s">
        <v>233</v>
      </c>
      <c r="E25" s="53" t="s">
        <v>251</v>
      </c>
      <c r="F25" s="53" t="s">
        <v>252</v>
      </c>
      <c r="G25" s="53" t="s">
        <v>42</v>
      </c>
      <c r="H25" s="53" t="s">
        <v>160</v>
      </c>
      <c r="I25" s="53" t="s">
        <v>159</v>
      </c>
      <c r="J25" s="53" t="s">
        <v>38</v>
      </c>
      <c r="K25" s="53" t="s">
        <v>161</v>
      </c>
      <c r="L25" s="53">
        <v>3</v>
      </c>
      <c r="N25" s="53">
        <v>1</v>
      </c>
      <c r="O25" s="53">
        <v>0.55000000000000004</v>
      </c>
      <c r="P25" s="53">
        <v>0.55000000000000004</v>
      </c>
      <c r="Q25" s="74">
        <f t="shared" si="0"/>
        <v>0.55000000000000004</v>
      </c>
      <c r="R25" s="53">
        <v>18</v>
      </c>
      <c r="S25" s="53">
        <v>131</v>
      </c>
      <c r="T25" s="16">
        <f t="shared" si="1"/>
        <v>25</v>
      </c>
      <c r="U25" s="53">
        <v>138</v>
      </c>
      <c r="V25" s="16">
        <f t="shared" si="2"/>
        <v>3450</v>
      </c>
      <c r="W25" s="53">
        <v>6</v>
      </c>
      <c r="X25" s="53" t="s">
        <v>46</v>
      </c>
      <c r="Y25" s="53" t="s">
        <v>55</v>
      </c>
      <c r="Z25" s="53" t="s">
        <v>78</v>
      </c>
      <c r="AA25" s="53" t="s">
        <v>64</v>
      </c>
      <c r="AB25" s="53" t="s">
        <v>158</v>
      </c>
      <c r="AP25" s="27" t="s">
        <v>116</v>
      </c>
      <c r="AR25" s="27" t="s">
        <v>92</v>
      </c>
    </row>
    <row r="26" spans="1:48" x14ac:dyDescent="0.15">
      <c r="A26" s="53" t="s">
        <v>56</v>
      </c>
      <c r="B26" s="53" t="s">
        <v>232</v>
      </c>
      <c r="C26" s="53">
        <v>2019</v>
      </c>
      <c r="D26" s="81" t="s">
        <v>233</v>
      </c>
      <c r="E26" s="53" t="s">
        <v>254</v>
      </c>
      <c r="F26" s="53" t="s">
        <v>250</v>
      </c>
      <c r="G26" s="53" t="s">
        <v>42</v>
      </c>
      <c r="H26" s="53" t="s">
        <v>164</v>
      </c>
      <c r="I26" s="53" t="s">
        <v>159</v>
      </c>
      <c r="J26" s="53" t="s">
        <v>38</v>
      </c>
      <c r="K26" s="53" t="s">
        <v>161</v>
      </c>
      <c r="L26" s="53">
        <v>1</v>
      </c>
      <c r="N26" s="53">
        <v>5</v>
      </c>
      <c r="O26" s="53">
        <v>0.65</v>
      </c>
      <c r="P26" s="53">
        <v>0.7</v>
      </c>
      <c r="Q26" s="16">
        <f t="shared" si="0"/>
        <v>0.67500000000000004</v>
      </c>
      <c r="R26" s="53">
        <v>16.2</v>
      </c>
      <c r="S26" s="53">
        <v>96</v>
      </c>
      <c r="T26" s="16">
        <f t="shared" si="1"/>
        <v>36</v>
      </c>
      <c r="U26" s="53">
        <v>418</v>
      </c>
      <c r="V26" s="16">
        <f t="shared" si="2"/>
        <v>3009.6</v>
      </c>
      <c r="W26" s="53">
        <v>4</v>
      </c>
      <c r="X26" s="53" t="s">
        <v>39</v>
      </c>
      <c r="Y26" s="53" t="s">
        <v>55</v>
      </c>
      <c r="Z26" s="53" t="s">
        <v>78</v>
      </c>
      <c r="AA26" s="53" t="s">
        <v>47</v>
      </c>
      <c r="AB26" s="53" t="s">
        <v>158</v>
      </c>
      <c r="AP26" s="27" t="s">
        <v>117</v>
      </c>
      <c r="AR26" s="53" t="s">
        <v>153</v>
      </c>
    </row>
    <row r="27" spans="1:48" x14ac:dyDescent="0.15">
      <c r="A27" s="53" t="s">
        <v>56</v>
      </c>
      <c r="B27" s="53" t="s">
        <v>232</v>
      </c>
      <c r="C27" s="53">
        <v>2019</v>
      </c>
      <c r="D27" s="81" t="s">
        <v>233</v>
      </c>
      <c r="E27" s="53" t="s">
        <v>254</v>
      </c>
      <c r="F27" s="53" t="s">
        <v>250</v>
      </c>
      <c r="G27" s="53" t="s">
        <v>42</v>
      </c>
      <c r="H27" s="53" t="s">
        <v>164</v>
      </c>
      <c r="I27" s="53" t="s">
        <v>159</v>
      </c>
      <c r="J27" s="53" t="s">
        <v>38</v>
      </c>
      <c r="K27" s="53" t="s">
        <v>161</v>
      </c>
      <c r="L27" s="53">
        <v>2</v>
      </c>
      <c r="N27" s="53">
        <v>5</v>
      </c>
      <c r="O27" s="53">
        <v>0.7</v>
      </c>
      <c r="P27" s="53">
        <v>0.65</v>
      </c>
      <c r="Q27" s="16">
        <f t="shared" si="0"/>
        <v>0.67500000000000004</v>
      </c>
      <c r="R27" s="53">
        <v>12</v>
      </c>
      <c r="S27" s="53">
        <v>96</v>
      </c>
      <c r="T27" s="16">
        <f t="shared" si="1"/>
        <v>36</v>
      </c>
      <c r="U27" s="53">
        <v>418</v>
      </c>
      <c r="V27" s="16">
        <f t="shared" si="2"/>
        <v>3009.6</v>
      </c>
      <c r="W27" s="53">
        <v>4</v>
      </c>
      <c r="X27" s="53" t="s">
        <v>39</v>
      </c>
      <c r="Y27" s="53" t="s">
        <v>55</v>
      </c>
      <c r="Z27" s="53" t="s">
        <v>78</v>
      </c>
      <c r="AA27" s="53" t="s">
        <v>47</v>
      </c>
      <c r="AB27" s="53" t="s">
        <v>158</v>
      </c>
      <c r="AP27" s="27" t="s">
        <v>118</v>
      </c>
    </row>
    <row r="28" spans="1:48" x14ac:dyDescent="0.15">
      <c r="A28" s="53" t="s">
        <v>56</v>
      </c>
      <c r="B28" s="53" t="s">
        <v>232</v>
      </c>
      <c r="C28" s="53">
        <v>2019</v>
      </c>
      <c r="D28" s="81" t="s">
        <v>233</v>
      </c>
      <c r="E28" s="53" t="s">
        <v>254</v>
      </c>
      <c r="F28" s="53" t="s">
        <v>250</v>
      </c>
      <c r="G28" s="53" t="s">
        <v>42</v>
      </c>
      <c r="H28" s="53" t="s">
        <v>164</v>
      </c>
      <c r="I28" s="53" t="s">
        <v>159</v>
      </c>
      <c r="J28" s="53" t="s">
        <v>38</v>
      </c>
      <c r="K28" s="53" t="s">
        <v>161</v>
      </c>
      <c r="L28" s="53">
        <v>3</v>
      </c>
      <c r="N28" s="53">
        <v>5</v>
      </c>
      <c r="O28" s="53">
        <v>0.7</v>
      </c>
      <c r="P28" s="53">
        <v>0.7</v>
      </c>
      <c r="Q28" s="16">
        <f t="shared" si="0"/>
        <v>0.7</v>
      </c>
      <c r="R28" s="53">
        <v>16</v>
      </c>
      <c r="S28" s="53">
        <v>98</v>
      </c>
      <c r="T28" s="16">
        <f t="shared" si="1"/>
        <v>36</v>
      </c>
      <c r="U28" s="53">
        <v>418</v>
      </c>
      <c r="V28" s="16">
        <f t="shared" si="2"/>
        <v>3009.6</v>
      </c>
      <c r="W28" s="53">
        <v>4</v>
      </c>
      <c r="X28" s="53" t="s">
        <v>39</v>
      </c>
      <c r="Y28" s="53" t="s">
        <v>55</v>
      </c>
      <c r="Z28" s="53" t="s">
        <v>78</v>
      </c>
      <c r="AA28" s="53" t="s">
        <v>47</v>
      </c>
      <c r="AB28" s="53" t="s">
        <v>158</v>
      </c>
    </row>
    <row r="29" spans="1:48" x14ac:dyDescent="0.15">
      <c r="A29" s="53" t="s">
        <v>56</v>
      </c>
      <c r="B29" s="53" t="s">
        <v>232</v>
      </c>
      <c r="C29" s="53">
        <v>2019</v>
      </c>
      <c r="D29" s="81" t="s">
        <v>233</v>
      </c>
      <c r="E29" s="53" t="s">
        <v>254</v>
      </c>
      <c r="F29" s="53" t="s">
        <v>250</v>
      </c>
      <c r="G29" s="53" t="s">
        <v>42</v>
      </c>
      <c r="H29" s="53" t="s">
        <v>160</v>
      </c>
      <c r="I29" s="53" t="s">
        <v>159</v>
      </c>
      <c r="J29" s="53" t="s">
        <v>38</v>
      </c>
      <c r="K29" s="53" t="s">
        <v>161</v>
      </c>
      <c r="L29" s="53">
        <v>1</v>
      </c>
      <c r="N29" s="53">
        <v>4</v>
      </c>
      <c r="O29" s="53">
        <v>0.6</v>
      </c>
      <c r="P29" s="53">
        <v>0.55000000000000004</v>
      </c>
      <c r="Q29" s="16">
        <f t="shared" si="0"/>
        <v>0.57499999999999996</v>
      </c>
      <c r="R29" s="53">
        <v>11.2</v>
      </c>
      <c r="S29" s="53">
        <v>95</v>
      </c>
      <c r="T29" s="16">
        <f t="shared" si="1"/>
        <v>36</v>
      </c>
      <c r="U29" s="53">
        <v>418</v>
      </c>
      <c r="V29" s="16">
        <f t="shared" si="2"/>
        <v>3762</v>
      </c>
      <c r="W29" s="53">
        <v>4</v>
      </c>
      <c r="X29" s="53" t="s">
        <v>39</v>
      </c>
      <c r="Y29" s="53" t="s">
        <v>55</v>
      </c>
      <c r="Z29" s="53" t="s">
        <v>78</v>
      </c>
      <c r="AA29" s="53" t="s">
        <v>47</v>
      </c>
      <c r="AB29" s="53" t="s">
        <v>158</v>
      </c>
    </row>
    <row r="30" spans="1:48" x14ac:dyDescent="0.15">
      <c r="A30" s="53" t="s">
        <v>56</v>
      </c>
      <c r="B30" s="53" t="s">
        <v>232</v>
      </c>
      <c r="C30" s="53">
        <v>2019</v>
      </c>
      <c r="D30" s="81" t="s">
        <v>233</v>
      </c>
      <c r="E30" s="53" t="s">
        <v>254</v>
      </c>
      <c r="F30" s="53" t="s">
        <v>250</v>
      </c>
      <c r="G30" s="53" t="s">
        <v>42</v>
      </c>
      <c r="H30" s="53" t="s">
        <v>160</v>
      </c>
      <c r="I30" s="53" t="s">
        <v>159</v>
      </c>
      <c r="J30" s="53" t="s">
        <v>38</v>
      </c>
      <c r="K30" s="53" t="s">
        <v>161</v>
      </c>
      <c r="L30" s="53">
        <v>2</v>
      </c>
      <c r="N30" s="53">
        <v>4</v>
      </c>
      <c r="O30" s="53">
        <v>0.6</v>
      </c>
      <c r="P30" s="53">
        <v>0.65</v>
      </c>
      <c r="Q30" s="16">
        <f t="shared" si="0"/>
        <v>0.625</v>
      </c>
      <c r="R30" s="53">
        <v>14.1</v>
      </c>
      <c r="S30" s="53">
        <v>100</v>
      </c>
      <c r="T30" s="16">
        <f t="shared" si="1"/>
        <v>33</v>
      </c>
      <c r="U30" s="53">
        <v>418</v>
      </c>
      <c r="V30" s="16">
        <f t="shared" si="2"/>
        <v>3448.5</v>
      </c>
      <c r="W30" s="53">
        <v>4</v>
      </c>
      <c r="X30" s="53" t="s">
        <v>39</v>
      </c>
      <c r="Y30" s="53" t="s">
        <v>55</v>
      </c>
      <c r="Z30" s="53" t="s">
        <v>78</v>
      </c>
      <c r="AA30" s="53" t="s">
        <v>47</v>
      </c>
      <c r="AB30" s="53" t="s">
        <v>158</v>
      </c>
    </row>
    <row r="31" spans="1:48" x14ac:dyDescent="0.15">
      <c r="A31" s="53" t="s">
        <v>56</v>
      </c>
      <c r="B31" s="53" t="s">
        <v>232</v>
      </c>
      <c r="C31" s="53">
        <v>2019</v>
      </c>
      <c r="D31" s="81" t="s">
        <v>233</v>
      </c>
      <c r="E31" s="53" t="s">
        <v>254</v>
      </c>
      <c r="F31" s="53" t="s">
        <v>250</v>
      </c>
      <c r="G31" s="53" t="s">
        <v>42</v>
      </c>
      <c r="H31" s="53" t="s">
        <v>160</v>
      </c>
      <c r="I31" s="53" t="s">
        <v>159</v>
      </c>
      <c r="J31" s="53" t="s">
        <v>38</v>
      </c>
      <c r="K31" s="53" t="s">
        <v>161</v>
      </c>
      <c r="L31" s="53">
        <v>3</v>
      </c>
      <c r="N31" s="53">
        <v>4</v>
      </c>
      <c r="O31" s="53">
        <v>0.6</v>
      </c>
      <c r="P31" s="53">
        <v>0.55000000000000004</v>
      </c>
      <c r="Q31" s="16">
        <f t="shared" si="0"/>
        <v>0.57499999999999996</v>
      </c>
      <c r="R31" s="53">
        <v>15.8</v>
      </c>
      <c r="S31" s="53">
        <v>95</v>
      </c>
      <c r="T31" s="16">
        <f t="shared" si="1"/>
        <v>36</v>
      </c>
      <c r="U31" s="53">
        <v>418</v>
      </c>
      <c r="V31" s="16">
        <f t="shared" si="2"/>
        <v>3762</v>
      </c>
      <c r="W31" s="53">
        <v>4</v>
      </c>
      <c r="X31" s="53" t="s">
        <v>39</v>
      </c>
      <c r="Y31" s="53" t="s">
        <v>55</v>
      </c>
      <c r="Z31" s="53" t="s">
        <v>78</v>
      </c>
      <c r="AA31" s="53" t="s">
        <v>47</v>
      </c>
      <c r="AB31" s="53" t="s">
        <v>158</v>
      </c>
    </row>
    <row r="32" spans="1:48" x14ac:dyDescent="0.15">
      <c r="A32" s="53" t="s">
        <v>56</v>
      </c>
      <c r="B32" s="53" t="s">
        <v>232</v>
      </c>
      <c r="C32" s="53">
        <v>2019</v>
      </c>
      <c r="D32" s="81" t="s">
        <v>233</v>
      </c>
      <c r="E32" s="53" t="s">
        <v>162</v>
      </c>
      <c r="F32" s="53" t="s">
        <v>247</v>
      </c>
      <c r="G32" s="53" t="s">
        <v>42</v>
      </c>
      <c r="H32" s="53" t="s">
        <v>164</v>
      </c>
      <c r="I32" s="53" t="s">
        <v>159</v>
      </c>
      <c r="J32" s="53" t="s">
        <v>38</v>
      </c>
      <c r="K32" s="53" t="s">
        <v>161</v>
      </c>
      <c r="L32" s="53">
        <v>1</v>
      </c>
      <c r="N32" s="53">
        <v>1</v>
      </c>
      <c r="O32" s="53">
        <v>0.5</v>
      </c>
      <c r="P32" s="53">
        <v>0.5</v>
      </c>
      <c r="Q32" s="16">
        <f t="shared" si="0"/>
        <v>0.5</v>
      </c>
      <c r="R32" s="53">
        <v>16.2</v>
      </c>
      <c r="S32" s="53">
        <v>115</v>
      </c>
      <c r="T32" s="16">
        <f t="shared" si="1"/>
        <v>30</v>
      </c>
      <c r="U32" s="53">
        <v>106</v>
      </c>
      <c r="V32" s="16">
        <f t="shared" si="2"/>
        <v>3180</v>
      </c>
      <c r="W32" s="53">
        <v>1</v>
      </c>
      <c r="X32" s="53" t="s">
        <v>46</v>
      </c>
      <c r="Y32" s="53" t="s">
        <v>55</v>
      </c>
      <c r="Z32" s="53" t="s">
        <v>47</v>
      </c>
      <c r="AA32" s="53" t="s">
        <v>78</v>
      </c>
      <c r="AB32" s="53" t="s">
        <v>158</v>
      </c>
    </row>
    <row r="33" spans="1:28" x14ac:dyDescent="0.15">
      <c r="A33" s="53" t="s">
        <v>56</v>
      </c>
      <c r="B33" s="53" t="s">
        <v>232</v>
      </c>
      <c r="C33" s="53">
        <v>2019</v>
      </c>
      <c r="D33" s="81" t="s">
        <v>233</v>
      </c>
      <c r="E33" s="53" t="s">
        <v>162</v>
      </c>
      <c r="F33" s="53" t="s">
        <v>247</v>
      </c>
      <c r="G33" s="53" t="s">
        <v>42</v>
      </c>
      <c r="H33" s="53" t="s">
        <v>164</v>
      </c>
      <c r="I33" s="53" t="s">
        <v>159</v>
      </c>
      <c r="J33" s="53" t="s">
        <v>38</v>
      </c>
      <c r="K33" s="53" t="s">
        <v>161</v>
      </c>
      <c r="L33" s="53">
        <v>2</v>
      </c>
      <c r="N33" s="53">
        <v>1</v>
      </c>
      <c r="O33" s="53">
        <v>0.5</v>
      </c>
      <c r="P33" s="53">
        <v>0.5</v>
      </c>
      <c r="Q33" s="16">
        <f t="shared" si="0"/>
        <v>0.5</v>
      </c>
      <c r="R33" s="53">
        <v>16.899999999999999</v>
      </c>
      <c r="S33" s="53">
        <v>116</v>
      </c>
      <c r="T33" s="16">
        <f t="shared" si="1"/>
        <v>30</v>
      </c>
      <c r="U33" s="53">
        <v>106</v>
      </c>
      <c r="V33" s="16">
        <f t="shared" si="2"/>
        <v>3180</v>
      </c>
      <c r="W33" s="53">
        <v>1</v>
      </c>
      <c r="X33" s="53" t="s">
        <v>46</v>
      </c>
      <c r="Y33" s="53" t="s">
        <v>55</v>
      </c>
      <c r="Z33" s="53" t="s">
        <v>47</v>
      </c>
      <c r="AA33" s="53" t="s">
        <v>78</v>
      </c>
      <c r="AB33" s="53" t="s">
        <v>158</v>
      </c>
    </row>
    <row r="34" spans="1:28" x14ac:dyDescent="0.15">
      <c r="A34" s="53" t="s">
        <v>56</v>
      </c>
      <c r="B34" s="53" t="s">
        <v>232</v>
      </c>
      <c r="C34" s="53">
        <v>2019</v>
      </c>
      <c r="D34" s="81" t="s">
        <v>233</v>
      </c>
      <c r="E34" s="53" t="s">
        <v>162</v>
      </c>
      <c r="F34" s="53" t="s">
        <v>247</v>
      </c>
      <c r="G34" s="53" t="s">
        <v>42</v>
      </c>
      <c r="H34" s="53" t="s">
        <v>164</v>
      </c>
      <c r="I34" s="53" t="s">
        <v>159</v>
      </c>
      <c r="J34" s="53" t="s">
        <v>38</v>
      </c>
      <c r="K34" s="53" t="s">
        <v>161</v>
      </c>
      <c r="L34" s="53">
        <v>3</v>
      </c>
      <c r="N34" s="53">
        <v>1</v>
      </c>
      <c r="O34" s="53">
        <v>0.6</v>
      </c>
      <c r="P34" s="53">
        <v>0.6</v>
      </c>
      <c r="Q34" s="16">
        <f t="shared" si="0"/>
        <v>0.6</v>
      </c>
      <c r="R34" s="53">
        <v>16.7</v>
      </c>
      <c r="S34" s="53">
        <v>120</v>
      </c>
      <c r="T34" s="16">
        <f t="shared" si="1"/>
        <v>30</v>
      </c>
      <c r="U34" s="53">
        <v>106</v>
      </c>
      <c r="V34" s="16">
        <f t="shared" si="2"/>
        <v>3180</v>
      </c>
      <c r="W34" s="53">
        <v>1</v>
      </c>
      <c r="X34" s="53" t="s">
        <v>46</v>
      </c>
      <c r="Y34" s="53" t="s">
        <v>55</v>
      </c>
      <c r="Z34" s="53" t="s">
        <v>47</v>
      </c>
      <c r="AA34" s="53" t="s">
        <v>78</v>
      </c>
      <c r="AB34" s="53" t="s">
        <v>158</v>
      </c>
    </row>
    <row r="35" spans="1:28" x14ac:dyDescent="0.15">
      <c r="A35" s="53" t="s">
        <v>56</v>
      </c>
      <c r="B35" s="53" t="s">
        <v>232</v>
      </c>
      <c r="C35" s="53">
        <v>2019</v>
      </c>
      <c r="D35" s="81" t="s">
        <v>233</v>
      </c>
      <c r="E35" s="53" t="s">
        <v>162</v>
      </c>
      <c r="F35" s="53" t="s">
        <v>247</v>
      </c>
      <c r="G35" s="53" t="s">
        <v>42</v>
      </c>
      <c r="H35" s="53" t="s">
        <v>160</v>
      </c>
      <c r="I35" s="53" t="s">
        <v>159</v>
      </c>
      <c r="J35" s="53" t="s">
        <v>38</v>
      </c>
      <c r="K35" s="53" t="s">
        <v>161</v>
      </c>
      <c r="L35" s="53">
        <v>1</v>
      </c>
      <c r="N35" s="53">
        <v>1</v>
      </c>
      <c r="O35" s="53">
        <v>0.5</v>
      </c>
      <c r="P35" s="53">
        <v>0.6</v>
      </c>
      <c r="Q35" s="16">
        <f t="shared" si="0"/>
        <v>0.55000000000000004</v>
      </c>
      <c r="R35" s="53">
        <v>16.2</v>
      </c>
      <c r="S35" s="53">
        <v>122</v>
      </c>
      <c r="T35" s="16">
        <f t="shared" si="1"/>
        <v>27</v>
      </c>
      <c r="U35" s="53">
        <v>106</v>
      </c>
      <c r="V35" s="16">
        <f t="shared" si="2"/>
        <v>2862</v>
      </c>
      <c r="W35" s="53">
        <v>3</v>
      </c>
      <c r="X35" s="53" t="s">
        <v>46</v>
      </c>
      <c r="Y35" s="53" t="s">
        <v>55</v>
      </c>
      <c r="Z35" s="53" t="s">
        <v>47</v>
      </c>
      <c r="AA35" s="53" t="s">
        <v>78</v>
      </c>
      <c r="AB35" s="53" t="s">
        <v>158</v>
      </c>
    </row>
    <row r="36" spans="1:28" x14ac:dyDescent="0.15">
      <c r="A36" s="53" t="s">
        <v>56</v>
      </c>
      <c r="B36" s="53" t="s">
        <v>232</v>
      </c>
      <c r="C36" s="53">
        <v>2019</v>
      </c>
      <c r="D36" s="81" t="s">
        <v>233</v>
      </c>
      <c r="E36" s="53" t="s">
        <v>162</v>
      </c>
      <c r="F36" s="53" t="s">
        <v>247</v>
      </c>
      <c r="G36" s="53" t="s">
        <v>42</v>
      </c>
      <c r="H36" s="53" t="s">
        <v>160</v>
      </c>
      <c r="I36" s="53" t="s">
        <v>159</v>
      </c>
      <c r="J36" s="53" t="s">
        <v>38</v>
      </c>
      <c r="K36" s="53" t="s">
        <v>161</v>
      </c>
      <c r="L36" s="53">
        <v>2</v>
      </c>
      <c r="N36" s="53">
        <v>1</v>
      </c>
      <c r="O36" s="53">
        <v>0.6</v>
      </c>
      <c r="P36" s="53">
        <v>0.55000000000000004</v>
      </c>
      <c r="Q36" s="16">
        <f t="shared" si="0"/>
        <v>0.57499999999999996</v>
      </c>
      <c r="R36" s="53">
        <v>16.600000000000001</v>
      </c>
      <c r="S36" s="53">
        <v>121</v>
      </c>
      <c r="T36" s="16">
        <f t="shared" si="1"/>
        <v>27</v>
      </c>
      <c r="U36" s="53">
        <v>106</v>
      </c>
      <c r="V36" s="16">
        <f t="shared" si="2"/>
        <v>2862</v>
      </c>
      <c r="W36" s="53">
        <v>3</v>
      </c>
      <c r="X36" s="53" t="s">
        <v>46</v>
      </c>
      <c r="Y36" s="53" t="s">
        <v>55</v>
      </c>
      <c r="Z36" s="53" t="s">
        <v>47</v>
      </c>
      <c r="AA36" s="53" t="s">
        <v>78</v>
      </c>
      <c r="AB36" s="53" t="s">
        <v>158</v>
      </c>
    </row>
    <row r="37" spans="1:28" x14ac:dyDescent="0.15">
      <c r="A37" s="53" t="s">
        <v>56</v>
      </c>
      <c r="B37" s="53" t="s">
        <v>232</v>
      </c>
      <c r="C37" s="53">
        <v>2019</v>
      </c>
      <c r="D37" s="81" t="s">
        <v>233</v>
      </c>
      <c r="E37" s="53" t="s">
        <v>162</v>
      </c>
      <c r="F37" s="53" t="s">
        <v>247</v>
      </c>
      <c r="G37" s="53" t="s">
        <v>42</v>
      </c>
      <c r="H37" s="53" t="s">
        <v>160</v>
      </c>
      <c r="I37" s="53" t="s">
        <v>159</v>
      </c>
      <c r="J37" s="53" t="s">
        <v>38</v>
      </c>
      <c r="K37" s="53" t="s">
        <v>161</v>
      </c>
      <c r="L37" s="53">
        <v>3</v>
      </c>
      <c r="N37" s="53">
        <v>1</v>
      </c>
      <c r="O37" s="53">
        <v>0.55000000000000004</v>
      </c>
      <c r="P37" s="53">
        <v>0.55000000000000004</v>
      </c>
      <c r="Q37" s="16">
        <f t="shared" si="0"/>
        <v>0.55000000000000004</v>
      </c>
      <c r="R37" s="53">
        <v>11.1</v>
      </c>
      <c r="S37" s="53">
        <v>118</v>
      </c>
      <c r="T37" s="16">
        <f t="shared" si="1"/>
        <v>30</v>
      </c>
      <c r="U37" s="53">
        <v>106</v>
      </c>
      <c r="V37" s="16">
        <f t="shared" si="2"/>
        <v>3180</v>
      </c>
      <c r="W37" s="53">
        <v>3</v>
      </c>
      <c r="X37" s="53" t="s">
        <v>46</v>
      </c>
      <c r="Y37" s="53" t="s">
        <v>55</v>
      </c>
      <c r="Z37" s="53" t="s">
        <v>47</v>
      </c>
      <c r="AA37" s="53" t="s">
        <v>78</v>
      </c>
      <c r="AB37" s="53" t="s">
        <v>158</v>
      </c>
    </row>
    <row r="38" spans="1:28" x14ac:dyDescent="0.15">
      <c r="A38" s="53" t="s">
        <v>56</v>
      </c>
      <c r="B38" s="53" t="s">
        <v>232</v>
      </c>
      <c r="C38" s="53">
        <v>2019</v>
      </c>
      <c r="D38" s="81" t="s">
        <v>233</v>
      </c>
      <c r="E38" s="53" t="s">
        <v>255</v>
      </c>
      <c r="F38" s="53" t="s">
        <v>247</v>
      </c>
      <c r="G38" s="53" t="s">
        <v>42</v>
      </c>
      <c r="H38" s="53" t="s">
        <v>164</v>
      </c>
      <c r="I38" s="53" t="s">
        <v>159</v>
      </c>
      <c r="J38" s="53" t="s">
        <v>38</v>
      </c>
      <c r="K38" s="53" t="s">
        <v>161</v>
      </c>
      <c r="L38" s="53">
        <v>1</v>
      </c>
      <c r="N38" s="53">
        <v>1</v>
      </c>
      <c r="O38" s="53">
        <v>0.75</v>
      </c>
      <c r="P38" s="53">
        <v>0.85</v>
      </c>
      <c r="Q38" s="16">
        <f t="shared" si="0"/>
        <v>0.8</v>
      </c>
      <c r="R38" s="53">
        <v>13.5</v>
      </c>
      <c r="S38" s="53">
        <v>132</v>
      </c>
      <c r="T38" s="16">
        <f t="shared" si="1"/>
        <v>25</v>
      </c>
      <c r="U38" s="53">
        <v>138</v>
      </c>
      <c r="V38" s="16">
        <f t="shared" si="2"/>
        <v>3450</v>
      </c>
      <c r="W38" s="53">
        <v>1</v>
      </c>
      <c r="X38" s="53" t="s">
        <v>39</v>
      </c>
      <c r="Y38" s="53" t="s">
        <v>64</v>
      </c>
      <c r="Z38" s="53" t="s">
        <v>78</v>
      </c>
      <c r="AA38" s="53" t="s">
        <v>88</v>
      </c>
      <c r="AB38" s="53" t="s">
        <v>158</v>
      </c>
    </row>
    <row r="39" spans="1:28" x14ac:dyDescent="0.15">
      <c r="A39" s="53" t="s">
        <v>56</v>
      </c>
      <c r="B39" s="53" t="s">
        <v>232</v>
      </c>
      <c r="C39" s="53">
        <v>2019</v>
      </c>
      <c r="D39" s="81" t="s">
        <v>233</v>
      </c>
      <c r="E39" s="53" t="s">
        <v>255</v>
      </c>
      <c r="F39" s="53" t="s">
        <v>247</v>
      </c>
      <c r="G39" s="53" t="s">
        <v>42</v>
      </c>
      <c r="H39" s="53" t="s">
        <v>164</v>
      </c>
      <c r="I39" s="53" t="s">
        <v>159</v>
      </c>
      <c r="J39" s="53" t="s">
        <v>38</v>
      </c>
      <c r="K39" s="53" t="s">
        <v>161</v>
      </c>
      <c r="L39" s="53">
        <v>2</v>
      </c>
      <c r="N39" s="53">
        <v>1</v>
      </c>
      <c r="O39" s="53">
        <v>0.85</v>
      </c>
      <c r="P39" s="53">
        <v>0.85</v>
      </c>
      <c r="Q39" s="16">
        <f t="shared" si="0"/>
        <v>0.85</v>
      </c>
      <c r="R39" s="53">
        <v>11.9</v>
      </c>
      <c r="S39" s="53">
        <v>131</v>
      </c>
      <c r="T39" s="16">
        <f t="shared" si="1"/>
        <v>25</v>
      </c>
      <c r="U39" s="53">
        <v>138</v>
      </c>
      <c r="V39" s="16">
        <f t="shared" si="2"/>
        <v>3450</v>
      </c>
      <c r="W39" s="53">
        <v>1</v>
      </c>
      <c r="X39" s="53" t="s">
        <v>39</v>
      </c>
      <c r="Y39" s="53" t="s">
        <v>64</v>
      </c>
      <c r="Z39" s="53" t="s">
        <v>78</v>
      </c>
      <c r="AA39" s="53" t="s">
        <v>88</v>
      </c>
      <c r="AB39" s="53" t="s">
        <v>158</v>
      </c>
    </row>
    <row r="40" spans="1:28" x14ac:dyDescent="0.15">
      <c r="A40" s="53" t="s">
        <v>56</v>
      </c>
      <c r="B40" s="53" t="s">
        <v>232</v>
      </c>
      <c r="C40" s="53">
        <v>2019</v>
      </c>
      <c r="D40" s="81" t="s">
        <v>233</v>
      </c>
      <c r="E40" s="53" t="s">
        <v>255</v>
      </c>
      <c r="F40" s="53" t="s">
        <v>247</v>
      </c>
      <c r="G40" s="53" t="s">
        <v>42</v>
      </c>
      <c r="H40" s="53" t="s">
        <v>164</v>
      </c>
      <c r="I40" s="53" t="s">
        <v>159</v>
      </c>
      <c r="J40" s="53" t="s">
        <v>38</v>
      </c>
      <c r="K40" s="53" t="s">
        <v>161</v>
      </c>
      <c r="L40" s="53">
        <v>3</v>
      </c>
      <c r="N40" s="53">
        <v>1</v>
      </c>
      <c r="O40" s="53">
        <v>0.7</v>
      </c>
      <c r="P40" s="53">
        <v>0.8</v>
      </c>
      <c r="Q40" s="16">
        <f t="shared" si="0"/>
        <v>0.75</v>
      </c>
      <c r="R40" s="53">
        <v>12.8</v>
      </c>
      <c r="S40" s="53">
        <v>130</v>
      </c>
      <c r="T40" s="16">
        <f t="shared" si="1"/>
        <v>25</v>
      </c>
      <c r="U40" s="53">
        <v>138</v>
      </c>
      <c r="V40" s="16">
        <f t="shared" si="2"/>
        <v>3450</v>
      </c>
      <c r="W40" s="53">
        <v>1</v>
      </c>
      <c r="X40" s="53" t="s">
        <v>39</v>
      </c>
      <c r="Y40" s="53" t="s">
        <v>64</v>
      </c>
      <c r="Z40" s="53" t="s">
        <v>78</v>
      </c>
      <c r="AA40" s="53" t="s">
        <v>88</v>
      </c>
      <c r="AB40" s="53" t="s">
        <v>158</v>
      </c>
    </row>
    <row r="41" spans="1:28" x14ac:dyDescent="0.15">
      <c r="A41" s="53" t="s">
        <v>56</v>
      </c>
      <c r="B41" s="53" t="s">
        <v>232</v>
      </c>
      <c r="C41" s="53">
        <v>2019</v>
      </c>
      <c r="D41" s="81" t="s">
        <v>233</v>
      </c>
      <c r="E41" s="53" t="s">
        <v>255</v>
      </c>
      <c r="F41" s="53" t="s">
        <v>247</v>
      </c>
      <c r="G41" s="53" t="s">
        <v>42</v>
      </c>
      <c r="H41" s="53" t="s">
        <v>160</v>
      </c>
      <c r="I41" s="53" t="s">
        <v>159</v>
      </c>
      <c r="J41" s="53" t="s">
        <v>38</v>
      </c>
      <c r="K41" s="53" t="s">
        <v>161</v>
      </c>
      <c r="L41" s="53">
        <v>1</v>
      </c>
      <c r="N41" s="53">
        <v>1</v>
      </c>
      <c r="O41" s="53">
        <v>0.55000000000000004</v>
      </c>
      <c r="P41" s="53">
        <v>0.55000000000000004</v>
      </c>
      <c r="Q41" s="16">
        <f t="shared" si="0"/>
        <v>0.55000000000000004</v>
      </c>
      <c r="R41" s="53">
        <v>16.600000000000001</v>
      </c>
      <c r="S41" s="53">
        <v>130</v>
      </c>
      <c r="T41" s="16">
        <f t="shared" si="1"/>
        <v>25</v>
      </c>
      <c r="U41" s="53">
        <v>150</v>
      </c>
      <c r="V41" s="16">
        <f t="shared" si="2"/>
        <v>3750</v>
      </c>
      <c r="W41" s="53">
        <v>1</v>
      </c>
      <c r="X41" s="53" t="s">
        <v>39</v>
      </c>
      <c r="Y41" s="53" t="s">
        <v>64</v>
      </c>
      <c r="Z41" s="53" t="s">
        <v>78</v>
      </c>
      <c r="AA41" s="53" t="s">
        <v>88</v>
      </c>
      <c r="AB41" s="53" t="s">
        <v>158</v>
      </c>
    </row>
    <row r="42" spans="1:28" x14ac:dyDescent="0.15">
      <c r="A42" s="53" t="s">
        <v>56</v>
      </c>
      <c r="B42" s="53" t="s">
        <v>232</v>
      </c>
      <c r="C42" s="53">
        <v>2019</v>
      </c>
      <c r="D42" s="81" t="s">
        <v>233</v>
      </c>
      <c r="E42" s="53" t="s">
        <v>255</v>
      </c>
      <c r="F42" s="53" t="s">
        <v>247</v>
      </c>
      <c r="G42" s="53" t="s">
        <v>42</v>
      </c>
      <c r="H42" s="53" t="s">
        <v>160</v>
      </c>
      <c r="I42" s="53" t="s">
        <v>159</v>
      </c>
      <c r="J42" s="53" t="s">
        <v>38</v>
      </c>
      <c r="K42" s="53" t="s">
        <v>161</v>
      </c>
      <c r="L42" s="53">
        <v>2</v>
      </c>
      <c r="N42" s="53">
        <v>1</v>
      </c>
      <c r="O42" s="53">
        <v>0.6</v>
      </c>
      <c r="P42" s="53">
        <v>0.55000000000000004</v>
      </c>
      <c r="Q42" s="16">
        <f t="shared" si="0"/>
        <v>0.57499999999999996</v>
      </c>
      <c r="R42" s="53">
        <v>15.8</v>
      </c>
      <c r="S42" s="53">
        <v>129</v>
      </c>
      <c r="T42" s="16">
        <f t="shared" si="1"/>
        <v>25</v>
      </c>
      <c r="U42" s="53">
        <v>150</v>
      </c>
      <c r="V42" s="16">
        <f t="shared" si="2"/>
        <v>3750</v>
      </c>
      <c r="W42" s="53">
        <v>1</v>
      </c>
      <c r="X42" s="53" t="s">
        <v>39</v>
      </c>
      <c r="Y42" s="53" t="s">
        <v>64</v>
      </c>
      <c r="Z42" s="53" t="s">
        <v>78</v>
      </c>
      <c r="AA42" s="53" t="s">
        <v>88</v>
      </c>
      <c r="AB42" s="53" t="s">
        <v>158</v>
      </c>
    </row>
    <row r="43" spans="1:28" x14ac:dyDescent="0.15">
      <c r="A43" s="53" t="s">
        <v>56</v>
      </c>
      <c r="B43" s="53" t="s">
        <v>232</v>
      </c>
      <c r="C43" s="53">
        <v>2019</v>
      </c>
      <c r="D43" s="81" t="s">
        <v>233</v>
      </c>
      <c r="E43" s="53" t="s">
        <v>255</v>
      </c>
      <c r="F43" s="53" t="s">
        <v>247</v>
      </c>
      <c r="G43" s="53" t="s">
        <v>42</v>
      </c>
      <c r="H43" s="53" t="s">
        <v>160</v>
      </c>
      <c r="I43" s="53" t="s">
        <v>159</v>
      </c>
      <c r="J43" s="53" t="s">
        <v>38</v>
      </c>
      <c r="K43" s="53" t="s">
        <v>161</v>
      </c>
      <c r="L43" s="53">
        <v>3</v>
      </c>
      <c r="N43" s="53">
        <v>1</v>
      </c>
      <c r="O43" s="53">
        <v>0.6</v>
      </c>
      <c r="P43" s="53">
        <v>0.6</v>
      </c>
      <c r="Q43" s="16">
        <f t="shared" si="0"/>
        <v>0.6</v>
      </c>
      <c r="R43" s="53">
        <v>17.100000000000001</v>
      </c>
      <c r="S43" s="53">
        <v>128</v>
      </c>
      <c r="T43" s="16">
        <f t="shared" si="1"/>
        <v>27</v>
      </c>
      <c r="U43" s="53">
        <v>150</v>
      </c>
      <c r="V43" s="16">
        <f t="shared" si="2"/>
        <v>4050</v>
      </c>
      <c r="W43" s="53">
        <v>1</v>
      </c>
      <c r="X43" s="53" t="s">
        <v>39</v>
      </c>
      <c r="Y43" s="53" t="s">
        <v>64</v>
      </c>
      <c r="Z43" s="53" t="s">
        <v>78</v>
      </c>
      <c r="AA43" s="53" t="s">
        <v>88</v>
      </c>
      <c r="AB43" s="53" t="s">
        <v>158</v>
      </c>
    </row>
    <row r="44" spans="1:28" x14ac:dyDescent="0.15">
      <c r="A44" s="53" t="s">
        <v>56</v>
      </c>
      <c r="B44" s="53" t="s">
        <v>232</v>
      </c>
      <c r="C44" s="53">
        <v>2019</v>
      </c>
      <c r="D44" s="81" t="s">
        <v>233</v>
      </c>
      <c r="E44" s="53" t="s">
        <v>256</v>
      </c>
      <c r="F44" s="53" t="s">
        <v>237</v>
      </c>
      <c r="G44" s="53" t="s">
        <v>42</v>
      </c>
      <c r="H44" s="53" t="s">
        <v>164</v>
      </c>
      <c r="I44" s="53" t="s">
        <v>159</v>
      </c>
      <c r="J44" s="53" t="s">
        <v>38</v>
      </c>
      <c r="K44" s="53" t="s">
        <v>161</v>
      </c>
      <c r="L44" s="53">
        <v>1</v>
      </c>
      <c r="N44" s="53">
        <v>5</v>
      </c>
      <c r="O44" s="53">
        <v>0.6</v>
      </c>
      <c r="P44" s="53">
        <v>0.6</v>
      </c>
      <c r="Q44" s="16">
        <f t="shared" si="0"/>
        <v>0.6</v>
      </c>
      <c r="R44" s="53">
        <v>15.3</v>
      </c>
      <c r="S44" s="53">
        <v>90</v>
      </c>
      <c r="T44" s="16">
        <f t="shared" si="1"/>
        <v>36</v>
      </c>
      <c r="U44" s="53">
        <v>429</v>
      </c>
      <c r="V44" s="16">
        <f t="shared" si="2"/>
        <v>3088.7999999999997</v>
      </c>
      <c r="W44" s="53">
        <v>1</v>
      </c>
      <c r="X44" s="53" t="s">
        <v>39</v>
      </c>
      <c r="Y44" s="53" t="s">
        <v>47</v>
      </c>
      <c r="Z44" s="53" t="s">
        <v>55</v>
      </c>
      <c r="AA44" s="53" t="s">
        <v>64</v>
      </c>
      <c r="AB44" s="53" t="s">
        <v>158</v>
      </c>
    </row>
    <row r="45" spans="1:28" x14ac:dyDescent="0.15">
      <c r="A45" s="53" t="s">
        <v>56</v>
      </c>
      <c r="B45" s="53" t="s">
        <v>232</v>
      </c>
      <c r="C45" s="53">
        <v>2019</v>
      </c>
      <c r="D45" s="81" t="s">
        <v>233</v>
      </c>
      <c r="E45" s="53" t="s">
        <v>256</v>
      </c>
      <c r="F45" s="53" t="s">
        <v>237</v>
      </c>
      <c r="G45" s="53" t="s">
        <v>42</v>
      </c>
      <c r="H45" s="53" t="s">
        <v>164</v>
      </c>
      <c r="I45" s="53" t="s">
        <v>159</v>
      </c>
      <c r="J45" s="53" t="s">
        <v>38</v>
      </c>
      <c r="K45" s="53" t="s">
        <v>161</v>
      </c>
      <c r="L45" s="53">
        <v>2</v>
      </c>
      <c r="N45" s="53">
        <v>5</v>
      </c>
      <c r="O45" s="53">
        <v>0.6</v>
      </c>
      <c r="P45" s="53">
        <v>0.55000000000000004</v>
      </c>
      <c r="Q45" s="16">
        <f t="shared" si="0"/>
        <v>0.57499999999999996</v>
      </c>
      <c r="R45" s="53">
        <v>14.3</v>
      </c>
      <c r="S45" s="53">
        <v>93</v>
      </c>
      <c r="T45" s="16">
        <f t="shared" si="1"/>
        <v>36</v>
      </c>
      <c r="U45" s="53">
        <v>429</v>
      </c>
      <c r="V45" s="16">
        <f t="shared" si="2"/>
        <v>3088.7999999999997</v>
      </c>
      <c r="W45" s="53">
        <v>1</v>
      </c>
      <c r="X45" s="53" t="s">
        <v>39</v>
      </c>
      <c r="Y45" s="53" t="s">
        <v>47</v>
      </c>
      <c r="Z45" s="53" t="s">
        <v>55</v>
      </c>
      <c r="AA45" s="53" t="s">
        <v>64</v>
      </c>
      <c r="AB45" s="53" t="s">
        <v>158</v>
      </c>
    </row>
    <row r="46" spans="1:28" x14ac:dyDescent="0.15">
      <c r="A46" s="53" t="s">
        <v>56</v>
      </c>
      <c r="B46" s="53" t="s">
        <v>232</v>
      </c>
      <c r="C46" s="53">
        <v>2019</v>
      </c>
      <c r="D46" s="81" t="s">
        <v>233</v>
      </c>
      <c r="E46" s="53" t="s">
        <v>256</v>
      </c>
      <c r="F46" s="53" t="s">
        <v>237</v>
      </c>
      <c r="G46" s="53" t="s">
        <v>42</v>
      </c>
      <c r="H46" s="53" t="s">
        <v>164</v>
      </c>
      <c r="I46" s="53" t="s">
        <v>159</v>
      </c>
      <c r="J46" s="53" t="s">
        <v>38</v>
      </c>
      <c r="K46" s="53" t="s">
        <v>161</v>
      </c>
      <c r="L46" s="53">
        <v>3</v>
      </c>
      <c r="N46" s="53">
        <v>5</v>
      </c>
      <c r="O46" s="53">
        <v>0.55000000000000004</v>
      </c>
      <c r="P46" s="53">
        <v>0.55000000000000004</v>
      </c>
      <c r="Q46" s="16">
        <f t="shared" si="0"/>
        <v>0.55000000000000004</v>
      </c>
      <c r="R46" s="53">
        <v>15.9</v>
      </c>
      <c r="S46" s="53">
        <v>87</v>
      </c>
      <c r="T46" s="16">
        <f t="shared" si="1"/>
        <v>36</v>
      </c>
      <c r="U46" s="53">
        <v>429</v>
      </c>
      <c r="V46" s="16">
        <f t="shared" si="2"/>
        <v>3088.7999999999997</v>
      </c>
      <c r="W46" s="53">
        <v>1</v>
      </c>
      <c r="X46" s="53" t="s">
        <v>39</v>
      </c>
      <c r="Y46" s="53" t="s">
        <v>47</v>
      </c>
      <c r="Z46" s="53" t="s">
        <v>55</v>
      </c>
      <c r="AA46" s="53" t="s">
        <v>64</v>
      </c>
      <c r="AB46" s="53" t="s">
        <v>158</v>
      </c>
    </row>
    <row r="47" spans="1:28" x14ac:dyDescent="0.15">
      <c r="A47" s="53" t="s">
        <v>56</v>
      </c>
      <c r="B47" s="53" t="s">
        <v>232</v>
      </c>
      <c r="C47" s="53">
        <v>2019</v>
      </c>
      <c r="D47" s="81" t="s">
        <v>233</v>
      </c>
      <c r="E47" s="53" t="s">
        <v>256</v>
      </c>
      <c r="F47" s="53" t="s">
        <v>237</v>
      </c>
      <c r="G47" s="53" t="s">
        <v>42</v>
      </c>
      <c r="H47" s="53" t="s">
        <v>160</v>
      </c>
      <c r="I47" s="53" t="s">
        <v>159</v>
      </c>
      <c r="J47" s="53" t="s">
        <v>38</v>
      </c>
      <c r="K47" s="53" t="s">
        <v>161</v>
      </c>
      <c r="L47" s="53">
        <v>1</v>
      </c>
      <c r="N47" s="53">
        <v>1</v>
      </c>
      <c r="O47" s="53">
        <v>0.6</v>
      </c>
      <c r="P47" s="53">
        <v>0.65</v>
      </c>
      <c r="Q47" s="16">
        <f t="shared" si="0"/>
        <v>0.625</v>
      </c>
      <c r="R47" s="53">
        <v>12.9</v>
      </c>
      <c r="S47" s="53">
        <v>121</v>
      </c>
      <c r="T47" s="16">
        <f t="shared" si="1"/>
        <v>27</v>
      </c>
      <c r="U47" s="53">
        <v>105</v>
      </c>
      <c r="V47" s="16">
        <f t="shared" si="2"/>
        <v>2835</v>
      </c>
      <c r="W47" s="53">
        <v>2</v>
      </c>
      <c r="X47" s="53" t="s">
        <v>39</v>
      </c>
      <c r="Y47" s="53" t="s">
        <v>47</v>
      </c>
      <c r="Z47" s="53" t="s">
        <v>55</v>
      </c>
      <c r="AA47" s="53" t="s">
        <v>64</v>
      </c>
      <c r="AB47" s="53" t="s">
        <v>158</v>
      </c>
    </row>
    <row r="48" spans="1:28" x14ac:dyDescent="0.15">
      <c r="A48" s="53" t="s">
        <v>56</v>
      </c>
      <c r="B48" s="53" t="s">
        <v>232</v>
      </c>
      <c r="C48" s="53">
        <v>2019</v>
      </c>
      <c r="D48" s="81" t="s">
        <v>233</v>
      </c>
      <c r="E48" s="53" t="s">
        <v>256</v>
      </c>
      <c r="F48" s="53" t="s">
        <v>237</v>
      </c>
      <c r="G48" s="53" t="s">
        <v>42</v>
      </c>
      <c r="H48" s="53" t="s">
        <v>160</v>
      </c>
      <c r="I48" s="53" t="s">
        <v>159</v>
      </c>
      <c r="J48" s="53" t="s">
        <v>38</v>
      </c>
      <c r="K48" s="53" t="s">
        <v>161</v>
      </c>
      <c r="L48" s="53">
        <v>2</v>
      </c>
      <c r="N48" s="53">
        <v>1</v>
      </c>
      <c r="O48" s="53">
        <v>0.5</v>
      </c>
      <c r="P48" s="53">
        <v>0.5</v>
      </c>
      <c r="Q48" s="16">
        <f t="shared" si="0"/>
        <v>0.5</v>
      </c>
      <c r="R48" s="53">
        <v>13.9</v>
      </c>
      <c r="S48" s="53">
        <v>117</v>
      </c>
      <c r="T48" s="16">
        <f t="shared" si="1"/>
        <v>30</v>
      </c>
      <c r="U48" s="53">
        <v>105</v>
      </c>
      <c r="V48" s="16">
        <f t="shared" si="2"/>
        <v>3150</v>
      </c>
      <c r="W48" s="53">
        <v>2</v>
      </c>
      <c r="X48" s="53" t="s">
        <v>39</v>
      </c>
      <c r="Y48" s="53" t="s">
        <v>47</v>
      </c>
      <c r="Z48" s="53" t="s">
        <v>55</v>
      </c>
      <c r="AA48" s="53" t="s">
        <v>64</v>
      </c>
      <c r="AB48" s="53" t="s">
        <v>158</v>
      </c>
    </row>
    <row r="49" spans="1:28" x14ac:dyDescent="0.15">
      <c r="A49" s="53" t="s">
        <v>56</v>
      </c>
      <c r="B49" s="53" t="s">
        <v>232</v>
      </c>
      <c r="C49" s="53">
        <v>2019</v>
      </c>
      <c r="D49" s="81" t="s">
        <v>233</v>
      </c>
      <c r="E49" s="53" t="s">
        <v>256</v>
      </c>
      <c r="F49" s="53" t="s">
        <v>237</v>
      </c>
      <c r="G49" s="53" t="s">
        <v>42</v>
      </c>
      <c r="H49" s="53" t="s">
        <v>160</v>
      </c>
      <c r="I49" s="53" t="s">
        <v>159</v>
      </c>
      <c r="J49" s="53" t="s">
        <v>38</v>
      </c>
      <c r="K49" s="53" t="s">
        <v>161</v>
      </c>
      <c r="L49" s="53">
        <v>3</v>
      </c>
      <c r="N49" s="53">
        <v>1</v>
      </c>
      <c r="O49" s="53">
        <v>0.55000000000000004</v>
      </c>
      <c r="P49" s="53">
        <v>0.55000000000000004</v>
      </c>
      <c r="Q49" s="16">
        <f t="shared" si="0"/>
        <v>0.55000000000000004</v>
      </c>
      <c r="R49" s="53">
        <v>16.600000000000001</v>
      </c>
      <c r="S49" s="53">
        <v>124</v>
      </c>
      <c r="T49" s="16">
        <f t="shared" si="1"/>
        <v>27</v>
      </c>
      <c r="U49" s="53">
        <v>105</v>
      </c>
      <c r="V49" s="16">
        <f t="shared" si="2"/>
        <v>2835</v>
      </c>
      <c r="W49" s="53">
        <v>2</v>
      </c>
      <c r="X49" s="53" t="s">
        <v>39</v>
      </c>
      <c r="Y49" s="53" t="s">
        <v>47</v>
      </c>
      <c r="Z49" s="53" t="s">
        <v>55</v>
      </c>
      <c r="AA49" s="53" t="s">
        <v>64</v>
      </c>
      <c r="AB49" s="53" t="s">
        <v>158</v>
      </c>
    </row>
    <row r="50" spans="1:28" x14ac:dyDescent="0.15">
      <c r="A50" s="53" t="s">
        <v>56</v>
      </c>
      <c r="B50" s="53" t="s">
        <v>232</v>
      </c>
      <c r="C50" s="53">
        <v>2019</v>
      </c>
      <c r="D50" s="81" t="s">
        <v>233</v>
      </c>
      <c r="E50" s="53" t="s">
        <v>248</v>
      </c>
      <c r="F50" s="53" t="s">
        <v>250</v>
      </c>
      <c r="G50" s="53" t="s">
        <v>42</v>
      </c>
      <c r="H50" s="53" t="s">
        <v>164</v>
      </c>
      <c r="I50" s="53" t="s">
        <v>159</v>
      </c>
      <c r="J50" s="53" t="s">
        <v>38</v>
      </c>
      <c r="K50" s="53" t="s">
        <v>161</v>
      </c>
      <c r="L50" s="53">
        <v>1</v>
      </c>
      <c r="N50" s="53">
        <v>1</v>
      </c>
      <c r="O50" s="53">
        <v>0.55000000000000004</v>
      </c>
      <c r="P50" s="53">
        <v>0.55000000000000004</v>
      </c>
      <c r="Q50" s="16">
        <f t="shared" si="0"/>
        <v>0.55000000000000004</v>
      </c>
      <c r="R50" s="53">
        <v>15.5</v>
      </c>
      <c r="S50" s="53">
        <v>139</v>
      </c>
      <c r="T50" s="16">
        <f t="shared" si="1"/>
        <v>22</v>
      </c>
      <c r="U50" s="53">
        <v>106</v>
      </c>
      <c r="V50" s="16">
        <f t="shared" si="2"/>
        <v>2332</v>
      </c>
      <c r="W50" s="53">
        <v>6</v>
      </c>
      <c r="X50" s="53" t="s">
        <v>46</v>
      </c>
      <c r="Y50" s="53" t="s">
        <v>55</v>
      </c>
      <c r="Z50" s="53" t="s">
        <v>86</v>
      </c>
      <c r="AA50" s="53" t="s">
        <v>97</v>
      </c>
      <c r="AB50" s="53" t="s">
        <v>158</v>
      </c>
    </row>
    <row r="51" spans="1:28" x14ac:dyDescent="0.15">
      <c r="A51" s="53" t="s">
        <v>56</v>
      </c>
      <c r="B51" s="53" t="s">
        <v>232</v>
      </c>
      <c r="C51" s="53">
        <v>2019</v>
      </c>
      <c r="D51" s="81" t="s">
        <v>233</v>
      </c>
      <c r="E51" s="53" t="s">
        <v>248</v>
      </c>
      <c r="F51" s="53" t="s">
        <v>250</v>
      </c>
      <c r="G51" s="53" t="s">
        <v>42</v>
      </c>
      <c r="H51" s="53" t="s">
        <v>164</v>
      </c>
      <c r="I51" s="53" t="s">
        <v>159</v>
      </c>
      <c r="J51" s="53" t="s">
        <v>38</v>
      </c>
      <c r="K51" s="53" t="s">
        <v>161</v>
      </c>
      <c r="L51" s="53">
        <v>2</v>
      </c>
      <c r="N51" s="53">
        <v>1</v>
      </c>
      <c r="O51" s="53">
        <v>0.6</v>
      </c>
      <c r="P51" s="53">
        <v>0.55000000000000004</v>
      </c>
      <c r="Q51" s="16">
        <f t="shared" si="0"/>
        <v>0.57499999999999996</v>
      </c>
      <c r="R51" s="53">
        <v>15.6</v>
      </c>
      <c r="S51" s="53">
        <v>138</v>
      </c>
      <c r="T51" s="16">
        <f t="shared" si="1"/>
        <v>22</v>
      </c>
      <c r="U51" s="53">
        <v>106</v>
      </c>
      <c r="V51" s="16">
        <f t="shared" si="2"/>
        <v>2332</v>
      </c>
      <c r="W51" s="53">
        <v>6</v>
      </c>
      <c r="X51" s="53" t="s">
        <v>46</v>
      </c>
      <c r="Y51" s="53" t="s">
        <v>55</v>
      </c>
      <c r="Z51" s="53" t="s">
        <v>86</v>
      </c>
      <c r="AA51" s="53" t="s">
        <v>97</v>
      </c>
      <c r="AB51" s="53" t="s">
        <v>158</v>
      </c>
    </row>
    <row r="52" spans="1:28" x14ac:dyDescent="0.15">
      <c r="A52" s="53" t="s">
        <v>56</v>
      </c>
      <c r="B52" s="53" t="s">
        <v>232</v>
      </c>
      <c r="C52" s="53">
        <v>2019</v>
      </c>
      <c r="D52" s="81" t="s">
        <v>233</v>
      </c>
      <c r="E52" s="53" t="s">
        <v>248</v>
      </c>
      <c r="F52" s="53" t="s">
        <v>250</v>
      </c>
      <c r="G52" s="53" t="s">
        <v>42</v>
      </c>
      <c r="H52" s="53" t="s">
        <v>164</v>
      </c>
      <c r="I52" s="53" t="s">
        <v>159</v>
      </c>
      <c r="J52" s="53" t="s">
        <v>38</v>
      </c>
      <c r="K52" s="53" t="s">
        <v>161</v>
      </c>
      <c r="L52" s="53">
        <v>3</v>
      </c>
      <c r="N52" s="53">
        <v>1</v>
      </c>
      <c r="O52" s="53">
        <v>0.55000000000000004</v>
      </c>
      <c r="P52" s="53">
        <v>0.55000000000000004</v>
      </c>
      <c r="Q52" s="16">
        <f t="shared" si="0"/>
        <v>0.55000000000000004</v>
      </c>
      <c r="R52" s="53">
        <v>15.5</v>
      </c>
      <c r="S52" s="53">
        <v>145</v>
      </c>
      <c r="T52" s="16">
        <f t="shared" si="1"/>
        <v>22</v>
      </c>
      <c r="U52" s="53">
        <v>106</v>
      </c>
      <c r="V52" s="16">
        <f t="shared" si="2"/>
        <v>2332</v>
      </c>
      <c r="W52" s="53">
        <v>6</v>
      </c>
      <c r="X52" s="53" t="s">
        <v>46</v>
      </c>
      <c r="Y52" s="53" t="s">
        <v>55</v>
      </c>
      <c r="Z52" s="53" t="s">
        <v>86</v>
      </c>
      <c r="AA52" s="53" t="s">
        <v>97</v>
      </c>
      <c r="AB52" s="53" t="s">
        <v>158</v>
      </c>
    </row>
    <row r="53" spans="1:28" x14ac:dyDescent="0.15">
      <c r="A53" s="53" t="s">
        <v>56</v>
      </c>
      <c r="B53" s="53" t="s">
        <v>232</v>
      </c>
      <c r="C53" s="53">
        <v>2019</v>
      </c>
      <c r="D53" s="81" t="s">
        <v>233</v>
      </c>
      <c r="E53" s="53" t="s">
        <v>248</v>
      </c>
      <c r="F53" s="53" t="s">
        <v>250</v>
      </c>
      <c r="G53" s="53" t="s">
        <v>42</v>
      </c>
      <c r="H53" s="53" t="s">
        <v>160</v>
      </c>
      <c r="I53" s="53" t="s">
        <v>159</v>
      </c>
      <c r="J53" s="53" t="s">
        <v>38</v>
      </c>
      <c r="K53" s="53" t="s">
        <v>161</v>
      </c>
      <c r="L53" s="53">
        <v>1</v>
      </c>
      <c r="N53" s="53">
        <v>1</v>
      </c>
      <c r="O53" s="53">
        <v>0.6</v>
      </c>
      <c r="P53" s="53">
        <v>0.7</v>
      </c>
      <c r="Q53" s="16">
        <f t="shared" si="0"/>
        <v>0.64999999999999991</v>
      </c>
      <c r="R53" s="53">
        <v>17.7</v>
      </c>
      <c r="S53" s="53">
        <v>131</v>
      </c>
      <c r="T53" s="16">
        <f t="shared" si="1"/>
        <v>25</v>
      </c>
      <c r="U53" s="53">
        <v>106</v>
      </c>
      <c r="V53" s="16">
        <f t="shared" si="2"/>
        <v>2650</v>
      </c>
      <c r="W53" s="53">
        <v>8</v>
      </c>
      <c r="X53" s="53" t="s">
        <v>46</v>
      </c>
      <c r="Y53" s="53" t="s">
        <v>55</v>
      </c>
      <c r="Z53" s="53" t="s">
        <v>86</v>
      </c>
      <c r="AA53" s="53" t="s">
        <v>97</v>
      </c>
      <c r="AB53" s="53" t="s">
        <v>158</v>
      </c>
    </row>
    <row r="54" spans="1:28" x14ac:dyDescent="0.15">
      <c r="A54" s="53" t="s">
        <v>56</v>
      </c>
      <c r="B54" s="53" t="s">
        <v>232</v>
      </c>
      <c r="C54" s="53">
        <v>2019</v>
      </c>
      <c r="D54" s="81" t="s">
        <v>233</v>
      </c>
      <c r="E54" s="53" t="s">
        <v>248</v>
      </c>
      <c r="F54" s="53" t="s">
        <v>250</v>
      </c>
      <c r="G54" s="53" t="s">
        <v>42</v>
      </c>
      <c r="H54" s="53" t="s">
        <v>160</v>
      </c>
      <c r="I54" s="53" t="s">
        <v>159</v>
      </c>
      <c r="J54" s="53" t="s">
        <v>38</v>
      </c>
      <c r="K54" s="53" t="s">
        <v>161</v>
      </c>
      <c r="L54" s="53">
        <v>2</v>
      </c>
      <c r="N54" s="53">
        <v>1</v>
      </c>
      <c r="O54" s="53">
        <v>0.65</v>
      </c>
      <c r="P54" s="53">
        <v>0.6</v>
      </c>
      <c r="Q54" s="16">
        <f t="shared" si="0"/>
        <v>0.625</v>
      </c>
      <c r="R54" s="53">
        <v>16.7</v>
      </c>
      <c r="S54" s="53">
        <v>137</v>
      </c>
      <c r="T54" s="16">
        <f t="shared" si="1"/>
        <v>25</v>
      </c>
      <c r="U54" s="53">
        <v>106</v>
      </c>
      <c r="V54" s="16">
        <f t="shared" si="2"/>
        <v>2650</v>
      </c>
      <c r="W54" s="53">
        <v>8</v>
      </c>
      <c r="X54" s="53" t="s">
        <v>46</v>
      </c>
      <c r="Y54" s="53" t="s">
        <v>55</v>
      </c>
      <c r="Z54" s="53" t="s">
        <v>86</v>
      </c>
      <c r="AA54" s="53" t="s">
        <v>97</v>
      </c>
      <c r="AB54" s="53" t="s">
        <v>158</v>
      </c>
    </row>
    <row r="55" spans="1:28" x14ac:dyDescent="0.15">
      <c r="A55" s="53" t="s">
        <v>56</v>
      </c>
      <c r="B55" s="53" t="s">
        <v>232</v>
      </c>
      <c r="C55" s="53">
        <v>2019</v>
      </c>
      <c r="D55" s="81" t="s">
        <v>233</v>
      </c>
      <c r="E55" s="53" t="s">
        <v>248</v>
      </c>
      <c r="F55" s="53" t="s">
        <v>250</v>
      </c>
      <c r="G55" s="53" t="s">
        <v>42</v>
      </c>
      <c r="H55" s="53" t="s">
        <v>160</v>
      </c>
      <c r="I55" s="53" t="s">
        <v>159</v>
      </c>
      <c r="J55" s="53" t="s">
        <v>38</v>
      </c>
      <c r="K55" s="53" t="s">
        <v>161</v>
      </c>
      <c r="L55" s="53">
        <v>3</v>
      </c>
      <c r="N55" s="53">
        <v>1</v>
      </c>
      <c r="O55" s="53">
        <v>0.65</v>
      </c>
      <c r="P55" s="53">
        <v>0.65</v>
      </c>
      <c r="Q55" s="16">
        <f t="shared" si="0"/>
        <v>0.65</v>
      </c>
      <c r="R55" s="53">
        <v>17.2</v>
      </c>
      <c r="S55" s="53">
        <v>135</v>
      </c>
      <c r="T55" s="16">
        <f t="shared" si="1"/>
        <v>25</v>
      </c>
      <c r="U55" s="53">
        <v>106</v>
      </c>
      <c r="V55" s="16">
        <f t="shared" si="2"/>
        <v>2650</v>
      </c>
      <c r="W55" s="53">
        <v>8</v>
      </c>
      <c r="X55" s="53" t="s">
        <v>46</v>
      </c>
      <c r="Y55" s="53" t="s">
        <v>55</v>
      </c>
      <c r="Z55" s="53" t="s">
        <v>86</v>
      </c>
      <c r="AA55" s="53" t="s">
        <v>97</v>
      </c>
      <c r="AB55" s="53" t="s">
        <v>158</v>
      </c>
    </row>
    <row r="56" spans="1:28" x14ac:dyDescent="0.15">
      <c r="A56" s="53" t="s">
        <v>56</v>
      </c>
      <c r="B56" s="53" t="s">
        <v>232</v>
      </c>
      <c r="C56" s="53">
        <v>2019</v>
      </c>
      <c r="D56" s="81" t="s">
        <v>233</v>
      </c>
      <c r="E56" s="53" t="s">
        <v>257</v>
      </c>
      <c r="F56" s="53" t="s">
        <v>250</v>
      </c>
      <c r="G56" s="53" t="s">
        <v>42</v>
      </c>
      <c r="H56" s="53" t="s">
        <v>164</v>
      </c>
      <c r="I56" s="53" t="s">
        <v>159</v>
      </c>
      <c r="J56" s="53" t="s">
        <v>38</v>
      </c>
      <c r="K56" s="53" t="s">
        <v>161</v>
      </c>
      <c r="L56" s="53">
        <v>1</v>
      </c>
      <c r="N56" s="53">
        <v>1</v>
      </c>
      <c r="O56" s="53">
        <v>0.8</v>
      </c>
      <c r="P56" s="53">
        <v>1</v>
      </c>
      <c r="Q56" s="16">
        <f t="shared" si="0"/>
        <v>0.9</v>
      </c>
      <c r="R56" s="53">
        <v>16.2</v>
      </c>
      <c r="S56" s="53">
        <v>128</v>
      </c>
      <c r="T56" s="16">
        <f t="shared" si="1"/>
        <v>27</v>
      </c>
      <c r="U56" s="53">
        <v>138</v>
      </c>
      <c r="V56" s="16">
        <f t="shared" si="2"/>
        <v>3726</v>
      </c>
      <c r="W56" s="53">
        <v>8</v>
      </c>
      <c r="X56" s="53" t="s">
        <v>46</v>
      </c>
      <c r="Y56" s="53" t="s">
        <v>86</v>
      </c>
      <c r="Z56" s="53" t="s">
        <v>55</v>
      </c>
      <c r="AA56" s="53" t="s">
        <v>64</v>
      </c>
      <c r="AB56" s="53" t="s">
        <v>158</v>
      </c>
    </row>
    <row r="57" spans="1:28" x14ac:dyDescent="0.15">
      <c r="A57" s="53" t="s">
        <v>56</v>
      </c>
      <c r="B57" s="53" t="s">
        <v>232</v>
      </c>
      <c r="C57" s="53">
        <v>2019</v>
      </c>
      <c r="D57" s="81" t="s">
        <v>233</v>
      </c>
      <c r="E57" s="53" t="s">
        <v>257</v>
      </c>
      <c r="F57" s="53" t="s">
        <v>250</v>
      </c>
      <c r="G57" s="53" t="s">
        <v>42</v>
      </c>
      <c r="H57" s="53" t="s">
        <v>164</v>
      </c>
      <c r="I57" s="53" t="s">
        <v>159</v>
      </c>
      <c r="J57" s="53" t="s">
        <v>38</v>
      </c>
      <c r="K57" s="53" t="s">
        <v>161</v>
      </c>
      <c r="L57" s="53">
        <v>2</v>
      </c>
      <c r="N57" s="53">
        <v>1</v>
      </c>
      <c r="O57" s="53">
        <v>0.65</v>
      </c>
      <c r="P57" s="53">
        <v>0.75</v>
      </c>
      <c r="Q57" s="16">
        <f t="shared" si="0"/>
        <v>0.7</v>
      </c>
      <c r="R57" s="53">
        <v>15.3</v>
      </c>
      <c r="S57" s="53">
        <v>141</v>
      </c>
      <c r="T57" s="16">
        <f t="shared" si="1"/>
        <v>22</v>
      </c>
      <c r="U57" s="53">
        <v>138</v>
      </c>
      <c r="V57" s="16">
        <f t="shared" si="2"/>
        <v>3036</v>
      </c>
      <c r="W57" s="53">
        <v>8</v>
      </c>
      <c r="X57" s="53" t="s">
        <v>46</v>
      </c>
      <c r="Y57" s="53" t="s">
        <v>86</v>
      </c>
      <c r="Z57" s="53" t="s">
        <v>55</v>
      </c>
      <c r="AA57" s="53" t="s">
        <v>64</v>
      </c>
      <c r="AB57" s="53" t="s">
        <v>158</v>
      </c>
    </row>
    <row r="58" spans="1:28" x14ac:dyDescent="0.15">
      <c r="A58" s="53" t="s">
        <v>56</v>
      </c>
      <c r="B58" s="53" t="s">
        <v>232</v>
      </c>
      <c r="C58" s="53">
        <v>2019</v>
      </c>
      <c r="D58" s="81" t="s">
        <v>233</v>
      </c>
      <c r="E58" s="53" t="s">
        <v>257</v>
      </c>
      <c r="F58" s="53" t="s">
        <v>250</v>
      </c>
      <c r="G58" s="53" t="s">
        <v>42</v>
      </c>
      <c r="H58" s="53" t="s">
        <v>164</v>
      </c>
      <c r="I58" s="53" t="s">
        <v>159</v>
      </c>
      <c r="J58" s="53" t="s">
        <v>38</v>
      </c>
      <c r="K58" s="53" t="s">
        <v>161</v>
      </c>
      <c r="L58" s="53">
        <v>3</v>
      </c>
      <c r="N58" s="53">
        <v>1</v>
      </c>
      <c r="O58" s="53">
        <v>0.9</v>
      </c>
      <c r="P58" s="53">
        <v>0.9</v>
      </c>
      <c r="Q58" s="16">
        <f t="shared" si="0"/>
        <v>0.9</v>
      </c>
      <c r="R58" s="53">
        <v>16.100000000000001</v>
      </c>
      <c r="S58" s="53">
        <v>132</v>
      </c>
      <c r="T58" s="16">
        <f t="shared" si="1"/>
        <v>25</v>
      </c>
      <c r="U58" s="53">
        <v>138</v>
      </c>
      <c r="V58" s="16">
        <f t="shared" si="2"/>
        <v>3450</v>
      </c>
      <c r="W58" s="53">
        <v>8</v>
      </c>
      <c r="X58" s="53" t="s">
        <v>46</v>
      </c>
      <c r="Y58" s="53" t="s">
        <v>86</v>
      </c>
      <c r="Z58" s="53" t="s">
        <v>55</v>
      </c>
      <c r="AA58" s="53" t="s">
        <v>64</v>
      </c>
      <c r="AB58" s="53" t="s">
        <v>158</v>
      </c>
    </row>
    <row r="59" spans="1:28" x14ac:dyDescent="0.15">
      <c r="A59" s="53" t="s">
        <v>56</v>
      </c>
      <c r="B59" s="53" t="s">
        <v>232</v>
      </c>
      <c r="C59" s="53">
        <v>2019</v>
      </c>
      <c r="D59" s="81" t="s">
        <v>233</v>
      </c>
      <c r="E59" s="53" t="s">
        <v>257</v>
      </c>
      <c r="F59" s="53" t="s">
        <v>250</v>
      </c>
      <c r="G59" s="53" t="s">
        <v>42</v>
      </c>
      <c r="H59" s="53" t="s">
        <v>160</v>
      </c>
      <c r="I59" s="53" t="s">
        <v>159</v>
      </c>
      <c r="J59" s="53" t="s">
        <v>38</v>
      </c>
      <c r="K59" s="53" t="s">
        <v>161</v>
      </c>
      <c r="L59" s="53">
        <v>1</v>
      </c>
      <c r="N59" s="53">
        <v>10</v>
      </c>
      <c r="O59" s="53">
        <v>0.55000000000000004</v>
      </c>
      <c r="P59" s="53">
        <v>0.8</v>
      </c>
      <c r="Q59" s="16">
        <f t="shared" si="0"/>
        <v>0.67500000000000004</v>
      </c>
      <c r="R59" s="53">
        <v>18.600000000000001</v>
      </c>
      <c r="S59" s="53">
        <v>95</v>
      </c>
      <c r="T59" s="16">
        <f t="shared" si="1"/>
        <v>36</v>
      </c>
      <c r="U59" s="53">
        <v>1058</v>
      </c>
      <c r="V59" s="16">
        <f t="shared" si="2"/>
        <v>3808.7999999999997</v>
      </c>
      <c r="W59" s="53">
        <v>8</v>
      </c>
      <c r="X59" s="53" t="s">
        <v>46</v>
      </c>
      <c r="Y59" s="53" t="s">
        <v>86</v>
      </c>
      <c r="Z59" s="53" t="s">
        <v>55</v>
      </c>
      <c r="AA59" s="53" t="s">
        <v>64</v>
      </c>
      <c r="AB59" s="53" t="s">
        <v>158</v>
      </c>
    </row>
    <row r="60" spans="1:28" x14ac:dyDescent="0.15">
      <c r="A60" s="53" t="s">
        <v>56</v>
      </c>
      <c r="B60" s="53" t="s">
        <v>232</v>
      </c>
      <c r="C60" s="53">
        <v>2019</v>
      </c>
      <c r="D60" s="81" t="s">
        <v>233</v>
      </c>
      <c r="E60" s="53" t="s">
        <v>257</v>
      </c>
      <c r="F60" s="53" t="s">
        <v>250</v>
      </c>
      <c r="G60" s="53" t="s">
        <v>42</v>
      </c>
      <c r="H60" s="53" t="s">
        <v>160</v>
      </c>
      <c r="I60" s="53" t="s">
        <v>159</v>
      </c>
      <c r="J60" s="53" t="s">
        <v>38</v>
      </c>
      <c r="K60" s="53" t="s">
        <v>161</v>
      </c>
      <c r="L60" s="53">
        <v>2</v>
      </c>
      <c r="N60" s="53">
        <v>10</v>
      </c>
      <c r="O60" s="53">
        <v>0.75</v>
      </c>
      <c r="P60" s="53">
        <v>0.7</v>
      </c>
      <c r="Q60" s="16">
        <f t="shared" si="0"/>
        <v>0.72499999999999998</v>
      </c>
      <c r="R60" s="53">
        <v>17.8</v>
      </c>
      <c r="S60" s="53">
        <v>100</v>
      </c>
      <c r="T60" s="16">
        <f t="shared" si="1"/>
        <v>33</v>
      </c>
      <c r="U60" s="53">
        <v>1058</v>
      </c>
      <c r="V60" s="16">
        <f t="shared" si="2"/>
        <v>3491.4</v>
      </c>
      <c r="W60" s="53">
        <v>8</v>
      </c>
      <c r="X60" s="53" t="s">
        <v>46</v>
      </c>
      <c r="Y60" s="53" t="s">
        <v>86</v>
      </c>
      <c r="Z60" s="53" t="s">
        <v>55</v>
      </c>
      <c r="AA60" s="53" t="s">
        <v>64</v>
      </c>
      <c r="AB60" s="53" t="s">
        <v>158</v>
      </c>
    </row>
    <row r="61" spans="1:28" x14ac:dyDescent="0.15">
      <c r="A61" s="53" t="s">
        <v>56</v>
      </c>
      <c r="B61" s="53" t="s">
        <v>232</v>
      </c>
      <c r="C61" s="53">
        <v>2019</v>
      </c>
      <c r="D61" s="81" t="s">
        <v>233</v>
      </c>
      <c r="E61" s="53" t="s">
        <v>257</v>
      </c>
      <c r="F61" s="53" t="s">
        <v>250</v>
      </c>
      <c r="G61" s="53" t="s">
        <v>42</v>
      </c>
      <c r="H61" s="53" t="s">
        <v>160</v>
      </c>
      <c r="I61" s="53" t="s">
        <v>159</v>
      </c>
      <c r="J61" s="53" t="s">
        <v>38</v>
      </c>
      <c r="K61" s="53" t="s">
        <v>161</v>
      </c>
      <c r="L61" s="53">
        <v>3</v>
      </c>
      <c r="N61" s="53">
        <v>10</v>
      </c>
      <c r="O61" s="53">
        <v>0.61</v>
      </c>
      <c r="P61" s="53">
        <v>0.6</v>
      </c>
      <c r="Q61" s="16">
        <f t="shared" si="0"/>
        <v>0.60499999999999998</v>
      </c>
      <c r="R61" s="53">
        <v>17</v>
      </c>
      <c r="S61" s="53">
        <v>98</v>
      </c>
      <c r="T61" s="16">
        <f t="shared" si="1"/>
        <v>36</v>
      </c>
      <c r="U61" s="53">
        <v>1058</v>
      </c>
      <c r="V61" s="16">
        <f t="shared" si="2"/>
        <v>3808.7999999999997</v>
      </c>
      <c r="W61" s="53">
        <v>8</v>
      </c>
      <c r="X61" s="53" t="s">
        <v>46</v>
      </c>
      <c r="Y61" s="53" t="s">
        <v>86</v>
      </c>
      <c r="Z61" s="53" t="s">
        <v>55</v>
      </c>
      <c r="AA61" s="53" t="s">
        <v>64</v>
      </c>
      <c r="AB61" s="53" t="s">
        <v>158</v>
      </c>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658B0356-A1C7-40A6-B416-31568FFD8B17}">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318C3827-8227-49C2-BE4D-18FF826B5B3E}">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36EA5507-2BD4-4962-826F-7DA83A98630C}">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1DBF7D85-5DF9-43F4-8B0D-7AAFD9A376FD}">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32D1251C-D11F-4A42-B347-7AC995F8BC49}">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88DF9B31-2C2D-463C-A43A-F65BF0C8CE7A}"/>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8847D436-01E4-47E8-A155-7924AE0D42BA}">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9ADA06C9-4AEA-4549-9CBE-2D63A382F762}">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D54A134E-CDD5-4A22-BB40-A07925E3E728}">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E1A25A41-6AA7-4362-8AB1-377025B90738}">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F68C991F-6F88-4055-91C0-6781017DCD00}">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0EC6ED72-398F-419D-8172-74A83D3E9E37}">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E8D1AC0D-69E7-4E90-9308-BF4411F63F7B}">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38CE4EC2-2B68-4CBA-91E6-79243A0CB96D}">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2F4BBB30-A00F-430C-B486-2EBB669565E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xr:uid="{D8983F53-81E4-44E2-95E8-E6D6181339D9}">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9F739D4C-2942-4879-BAFA-542AEED847D3}">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CFE9CFE3-51AC-4D57-9D98-60AC3E583CBB}">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68790-AB84-4D05-8C16-4E86B35E938D}">
  <dimension ref="A1:BA91"/>
  <sheetViews>
    <sheetView zoomScale="85" zoomScaleNormal="85" workbookViewId="0">
      <selection activeCell="AB2" sqref="AB2:AB76"/>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168</v>
      </c>
      <c r="C1" s="85" t="s">
        <v>169</v>
      </c>
      <c r="D1" s="86" t="s">
        <v>3</v>
      </c>
      <c r="E1" s="87" t="s">
        <v>4</v>
      </c>
      <c r="F1" s="87" t="s">
        <v>5</v>
      </c>
      <c r="G1" s="87" t="s">
        <v>6</v>
      </c>
      <c r="H1" s="87" t="s">
        <v>7</v>
      </c>
      <c r="I1" s="87" t="s">
        <v>8</v>
      </c>
      <c r="J1" s="87" t="s">
        <v>9</v>
      </c>
      <c r="K1" s="87" t="s">
        <v>10</v>
      </c>
      <c r="L1" s="86" t="s">
        <v>170</v>
      </c>
      <c r="M1" s="86" t="s">
        <v>171</v>
      </c>
      <c r="N1" s="86" t="s">
        <v>13</v>
      </c>
      <c r="O1" s="86" t="s">
        <v>172</v>
      </c>
      <c r="P1" s="86" t="s">
        <v>173</v>
      </c>
      <c r="Q1" s="88" t="s">
        <v>174</v>
      </c>
      <c r="R1" s="86" t="s">
        <v>175</v>
      </c>
      <c r="S1" s="86" t="s">
        <v>176</v>
      </c>
      <c r="T1" s="88" t="s">
        <v>19</v>
      </c>
      <c r="U1" s="89" t="s">
        <v>108</v>
      </c>
      <c r="V1" s="90" t="s">
        <v>20</v>
      </c>
      <c r="W1" s="86" t="s">
        <v>177</v>
      </c>
      <c r="X1" s="87" t="s">
        <v>22</v>
      </c>
      <c r="Y1" s="87" t="s">
        <v>23</v>
      </c>
      <c r="Z1" s="87" t="s">
        <v>24</v>
      </c>
      <c r="AA1" s="91" t="s">
        <v>25</v>
      </c>
      <c r="AB1" s="92" t="s">
        <v>178</v>
      </c>
      <c r="AE1" s="94" t="s">
        <v>0</v>
      </c>
      <c r="AF1" s="95"/>
      <c r="AG1" s="94" t="s">
        <v>4</v>
      </c>
      <c r="AH1" s="94" t="s">
        <v>5</v>
      </c>
      <c r="AI1" s="95"/>
      <c r="AJ1" s="94" t="s">
        <v>6</v>
      </c>
      <c r="AK1" s="95"/>
      <c r="AL1" s="96" t="s">
        <v>7</v>
      </c>
      <c r="AM1" s="95"/>
      <c r="AN1" s="96" t="s">
        <v>8</v>
      </c>
      <c r="AO1" s="95"/>
      <c r="AP1" s="96" t="s">
        <v>27</v>
      </c>
      <c r="AQ1" s="95"/>
      <c r="AR1" s="96" t="s">
        <v>10</v>
      </c>
      <c r="AS1" s="95"/>
      <c r="AT1" s="97" t="s">
        <v>179</v>
      </c>
      <c r="AU1" s="95"/>
      <c r="AV1" s="96" t="s">
        <v>29</v>
      </c>
      <c r="AX1" s="98" t="s">
        <v>258</v>
      </c>
      <c r="AY1" s="99" t="s">
        <v>181</v>
      </c>
      <c r="AZ1" s="99" t="s">
        <v>259</v>
      </c>
      <c r="BA1" s="100" t="s">
        <v>183</v>
      </c>
    </row>
    <row r="2" spans="1:53" x14ac:dyDescent="0.15">
      <c r="A2" s="93" t="s">
        <v>51</v>
      </c>
      <c r="B2" s="93" t="s">
        <v>157</v>
      </c>
      <c r="C2" s="93">
        <v>2019</v>
      </c>
      <c r="D2" s="101" t="s">
        <v>260</v>
      </c>
      <c r="E2" s="93" t="s">
        <v>261</v>
      </c>
      <c r="F2" s="93" t="s">
        <v>262</v>
      </c>
      <c r="G2" s="93" t="s">
        <v>42</v>
      </c>
      <c r="H2" s="93" t="s">
        <v>164</v>
      </c>
      <c r="I2" s="93" t="s">
        <v>159</v>
      </c>
      <c r="J2" s="93" t="s">
        <v>38</v>
      </c>
      <c r="K2" s="93" t="s">
        <v>161</v>
      </c>
      <c r="L2" s="93">
        <v>1</v>
      </c>
      <c r="N2" s="93">
        <v>1</v>
      </c>
      <c r="O2" s="93">
        <v>0.25</v>
      </c>
      <c r="P2" s="93">
        <v>0.25</v>
      </c>
      <c r="Q2" s="102">
        <f t="shared" ref="Q2:Q65" si="0">IF(OR(O2="",P2=""),"",AVERAGE(O2,P2))</f>
        <v>0.25</v>
      </c>
      <c r="R2" s="93">
        <v>13.4</v>
      </c>
      <c r="S2" s="93">
        <v>120</v>
      </c>
      <c r="T2" s="103">
        <f t="shared" ref="T2:T65" si="1">IF(H2="","",IF(OR(H2="GREEN",H2="GK"),IF(S2&gt;=$AX$2,VLOOKUP(S2,$AX$2:$AY$12,2,1),""),IF(S2&gt;=$AZ$2,VLOOKUP(S2,$AZ$2:$BA$12,2,1),"")))</f>
        <v>30</v>
      </c>
      <c r="U2" s="93">
        <v>98</v>
      </c>
      <c r="V2" s="104">
        <f t="shared" ref="V2:V65" si="2">IF(OR(N2="",U2="",T2=""),"",U2/N2*T2)</f>
        <v>2940</v>
      </c>
      <c r="W2" s="93">
        <v>13</v>
      </c>
      <c r="X2" s="93" t="s">
        <v>46</v>
      </c>
      <c r="Y2" s="93" t="s">
        <v>69</v>
      </c>
      <c r="Z2" s="93" t="s">
        <v>55</v>
      </c>
      <c r="AA2" s="93" t="s">
        <v>97</v>
      </c>
      <c r="AB2" s="53" t="s">
        <v>158</v>
      </c>
      <c r="AE2" s="105" t="s">
        <v>35</v>
      </c>
      <c r="AG2" s="106" t="s">
        <v>210</v>
      </c>
      <c r="AH2" s="106" t="s">
        <v>263</v>
      </c>
      <c r="AJ2" s="106" t="s">
        <v>36</v>
      </c>
      <c r="AL2" s="106" t="s">
        <v>186</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260</v>
      </c>
      <c r="E3" s="93" t="s">
        <v>261</v>
      </c>
      <c r="F3" s="93" t="s">
        <v>262</v>
      </c>
      <c r="G3" s="93" t="s">
        <v>42</v>
      </c>
      <c r="H3" s="93" t="s">
        <v>164</v>
      </c>
      <c r="I3" s="93" t="s">
        <v>159</v>
      </c>
      <c r="J3" s="93" t="s">
        <v>38</v>
      </c>
      <c r="K3" s="93" t="s">
        <v>161</v>
      </c>
      <c r="L3" s="93">
        <v>2</v>
      </c>
      <c r="N3" s="93">
        <v>1</v>
      </c>
      <c r="O3" s="93">
        <v>0.5</v>
      </c>
      <c r="P3" s="93">
        <v>0.25</v>
      </c>
      <c r="Q3" s="102">
        <f t="shared" si="0"/>
        <v>0.375</v>
      </c>
      <c r="R3" s="93">
        <v>14</v>
      </c>
      <c r="S3" s="93">
        <v>132</v>
      </c>
      <c r="T3" s="103">
        <f t="shared" si="1"/>
        <v>25</v>
      </c>
      <c r="U3" s="93">
        <v>98</v>
      </c>
      <c r="V3" s="104">
        <f t="shared" si="2"/>
        <v>2450</v>
      </c>
      <c r="W3" s="93">
        <v>13</v>
      </c>
      <c r="X3" s="93" t="s">
        <v>46</v>
      </c>
      <c r="Y3" s="93" t="s">
        <v>69</v>
      </c>
      <c r="Z3" s="93" t="s">
        <v>55</v>
      </c>
      <c r="AA3" s="93" t="s">
        <v>97</v>
      </c>
      <c r="AB3" s="53" t="s">
        <v>158</v>
      </c>
      <c r="AE3" s="110" t="s">
        <v>41</v>
      </c>
      <c r="AG3" s="106" t="s">
        <v>264</v>
      </c>
      <c r="AH3" s="106" t="s">
        <v>265</v>
      </c>
      <c r="AJ3" s="111" t="s">
        <v>42</v>
      </c>
      <c r="AL3" s="111" t="s">
        <v>188</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260</v>
      </c>
      <c r="E4" s="93" t="s">
        <v>261</v>
      </c>
      <c r="F4" s="93" t="s">
        <v>262</v>
      </c>
      <c r="G4" s="93" t="s">
        <v>42</v>
      </c>
      <c r="H4" s="93" t="s">
        <v>164</v>
      </c>
      <c r="I4" s="93" t="s">
        <v>159</v>
      </c>
      <c r="J4" s="93" t="s">
        <v>38</v>
      </c>
      <c r="K4" s="93" t="s">
        <v>161</v>
      </c>
      <c r="L4" s="93">
        <v>3</v>
      </c>
      <c r="N4" s="93">
        <v>1</v>
      </c>
      <c r="O4" s="93">
        <v>0.25</v>
      </c>
      <c r="P4" s="93">
        <v>0.25</v>
      </c>
      <c r="Q4" s="102">
        <f t="shared" si="0"/>
        <v>0.25</v>
      </c>
      <c r="R4" s="93">
        <v>13.7</v>
      </c>
      <c r="S4" s="93">
        <v>128</v>
      </c>
      <c r="T4" s="103">
        <f t="shared" si="1"/>
        <v>27</v>
      </c>
      <c r="U4" s="93">
        <v>98</v>
      </c>
      <c r="V4" s="104">
        <f t="shared" si="2"/>
        <v>2646</v>
      </c>
      <c r="W4" s="93">
        <v>13</v>
      </c>
      <c r="X4" s="93" t="s">
        <v>46</v>
      </c>
      <c r="Y4" s="93" t="s">
        <v>69</v>
      </c>
      <c r="Z4" s="93" t="s">
        <v>55</v>
      </c>
      <c r="AA4" s="93" t="s">
        <v>97</v>
      </c>
      <c r="AB4" s="53" t="s">
        <v>158</v>
      </c>
      <c r="AE4" s="110" t="s">
        <v>34</v>
      </c>
      <c r="AG4" s="106" t="s">
        <v>266</v>
      </c>
      <c r="AH4" s="106" t="s">
        <v>267</v>
      </c>
      <c r="AJ4" s="115" t="s">
        <v>48</v>
      </c>
      <c r="AL4" s="115" t="s">
        <v>190</v>
      </c>
      <c r="AN4" s="116" t="s">
        <v>191</v>
      </c>
      <c r="AP4" s="111" t="s">
        <v>192</v>
      </c>
      <c r="AR4" s="111" t="s">
        <v>193</v>
      </c>
      <c r="AT4" s="116"/>
      <c r="AV4" s="111" t="s">
        <v>50</v>
      </c>
      <c r="AX4" s="112">
        <v>75</v>
      </c>
      <c r="AY4" s="113">
        <v>42</v>
      </c>
      <c r="AZ4" s="113">
        <v>76</v>
      </c>
      <c r="BA4" s="114">
        <v>39</v>
      </c>
    </row>
    <row r="5" spans="1:53" x14ac:dyDescent="0.15">
      <c r="A5" s="93" t="s">
        <v>51</v>
      </c>
      <c r="B5" s="93" t="s">
        <v>157</v>
      </c>
      <c r="C5" s="93">
        <v>2019</v>
      </c>
      <c r="D5" s="101" t="s">
        <v>260</v>
      </c>
      <c r="E5" s="93" t="s">
        <v>261</v>
      </c>
      <c r="F5" s="93" t="s">
        <v>262</v>
      </c>
      <c r="G5" s="93" t="s">
        <v>42</v>
      </c>
      <c r="H5" s="93" t="s">
        <v>160</v>
      </c>
      <c r="I5" s="93" t="s">
        <v>159</v>
      </c>
      <c r="J5" s="93" t="s">
        <v>38</v>
      </c>
      <c r="K5" s="93" t="s">
        <v>161</v>
      </c>
      <c r="L5" s="93">
        <v>1</v>
      </c>
      <c r="N5" s="93">
        <v>1</v>
      </c>
      <c r="O5" s="93">
        <v>0.9</v>
      </c>
      <c r="P5" s="93">
        <v>1.1000000000000001</v>
      </c>
      <c r="Q5" s="102">
        <f t="shared" si="0"/>
        <v>1</v>
      </c>
      <c r="R5" s="93">
        <v>16.3</v>
      </c>
      <c r="S5" s="93">
        <v>136</v>
      </c>
      <c r="T5" s="103">
        <f t="shared" si="1"/>
        <v>25</v>
      </c>
      <c r="U5" s="93">
        <v>138</v>
      </c>
      <c r="V5" s="104">
        <f t="shared" si="2"/>
        <v>3450</v>
      </c>
      <c r="W5" s="93">
        <v>13</v>
      </c>
      <c r="X5" s="93" t="s">
        <v>46</v>
      </c>
      <c r="Y5" s="93" t="s">
        <v>69</v>
      </c>
      <c r="Z5" s="93" t="s">
        <v>55</v>
      </c>
      <c r="AA5" s="93" t="s">
        <v>97</v>
      </c>
      <c r="AB5" s="53" t="s">
        <v>158</v>
      </c>
      <c r="AE5" s="110" t="s">
        <v>51</v>
      </c>
      <c r="AG5" s="106" t="s">
        <v>268</v>
      </c>
      <c r="AH5" s="106" t="s">
        <v>262</v>
      </c>
      <c r="AJ5" s="116"/>
      <c r="AL5" s="117" t="s">
        <v>164</v>
      </c>
      <c r="AN5" s="117" t="s">
        <v>159</v>
      </c>
      <c r="AP5" s="111" t="s">
        <v>195</v>
      </c>
      <c r="AR5" s="111" t="s">
        <v>54</v>
      </c>
      <c r="AV5" s="111" t="s">
        <v>55</v>
      </c>
      <c r="AX5" s="112">
        <v>84</v>
      </c>
      <c r="AY5" s="113">
        <v>39</v>
      </c>
      <c r="AZ5" s="113">
        <v>84</v>
      </c>
      <c r="BA5" s="114">
        <v>36</v>
      </c>
    </row>
    <row r="6" spans="1:53" x14ac:dyDescent="0.15">
      <c r="A6" s="93" t="s">
        <v>51</v>
      </c>
      <c r="B6" s="93" t="s">
        <v>157</v>
      </c>
      <c r="C6" s="93">
        <v>2019</v>
      </c>
      <c r="D6" s="101" t="s">
        <v>260</v>
      </c>
      <c r="E6" s="93" t="s">
        <v>261</v>
      </c>
      <c r="F6" s="93" t="s">
        <v>262</v>
      </c>
      <c r="G6" s="93" t="s">
        <v>42</v>
      </c>
      <c r="H6" s="93" t="s">
        <v>160</v>
      </c>
      <c r="I6" s="93" t="s">
        <v>159</v>
      </c>
      <c r="J6" s="93" t="s">
        <v>38</v>
      </c>
      <c r="K6" s="93" t="s">
        <v>161</v>
      </c>
      <c r="L6" s="93">
        <v>2</v>
      </c>
      <c r="N6" s="93">
        <v>1</v>
      </c>
      <c r="O6" s="93">
        <v>0.9</v>
      </c>
      <c r="P6" s="93">
        <v>1.05</v>
      </c>
      <c r="Q6" s="102">
        <f t="shared" si="0"/>
        <v>0.97500000000000009</v>
      </c>
      <c r="R6" s="93">
        <v>15.9</v>
      </c>
      <c r="S6" s="93">
        <v>130</v>
      </c>
      <c r="T6" s="103">
        <f t="shared" si="1"/>
        <v>25</v>
      </c>
      <c r="U6" s="93">
        <v>138</v>
      </c>
      <c r="V6" s="104">
        <f t="shared" si="2"/>
        <v>3450</v>
      </c>
      <c r="W6" s="93">
        <v>13</v>
      </c>
      <c r="X6" s="93" t="s">
        <v>46</v>
      </c>
      <c r="Y6" s="93" t="s">
        <v>69</v>
      </c>
      <c r="Z6" s="93" t="s">
        <v>55</v>
      </c>
      <c r="AA6" s="93" t="s">
        <v>97</v>
      </c>
      <c r="AB6" s="53" t="s">
        <v>158</v>
      </c>
      <c r="AE6" s="110" t="s">
        <v>56</v>
      </c>
      <c r="AG6" s="106" t="s">
        <v>269</v>
      </c>
      <c r="AH6" s="106" t="s">
        <v>270</v>
      </c>
      <c r="AL6" s="117" t="s">
        <v>197</v>
      </c>
      <c r="AN6" s="117" t="s">
        <v>165</v>
      </c>
      <c r="AP6" s="111" t="s">
        <v>53</v>
      </c>
      <c r="AR6" s="111" t="s">
        <v>59</v>
      </c>
      <c r="AV6" s="111" t="s">
        <v>60</v>
      </c>
      <c r="AX6" s="112">
        <v>97</v>
      </c>
      <c r="AY6" s="113">
        <v>36</v>
      </c>
      <c r="AZ6" s="113">
        <v>99</v>
      </c>
      <c r="BA6" s="114">
        <v>33</v>
      </c>
    </row>
    <row r="7" spans="1:53" x14ac:dyDescent="0.15">
      <c r="A7" s="93" t="s">
        <v>51</v>
      </c>
      <c r="B7" s="93" t="s">
        <v>157</v>
      </c>
      <c r="C7" s="93">
        <v>2019</v>
      </c>
      <c r="D7" s="101" t="s">
        <v>260</v>
      </c>
      <c r="E7" s="93" t="s">
        <v>261</v>
      </c>
      <c r="F7" s="93" t="s">
        <v>262</v>
      </c>
      <c r="G7" s="93" t="s">
        <v>42</v>
      </c>
      <c r="H7" s="93" t="s">
        <v>160</v>
      </c>
      <c r="I7" s="93" t="s">
        <v>159</v>
      </c>
      <c r="J7" s="93" t="s">
        <v>38</v>
      </c>
      <c r="K7" s="93" t="s">
        <v>161</v>
      </c>
      <c r="L7" s="93">
        <v>3</v>
      </c>
      <c r="N7" s="93">
        <v>1</v>
      </c>
      <c r="O7" s="93">
        <v>0.95</v>
      </c>
      <c r="P7" s="93">
        <v>0.95</v>
      </c>
      <c r="Q7" s="102">
        <f t="shared" si="0"/>
        <v>0.95</v>
      </c>
      <c r="R7" s="93">
        <v>16</v>
      </c>
      <c r="S7" s="93">
        <v>130</v>
      </c>
      <c r="T7" s="103">
        <f t="shared" si="1"/>
        <v>25</v>
      </c>
      <c r="U7" s="93">
        <v>138</v>
      </c>
      <c r="V7" s="104">
        <f t="shared" si="2"/>
        <v>3450</v>
      </c>
      <c r="W7" s="93">
        <v>13</v>
      </c>
      <c r="X7" s="93" t="s">
        <v>46</v>
      </c>
      <c r="Y7" s="93" t="s">
        <v>69</v>
      </c>
      <c r="Z7" s="93" t="s">
        <v>55</v>
      </c>
      <c r="AA7" s="93" t="s">
        <v>97</v>
      </c>
      <c r="AB7" s="53" t="s">
        <v>158</v>
      </c>
      <c r="AE7" s="110" t="s">
        <v>61</v>
      </c>
      <c r="AG7" s="106" t="s">
        <v>271</v>
      </c>
      <c r="AH7" s="106" t="s">
        <v>263</v>
      </c>
      <c r="AL7" s="93" t="s">
        <v>199</v>
      </c>
      <c r="AP7" s="111" t="s">
        <v>58</v>
      </c>
      <c r="AR7" s="111" t="s">
        <v>200</v>
      </c>
      <c r="AV7" s="111" t="s">
        <v>64</v>
      </c>
      <c r="AX7" s="112">
        <v>109</v>
      </c>
      <c r="AY7" s="113">
        <v>33</v>
      </c>
      <c r="AZ7" s="113">
        <v>113</v>
      </c>
      <c r="BA7" s="114">
        <v>30</v>
      </c>
    </row>
    <row r="8" spans="1:53" x14ac:dyDescent="0.15">
      <c r="A8" s="93" t="s">
        <v>51</v>
      </c>
      <c r="B8" s="93" t="s">
        <v>157</v>
      </c>
      <c r="C8" s="93">
        <v>2019</v>
      </c>
      <c r="D8" s="101" t="s">
        <v>260</v>
      </c>
      <c r="E8" s="93" t="s">
        <v>264</v>
      </c>
      <c r="F8" s="93" t="s">
        <v>265</v>
      </c>
      <c r="G8" s="93" t="s">
        <v>36</v>
      </c>
      <c r="H8" s="93" t="s">
        <v>164</v>
      </c>
      <c r="I8" s="93" t="s">
        <v>159</v>
      </c>
      <c r="J8" s="93" t="s">
        <v>38</v>
      </c>
      <c r="K8" s="93" t="s">
        <v>161</v>
      </c>
      <c r="L8" s="93">
        <v>1</v>
      </c>
      <c r="N8" s="93">
        <v>1</v>
      </c>
      <c r="O8" s="93">
        <v>0.7</v>
      </c>
      <c r="P8" s="93">
        <v>0.7</v>
      </c>
      <c r="Q8" s="102">
        <f t="shared" si="0"/>
        <v>0.7</v>
      </c>
      <c r="R8" s="93">
        <v>16.7</v>
      </c>
      <c r="S8" s="93">
        <v>134</v>
      </c>
      <c r="T8" s="103">
        <f t="shared" si="1"/>
        <v>25</v>
      </c>
      <c r="U8" s="93">
        <v>138</v>
      </c>
      <c r="V8" s="104">
        <f t="shared" si="2"/>
        <v>3450</v>
      </c>
      <c r="W8" s="93">
        <v>10</v>
      </c>
      <c r="X8" s="93" t="s">
        <v>46</v>
      </c>
      <c r="Y8" s="93" t="s">
        <v>55</v>
      </c>
      <c r="Z8" s="93" t="s">
        <v>47</v>
      </c>
      <c r="AA8" s="93" t="s">
        <v>69</v>
      </c>
      <c r="AB8" s="53" t="s">
        <v>158</v>
      </c>
      <c r="AE8" s="110" t="s">
        <v>59</v>
      </c>
      <c r="AG8" s="106" t="s">
        <v>272</v>
      </c>
      <c r="AH8" s="106" t="s">
        <v>273</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260</v>
      </c>
      <c r="E9" s="93" t="s">
        <v>264</v>
      </c>
      <c r="F9" s="93" t="s">
        <v>265</v>
      </c>
      <c r="G9" s="93" t="s">
        <v>36</v>
      </c>
      <c r="H9" s="93" t="s">
        <v>164</v>
      </c>
      <c r="I9" s="93" t="s">
        <v>159</v>
      </c>
      <c r="J9" s="93" t="s">
        <v>38</v>
      </c>
      <c r="K9" s="93" t="s">
        <v>161</v>
      </c>
      <c r="L9" s="93">
        <v>2</v>
      </c>
      <c r="N9" s="93">
        <v>1</v>
      </c>
      <c r="O9" s="93">
        <v>0.65</v>
      </c>
      <c r="P9" s="93">
        <v>0.6</v>
      </c>
      <c r="Q9" s="102">
        <f t="shared" si="0"/>
        <v>0.625</v>
      </c>
      <c r="R9" s="93">
        <v>17.399999999999999</v>
      </c>
      <c r="S9" s="93">
        <v>128</v>
      </c>
      <c r="T9" s="103">
        <f t="shared" si="1"/>
        <v>27</v>
      </c>
      <c r="U9" s="93">
        <v>138</v>
      </c>
      <c r="V9" s="104">
        <f t="shared" si="2"/>
        <v>3726</v>
      </c>
      <c r="W9" s="93">
        <v>10</v>
      </c>
      <c r="X9" s="93" t="s">
        <v>46</v>
      </c>
      <c r="Y9" s="93" t="s">
        <v>55</v>
      </c>
      <c r="Z9" s="93" t="s">
        <v>47</v>
      </c>
      <c r="AA9" s="93" t="s">
        <v>69</v>
      </c>
      <c r="AB9" s="53" t="s">
        <v>158</v>
      </c>
      <c r="AE9" s="110" t="s">
        <v>203</v>
      </c>
      <c r="AG9" s="106" t="s">
        <v>274</v>
      </c>
      <c r="AH9" s="106" t="s">
        <v>262</v>
      </c>
      <c r="AL9" s="117"/>
      <c r="AP9" s="111" t="s">
        <v>95</v>
      </c>
      <c r="AR9" s="111" t="s">
        <v>206</v>
      </c>
      <c r="AV9" s="111" t="s">
        <v>102</v>
      </c>
      <c r="AX9" s="112">
        <v>128</v>
      </c>
      <c r="AY9" s="113">
        <v>27</v>
      </c>
      <c r="AZ9" s="113">
        <v>129</v>
      </c>
      <c r="BA9" s="114">
        <v>25</v>
      </c>
    </row>
    <row r="10" spans="1:53" x14ac:dyDescent="0.15">
      <c r="A10" s="93" t="s">
        <v>51</v>
      </c>
      <c r="B10" s="93" t="s">
        <v>157</v>
      </c>
      <c r="C10" s="93">
        <v>2019</v>
      </c>
      <c r="D10" s="101" t="s">
        <v>260</v>
      </c>
      <c r="E10" s="93" t="s">
        <v>264</v>
      </c>
      <c r="F10" s="93" t="s">
        <v>265</v>
      </c>
      <c r="G10" s="93" t="s">
        <v>36</v>
      </c>
      <c r="H10" s="93" t="s">
        <v>164</v>
      </c>
      <c r="I10" s="93" t="s">
        <v>159</v>
      </c>
      <c r="J10" s="93" t="s">
        <v>38</v>
      </c>
      <c r="K10" s="93" t="s">
        <v>161</v>
      </c>
      <c r="L10" s="93">
        <v>3</v>
      </c>
      <c r="N10" s="93">
        <v>1</v>
      </c>
      <c r="O10" s="93">
        <v>0.55000000000000004</v>
      </c>
      <c r="P10" s="93">
        <v>0.5</v>
      </c>
      <c r="Q10" s="102">
        <f t="shared" si="0"/>
        <v>0.52500000000000002</v>
      </c>
      <c r="R10" s="93">
        <v>16.899999999999999</v>
      </c>
      <c r="S10" s="93">
        <v>128</v>
      </c>
      <c r="T10" s="103">
        <f t="shared" si="1"/>
        <v>27</v>
      </c>
      <c r="U10" s="93">
        <v>138</v>
      </c>
      <c r="V10" s="104">
        <f t="shared" si="2"/>
        <v>3726</v>
      </c>
      <c r="W10" s="93">
        <v>10</v>
      </c>
      <c r="X10" s="93" t="s">
        <v>46</v>
      </c>
      <c r="Y10" s="93" t="s">
        <v>55</v>
      </c>
      <c r="Z10" s="93" t="s">
        <v>47</v>
      </c>
      <c r="AA10" s="93" t="s">
        <v>69</v>
      </c>
      <c r="AB10" s="53" t="s">
        <v>158</v>
      </c>
      <c r="AE10" s="110" t="s">
        <v>207</v>
      </c>
      <c r="AG10" s="106" t="s">
        <v>261</v>
      </c>
      <c r="AH10" s="111" t="s">
        <v>262</v>
      </c>
      <c r="AP10" s="111" t="s">
        <v>100</v>
      </c>
      <c r="AR10" s="111" t="s">
        <v>209</v>
      </c>
      <c r="AV10" s="111" t="s">
        <v>106</v>
      </c>
      <c r="AX10" s="112">
        <v>138</v>
      </c>
      <c r="AY10" s="113">
        <v>25</v>
      </c>
      <c r="AZ10" s="113">
        <v>138</v>
      </c>
      <c r="BA10" s="114">
        <v>22</v>
      </c>
    </row>
    <row r="11" spans="1:53" x14ac:dyDescent="0.15">
      <c r="A11" s="93" t="s">
        <v>51</v>
      </c>
      <c r="B11" s="93" t="s">
        <v>157</v>
      </c>
      <c r="C11" s="93">
        <v>2019</v>
      </c>
      <c r="D11" s="101" t="s">
        <v>260</v>
      </c>
      <c r="E11" s="93" t="s">
        <v>264</v>
      </c>
      <c r="F11" s="93" t="s">
        <v>265</v>
      </c>
      <c r="G11" s="93" t="s">
        <v>36</v>
      </c>
      <c r="H11" s="93" t="s">
        <v>199</v>
      </c>
      <c r="I11" s="93" t="s">
        <v>159</v>
      </c>
      <c r="J11" s="93" t="s">
        <v>38</v>
      </c>
      <c r="K11" s="93" t="s">
        <v>161</v>
      </c>
      <c r="L11" s="93">
        <v>1</v>
      </c>
      <c r="N11" s="93">
        <v>5</v>
      </c>
      <c r="O11" s="93">
        <v>0.5</v>
      </c>
      <c r="P11" s="93">
        <v>0.5</v>
      </c>
      <c r="Q11" s="102">
        <f t="shared" si="0"/>
        <v>0.5</v>
      </c>
      <c r="R11" s="93">
        <v>16.899999999999999</v>
      </c>
      <c r="S11" s="93">
        <v>76</v>
      </c>
      <c r="T11" s="103">
        <f t="shared" si="1"/>
        <v>39</v>
      </c>
      <c r="U11" s="93">
        <v>398</v>
      </c>
      <c r="V11" s="104">
        <f t="shared" si="2"/>
        <v>3104.3999999999996</v>
      </c>
      <c r="W11" s="93">
        <v>10</v>
      </c>
      <c r="X11" s="93" t="s">
        <v>46</v>
      </c>
      <c r="Y11" s="93" t="s">
        <v>55</v>
      </c>
      <c r="Z11" s="93" t="s">
        <v>47</v>
      </c>
      <c r="AA11" s="93" t="s">
        <v>69</v>
      </c>
      <c r="AB11" s="53" t="s">
        <v>158</v>
      </c>
      <c r="AE11" s="110" t="s">
        <v>68</v>
      </c>
      <c r="AG11" s="106" t="s">
        <v>139</v>
      </c>
      <c r="AH11" s="111" t="s">
        <v>275</v>
      </c>
      <c r="AP11" s="111" t="s">
        <v>104</v>
      </c>
      <c r="AR11" s="111" t="s">
        <v>212</v>
      </c>
      <c r="AV11" s="111" t="s">
        <v>69</v>
      </c>
      <c r="AX11" s="112">
        <v>151</v>
      </c>
      <c r="AY11" s="113">
        <v>22</v>
      </c>
      <c r="AZ11" s="113">
        <v>152</v>
      </c>
      <c r="BA11" s="114">
        <v>18</v>
      </c>
    </row>
    <row r="12" spans="1:53" x14ac:dyDescent="0.15">
      <c r="A12" s="93" t="s">
        <v>51</v>
      </c>
      <c r="B12" s="93" t="s">
        <v>157</v>
      </c>
      <c r="C12" s="93">
        <v>2019</v>
      </c>
      <c r="D12" s="101" t="s">
        <v>260</v>
      </c>
      <c r="E12" s="93" t="s">
        <v>264</v>
      </c>
      <c r="F12" s="93" t="s">
        <v>265</v>
      </c>
      <c r="G12" s="93" t="s">
        <v>36</v>
      </c>
      <c r="H12" s="93" t="s">
        <v>199</v>
      </c>
      <c r="I12" s="93" t="s">
        <v>159</v>
      </c>
      <c r="J12" s="93" t="s">
        <v>38</v>
      </c>
      <c r="K12" s="93" t="s">
        <v>161</v>
      </c>
      <c r="L12" s="93">
        <v>2</v>
      </c>
      <c r="N12" s="93">
        <v>5</v>
      </c>
      <c r="O12" s="93">
        <v>0.55000000000000004</v>
      </c>
      <c r="P12" s="93">
        <v>0.6</v>
      </c>
      <c r="Q12" s="102">
        <f t="shared" si="0"/>
        <v>0.57499999999999996</v>
      </c>
      <c r="R12" s="93">
        <v>17.5</v>
      </c>
      <c r="S12" s="93">
        <v>87</v>
      </c>
      <c r="T12" s="103">
        <f t="shared" si="1"/>
        <v>36</v>
      </c>
      <c r="U12" s="93">
        <v>398</v>
      </c>
      <c r="V12" s="104">
        <f t="shared" si="2"/>
        <v>2865.6</v>
      </c>
      <c r="W12" s="93">
        <v>10</v>
      </c>
      <c r="X12" s="93" t="s">
        <v>46</v>
      </c>
      <c r="Y12" s="93" t="s">
        <v>55</v>
      </c>
      <c r="Z12" s="93" t="s">
        <v>47</v>
      </c>
      <c r="AA12" s="93" t="s">
        <v>69</v>
      </c>
      <c r="AB12" s="53" t="s">
        <v>158</v>
      </c>
      <c r="AE12" s="110" t="s">
        <v>213</v>
      </c>
      <c r="AG12" s="111"/>
      <c r="AH12" s="111"/>
      <c r="AP12" s="111" t="s">
        <v>67</v>
      </c>
      <c r="AR12" s="111" t="s">
        <v>214</v>
      </c>
      <c r="AV12" s="111" t="s">
        <v>72</v>
      </c>
      <c r="AX12" s="118">
        <v>180</v>
      </c>
      <c r="AY12" s="119">
        <v>18</v>
      </c>
      <c r="AZ12" s="119">
        <v>181</v>
      </c>
      <c r="BA12" s="120">
        <v>16</v>
      </c>
    </row>
    <row r="13" spans="1:53" x14ac:dyDescent="0.15">
      <c r="A13" s="93" t="s">
        <v>51</v>
      </c>
      <c r="B13" s="93" t="s">
        <v>157</v>
      </c>
      <c r="C13" s="93">
        <v>2019</v>
      </c>
      <c r="D13" s="101" t="s">
        <v>260</v>
      </c>
      <c r="E13" s="93" t="s">
        <v>264</v>
      </c>
      <c r="F13" s="93" t="s">
        <v>265</v>
      </c>
      <c r="G13" s="93" t="s">
        <v>36</v>
      </c>
      <c r="H13" s="93" t="s">
        <v>199</v>
      </c>
      <c r="I13" s="93" t="s">
        <v>159</v>
      </c>
      <c r="J13" s="93" t="s">
        <v>38</v>
      </c>
      <c r="K13" s="93" t="s">
        <v>161</v>
      </c>
      <c r="L13" s="93">
        <v>3</v>
      </c>
      <c r="N13" s="93">
        <v>5</v>
      </c>
      <c r="O13" s="93">
        <v>0.6</v>
      </c>
      <c r="P13" s="93">
        <v>0.65</v>
      </c>
      <c r="Q13" s="102">
        <f t="shared" si="0"/>
        <v>0.625</v>
      </c>
      <c r="R13" s="93">
        <v>16.7</v>
      </c>
      <c r="S13" s="93">
        <v>76</v>
      </c>
      <c r="T13" s="103">
        <f t="shared" si="1"/>
        <v>39</v>
      </c>
      <c r="U13" s="93">
        <v>398</v>
      </c>
      <c r="V13" s="104">
        <f t="shared" si="2"/>
        <v>3104.3999999999996</v>
      </c>
      <c r="W13" s="93">
        <v>10</v>
      </c>
      <c r="X13" s="93" t="s">
        <v>46</v>
      </c>
      <c r="Y13" s="93" t="s">
        <v>55</v>
      </c>
      <c r="Z13" s="93" t="s">
        <v>47</v>
      </c>
      <c r="AA13" s="93" t="s">
        <v>69</v>
      </c>
      <c r="AB13" s="53" t="s">
        <v>158</v>
      </c>
      <c r="AE13" s="110" t="s">
        <v>215</v>
      </c>
      <c r="AG13" s="111"/>
      <c r="AH13" s="111"/>
      <c r="AP13" s="111" t="s">
        <v>71</v>
      </c>
      <c r="AR13" s="111" t="s">
        <v>207</v>
      </c>
      <c r="AV13" s="111" t="s">
        <v>75</v>
      </c>
    </row>
    <row r="14" spans="1:53" x14ac:dyDescent="0.15">
      <c r="A14" s="93" t="s">
        <v>51</v>
      </c>
      <c r="B14" s="93" t="s">
        <v>157</v>
      </c>
      <c r="C14" s="93">
        <v>2019</v>
      </c>
      <c r="D14" s="101" t="s">
        <v>260</v>
      </c>
      <c r="E14" s="93" t="s">
        <v>264</v>
      </c>
      <c r="F14" s="93" t="s">
        <v>265</v>
      </c>
      <c r="G14" s="93" t="s">
        <v>36</v>
      </c>
      <c r="H14" s="93" t="s">
        <v>160</v>
      </c>
      <c r="I14" s="93" t="s">
        <v>159</v>
      </c>
      <c r="J14" s="93" t="s">
        <v>38</v>
      </c>
      <c r="K14" s="93" t="s">
        <v>161</v>
      </c>
      <c r="L14" s="93">
        <v>1</v>
      </c>
      <c r="N14" s="93">
        <v>1</v>
      </c>
      <c r="O14" s="93">
        <v>0.65</v>
      </c>
      <c r="P14" s="93">
        <v>0.8</v>
      </c>
      <c r="Q14" s="102">
        <f t="shared" si="0"/>
        <v>0.72500000000000009</v>
      </c>
      <c r="R14" s="93">
        <v>16.5</v>
      </c>
      <c r="S14" s="93">
        <v>132</v>
      </c>
      <c r="T14" s="103">
        <f t="shared" si="1"/>
        <v>25</v>
      </c>
      <c r="U14" s="93">
        <v>138</v>
      </c>
      <c r="V14" s="104">
        <f t="shared" si="2"/>
        <v>3450</v>
      </c>
      <c r="W14" s="93">
        <v>10</v>
      </c>
      <c r="X14" s="93" t="s">
        <v>46</v>
      </c>
      <c r="Y14" s="93" t="s">
        <v>55</v>
      </c>
      <c r="Z14" s="93" t="s">
        <v>47</v>
      </c>
      <c r="AA14" s="93" t="s">
        <v>69</v>
      </c>
      <c r="AB14" s="53" t="s">
        <v>158</v>
      </c>
      <c r="AE14" s="110" t="s">
        <v>96</v>
      </c>
      <c r="AG14" s="111"/>
      <c r="AH14" s="111"/>
      <c r="AP14" s="111" t="s">
        <v>74</v>
      </c>
      <c r="AR14" s="111" t="s">
        <v>216</v>
      </c>
      <c r="AV14" s="111" t="s">
        <v>78</v>
      </c>
    </row>
    <row r="15" spans="1:53" x14ac:dyDescent="0.15">
      <c r="A15" s="93" t="s">
        <v>51</v>
      </c>
      <c r="B15" s="93" t="s">
        <v>157</v>
      </c>
      <c r="C15" s="93">
        <v>2019</v>
      </c>
      <c r="D15" s="101" t="s">
        <v>260</v>
      </c>
      <c r="E15" s="93" t="s">
        <v>264</v>
      </c>
      <c r="F15" s="93" t="s">
        <v>265</v>
      </c>
      <c r="G15" s="93" t="s">
        <v>36</v>
      </c>
      <c r="H15" s="93" t="s">
        <v>160</v>
      </c>
      <c r="I15" s="93" t="s">
        <v>159</v>
      </c>
      <c r="J15" s="93" t="s">
        <v>38</v>
      </c>
      <c r="K15" s="93" t="s">
        <v>161</v>
      </c>
      <c r="L15" s="93">
        <v>2</v>
      </c>
      <c r="N15" s="93">
        <v>1</v>
      </c>
      <c r="O15" s="93">
        <v>0.7</v>
      </c>
      <c r="P15" s="93">
        <v>0.75</v>
      </c>
      <c r="Q15" s="102">
        <f t="shared" si="0"/>
        <v>0.72499999999999998</v>
      </c>
      <c r="R15" s="93">
        <v>16.100000000000001</v>
      </c>
      <c r="S15" s="93">
        <v>124</v>
      </c>
      <c r="T15" s="103">
        <f t="shared" si="1"/>
        <v>27</v>
      </c>
      <c r="U15" s="93">
        <v>138</v>
      </c>
      <c r="V15" s="104">
        <f t="shared" si="2"/>
        <v>3726</v>
      </c>
      <c r="W15" s="93">
        <v>10</v>
      </c>
      <c r="X15" s="93" t="s">
        <v>46</v>
      </c>
      <c r="Y15" s="93" t="s">
        <v>55</v>
      </c>
      <c r="Z15" s="93" t="s">
        <v>47</v>
      </c>
      <c r="AA15" s="93" t="s">
        <v>69</v>
      </c>
      <c r="AB15" s="53" t="s">
        <v>158</v>
      </c>
      <c r="AE15" s="110" t="s">
        <v>217</v>
      </c>
      <c r="AG15" s="111"/>
      <c r="AH15" s="111"/>
      <c r="AP15" s="111" t="s">
        <v>77</v>
      </c>
      <c r="AR15" s="111" t="s">
        <v>80</v>
      </c>
      <c r="AV15" s="111" t="s">
        <v>107</v>
      </c>
    </row>
    <row r="16" spans="1:53" x14ac:dyDescent="0.15">
      <c r="A16" s="93" t="s">
        <v>51</v>
      </c>
      <c r="B16" s="93" t="s">
        <v>157</v>
      </c>
      <c r="C16" s="93">
        <v>2019</v>
      </c>
      <c r="D16" s="101" t="s">
        <v>260</v>
      </c>
      <c r="E16" s="93" t="s">
        <v>264</v>
      </c>
      <c r="F16" s="93" t="s">
        <v>265</v>
      </c>
      <c r="G16" s="93" t="s">
        <v>36</v>
      </c>
      <c r="H16" s="93" t="s">
        <v>160</v>
      </c>
      <c r="I16" s="93" t="s">
        <v>159</v>
      </c>
      <c r="J16" s="93" t="s">
        <v>38</v>
      </c>
      <c r="K16" s="93" t="s">
        <v>161</v>
      </c>
      <c r="L16" s="93">
        <v>3</v>
      </c>
      <c r="N16" s="93">
        <v>1</v>
      </c>
      <c r="O16" s="93">
        <v>0.6</v>
      </c>
      <c r="P16" s="93">
        <v>0.6</v>
      </c>
      <c r="Q16" s="102">
        <f t="shared" si="0"/>
        <v>0.6</v>
      </c>
      <c r="R16" s="93">
        <v>16.399999999999999</v>
      </c>
      <c r="S16" s="93">
        <v>132</v>
      </c>
      <c r="T16" s="103">
        <f t="shared" si="1"/>
        <v>25</v>
      </c>
      <c r="U16" s="93">
        <v>138</v>
      </c>
      <c r="V16" s="104">
        <f t="shared" si="2"/>
        <v>3450</v>
      </c>
      <c r="W16" s="93">
        <v>10</v>
      </c>
      <c r="X16" s="93" t="s">
        <v>46</v>
      </c>
      <c r="Y16" s="93" t="s">
        <v>55</v>
      </c>
      <c r="Z16" s="93" t="s">
        <v>47</v>
      </c>
      <c r="AA16" s="93" t="s">
        <v>69</v>
      </c>
      <c r="AB16" s="53" t="s">
        <v>158</v>
      </c>
      <c r="AE16" s="110" t="s">
        <v>218</v>
      </c>
      <c r="AG16" s="116"/>
      <c r="AH16" s="116"/>
      <c r="AP16" s="111" t="s">
        <v>80</v>
      </c>
      <c r="AR16" s="111" t="s">
        <v>63</v>
      </c>
      <c r="AV16" s="111" t="s">
        <v>84</v>
      </c>
    </row>
    <row r="17" spans="1:48" x14ac:dyDescent="0.15">
      <c r="A17" s="93" t="s">
        <v>51</v>
      </c>
      <c r="B17" s="93" t="s">
        <v>157</v>
      </c>
      <c r="C17" s="93">
        <v>2019</v>
      </c>
      <c r="D17" s="101" t="s">
        <v>260</v>
      </c>
      <c r="E17" s="93" t="s">
        <v>139</v>
      </c>
      <c r="F17" s="93" t="s">
        <v>275</v>
      </c>
      <c r="G17" s="93" t="s">
        <v>42</v>
      </c>
      <c r="H17" s="93" t="s">
        <v>164</v>
      </c>
      <c r="I17" s="93" t="s">
        <v>159</v>
      </c>
      <c r="J17" s="93" t="s">
        <v>38</v>
      </c>
      <c r="K17" s="93" t="s">
        <v>161</v>
      </c>
      <c r="L17" s="93">
        <v>1</v>
      </c>
      <c r="N17" s="93">
        <v>1</v>
      </c>
      <c r="O17" s="93">
        <v>0.85</v>
      </c>
      <c r="P17" s="93">
        <v>0.95</v>
      </c>
      <c r="Q17" s="102">
        <f t="shared" si="0"/>
        <v>0.89999999999999991</v>
      </c>
      <c r="R17" s="93">
        <v>17.2</v>
      </c>
      <c r="S17" s="93">
        <v>91</v>
      </c>
      <c r="T17" s="103">
        <f t="shared" si="1"/>
        <v>36</v>
      </c>
      <c r="U17" s="93">
        <v>100</v>
      </c>
      <c r="V17" s="104">
        <f t="shared" si="2"/>
        <v>3600</v>
      </c>
      <c r="W17" s="93">
        <v>18</v>
      </c>
      <c r="X17" s="93" t="s">
        <v>46</v>
      </c>
      <c r="Y17" s="93" t="s">
        <v>69</v>
      </c>
      <c r="Z17" s="93" t="s">
        <v>55</v>
      </c>
      <c r="AA17" s="93" t="s">
        <v>97</v>
      </c>
      <c r="AB17" s="53" t="s">
        <v>158</v>
      </c>
      <c r="AE17" s="110" t="s">
        <v>219</v>
      </c>
      <c r="AP17" s="115" t="s">
        <v>220</v>
      </c>
      <c r="AR17" s="111" t="s">
        <v>96</v>
      </c>
      <c r="AV17" s="111" t="s">
        <v>86</v>
      </c>
    </row>
    <row r="18" spans="1:48" x14ac:dyDescent="0.15">
      <c r="A18" s="93" t="s">
        <v>51</v>
      </c>
      <c r="B18" s="93" t="s">
        <v>157</v>
      </c>
      <c r="C18" s="93">
        <v>2019</v>
      </c>
      <c r="D18" s="101" t="s">
        <v>260</v>
      </c>
      <c r="E18" s="93" t="s">
        <v>139</v>
      </c>
      <c r="F18" s="93" t="s">
        <v>275</v>
      </c>
      <c r="G18" s="93" t="s">
        <v>42</v>
      </c>
      <c r="H18" s="93" t="s">
        <v>164</v>
      </c>
      <c r="I18" s="93" t="s">
        <v>159</v>
      </c>
      <c r="J18" s="93" t="s">
        <v>38</v>
      </c>
      <c r="K18" s="93" t="s">
        <v>161</v>
      </c>
      <c r="L18" s="93">
        <v>2</v>
      </c>
      <c r="N18" s="93">
        <v>1</v>
      </c>
      <c r="O18" s="93">
        <v>1</v>
      </c>
      <c r="P18" s="93">
        <v>0.95</v>
      </c>
      <c r="Q18" s="102">
        <f t="shared" si="0"/>
        <v>0.97499999999999998</v>
      </c>
      <c r="R18" s="93">
        <v>16.7</v>
      </c>
      <c r="S18" s="93">
        <v>87</v>
      </c>
      <c r="T18" s="103">
        <f t="shared" si="1"/>
        <v>36</v>
      </c>
      <c r="U18" s="93">
        <v>100</v>
      </c>
      <c r="V18" s="104">
        <f t="shared" si="2"/>
        <v>3600</v>
      </c>
      <c r="W18" s="93">
        <v>18</v>
      </c>
      <c r="X18" s="93" t="s">
        <v>46</v>
      </c>
      <c r="Y18" s="93" t="s">
        <v>69</v>
      </c>
      <c r="Z18" s="93" t="s">
        <v>55</v>
      </c>
      <c r="AA18" s="93" t="s">
        <v>97</v>
      </c>
      <c r="AB18" s="53" t="s">
        <v>158</v>
      </c>
      <c r="AE18" s="110" t="s">
        <v>212</v>
      </c>
      <c r="AP18" s="115" t="s">
        <v>221</v>
      </c>
      <c r="AR18" s="111" t="s">
        <v>101</v>
      </c>
      <c r="AV18" s="111" t="s">
        <v>88</v>
      </c>
    </row>
    <row r="19" spans="1:48" x14ac:dyDescent="0.15">
      <c r="A19" s="93" t="s">
        <v>51</v>
      </c>
      <c r="B19" s="93" t="s">
        <v>157</v>
      </c>
      <c r="C19" s="93">
        <v>2019</v>
      </c>
      <c r="D19" s="101" t="s">
        <v>260</v>
      </c>
      <c r="E19" s="93" t="s">
        <v>139</v>
      </c>
      <c r="F19" s="93" t="s">
        <v>275</v>
      </c>
      <c r="G19" s="93" t="s">
        <v>42</v>
      </c>
      <c r="H19" s="93" t="s">
        <v>164</v>
      </c>
      <c r="I19" s="93" t="s">
        <v>159</v>
      </c>
      <c r="J19" s="93" t="s">
        <v>38</v>
      </c>
      <c r="K19" s="93" t="s">
        <v>161</v>
      </c>
      <c r="L19" s="93">
        <v>3</v>
      </c>
      <c r="N19" s="93">
        <v>1</v>
      </c>
      <c r="O19" s="93">
        <v>1.1000000000000001</v>
      </c>
      <c r="P19" s="93">
        <v>1.1000000000000001</v>
      </c>
      <c r="Q19" s="102">
        <f t="shared" si="0"/>
        <v>1.1000000000000001</v>
      </c>
      <c r="R19" s="93">
        <v>20.100000000000001</v>
      </c>
      <c r="S19" s="93">
        <v>85</v>
      </c>
      <c r="T19" s="103">
        <f t="shared" si="1"/>
        <v>36</v>
      </c>
      <c r="U19" s="93">
        <v>100</v>
      </c>
      <c r="V19" s="104">
        <f t="shared" si="2"/>
        <v>3600</v>
      </c>
      <c r="W19" s="93">
        <v>18</v>
      </c>
      <c r="X19" s="93" t="s">
        <v>46</v>
      </c>
      <c r="Y19" s="93" t="s">
        <v>69</v>
      </c>
      <c r="Z19" s="93" t="s">
        <v>55</v>
      </c>
      <c r="AA19" s="93" t="s">
        <v>97</v>
      </c>
      <c r="AB19" s="53" t="s">
        <v>158</v>
      </c>
      <c r="AE19" s="121" t="s">
        <v>206</v>
      </c>
      <c r="AP19" s="115" t="s">
        <v>222</v>
      </c>
      <c r="AR19" s="111" t="s">
        <v>223</v>
      </c>
      <c r="AV19" s="111" t="s">
        <v>90</v>
      </c>
    </row>
    <row r="20" spans="1:48" x14ac:dyDescent="0.15">
      <c r="A20" s="93" t="s">
        <v>51</v>
      </c>
      <c r="B20" s="93" t="s">
        <v>157</v>
      </c>
      <c r="C20" s="93">
        <v>2019</v>
      </c>
      <c r="D20" s="101" t="s">
        <v>260</v>
      </c>
      <c r="E20" s="93" t="s">
        <v>139</v>
      </c>
      <c r="F20" s="93" t="s">
        <v>275</v>
      </c>
      <c r="G20" s="93" t="s">
        <v>42</v>
      </c>
      <c r="H20" s="93" t="s">
        <v>160</v>
      </c>
      <c r="I20" s="93" t="s">
        <v>159</v>
      </c>
      <c r="J20" s="93" t="s">
        <v>38</v>
      </c>
      <c r="K20" s="93" t="s">
        <v>161</v>
      </c>
      <c r="L20" s="93">
        <v>1</v>
      </c>
      <c r="N20" s="93">
        <v>1</v>
      </c>
      <c r="O20" s="93">
        <v>0.6</v>
      </c>
      <c r="P20" s="93">
        <v>0.65</v>
      </c>
      <c r="Q20" s="102">
        <f t="shared" si="0"/>
        <v>0.625</v>
      </c>
      <c r="R20" s="93">
        <v>16.8</v>
      </c>
      <c r="S20" s="93">
        <v>100</v>
      </c>
      <c r="T20" s="103">
        <f t="shared" si="1"/>
        <v>33</v>
      </c>
      <c r="U20" s="93">
        <v>98</v>
      </c>
      <c r="V20" s="104">
        <f t="shared" si="2"/>
        <v>3234</v>
      </c>
      <c r="W20" s="93">
        <v>18</v>
      </c>
      <c r="X20" s="93" t="s">
        <v>46</v>
      </c>
      <c r="Y20" s="93" t="s">
        <v>69</v>
      </c>
      <c r="Z20" s="93" t="s">
        <v>55</v>
      </c>
      <c r="AA20" s="93" t="s">
        <v>97</v>
      </c>
      <c r="AB20" s="53" t="s">
        <v>158</v>
      </c>
      <c r="AE20" s="121"/>
      <c r="AP20" s="115" t="s">
        <v>224</v>
      </c>
      <c r="AR20" s="111" t="s">
        <v>105</v>
      </c>
      <c r="AV20" s="115" t="s">
        <v>225</v>
      </c>
    </row>
    <row r="21" spans="1:48" x14ac:dyDescent="0.15">
      <c r="A21" s="93" t="s">
        <v>51</v>
      </c>
      <c r="B21" s="93" t="s">
        <v>157</v>
      </c>
      <c r="C21" s="93">
        <v>2019</v>
      </c>
      <c r="D21" s="101" t="s">
        <v>260</v>
      </c>
      <c r="E21" s="93" t="s">
        <v>139</v>
      </c>
      <c r="F21" s="93" t="s">
        <v>275</v>
      </c>
      <c r="G21" s="93" t="s">
        <v>42</v>
      </c>
      <c r="H21" s="93" t="s">
        <v>160</v>
      </c>
      <c r="I21" s="93" t="s">
        <v>159</v>
      </c>
      <c r="J21" s="93" t="s">
        <v>38</v>
      </c>
      <c r="K21" s="93" t="s">
        <v>161</v>
      </c>
      <c r="L21" s="93">
        <v>2</v>
      </c>
      <c r="N21" s="93">
        <v>1</v>
      </c>
      <c r="O21" s="93">
        <v>0.65</v>
      </c>
      <c r="P21" s="93">
        <v>0.55000000000000004</v>
      </c>
      <c r="Q21" s="102">
        <f t="shared" si="0"/>
        <v>0.60000000000000009</v>
      </c>
      <c r="R21" s="93">
        <v>17.7</v>
      </c>
      <c r="S21" s="93">
        <v>102</v>
      </c>
      <c r="T21" s="103">
        <f t="shared" si="1"/>
        <v>33</v>
      </c>
      <c r="U21" s="93">
        <v>98</v>
      </c>
      <c r="V21" s="104">
        <f t="shared" si="2"/>
        <v>3234</v>
      </c>
      <c r="W21" s="93">
        <v>18</v>
      </c>
      <c r="X21" s="93" t="s">
        <v>46</v>
      </c>
      <c r="Y21" s="93" t="s">
        <v>69</v>
      </c>
      <c r="Z21" s="93" t="s">
        <v>55</v>
      </c>
      <c r="AA21" s="93" t="s">
        <v>97</v>
      </c>
      <c r="AB21" s="53" t="s">
        <v>158</v>
      </c>
      <c r="AE21" s="116"/>
      <c r="AP21" s="115" t="s">
        <v>226</v>
      </c>
      <c r="AR21" s="111" t="s">
        <v>68</v>
      </c>
      <c r="AV21" s="115" t="s">
        <v>227</v>
      </c>
    </row>
    <row r="22" spans="1:48" x14ac:dyDescent="0.15">
      <c r="A22" s="93" t="s">
        <v>51</v>
      </c>
      <c r="B22" s="93" t="s">
        <v>157</v>
      </c>
      <c r="C22" s="93">
        <v>2019</v>
      </c>
      <c r="D22" s="101" t="s">
        <v>260</v>
      </c>
      <c r="E22" s="93" t="s">
        <v>139</v>
      </c>
      <c r="F22" s="93" t="s">
        <v>275</v>
      </c>
      <c r="G22" s="93" t="s">
        <v>42</v>
      </c>
      <c r="H22" s="93" t="s">
        <v>160</v>
      </c>
      <c r="I22" s="93" t="s">
        <v>159</v>
      </c>
      <c r="J22" s="93" t="s">
        <v>38</v>
      </c>
      <c r="K22" s="93" t="s">
        <v>161</v>
      </c>
      <c r="L22" s="93">
        <v>3</v>
      </c>
      <c r="N22" s="93">
        <v>1</v>
      </c>
      <c r="O22" s="93">
        <v>0.6</v>
      </c>
      <c r="P22" s="93">
        <v>0.6</v>
      </c>
      <c r="Q22" s="102">
        <f t="shared" si="0"/>
        <v>0.6</v>
      </c>
      <c r="R22" s="93">
        <v>18</v>
      </c>
      <c r="S22" s="93">
        <v>99</v>
      </c>
      <c r="T22" s="103">
        <f t="shared" si="1"/>
        <v>33</v>
      </c>
      <c r="U22" s="93">
        <v>98</v>
      </c>
      <c r="V22" s="104">
        <f t="shared" si="2"/>
        <v>3234</v>
      </c>
      <c r="W22" s="93">
        <v>18</v>
      </c>
      <c r="X22" s="93" t="s">
        <v>46</v>
      </c>
      <c r="Y22" s="93" t="s">
        <v>69</v>
      </c>
      <c r="Z22" s="93" t="s">
        <v>55</v>
      </c>
      <c r="AA22" s="93" t="s">
        <v>97</v>
      </c>
      <c r="AB22" s="53" t="s">
        <v>158</v>
      </c>
      <c r="AP22" s="115" t="s">
        <v>228</v>
      </c>
      <c r="AR22" s="111" t="s">
        <v>83</v>
      </c>
      <c r="AV22" s="115"/>
    </row>
    <row r="23" spans="1:48" x14ac:dyDescent="0.15">
      <c r="A23" s="93" t="s">
        <v>51</v>
      </c>
      <c r="B23" s="93" t="s">
        <v>157</v>
      </c>
      <c r="C23" s="93">
        <v>2019</v>
      </c>
      <c r="D23" s="101" t="s">
        <v>260</v>
      </c>
      <c r="E23" s="93" t="s">
        <v>269</v>
      </c>
      <c r="F23" s="93" t="s">
        <v>270</v>
      </c>
      <c r="G23" s="93" t="s">
        <v>36</v>
      </c>
      <c r="H23" s="93" t="s">
        <v>164</v>
      </c>
      <c r="I23" s="93" t="s">
        <v>159</v>
      </c>
      <c r="J23" s="93" t="s">
        <v>38</v>
      </c>
      <c r="K23" s="93" t="s">
        <v>161</v>
      </c>
      <c r="L23" s="93">
        <v>1</v>
      </c>
      <c r="N23" s="93">
        <v>3</v>
      </c>
      <c r="O23" s="93">
        <v>0.5</v>
      </c>
      <c r="P23" s="93">
        <v>0.25</v>
      </c>
      <c r="Q23" s="102">
        <f t="shared" si="0"/>
        <v>0.375</v>
      </c>
      <c r="R23" s="93">
        <v>15.9</v>
      </c>
      <c r="S23" s="93">
        <v>138</v>
      </c>
      <c r="T23" s="103">
        <f t="shared" si="1"/>
        <v>22</v>
      </c>
      <c r="U23" s="93">
        <v>250</v>
      </c>
      <c r="V23" s="104">
        <f t="shared" si="2"/>
        <v>1833.3333333333333</v>
      </c>
      <c r="W23" s="93">
        <v>10</v>
      </c>
      <c r="X23" s="93" t="s">
        <v>46</v>
      </c>
      <c r="Y23" s="93" t="s">
        <v>69</v>
      </c>
      <c r="Z23" s="93" t="s">
        <v>55</v>
      </c>
      <c r="AA23" s="93" t="s">
        <v>47</v>
      </c>
      <c r="AB23" s="53" t="s">
        <v>158</v>
      </c>
      <c r="AP23" s="115" t="s">
        <v>276</v>
      </c>
      <c r="AR23" s="111" t="s">
        <v>61</v>
      </c>
    </row>
    <row r="24" spans="1:48" x14ac:dyDescent="0.15">
      <c r="A24" s="93" t="s">
        <v>51</v>
      </c>
      <c r="B24" s="93" t="s">
        <v>157</v>
      </c>
      <c r="C24" s="93">
        <v>2019</v>
      </c>
      <c r="D24" s="101" t="s">
        <v>260</v>
      </c>
      <c r="E24" s="93" t="s">
        <v>269</v>
      </c>
      <c r="F24" s="93" t="s">
        <v>270</v>
      </c>
      <c r="G24" s="93" t="s">
        <v>36</v>
      </c>
      <c r="H24" s="93" t="s">
        <v>164</v>
      </c>
      <c r="I24" s="93" t="s">
        <v>159</v>
      </c>
      <c r="J24" s="93" t="s">
        <v>38</v>
      </c>
      <c r="K24" s="93" t="s">
        <v>161</v>
      </c>
      <c r="L24" s="93">
        <v>2</v>
      </c>
      <c r="N24" s="93">
        <v>3</v>
      </c>
      <c r="O24" s="93">
        <v>0.6</v>
      </c>
      <c r="P24" s="93">
        <v>0.7</v>
      </c>
      <c r="Q24" s="102">
        <f t="shared" si="0"/>
        <v>0.64999999999999991</v>
      </c>
      <c r="R24" s="93">
        <v>16.2</v>
      </c>
      <c r="S24" s="93">
        <v>136</v>
      </c>
      <c r="T24" s="103">
        <f t="shared" si="1"/>
        <v>25</v>
      </c>
      <c r="U24" s="93">
        <v>250</v>
      </c>
      <c r="V24" s="104">
        <f t="shared" si="2"/>
        <v>2083.333333333333</v>
      </c>
      <c r="W24" s="93">
        <v>10</v>
      </c>
      <c r="X24" s="93" t="s">
        <v>46</v>
      </c>
      <c r="Y24" s="93" t="s">
        <v>69</v>
      </c>
      <c r="Z24" s="93" t="s">
        <v>55</v>
      </c>
      <c r="AA24" s="93" t="s">
        <v>47</v>
      </c>
      <c r="AB24" s="53" t="s">
        <v>158</v>
      </c>
      <c r="AP24" s="115" t="s">
        <v>277</v>
      </c>
      <c r="AR24" s="111" t="s">
        <v>91</v>
      </c>
    </row>
    <row r="25" spans="1:48" x14ac:dyDescent="0.15">
      <c r="A25" s="93" t="s">
        <v>51</v>
      </c>
      <c r="B25" s="93" t="s">
        <v>157</v>
      </c>
      <c r="C25" s="93">
        <v>2019</v>
      </c>
      <c r="D25" s="101" t="s">
        <v>260</v>
      </c>
      <c r="E25" s="93" t="s">
        <v>269</v>
      </c>
      <c r="F25" s="93" t="s">
        <v>270</v>
      </c>
      <c r="G25" s="93" t="s">
        <v>36</v>
      </c>
      <c r="H25" s="93" t="s">
        <v>164</v>
      </c>
      <c r="I25" s="93" t="s">
        <v>159</v>
      </c>
      <c r="J25" s="93" t="s">
        <v>38</v>
      </c>
      <c r="K25" s="93" t="s">
        <v>161</v>
      </c>
      <c r="L25" s="93">
        <v>3</v>
      </c>
      <c r="N25" s="93">
        <v>3</v>
      </c>
      <c r="O25" s="93">
        <v>0.7</v>
      </c>
      <c r="P25" s="93">
        <v>0.75</v>
      </c>
      <c r="Q25" s="102">
        <f t="shared" si="0"/>
        <v>0.72499999999999998</v>
      </c>
      <c r="R25" s="93">
        <v>16.5</v>
      </c>
      <c r="S25" s="93">
        <v>138</v>
      </c>
      <c r="T25" s="103">
        <f t="shared" si="1"/>
        <v>22</v>
      </c>
      <c r="U25" s="93">
        <v>250</v>
      </c>
      <c r="V25" s="104">
        <f t="shared" si="2"/>
        <v>1833.3333333333333</v>
      </c>
      <c r="W25" s="93">
        <v>10</v>
      </c>
      <c r="X25" s="93" t="s">
        <v>46</v>
      </c>
      <c r="Y25" s="93" t="s">
        <v>69</v>
      </c>
      <c r="Z25" s="93" t="s">
        <v>55</v>
      </c>
      <c r="AA25" s="93" t="s">
        <v>47</v>
      </c>
      <c r="AB25" s="53" t="s">
        <v>158</v>
      </c>
      <c r="AP25" s="115" t="s">
        <v>278</v>
      </c>
      <c r="AR25" s="115" t="s">
        <v>51</v>
      </c>
    </row>
    <row r="26" spans="1:48" x14ac:dyDescent="0.15">
      <c r="A26" s="93" t="s">
        <v>51</v>
      </c>
      <c r="B26" s="93" t="s">
        <v>157</v>
      </c>
      <c r="C26" s="93">
        <v>2019</v>
      </c>
      <c r="D26" s="101" t="s">
        <v>260</v>
      </c>
      <c r="E26" s="93" t="s">
        <v>269</v>
      </c>
      <c r="F26" s="93" t="s">
        <v>270</v>
      </c>
      <c r="G26" s="93" t="s">
        <v>36</v>
      </c>
      <c r="H26" s="93" t="s">
        <v>160</v>
      </c>
      <c r="I26" s="93" t="s">
        <v>159</v>
      </c>
      <c r="J26" s="93" t="s">
        <v>38</v>
      </c>
      <c r="K26" s="93" t="s">
        <v>161</v>
      </c>
      <c r="L26" s="93">
        <v>1</v>
      </c>
      <c r="N26" s="93">
        <v>1</v>
      </c>
      <c r="O26" s="93">
        <v>0.7</v>
      </c>
      <c r="P26" s="93">
        <v>0.7</v>
      </c>
      <c r="Q26" s="102">
        <f t="shared" si="0"/>
        <v>0.7</v>
      </c>
      <c r="R26" s="93">
        <v>17.8</v>
      </c>
      <c r="S26" s="93">
        <v>138</v>
      </c>
      <c r="T26" s="103">
        <f t="shared" si="1"/>
        <v>22</v>
      </c>
      <c r="U26" s="93">
        <v>128</v>
      </c>
      <c r="V26" s="104">
        <f t="shared" si="2"/>
        <v>2816</v>
      </c>
      <c r="W26" s="93">
        <v>10</v>
      </c>
      <c r="X26" s="93" t="s">
        <v>46</v>
      </c>
      <c r="Y26" s="93" t="s">
        <v>69</v>
      </c>
      <c r="Z26" s="93" t="s">
        <v>55</v>
      </c>
      <c r="AA26" s="93" t="s">
        <v>47</v>
      </c>
      <c r="AB26" s="53" t="s">
        <v>158</v>
      </c>
      <c r="AP26" s="115" t="s">
        <v>229</v>
      </c>
      <c r="AR26" s="93" t="s">
        <v>230</v>
      </c>
    </row>
    <row r="27" spans="1:48" x14ac:dyDescent="0.15">
      <c r="A27" s="93" t="s">
        <v>51</v>
      </c>
      <c r="B27" s="93" t="s">
        <v>157</v>
      </c>
      <c r="C27" s="93">
        <v>2019</v>
      </c>
      <c r="D27" s="101" t="s">
        <v>260</v>
      </c>
      <c r="E27" s="93" t="s">
        <v>269</v>
      </c>
      <c r="F27" s="93" t="s">
        <v>270</v>
      </c>
      <c r="G27" s="93" t="s">
        <v>36</v>
      </c>
      <c r="H27" s="93" t="s">
        <v>160</v>
      </c>
      <c r="I27" s="93" t="s">
        <v>159</v>
      </c>
      <c r="J27" s="93" t="s">
        <v>38</v>
      </c>
      <c r="K27" s="93" t="s">
        <v>161</v>
      </c>
      <c r="L27" s="93">
        <v>2</v>
      </c>
      <c r="N27" s="93">
        <v>1</v>
      </c>
      <c r="O27" s="93">
        <v>0.6</v>
      </c>
      <c r="P27" s="93">
        <v>0.65</v>
      </c>
      <c r="Q27" s="102">
        <f t="shared" si="0"/>
        <v>0.625</v>
      </c>
      <c r="R27" s="93">
        <v>19.7</v>
      </c>
      <c r="S27" s="93">
        <v>136</v>
      </c>
      <c r="T27" s="103">
        <f t="shared" si="1"/>
        <v>25</v>
      </c>
      <c r="U27" s="93">
        <v>128</v>
      </c>
      <c r="V27" s="104">
        <f t="shared" si="2"/>
        <v>3200</v>
      </c>
      <c r="W27" s="93">
        <v>10</v>
      </c>
      <c r="X27" s="93" t="s">
        <v>46</v>
      </c>
      <c r="Y27" s="93" t="s">
        <v>69</v>
      </c>
      <c r="Z27" s="93" t="s">
        <v>55</v>
      </c>
      <c r="AA27" s="93" t="s">
        <v>47</v>
      </c>
      <c r="AB27" s="53" t="s">
        <v>158</v>
      </c>
      <c r="AP27" s="115" t="s">
        <v>231</v>
      </c>
    </row>
    <row r="28" spans="1:48" x14ac:dyDescent="0.15">
      <c r="A28" s="93" t="s">
        <v>51</v>
      </c>
      <c r="B28" s="93" t="s">
        <v>157</v>
      </c>
      <c r="C28" s="93">
        <v>2019</v>
      </c>
      <c r="D28" s="101" t="s">
        <v>260</v>
      </c>
      <c r="E28" s="93" t="s">
        <v>269</v>
      </c>
      <c r="F28" s="93" t="s">
        <v>270</v>
      </c>
      <c r="G28" s="93" t="s">
        <v>36</v>
      </c>
      <c r="H28" s="93" t="s">
        <v>160</v>
      </c>
      <c r="I28" s="93" t="s">
        <v>159</v>
      </c>
      <c r="J28" s="93" t="s">
        <v>38</v>
      </c>
      <c r="K28" s="93" t="s">
        <v>161</v>
      </c>
      <c r="L28" s="93">
        <v>3</v>
      </c>
      <c r="N28" s="93">
        <v>1</v>
      </c>
      <c r="O28" s="93">
        <v>0.7</v>
      </c>
      <c r="P28" s="93">
        <v>0.65</v>
      </c>
      <c r="Q28" s="102">
        <f t="shared" si="0"/>
        <v>0.67500000000000004</v>
      </c>
      <c r="R28" s="93">
        <v>17.3</v>
      </c>
      <c r="S28" s="93">
        <v>140</v>
      </c>
      <c r="T28" s="103">
        <f t="shared" si="1"/>
        <v>22</v>
      </c>
      <c r="U28" s="93">
        <v>128</v>
      </c>
      <c r="V28" s="104">
        <f t="shared" si="2"/>
        <v>2816</v>
      </c>
      <c r="W28" s="93">
        <v>10</v>
      </c>
      <c r="X28" s="93" t="s">
        <v>46</v>
      </c>
      <c r="Y28" s="93" t="s">
        <v>69</v>
      </c>
      <c r="Z28" s="93" t="s">
        <v>55</v>
      </c>
      <c r="AA28" s="93" t="s">
        <v>47</v>
      </c>
      <c r="AB28" s="53" t="s">
        <v>158</v>
      </c>
    </row>
    <row r="29" spans="1:48" x14ac:dyDescent="0.15">
      <c r="A29" s="93" t="s">
        <v>51</v>
      </c>
      <c r="B29" s="93" t="s">
        <v>157</v>
      </c>
      <c r="C29" s="93">
        <v>2019</v>
      </c>
      <c r="D29" s="101" t="s">
        <v>260</v>
      </c>
      <c r="E29" s="93" t="s">
        <v>210</v>
      </c>
      <c r="F29" s="93" t="s">
        <v>263</v>
      </c>
      <c r="G29" s="93" t="s">
        <v>42</v>
      </c>
      <c r="H29" s="93" t="s">
        <v>164</v>
      </c>
      <c r="I29" s="93" t="s">
        <v>159</v>
      </c>
      <c r="J29" s="93" t="s">
        <v>38</v>
      </c>
      <c r="K29" s="93" t="s">
        <v>161</v>
      </c>
      <c r="L29" s="93">
        <v>1</v>
      </c>
      <c r="N29" s="93">
        <v>1</v>
      </c>
      <c r="O29" s="93">
        <v>0.85</v>
      </c>
      <c r="P29" s="93">
        <v>0.95</v>
      </c>
      <c r="Q29" s="102">
        <f t="shared" si="0"/>
        <v>0.89999999999999991</v>
      </c>
      <c r="R29" s="93">
        <v>15.1</v>
      </c>
      <c r="S29" s="93">
        <v>110</v>
      </c>
      <c r="T29" s="103">
        <f t="shared" si="1"/>
        <v>33</v>
      </c>
      <c r="U29" s="93">
        <v>89</v>
      </c>
      <c r="V29" s="104">
        <f t="shared" si="2"/>
        <v>2937</v>
      </c>
      <c r="W29" s="93">
        <v>17</v>
      </c>
      <c r="X29" s="93" t="s">
        <v>46</v>
      </c>
      <c r="Y29" s="93" t="s">
        <v>55</v>
      </c>
      <c r="Z29" s="93" t="s">
        <v>69</v>
      </c>
      <c r="AA29" s="93" t="s">
        <v>90</v>
      </c>
      <c r="AB29" s="53" t="s">
        <v>158</v>
      </c>
    </row>
    <row r="30" spans="1:48" x14ac:dyDescent="0.15">
      <c r="A30" s="93" t="s">
        <v>51</v>
      </c>
      <c r="B30" s="93" t="s">
        <v>157</v>
      </c>
      <c r="C30" s="93">
        <v>2019</v>
      </c>
      <c r="D30" s="101" t="s">
        <v>260</v>
      </c>
      <c r="E30" s="93" t="s">
        <v>210</v>
      </c>
      <c r="F30" s="93" t="s">
        <v>263</v>
      </c>
      <c r="G30" s="93" t="s">
        <v>42</v>
      </c>
      <c r="H30" s="93" t="s">
        <v>164</v>
      </c>
      <c r="I30" s="93" t="s">
        <v>159</v>
      </c>
      <c r="J30" s="93" t="s">
        <v>38</v>
      </c>
      <c r="K30" s="93" t="s">
        <v>161</v>
      </c>
      <c r="L30" s="93">
        <v>2</v>
      </c>
      <c r="N30" s="93">
        <v>1</v>
      </c>
      <c r="O30" s="93">
        <v>0.95</v>
      </c>
      <c r="P30" s="93">
        <v>1.1000000000000001</v>
      </c>
      <c r="Q30" s="102">
        <f t="shared" si="0"/>
        <v>1.0249999999999999</v>
      </c>
      <c r="R30" s="93">
        <v>14.7</v>
      </c>
      <c r="S30" s="93">
        <v>104</v>
      </c>
      <c r="T30" s="103">
        <f t="shared" si="1"/>
        <v>33</v>
      </c>
      <c r="U30" s="93">
        <v>89</v>
      </c>
      <c r="V30" s="104">
        <f t="shared" si="2"/>
        <v>2937</v>
      </c>
      <c r="W30" s="93">
        <v>17</v>
      </c>
      <c r="X30" s="93" t="s">
        <v>46</v>
      </c>
      <c r="Y30" s="93" t="s">
        <v>55</v>
      </c>
      <c r="Z30" s="93" t="s">
        <v>69</v>
      </c>
      <c r="AA30" s="93" t="s">
        <v>90</v>
      </c>
      <c r="AB30" s="53" t="s">
        <v>158</v>
      </c>
    </row>
    <row r="31" spans="1:48" x14ac:dyDescent="0.15">
      <c r="A31" s="93" t="s">
        <v>51</v>
      </c>
      <c r="B31" s="93" t="s">
        <v>157</v>
      </c>
      <c r="C31" s="93">
        <v>2019</v>
      </c>
      <c r="D31" s="101" t="s">
        <v>260</v>
      </c>
      <c r="E31" s="93" t="s">
        <v>210</v>
      </c>
      <c r="F31" s="93" t="s">
        <v>263</v>
      </c>
      <c r="G31" s="93" t="s">
        <v>42</v>
      </c>
      <c r="H31" s="93" t="s">
        <v>164</v>
      </c>
      <c r="I31" s="93" t="s">
        <v>159</v>
      </c>
      <c r="J31" s="93" t="s">
        <v>38</v>
      </c>
      <c r="K31" s="93" t="s">
        <v>161</v>
      </c>
      <c r="L31" s="93">
        <v>3</v>
      </c>
      <c r="N31" s="93">
        <v>1</v>
      </c>
      <c r="O31" s="93">
        <v>1</v>
      </c>
      <c r="P31" s="93">
        <v>1</v>
      </c>
      <c r="Q31" s="102">
        <f t="shared" si="0"/>
        <v>1</v>
      </c>
      <c r="R31" s="93">
        <v>14.5</v>
      </c>
      <c r="S31" s="93">
        <v>106</v>
      </c>
      <c r="T31" s="103">
        <f t="shared" si="1"/>
        <v>33</v>
      </c>
      <c r="U31" s="93">
        <v>89</v>
      </c>
      <c r="V31" s="104">
        <f t="shared" si="2"/>
        <v>2937</v>
      </c>
      <c r="W31" s="93">
        <v>17</v>
      </c>
      <c r="X31" s="93" t="s">
        <v>46</v>
      </c>
      <c r="Y31" s="93" t="s">
        <v>55</v>
      </c>
      <c r="Z31" s="93" t="s">
        <v>69</v>
      </c>
      <c r="AA31" s="93" t="s">
        <v>90</v>
      </c>
      <c r="AB31" s="53" t="s">
        <v>158</v>
      </c>
    </row>
    <row r="32" spans="1:48" x14ac:dyDescent="0.15">
      <c r="A32" s="93" t="s">
        <v>51</v>
      </c>
      <c r="B32" s="93" t="s">
        <v>157</v>
      </c>
      <c r="C32" s="93">
        <v>2019</v>
      </c>
      <c r="D32" s="101" t="s">
        <v>260</v>
      </c>
      <c r="E32" s="93" t="s">
        <v>210</v>
      </c>
      <c r="F32" s="93" t="s">
        <v>263</v>
      </c>
      <c r="G32" s="93" t="s">
        <v>42</v>
      </c>
      <c r="H32" s="93" t="s">
        <v>160</v>
      </c>
      <c r="I32" s="93" t="s">
        <v>159</v>
      </c>
      <c r="J32" s="93" t="s">
        <v>38</v>
      </c>
      <c r="K32" s="93" t="s">
        <v>161</v>
      </c>
      <c r="L32" s="93">
        <v>1</v>
      </c>
      <c r="N32" s="93">
        <v>1</v>
      </c>
      <c r="O32" s="93">
        <v>0.25</v>
      </c>
      <c r="P32" s="93">
        <v>0.25</v>
      </c>
      <c r="Q32" s="102">
        <f t="shared" si="0"/>
        <v>0.25</v>
      </c>
      <c r="R32" s="93">
        <v>18.899999999999999</v>
      </c>
      <c r="S32" s="93">
        <v>136</v>
      </c>
      <c r="T32" s="103">
        <f t="shared" si="1"/>
        <v>25</v>
      </c>
      <c r="U32" s="93">
        <v>89</v>
      </c>
      <c r="V32" s="104">
        <f t="shared" si="2"/>
        <v>2225</v>
      </c>
      <c r="W32" s="93">
        <v>17</v>
      </c>
      <c r="X32" s="93" t="s">
        <v>46</v>
      </c>
      <c r="Y32" s="93" t="s">
        <v>55</v>
      </c>
      <c r="Z32" s="93" t="s">
        <v>69</v>
      </c>
      <c r="AA32" s="93" t="s">
        <v>90</v>
      </c>
      <c r="AB32" s="53" t="s">
        <v>158</v>
      </c>
    </row>
    <row r="33" spans="1:28" x14ac:dyDescent="0.15">
      <c r="A33" s="93" t="s">
        <v>51</v>
      </c>
      <c r="B33" s="93" t="s">
        <v>157</v>
      </c>
      <c r="C33" s="93">
        <v>2019</v>
      </c>
      <c r="D33" s="101" t="s">
        <v>260</v>
      </c>
      <c r="E33" s="93" t="s">
        <v>210</v>
      </c>
      <c r="F33" s="93" t="s">
        <v>263</v>
      </c>
      <c r="G33" s="93" t="s">
        <v>42</v>
      </c>
      <c r="H33" s="93" t="s">
        <v>160</v>
      </c>
      <c r="I33" s="93" t="s">
        <v>159</v>
      </c>
      <c r="J33" s="93" t="s">
        <v>38</v>
      </c>
      <c r="K33" s="93" t="s">
        <v>161</v>
      </c>
      <c r="L33" s="93">
        <v>2</v>
      </c>
      <c r="N33" s="93">
        <v>1</v>
      </c>
      <c r="O33" s="93">
        <v>0.55000000000000004</v>
      </c>
      <c r="P33" s="93">
        <v>0.6</v>
      </c>
      <c r="Q33" s="102">
        <f t="shared" si="0"/>
        <v>0.57499999999999996</v>
      </c>
      <c r="R33" s="93">
        <v>17.7</v>
      </c>
      <c r="S33" s="93">
        <v>136</v>
      </c>
      <c r="T33" s="103">
        <f t="shared" si="1"/>
        <v>25</v>
      </c>
      <c r="U33" s="93">
        <v>89</v>
      </c>
      <c r="V33" s="104">
        <f t="shared" si="2"/>
        <v>2225</v>
      </c>
      <c r="W33" s="93">
        <v>17</v>
      </c>
      <c r="X33" s="93" t="s">
        <v>46</v>
      </c>
      <c r="Y33" s="93" t="s">
        <v>55</v>
      </c>
      <c r="Z33" s="93" t="s">
        <v>69</v>
      </c>
      <c r="AA33" s="93" t="s">
        <v>90</v>
      </c>
      <c r="AB33" s="53" t="s">
        <v>158</v>
      </c>
    </row>
    <row r="34" spans="1:28" x14ac:dyDescent="0.15">
      <c r="A34" s="93" t="s">
        <v>51</v>
      </c>
      <c r="B34" s="93" t="s">
        <v>157</v>
      </c>
      <c r="C34" s="93">
        <v>2019</v>
      </c>
      <c r="D34" s="101" t="s">
        <v>260</v>
      </c>
      <c r="E34" s="93" t="s">
        <v>210</v>
      </c>
      <c r="F34" s="93" t="s">
        <v>263</v>
      </c>
      <c r="G34" s="93" t="s">
        <v>42</v>
      </c>
      <c r="H34" s="93" t="s">
        <v>160</v>
      </c>
      <c r="I34" s="93" t="s">
        <v>159</v>
      </c>
      <c r="J34" s="93" t="s">
        <v>38</v>
      </c>
      <c r="K34" s="93" t="s">
        <v>161</v>
      </c>
      <c r="L34" s="93">
        <v>3</v>
      </c>
      <c r="N34" s="93">
        <v>1</v>
      </c>
      <c r="O34" s="93">
        <v>0.65</v>
      </c>
      <c r="P34" s="93">
        <v>0.6</v>
      </c>
      <c r="Q34" s="102">
        <f t="shared" si="0"/>
        <v>0.625</v>
      </c>
      <c r="R34" s="93">
        <v>17.899999999999999</v>
      </c>
      <c r="S34" s="93">
        <v>138</v>
      </c>
      <c r="T34" s="103">
        <f t="shared" si="1"/>
        <v>22</v>
      </c>
      <c r="U34" s="93">
        <v>89</v>
      </c>
      <c r="V34" s="104">
        <f t="shared" si="2"/>
        <v>1958</v>
      </c>
      <c r="W34" s="93">
        <v>17</v>
      </c>
      <c r="X34" s="93" t="s">
        <v>46</v>
      </c>
      <c r="Y34" s="93" t="s">
        <v>55</v>
      </c>
      <c r="Z34" s="93" t="s">
        <v>69</v>
      </c>
      <c r="AA34" s="93" t="s">
        <v>90</v>
      </c>
      <c r="AB34" s="53" t="s">
        <v>158</v>
      </c>
    </row>
    <row r="35" spans="1:28" x14ac:dyDescent="0.15">
      <c r="A35" s="93" t="s">
        <v>51</v>
      </c>
      <c r="B35" s="93" t="s">
        <v>157</v>
      </c>
      <c r="C35" s="93">
        <v>2019</v>
      </c>
      <c r="D35" s="101" t="s">
        <v>260</v>
      </c>
      <c r="E35" s="93" t="s">
        <v>271</v>
      </c>
      <c r="F35" s="93" t="s">
        <v>263</v>
      </c>
      <c r="G35" s="93" t="s">
        <v>42</v>
      </c>
      <c r="H35" s="93" t="s">
        <v>164</v>
      </c>
      <c r="I35" s="93" t="s">
        <v>159</v>
      </c>
      <c r="J35" s="93" t="s">
        <v>38</v>
      </c>
      <c r="K35" s="93" t="s">
        <v>161</v>
      </c>
      <c r="L35" s="93">
        <v>1</v>
      </c>
      <c r="N35" s="93">
        <v>3</v>
      </c>
      <c r="O35" s="93">
        <v>0.7</v>
      </c>
      <c r="P35" s="93">
        <v>0.6</v>
      </c>
      <c r="Q35" s="102">
        <f t="shared" si="0"/>
        <v>0.64999999999999991</v>
      </c>
      <c r="R35" s="93">
        <v>17.5</v>
      </c>
      <c r="S35" s="93">
        <v>112</v>
      </c>
      <c r="T35" s="103">
        <f t="shared" si="1"/>
        <v>33</v>
      </c>
      <c r="U35" s="93">
        <v>100</v>
      </c>
      <c r="V35" s="104">
        <f t="shared" si="2"/>
        <v>1100</v>
      </c>
      <c r="W35" s="93">
        <v>26</v>
      </c>
      <c r="X35" s="93" t="s">
        <v>46</v>
      </c>
      <c r="Y35" s="93" t="s">
        <v>55</v>
      </c>
      <c r="Z35" s="93" t="s">
        <v>97</v>
      </c>
      <c r="AA35" s="93" t="s">
        <v>78</v>
      </c>
      <c r="AB35" s="53" t="s">
        <v>158</v>
      </c>
    </row>
    <row r="36" spans="1:28" x14ac:dyDescent="0.15">
      <c r="A36" s="93" t="s">
        <v>51</v>
      </c>
      <c r="B36" s="93" t="s">
        <v>157</v>
      </c>
      <c r="C36" s="93">
        <v>2019</v>
      </c>
      <c r="D36" s="101" t="s">
        <v>260</v>
      </c>
      <c r="E36" s="93" t="s">
        <v>271</v>
      </c>
      <c r="F36" s="93" t="s">
        <v>263</v>
      </c>
      <c r="G36" s="93" t="s">
        <v>42</v>
      </c>
      <c r="H36" s="93" t="s">
        <v>164</v>
      </c>
      <c r="I36" s="93" t="s">
        <v>159</v>
      </c>
      <c r="J36" s="93" t="s">
        <v>38</v>
      </c>
      <c r="K36" s="93" t="s">
        <v>161</v>
      </c>
      <c r="L36" s="93">
        <v>2</v>
      </c>
      <c r="N36" s="93">
        <v>3</v>
      </c>
      <c r="O36" s="93">
        <v>0.65</v>
      </c>
      <c r="P36" s="93">
        <v>0.75</v>
      </c>
      <c r="Q36" s="102">
        <f t="shared" si="0"/>
        <v>0.7</v>
      </c>
      <c r="R36" s="93">
        <v>16.899999999999999</v>
      </c>
      <c r="S36" s="93">
        <v>110</v>
      </c>
      <c r="T36" s="103">
        <f t="shared" si="1"/>
        <v>33</v>
      </c>
      <c r="U36" s="93">
        <v>100</v>
      </c>
      <c r="V36" s="104">
        <f t="shared" si="2"/>
        <v>1100</v>
      </c>
      <c r="W36" s="93">
        <v>26</v>
      </c>
      <c r="X36" s="93" t="s">
        <v>46</v>
      </c>
      <c r="Y36" s="93" t="s">
        <v>55</v>
      </c>
      <c r="Z36" s="93" t="s">
        <v>97</v>
      </c>
      <c r="AA36" s="93" t="s">
        <v>78</v>
      </c>
      <c r="AB36" s="53" t="s">
        <v>158</v>
      </c>
    </row>
    <row r="37" spans="1:28" x14ac:dyDescent="0.15">
      <c r="A37" s="93" t="s">
        <v>51</v>
      </c>
      <c r="B37" s="93" t="s">
        <v>157</v>
      </c>
      <c r="C37" s="93">
        <v>2019</v>
      </c>
      <c r="D37" s="101" t="s">
        <v>260</v>
      </c>
      <c r="E37" s="93" t="s">
        <v>271</v>
      </c>
      <c r="F37" s="93" t="s">
        <v>263</v>
      </c>
      <c r="G37" s="93" t="s">
        <v>42</v>
      </c>
      <c r="H37" s="93" t="s">
        <v>164</v>
      </c>
      <c r="I37" s="93" t="s">
        <v>159</v>
      </c>
      <c r="J37" s="93" t="s">
        <v>38</v>
      </c>
      <c r="K37" s="93" t="s">
        <v>161</v>
      </c>
      <c r="L37" s="93">
        <v>3</v>
      </c>
      <c r="N37" s="93">
        <v>3</v>
      </c>
      <c r="O37" s="93">
        <v>0.7</v>
      </c>
      <c r="P37" s="93">
        <v>0.7</v>
      </c>
      <c r="Q37" s="102">
        <f t="shared" si="0"/>
        <v>0.7</v>
      </c>
      <c r="R37" s="93">
        <v>17.600000000000001</v>
      </c>
      <c r="S37" s="93">
        <v>108</v>
      </c>
      <c r="T37" s="103">
        <f t="shared" si="1"/>
        <v>33</v>
      </c>
      <c r="U37" s="93">
        <v>100</v>
      </c>
      <c r="V37" s="104">
        <f t="shared" si="2"/>
        <v>1100</v>
      </c>
      <c r="W37" s="93">
        <v>26</v>
      </c>
      <c r="X37" s="93" t="s">
        <v>46</v>
      </c>
      <c r="Y37" s="93" t="s">
        <v>55</v>
      </c>
      <c r="Z37" s="93" t="s">
        <v>97</v>
      </c>
      <c r="AA37" s="93" t="s">
        <v>78</v>
      </c>
      <c r="AB37" s="53" t="s">
        <v>158</v>
      </c>
    </row>
    <row r="38" spans="1:28" x14ac:dyDescent="0.15">
      <c r="A38" s="93" t="s">
        <v>51</v>
      </c>
      <c r="B38" s="93" t="s">
        <v>157</v>
      </c>
      <c r="C38" s="93">
        <v>2019</v>
      </c>
      <c r="D38" s="101" t="s">
        <v>260</v>
      </c>
      <c r="E38" s="93" t="s">
        <v>271</v>
      </c>
      <c r="F38" s="93" t="s">
        <v>263</v>
      </c>
      <c r="G38" s="93" t="s">
        <v>42</v>
      </c>
      <c r="H38" s="93" t="s">
        <v>164</v>
      </c>
      <c r="I38" s="93" t="s">
        <v>165</v>
      </c>
      <c r="J38" s="93" t="s">
        <v>38</v>
      </c>
      <c r="K38" s="93" t="s">
        <v>161</v>
      </c>
      <c r="L38" s="93">
        <v>1</v>
      </c>
      <c r="N38" s="93">
        <v>4</v>
      </c>
      <c r="O38" s="93">
        <v>0.75</v>
      </c>
      <c r="P38" s="93">
        <v>0.8</v>
      </c>
      <c r="Q38" s="102">
        <f t="shared" si="0"/>
        <v>0.77500000000000002</v>
      </c>
      <c r="R38" s="93">
        <v>15.4</v>
      </c>
      <c r="S38" s="93">
        <v>98</v>
      </c>
      <c r="T38" s="103">
        <f t="shared" si="1"/>
        <v>36</v>
      </c>
      <c r="U38" s="93">
        <v>398</v>
      </c>
      <c r="V38" s="104">
        <f t="shared" si="2"/>
        <v>3582</v>
      </c>
      <c r="W38" s="93">
        <v>26</v>
      </c>
      <c r="X38" s="93" t="s">
        <v>46</v>
      </c>
      <c r="Y38" s="93" t="s">
        <v>55</v>
      </c>
      <c r="Z38" s="93" t="s">
        <v>97</v>
      </c>
      <c r="AA38" s="93" t="s">
        <v>78</v>
      </c>
      <c r="AB38" s="53" t="s">
        <v>158</v>
      </c>
    </row>
    <row r="39" spans="1:28" x14ac:dyDescent="0.15">
      <c r="A39" s="93" t="s">
        <v>51</v>
      </c>
      <c r="B39" s="93" t="s">
        <v>157</v>
      </c>
      <c r="C39" s="93">
        <v>2019</v>
      </c>
      <c r="D39" s="101" t="s">
        <v>260</v>
      </c>
      <c r="E39" s="93" t="s">
        <v>271</v>
      </c>
      <c r="F39" s="93" t="s">
        <v>263</v>
      </c>
      <c r="G39" s="93" t="s">
        <v>42</v>
      </c>
      <c r="H39" s="93" t="s">
        <v>164</v>
      </c>
      <c r="I39" s="93" t="s">
        <v>165</v>
      </c>
      <c r="J39" s="93" t="s">
        <v>38</v>
      </c>
      <c r="K39" s="93" t="s">
        <v>161</v>
      </c>
      <c r="L39" s="93">
        <v>2</v>
      </c>
      <c r="N39" s="93">
        <v>4</v>
      </c>
      <c r="O39" s="93">
        <v>0.7</v>
      </c>
      <c r="P39" s="93">
        <v>0.8</v>
      </c>
      <c r="Q39" s="102">
        <f t="shared" si="0"/>
        <v>0.75</v>
      </c>
      <c r="R39" s="93">
        <v>15.2</v>
      </c>
      <c r="S39" s="93">
        <v>98</v>
      </c>
      <c r="T39" s="103">
        <f t="shared" si="1"/>
        <v>36</v>
      </c>
      <c r="U39" s="93">
        <v>398</v>
      </c>
      <c r="V39" s="104">
        <f t="shared" si="2"/>
        <v>3582</v>
      </c>
      <c r="W39" s="93">
        <v>26</v>
      </c>
      <c r="X39" s="93" t="s">
        <v>46</v>
      </c>
      <c r="Y39" s="93" t="s">
        <v>55</v>
      </c>
      <c r="Z39" s="93" t="s">
        <v>97</v>
      </c>
      <c r="AA39" s="93" t="s">
        <v>78</v>
      </c>
      <c r="AB39" s="53" t="s">
        <v>158</v>
      </c>
    </row>
    <row r="40" spans="1:28" x14ac:dyDescent="0.15">
      <c r="A40" s="93" t="s">
        <v>51</v>
      </c>
      <c r="B40" s="93" t="s">
        <v>157</v>
      </c>
      <c r="C40" s="93">
        <v>2019</v>
      </c>
      <c r="D40" s="101" t="s">
        <v>260</v>
      </c>
      <c r="E40" s="93" t="s">
        <v>271</v>
      </c>
      <c r="F40" s="93" t="s">
        <v>263</v>
      </c>
      <c r="G40" s="93" t="s">
        <v>42</v>
      </c>
      <c r="H40" s="93" t="s">
        <v>164</v>
      </c>
      <c r="I40" s="93" t="s">
        <v>165</v>
      </c>
      <c r="J40" s="93" t="s">
        <v>38</v>
      </c>
      <c r="K40" s="93" t="s">
        <v>161</v>
      </c>
      <c r="L40" s="93">
        <v>3</v>
      </c>
      <c r="N40" s="93">
        <v>4</v>
      </c>
      <c r="O40" s="93">
        <v>0.8</v>
      </c>
      <c r="P40" s="93">
        <v>0.75</v>
      </c>
      <c r="Q40" s="102">
        <f t="shared" si="0"/>
        <v>0.77500000000000002</v>
      </c>
      <c r="R40" s="93">
        <v>15.9</v>
      </c>
      <c r="S40" s="93">
        <v>100</v>
      </c>
      <c r="T40" s="103">
        <f t="shared" si="1"/>
        <v>33</v>
      </c>
      <c r="U40" s="93">
        <v>398</v>
      </c>
      <c r="V40" s="104">
        <f t="shared" si="2"/>
        <v>3283.5</v>
      </c>
      <c r="W40" s="93">
        <v>26</v>
      </c>
      <c r="X40" s="93" t="s">
        <v>46</v>
      </c>
      <c r="Y40" s="93" t="s">
        <v>55</v>
      </c>
      <c r="Z40" s="93" t="s">
        <v>97</v>
      </c>
      <c r="AA40" s="93" t="s">
        <v>78</v>
      </c>
      <c r="AB40" s="53" t="s">
        <v>158</v>
      </c>
    </row>
    <row r="41" spans="1:28" x14ac:dyDescent="0.15">
      <c r="A41" s="93" t="s">
        <v>51</v>
      </c>
      <c r="B41" s="93" t="s">
        <v>157</v>
      </c>
      <c r="C41" s="93">
        <v>2019</v>
      </c>
      <c r="D41" s="101" t="s">
        <v>260</v>
      </c>
      <c r="E41" s="93" t="s">
        <v>271</v>
      </c>
      <c r="F41" s="93" t="s">
        <v>263</v>
      </c>
      <c r="G41" s="93" t="s">
        <v>42</v>
      </c>
      <c r="H41" s="93" t="s">
        <v>199</v>
      </c>
      <c r="I41" s="93" t="s">
        <v>159</v>
      </c>
      <c r="J41" s="93" t="s">
        <v>38</v>
      </c>
      <c r="K41" s="93" t="s">
        <v>161</v>
      </c>
      <c r="L41" s="93">
        <v>1</v>
      </c>
      <c r="N41" s="93">
        <v>5</v>
      </c>
      <c r="O41" s="93">
        <v>0.25</v>
      </c>
      <c r="P41" s="93">
        <v>0.25</v>
      </c>
      <c r="Q41" s="102">
        <f t="shared" si="0"/>
        <v>0.25</v>
      </c>
      <c r="R41" s="93">
        <v>17.600000000000001</v>
      </c>
      <c r="S41" s="93">
        <v>97</v>
      </c>
      <c r="T41" s="103">
        <f t="shared" si="1"/>
        <v>36</v>
      </c>
      <c r="U41" s="93">
        <v>380</v>
      </c>
      <c r="V41" s="104">
        <f t="shared" si="2"/>
        <v>2736</v>
      </c>
      <c r="W41" s="93">
        <v>26</v>
      </c>
      <c r="X41" s="93" t="s">
        <v>46</v>
      </c>
      <c r="Y41" s="93" t="s">
        <v>55</v>
      </c>
      <c r="Z41" s="93" t="s">
        <v>97</v>
      </c>
      <c r="AA41" s="93" t="s">
        <v>78</v>
      </c>
      <c r="AB41" s="53" t="s">
        <v>158</v>
      </c>
    </row>
    <row r="42" spans="1:28" x14ac:dyDescent="0.15">
      <c r="A42" s="93" t="s">
        <v>51</v>
      </c>
      <c r="B42" s="93" t="s">
        <v>157</v>
      </c>
      <c r="C42" s="93">
        <v>2019</v>
      </c>
      <c r="D42" s="101" t="s">
        <v>260</v>
      </c>
      <c r="E42" s="93" t="s">
        <v>271</v>
      </c>
      <c r="F42" s="93" t="s">
        <v>263</v>
      </c>
      <c r="G42" s="93" t="s">
        <v>42</v>
      </c>
      <c r="H42" s="93" t="s">
        <v>199</v>
      </c>
      <c r="I42" s="93" t="s">
        <v>159</v>
      </c>
      <c r="J42" s="93" t="s">
        <v>38</v>
      </c>
      <c r="K42" s="93" t="s">
        <v>161</v>
      </c>
      <c r="L42" s="93">
        <v>2</v>
      </c>
      <c r="N42" s="93">
        <v>5</v>
      </c>
      <c r="O42" s="93">
        <v>0.6</v>
      </c>
      <c r="P42" s="93">
        <v>0.5</v>
      </c>
      <c r="Q42" s="102">
        <f t="shared" si="0"/>
        <v>0.55000000000000004</v>
      </c>
      <c r="R42" s="93">
        <v>17.5</v>
      </c>
      <c r="S42" s="93">
        <v>98</v>
      </c>
      <c r="T42" s="103">
        <f t="shared" si="1"/>
        <v>36</v>
      </c>
      <c r="U42" s="93">
        <v>380</v>
      </c>
      <c r="V42" s="104">
        <f t="shared" si="2"/>
        <v>2736</v>
      </c>
      <c r="W42" s="93">
        <v>26</v>
      </c>
      <c r="X42" s="93" t="s">
        <v>46</v>
      </c>
      <c r="Y42" s="93" t="s">
        <v>55</v>
      </c>
      <c r="Z42" s="93" t="s">
        <v>97</v>
      </c>
      <c r="AA42" s="93" t="s">
        <v>78</v>
      </c>
      <c r="AB42" s="53" t="s">
        <v>158</v>
      </c>
    </row>
    <row r="43" spans="1:28" x14ac:dyDescent="0.15">
      <c r="A43" s="93" t="s">
        <v>51</v>
      </c>
      <c r="B43" s="93" t="s">
        <v>157</v>
      </c>
      <c r="C43" s="93">
        <v>2019</v>
      </c>
      <c r="D43" s="101" t="s">
        <v>260</v>
      </c>
      <c r="E43" s="93" t="s">
        <v>271</v>
      </c>
      <c r="F43" s="93" t="s">
        <v>263</v>
      </c>
      <c r="G43" s="93" t="s">
        <v>42</v>
      </c>
      <c r="H43" s="93" t="s">
        <v>199</v>
      </c>
      <c r="I43" s="93" t="s">
        <v>159</v>
      </c>
      <c r="J43" s="93" t="s">
        <v>38</v>
      </c>
      <c r="K43" s="93" t="s">
        <v>161</v>
      </c>
      <c r="L43" s="93">
        <v>3</v>
      </c>
      <c r="N43" s="93">
        <v>5</v>
      </c>
      <c r="O43" s="93">
        <v>0.5</v>
      </c>
      <c r="P43" s="93">
        <v>0.55000000000000004</v>
      </c>
      <c r="Q43" s="102">
        <f t="shared" si="0"/>
        <v>0.52500000000000002</v>
      </c>
      <c r="R43" s="93">
        <v>16.8</v>
      </c>
      <c r="S43" s="93">
        <v>90</v>
      </c>
      <c r="T43" s="103">
        <f t="shared" si="1"/>
        <v>36</v>
      </c>
      <c r="U43" s="93">
        <v>380</v>
      </c>
      <c r="V43" s="104">
        <f t="shared" si="2"/>
        <v>2736</v>
      </c>
      <c r="W43" s="93">
        <v>26</v>
      </c>
      <c r="X43" s="93" t="s">
        <v>46</v>
      </c>
      <c r="Y43" s="93" t="s">
        <v>55</v>
      </c>
      <c r="Z43" s="93" t="s">
        <v>97</v>
      </c>
      <c r="AA43" s="93" t="s">
        <v>78</v>
      </c>
      <c r="AB43" s="53" t="s">
        <v>158</v>
      </c>
    </row>
    <row r="44" spans="1:28" x14ac:dyDescent="0.15">
      <c r="A44" s="93" t="s">
        <v>51</v>
      </c>
      <c r="B44" s="93" t="s">
        <v>157</v>
      </c>
      <c r="C44" s="93">
        <v>2019</v>
      </c>
      <c r="D44" s="101" t="s">
        <v>260</v>
      </c>
      <c r="E44" s="93" t="s">
        <v>271</v>
      </c>
      <c r="F44" s="93" t="s">
        <v>263</v>
      </c>
      <c r="G44" s="93" t="s">
        <v>42</v>
      </c>
      <c r="H44" s="93" t="s">
        <v>160</v>
      </c>
      <c r="I44" s="93" t="s">
        <v>159</v>
      </c>
      <c r="J44" s="93" t="s">
        <v>38</v>
      </c>
      <c r="K44" s="93" t="s">
        <v>161</v>
      </c>
      <c r="L44" s="93">
        <v>1</v>
      </c>
      <c r="N44" s="93">
        <v>1</v>
      </c>
      <c r="O44" s="93">
        <v>0.65</v>
      </c>
      <c r="P44" s="93">
        <v>0.65</v>
      </c>
      <c r="Q44" s="102">
        <f t="shared" si="0"/>
        <v>0.65</v>
      </c>
      <c r="R44" s="93">
        <v>16.3</v>
      </c>
      <c r="S44" s="93">
        <v>144</v>
      </c>
      <c r="T44" s="103">
        <f t="shared" si="1"/>
        <v>22</v>
      </c>
      <c r="U44" s="93">
        <v>138</v>
      </c>
      <c r="V44" s="104">
        <f t="shared" si="2"/>
        <v>3036</v>
      </c>
      <c r="W44" s="93">
        <v>26</v>
      </c>
      <c r="X44" s="93" t="s">
        <v>46</v>
      </c>
      <c r="Y44" s="93" t="s">
        <v>55</v>
      </c>
      <c r="Z44" s="93" t="s">
        <v>97</v>
      </c>
      <c r="AA44" s="93" t="s">
        <v>78</v>
      </c>
      <c r="AB44" s="53" t="s">
        <v>158</v>
      </c>
    </row>
    <row r="45" spans="1:28" x14ac:dyDescent="0.15">
      <c r="A45" s="93" t="s">
        <v>51</v>
      </c>
      <c r="B45" s="93" t="s">
        <v>157</v>
      </c>
      <c r="C45" s="93">
        <v>2019</v>
      </c>
      <c r="D45" s="101" t="s">
        <v>260</v>
      </c>
      <c r="E45" s="93" t="s">
        <v>271</v>
      </c>
      <c r="F45" s="93" t="s">
        <v>263</v>
      </c>
      <c r="G45" s="93" t="s">
        <v>42</v>
      </c>
      <c r="H45" s="93" t="s">
        <v>160</v>
      </c>
      <c r="I45" s="93" t="s">
        <v>159</v>
      </c>
      <c r="J45" s="93" t="s">
        <v>38</v>
      </c>
      <c r="K45" s="93" t="s">
        <v>161</v>
      </c>
      <c r="L45" s="93">
        <v>2</v>
      </c>
      <c r="N45" s="93">
        <v>1</v>
      </c>
      <c r="O45" s="93">
        <v>0.6</v>
      </c>
      <c r="P45" s="93">
        <v>0.55000000000000004</v>
      </c>
      <c r="Q45" s="102">
        <f t="shared" si="0"/>
        <v>0.57499999999999996</v>
      </c>
      <c r="R45" s="93">
        <v>15.6</v>
      </c>
      <c r="S45" s="93">
        <v>138</v>
      </c>
      <c r="T45" s="103">
        <f t="shared" si="1"/>
        <v>22</v>
      </c>
      <c r="U45" s="93">
        <v>138</v>
      </c>
      <c r="V45" s="104">
        <f t="shared" si="2"/>
        <v>3036</v>
      </c>
      <c r="W45" s="93">
        <v>26</v>
      </c>
      <c r="X45" s="93" t="s">
        <v>46</v>
      </c>
      <c r="Y45" s="93" t="s">
        <v>55</v>
      </c>
      <c r="Z45" s="93" t="s">
        <v>97</v>
      </c>
      <c r="AA45" s="93" t="s">
        <v>78</v>
      </c>
      <c r="AB45" s="53" t="s">
        <v>158</v>
      </c>
    </row>
    <row r="46" spans="1:28" x14ac:dyDescent="0.15">
      <c r="A46" s="93" t="s">
        <v>51</v>
      </c>
      <c r="B46" s="93" t="s">
        <v>157</v>
      </c>
      <c r="C46" s="93">
        <v>2019</v>
      </c>
      <c r="D46" s="101" t="s">
        <v>260</v>
      </c>
      <c r="E46" s="93" t="s">
        <v>271</v>
      </c>
      <c r="F46" s="93" t="s">
        <v>263</v>
      </c>
      <c r="G46" s="93" t="s">
        <v>42</v>
      </c>
      <c r="H46" s="93" t="s">
        <v>160</v>
      </c>
      <c r="I46" s="93" t="s">
        <v>159</v>
      </c>
      <c r="J46" s="93" t="s">
        <v>38</v>
      </c>
      <c r="K46" s="93" t="s">
        <v>161</v>
      </c>
      <c r="L46" s="93">
        <v>3</v>
      </c>
      <c r="N46" s="93">
        <v>1</v>
      </c>
      <c r="O46" s="93">
        <v>0.65</v>
      </c>
      <c r="P46" s="93">
        <v>0.6</v>
      </c>
      <c r="Q46" s="102">
        <f t="shared" si="0"/>
        <v>0.625</v>
      </c>
      <c r="R46" s="93">
        <v>16</v>
      </c>
      <c r="S46" s="93">
        <v>138</v>
      </c>
      <c r="T46" s="103">
        <f t="shared" si="1"/>
        <v>22</v>
      </c>
      <c r="U46" s="93">
        <v>138</v>
      </c>
      <c r="V46" s="104">
        <f t="shared" si="2"/>
        <v>3036</v>
      </c>
      <c r="W46" s="93">
        <v>26</v>
      </c>
      <c r="X46" s="93" t="s">
        <v>46</v>
      </c>
      <c r="Y46" s="93" t="s">
        <v>55</v>
      </c>
      <c r="Z46" s="93" t="s">
        <v>97</v>
      </c>
      <c r="AA46" s="93" t="s">
        <v>78</v>
      </c>
      <c r="AB46" s="53" t="s">
        <v>158</v>
      </c>
    </row>
    <row r="47" spans="1:28" x14ac:dyDescent="0.15">
      <c r="A47" s="93" t="s">
        <v>51</v>
      </c>
      <c r="B47" s="93" t="s">
        <v>157</v>
      </c>
      <c r="C47" s="93">
        <v>2019</v>
      </c>
      <c r="D47" s="101" t="s">
        <v>260</v>
      </c>
      <c r="E47" s="93" t="s">
        <v>271</v>
      </c>
      <c r="F47" s="93" t="s">
        <v>263</v>
      </c>
      <c r="G47" s="93" t="s">
        <v>42</v>
      </c>
      <c r="H47" s="93" t="s">
        <v>160</v>
      </c>
      <c r="I47" s="93" t="s">
        <v>165</v>
      </c>
      <c r="J47" s="93" t="s">
        <v>38</v>
      </c>
      <c r="K47" s="93" t="s">
        <v>161</v>
      </c>
      <c r="L47" s="93">
        <v>1</v>
      </c>
      <c r="N47" s="93">
        <v>4</v>
      </c>
      <c r="O47" s="93">
        <v>0.55000000000000004</v>
      </c>
      <c r="P47" s="93">
        <v>0.65</v>
      </c>
      <c r="Q47" s="102">
        <f t="shared" si="0"/>
        <v>0.60000000000000009</v>
      </c>
      <c r="R47" s="93">
        <v>16.5</v>
      </c>
      <c r="S47" s="93">
        <v>100</v>
      </c>
      <c r="T47" s="103">
        <f t="shared" si="1"/>
        <v>33</v>
      </c>
      <c r="U47" s="93">
        <v>498</v>
      </c>
      <c r="V47" s="104">
        <f t="shared" si="2"/>
        <v>4108.5</v>
      </c>
      <c r="W47" s="93">
        <v>26</v>
      </c>
      <c r="X47" s="93" t="s">
        <v>46</v>
      </c>
      <c r="Y47" s="93" t="s">
        <v>55</v>
      </c>
      <c r="Z47" s="93" t="s">
        <v>97</v>
      </c>
      <c r="AA47" s="93" t="s">
        <v>78</v>
      </c>
      <c r="AB47" s="53" t="s">
        <v>158</v>
      </c>
    </row>
    <row r="48" spans="1:28" x14ac:dyDescent="0.15">
      <c r="A48" s="93" t="s">
        <v>51</v>
      </c>
      <c r="B48" s="93" t="s">
        <v>157</v>
      </c>
      <c r="C48" s="93">
        <v>2019</v>
      </c>
      <c r="D48" s="101" t="s">
        <v>260</v>
      </c>
      <c r="E48" s="93" t="s">
        <v>271</v>
      </c>
      <c r="F48" s="93" t="s">
        <v>263</v>
      </c>
      <c r="G48" s="93" t="s">
        <v>42</v>
      </c>
      <c r="H48" s="93" t="s">
        <v>160</v>
      </c>
      <c r="I48" s="93" t="s">
        <v>165</v>
      </c>
      <c r="J48" s="93" t="s">
        <v>38</v>
      </c>
      <c r="K48" s="93" t="s">
        <v>161</v>
      </c>
      <c r="L48" s="93">
        <v>2</v>
      </c>
      <c r="N48" s="93">
        <v>4</v>
      </c>
      <c r="O48" s="93">
        <v>0.6</v>
      </c>
      <c r="P48" s="93">
        <v>0.6</v>
      </c>
      <c r="Q48" s="102">
        <f t="shared" si="0"/>
        <v>0.6</v>
      </c>
      <c r="R48" s="93">
        <v>16.399999999999999</v>
      </c>
      <c r="S48" s="93">
        <v>100</v>
      </c>
      <c r="T48" s="103">
        <f t="shared" si="1"/>
        <v>33</v>
      </c>
      <c r="U48" s="93">
        <v>498</v>
      </c>
      <c r="V48" s="104">
        <f t="shared" si="2"/>
        <v>4108.5</v>
      </c>
      <c r="W48" s="93">
        <v>26</v>
      </c>
      <c r="X48" s="93" t="s">
        <v>46</v>
      </c>
      <c r="Y48" s="93" t="s">
        <v>55</v>
      </c>
      <c r="Z48" s="93" t="s">
        <v>97</v>
      </c>
      <c r="AA48" s="93" t="s">
        <v>78</v>
      </c>
      <c r="AB48" s="53" t="s">
        <v>158</v>
      </c>
    </row>
    <row r="49" spans="1:28" x14ac:dyDescent="0.15">
      <c r="A49" s="93" t="s">
        <v>51</v>
      </c>
      <c r="B49" s="93" t="s">
        <v>157</v>
      </c>
      <c r="C49" s="93">
        <v>2019</v>
      </c>
      <c r="D49" s="101" t="s">
        <v>260</v>
      </c>
      <c r="E49" s="93" t="s">
        <v>271</v>
      </c>
      <c r="F49" s="93" t="s">
        <v>263</v>
      </c>
      <c r="G49" s="93" t="s">
        <v>42</v>
      </c>
      <c r="H49" s="93" t="s">
        <v>160</v>
      </c>
      <c r="I49" s="93" t="s">
        <v>165</v>
      </c>
      <c r="J49" s="93" t="s">
        <v>38</v>
      </c>
      <c r="K49" s="93" t="s">
        <v>161</v>
      </c>
      <c r="L49" s="93">
        <v>3</v>
      </c>
      <c r="N49" s="93">
        <v>4</v>
      </c>
      <c r="O49" s="93">
        <v>0.5</v>
      </c>
      <c r="P49" s="93">
        <v>0.55000000000000004</v>
      </c>
      <c r="Q49" s="102">
        <f t="shared" si="0"/>
        <v>0.52500000000000002</v>
      </c>
      <c r="R49" s="93">
        <v>15.8</v>
      </c>
      <c r="S49" s="93">
        <v>96</v>
      </c>
      <c r="T49" s="103">
        <f t="shared" si="1"/>
        <v>36</v>
      </c>
      <c r="U49" s="93">
        <v>498</v>
      </c>
      <c r="V49" s="104">
        <f t="shared" si="2"/>
        <v>4482</v>
      </c>
      <c r="W49" s="93">
        <v>26</v>
      </c>
      <c r="X49" s="93" t="s">
        <v>46</v>
      </c>
      <c r="Y49" s="93" t="s">
        <v>55</v>
      </c>
      <c r="Z49" s="93" t="s">
        <v>97</v>
      </c>
      <c r="AA49" s="93" t="s">
        <v>78</v>
      </c>
      <c r="AB49" s="53" t="s">
        <v>158</v>
      </c>
    </row>
    <row r="50" spans="1:28" x14ac:dyDescent="0.15">
      <c r="A50" s="93" t="s">
        <v>51</v>
      </c>
      <c r="B50" s="93" t="s">
        <v>157</v>
      </c>
      <c r="C50" s="93">
        <v>2019</v>
      </c>
      <c r="D50" s="101" t="s">
        <v>260</v>
      </c>
      <c r="E50" s="93" t="s">
        <v>266</v>
      </c>
      <c r="F50" s="93" t="s">
        <v>267</v>
      </c>
      <c r="G50" s="93" t="s">
        <v>42</v>
      </c>
      <c r="H50" s="93" t="s">
        <v>164</v>
      </c>
      <c r="I50" s="93" t="s">
        <v>159</v>
      </c>
      <c r="J50" s="93" t="s">
        <v>38</v>
      </c>
      <c r="K50" s="93" t="s">
        <v>161</v>
      </c>
      <c r="L50" s="93">
        <v>1</v>
      </c>
      <c r="N50" s="93">
        <v>1</v>
      </c>
      <c r="O50" s="93">
        <v>0.7</v>
      </c>
      <c r="P50" s="93">
        <v>0.8</v>
      </c>
      <c r="Q50" s="102">
        <f t="shared" si="0"/>
        <v>0.75</v>
      </c>
      <c r="R50" s="93">
        <v>14.6</v>
      </c>
      <c r="S50" s="93">
        <v>132</v>
      </c>
      <c r="T50" s="103">
        <f t="shared" si="1"/>
        <v>25</v>
      </c>
      <c r="U50" s="93">
        <v>99</v>
      </c>
      <c r="V50" s="104">
        <f t="shared" si="2"/>
        <v>2475</v>
      </c>
      <c r="W50" s="93">
        <v>3</v>
      </c>
      <c r="X50" s="93" t="s">
        <v>39</v>
      </c>
      <c r="Y50" s="93" t="s">
        <v>69</v>
      </c>
      <c r="Z50" s="93" t="s">
        <v>88</v>
      </c>
      <c r="AA50" s="93" t="s">
        <v>97</v>
      </c>
      <c r="AB50" s="53" t="s">
        <v>158</v>
      </c>
    </row>
    <row r="51" spans="1:28" x14ac:dyDescent="0.15">
      <c r="A51" s="93" t="s">
        <v>51</v>
      </c>
      <c r="B51" s="93" t="s">
        <v>157</v>
      </c>
      <c r="C51" s="93">
        <v>2019</v>
      </c>
      <c r="D51" s="101" t="s">
        <v>260</v>
      </c>
      <c r="E51" s="93" t="s">
        <v>266</v>
      </c>
      <c r="F51" s="93" t="s">
        <v>267</v>
      </c>
      <c r="G51" s="93" t="s">
        <v>42</v>
      </c>
      <c r="H51" s="93" t="s">
        <v>164</v>
      </c>
      <c r="I51" s="93" t="s">
        <v>159</v>
      </c>
      <c r="J51" s="93" t="s">
        <v>38</v>
      </c>
      <c r="K51" s="93" t="s">
        <v>161</v>
      </c>
      <c r="L51" s="93">
        <v>2</v>
      </c>
      <c r="N51" s="93">
        <v>1</v>
      </c>
      <c r="O51" s="93">
        <v>0.85</v>
      </c>
      <c r="P51" s="93">
        <v>0.75</v>
      </c>
      <c r="Q51" s="102">
        <f t="shared" si="0"/>
        <v>0.8</v>
      </c>
      <c r="R51" s="93">
        <v>14.8</v>
      </c>
      <c r="S51" s="93">
        <v>134</v>
      </c>
      <c r="T51" s="103">
        <f t="shared" si="1"/>
        <v>25</v>
      </c>
      <c r="U51" s="93">
        <v>99</v>
      </c>
      <c r="V51" s="104">
        <f t="shared" si="2"/>
        <v>2475</v>
      </c>
      <c r="W51" s="93">
        <v>3</v>
      </c>
      <c r="X51" s="93" t="s">
        <v>39</v>
      </c>
      <c r="Y51" s="93" t="s">
        <v>69</v>
      </c>
      <c r="Z51" s="93" t="s">
        <v>88</v>
      </c>
      <c r="AA51" s="93" t="s">
        <v>97</v>
      </c>
      <c r="AB51" s="53" t="s">
        <v>158</v>
      </c>
    </row>
    <row r="52" spans="1:28" x14ac:dyDescent="0.15">
      <c r="A52" s="93" t="s">
        <v>51</v>
      </c>
      <c r="B52" s="93" t="s">
        <v>157</v>
      </c>
      <c r="C52" s="93">
        <v>2019</v>
      </c>
      <c r="D52" s="101" t="s">
        <v>260</v>
      </c>
      <c r="E52" s="93" t="s">
        <v>266</v>
      </c>
      <c r="F52" s="93" t="s">
        <v>267</v>
      </c>
      <c r="G52" s="93" t="s">
        <v>42</v>
      </c>
      <c r="H52" s="93" t="s">
        <v>164</v>
      </c>
      <c r="I52" s="93" t="s">
        <v>159</v>
      </c>
      <c r="J52" s="93" t="s">
        <v>38</v>
      </c>
      <c r="K52" s="93" t="s">
        <v>161</v>
      </c>
      <c r="L52" s="93">
        <v>3</v>
      </c>
      <c r="N52" s="93">
        <v>1</v>
      </c>
      <c r="O52" s="93">
        <v>0.75</v>
      </c>
      <c r="P52" s="93">
        <v>0.7</v>
      </c>
      <c r="Q52" s="102">
        <f t="shared" si="0"/>
        <v>0.72499999999999998</v>
      </c>
      <c r="R52" s="93">
        <v>15.3</v>
      </c>
      <c r="S52" s="93">
        <v>134</v>
      </c>
      <c r="T52" s="103">
        <f t="shared" si="1"/>
        <v>25</v>
      </c>
      <c r="U52" s="93">
        <v>99</v>
      </c>
      <c r="V52" s="104">
        <f t="shared" si="2"/>
        <v>2475</v>
      </c>
      <c r="W52" s="93">
        <v>3</v>
      </c>
      <c r="X52" s="93" t="s">
        <v>39</v>
      </c>
      <c r="Y52" s="93" t="s">
        <v>69</v>
      </c>
      <c r="Z52" s="93" t="s">
        <v>88</v>
      </c>
      <c r="AA52" s="93" t="s">
        <v>97</v>
      </c>
      <c r="AB52" s="53" t="s">
        <v>158</v>
      </c>
    </row>
    <row r="53" spans="1:28" x14ac:dyDescent="0.15">
      <c r="A53" s="93" t="s">
        <v>51</v>
      </c>
      <c r="B53" s="93" t="s">
        <v>157</v>
      </c>
      <c r="C53" s="93">
        <v>2019</v>
      </c>
      <c r="D53" s="101" t="s">
        <v>260</v>
      </c>
      <c r="E53" s="93" t="s">
        <v>266</v>
      </c>
      <c r="F53" s="93" t="s">
        <v>267</v>
      </c>
      <c r="G53" s="93" t="s">
        <v>42</v>
      </c>
      <c r="H53" s="93" t="s">
        <v>160</v>
      </c>
      <c r="I53" s="93" t="s">
        <v>159</v>
      </c>
      <c r="J53" s="93" t="s">
        <v>38</v>
      </c>
      <c r="K53" s="93" t="s">
        <v>161</v>
      </c>
      <c r="L53" s="93">
        <v>1</v>
      </c>
      <c r="N53" s="93">
        <v>1</v>
      </c>
      <c r="O53" s="93">
        <v>0.8</v>
      </c>
      <c r="P53" s="93">
        <v>0.7</v>
      </c>
      <c r="Q53" s="102">
        <f t="shared" si="0"/>
        <v>0.75</v>
      </c>
      <c r="R53" s="93">
        <v>16.2</v>
      </c>
      <c r="S53" s="93">
        <v>134</v>
      </c>
      <c r="T53" s="103">
        <f t="shared" si="1"/>
        <v>25</v>
      </c>
      <c r="U53" s="93">
        <v>99</v>
      </c>
      <c r="V53" s="104">
        <f t="shared" si="2"/>
        <v>2475</v>
      </c>
      <c r="W53" s="93">
        <v>3</v>
      </c>
      <c r="X53" s="93" t="s">
        <v>39</v>
      </c>
      <c r="Y53" s="93" t="s">
        <v>69</v>
      </c>
      <c r="Z53" s="93" t="s">
        <v>88</v>
      </c>
      <c r="AA53" s="93" t="s">
        <v>97</v>
      </c>
      <c r="AB53" s="53" t="s">
        <v>158</v>
      </c>
    </row>
    <row r="54" spans="1:28" x14ac:dyDescent="0.15">
      <c r="A54" s="93" t="s">
        <v>51</v>
      </c>
      <c r="B54" s="93" t="s">
        <v>157</v>
      </c>
      <c r="C54" s="93">
        <v>2019</v>
      </c>
      <c r="D54" s="101" t="s">
        <v>260</v>
      </c>
      <c r="E54" s="93" t="s">
        <v>266</v>
      </c>
      <c r="F54" s="93" t="s">
        <v>267</v>
      </c>
      <c r="G54" s="93" t="s">
        <v>42</v>
      </c>
      <c r="H54" s="93" t="s">
        <v>160</v>
      </c>
      <c r="I54" s="93" t="s">
        <v>159</v>
      </c>
      <c r="J54" s="93" t="s">
        <v>38</v>
      </c>
      <c r="K54" s="93" t="s">
        <v>161</v>
      </c>
      <c r="L54" s="93">
        <v>2</v>
      </c>
      <c r="N54" s="93">
        <v>1</v>
      </c>
      <c r="O54" s="93">
        <v>0.75</v>
      </c>
      <c r="P54" s="93">
        <v>0.8</v>
      </c>
      <c r="Q54" s="102">
        <f t="shared" si="0"/>
        <v>0.77500000000000002</v>
      </c>
      <c r="R54" s="93">
        <v>16</v>
      </c>
      <c r="S54" s="93">
        <v>134</v>
      </c>
      <c r="T54" s="103">
        <f t="shared" si="1"/>
        <v>25</v>
      </c>
      <c r="U54" s="93">
        <v>99</v>
      </c>
      <c r="V54" s="104">
        <f t="shared" si="2"/>
        <v>2475</v>
      </c>
      <c r="W54" s="93">
        <v>3</v>
      </c>
      <c r="X54" s="93" t="s">
        <v>39</v>
      </c>
      <c r="Y54" s="93" t="s">
        <v>69</v>
      </c>
      <c r="Z54" s="93" t="s">
        <v>88</v>
      </c>
      <c r="AA54" s="93" t="s">
        <v>97</v>
      </c>
      <c r="AB54" s="53" t="s">
        <v>158</v>
      </c>
    </row>
    <row r="55" spans="1:28" x14ac:dyDescent="0.15">
      <c r="A55" s="93" t="s">
        <v>51</v>
      </c>
      <c r="B55" s="93" t="s">
        <v>157</v>
      </c>
      <c r="C55" s="93">
        <v>2019</v>
      </c>
      <c r="D55" s="101" t="s">
        <v>260</v>
      </c>
      <c r="E55" s="93" t="s">
        <v>266</v>
      </c>
      <c r="F55" s="93" t="s">
        <v>267</v>
      </c>
      <c r="G55" s="93" t="s">
        <v>42</v>
      </c>
      <c r="H55" s="93" t="s">
        <v>160</v>
      </c>
      <c r="I55" s="93" t="s">
        <v>159</v>
      </c>
      <c r="J55" s="93" t="s">
        <v>38</v>
      </c>
      <c r="K55" s="93" t="s">
        <v>161</v>
      </c>
      <c r="L55" s="93">
        <v>3</v>
      </c>
      <c r="N55" s="93">
        <v>1</v>
      </c>
      <c r="O55" s="93">
        <v>0.7</v>
      </c>
      <c r="P55" s="93">
        <v>0.75</v>
      </c>
      <c r="Q55" s="102">
        <f t="shared" si="0"/>
        <v>0.72499999999999998</v>
      </c>
      <c r="R55" s="93">
        <v>15.8</v>
      </c>
      <c r="S55" s="93">
        <v>132</v>
      </c>
      <c r="T55" s="103">
        <f t="shared" si="1"/>
        <v>25</v>
      </c>
      <c r="U55" s="93">
        <v>99</v>
      </c>
      <c r="V55" s="104">
        <f t="shared" si="2"/>
        <v>2475</v>
      </c>
      <c r="W55" s="93">
        <v>3</v>
      </c>
      <c r="X55" s="93" t="s">
        <v>39</v>
      </c>
      <c r="Y55" s="93" t="s">
        <v>69</v>
      </c>
      <c r="Z55" s="93" t="s">
        <v>88</v>
      </c>
      <c r="AA55" s="93" t="s">
        <v>97</v>
      </c>
      <c r="AB55" s="53" t="s">
        <v>158</v>
      </c>
    </row>
    <row r="56" spans="1:28" x14ac:dyDescent="0.15">
      <c r="A56" s="93" t="s">
        <v>51</v>
      </c>
      <c r="B56" s="93" t="s">
        <v>157</v>
      </c>
      <c r="C56" s="93">
        <v>2019</v>
      </c>
      <c r="D56" s="101" t="s">
        <v>260</v>
      </c>
      <c r="E56" s="93" t="s">
        <v>268</v>
      </c>
      <c r="F56" s="93" t="s">
        <v>262</v>
      </c>
      <c r="G56" s="93" t="s">
        <v>36</v>
      </c>
      <c r="H56" s="93" t="s">
        <v>164</v>
      </c>
      <c r="I56" s="93" t="s">
        <v>159</v>
      </c>
      <c r="J56" s="93" t="s">
        <v>38</v>
      </c>
      <c r="K56" s="93" t="s">
        <v>161</v>
      </c>
      <c r="L56" s="93">
        <v>1</v>
      </c>
      <c r="N56" s="93">
        <v>1</v>
      </c>
      <c r="O56" s="93">
        <v>0.8</v>
      </c>
      <c r="P56" s="93">
        <v>0.75</v>
      </c>
      <c r="Q56" s="102">
        <f t="shared" si="0"/>
        <v>0.77500000000000002</v>
      </c>
      <c r="R56" s="93">
        <v>16</v>
      </c>
      <c r="S56" s="93">
        <v>116</v>
      </c>
      <c r="T56" s="103">
        <f t="shared" si="1"/>
        <v>30</v>
      </c>
      <c r="U56" s="93">
        <v>100</v>
      </c>
      <c r="V56" s="104">
        <f t="shared" si="2"/>
        <v>3000</v>
      </c>
      <c r="W56" s="93">
        <v>6</v>
      </c>
      <c r="X56" s="93" t="s">
        <v>46</v>
      </c>
      <c r="Y56" s="93" t="s">
        <v>69</v>
      </c>
      <c r="Z56" s="93" t="s">
        <v>97</v>
      </c>
      <c r="AA56" s="93" t="s">
        <v>55</v>
      </c>
      <c r="AB56" s="53" t="s">
        <v>158</v>
      </c>
    </row>
    <row r="57" spans="1:28" x14ac:dyDescent="0.15">
      <c r="A57" s="93" t="s">
        <v>51</v>
      </c>
      <c r="B57" s="93" t="s">
        <v>157</v>
      </c>
      <c r="C57" s="93">
        <v>2019</v>
      </c>
      <c r="D57" s="101" t="s">
        <v>260</v>
      </c>
      <c r="E57" s="93" t="s">
        <v>268</v>
      </c>
      <c r="F57" s="93" t="s">
        <v>262</v>
      </c>
      <c r="G57" s="93" t="s">
        <v>36</v>
      </c>
      <c r="H57" s="93" t="s">
        <v>164</v>
      </c>
      <c r="I57" s="93" t="s">
        <v>159</v>
      </c>
      <c r="J57" s="93" t="s">
        <v>38</v>
      </c>
      <c r="K57" s="93" t="s">
        <v>161</v>
      </c>
      <c r="L57" s="93">
        <v>2</v>
      </c>
      <c r="N57" s="93">
        <v>1</v>
      </c>
      <c r="O57" s="93">
        <v>0.85</v>
      </c>
      <c r="P57" s="93">
        <v>0.9</v>
      </c>
      <c r="Q57" s="102">
        <f t="shared" si="0"/>
        <v>0.875</v>
      </c>
      <c r="R57" s="93">
        <v>15.7</v>
      </c>
      <c r="S57" s="93">
        <v>112</v>
      </c>
      <c r="T57" s="103">
        <f t="shared" si="1"/>
        <v>33</v>
      </c>
      <c r="U57" s="93">
        <v>100</v>
      </c>
      <c r="V57" s="104">
        <f t="shared" si="2"/>
        <v>3300</v>
      </c>
      <c r="W57" s="93">
        <v>6</v>
      </c>
      <c r="X57" s="93" t="s">
        <v>46</v>
      </c>
      <c r="Y57" s="93" t="s">
        <v>69</v>
      </c>
      <c r="Z57" s="93" t="s">
        <v>97</v>
      </c>
      <c r="AA57" s="93" t="s">
        <v>55</v>
      </c>
      <c r="AB57" s="53" t="s">
        <v>158</v>
      </c>
    </row>
    <row r="58" spans="1:28" x14ac:dyDescent="0.15">
      <c r="A58" s="93" t="s">
        <v>51</v>
      </c>
      <c r="B58" s="93" t="s">
        <v>157</v>
      </c>
      <c r="C58" s="93">
        <v>2019</v>
      </c>
      <c r="D58" s="101" t="s">
        <v>260</v>
      </c>
      <c r="E58" s="93" t="s">
        <v>268</v>
      </c>
      <c r="F58" s="93" t="s">
        <v>262</v>
      </c>
      <c r="G58" s="93" t="s">
        <v>36</v>
      </c>
      <c r="H58" s="93" t="s">
        <v>164</v>
      </c>
      <c r="I58" s="93" t="s">
        <v>159</v>
      </c>
      <c r="J58" s="93" t="s">
        <v>38</v>
      </c>
      <c r="K58" s="93" t="s">
        <v>161</v>
      </c>
      <c r="L58" s="93">
        <v>3</v>
      </c>
      <c r="N58" s="93">
        <v>1</v>
      </c>
      <c r="O58" s="93">
        <v>0.9</v>
      </c>
      <c r="P58" s="93">
        <v>0.95</v>
      </c>
      <c r="Q58" s="102">
        <f t="shared" si="0"/>
        <v>0.92500000000000004</v>
      </c>
      <c r="R58" s="93">
        <v>15.4</v>
      </c>
      <c r="S58" s="93">
        <v>110</v>
      </c>
      <c r="T58" s="103">
        <f t="shared" si="1"/>
        <v>33</v>
      </c>
      <c r="U58" s="93">
        <v>100</v>
      </c>
      <c r="V58" s="104">
        <f t="shared" si="2"/>
        <v>3300</v>
      </c>
      <c r="W58" s="93">
        <v>6</v>
      </c>
      <c r="X58" s="93" t="s">
        <v>46</v>
      </c>
      <c r="Y58" s="93" t="s">
        <v>69</v>
      </c>
      <c r="Z58" s="93" t="s">
        <v>97</v>
      </c>
      <c r="AA58" s="93" t="s">
        <v>55</v>
      </c>
      <c r="AB58" s="53" t="s">
        <v>158</v>
      </c>
    </row>
    <row r="59" spans="1:28" x14ac:dyDescent="0.15">
      <c r="A59" s="93" t="s">
        <v>51</v>
      </c>
      <c r="B59" s="93" t="s">
        <v>157</v>
      </c>
      <c r="C59" s="93">
        <v>2019</v>
      </c>
      <c r="D59" s="101" t="s">
        <v>260</v>
      </c>
      <c r="E59" s="93" t="s">
        <v>268</v>
      </c>
      <c r="F59" s="93" t="s">
        <v>262</v>
      </c>
      <c r="G59" s="93" t="s">
        <v>36</v>
      </c>
      <c r="H59" s="93" t="s">
        <v>160</v>
      </c>
      <c r="I59" s="93" t="s">
        <v>159</v>
      </c>
      <c r="J59" s="93" t="s">
        <v>38</v>
      </c>
      <c r="K59" s="93" t="s">
        <v>161</v>
      </c>
      <c r="L59" s="93">
        <v>1</v>
      </c>
      <c r="N59" s="93">
        <v>1</v>
      </c>
      <c r="O59" s="93">
        <v>0.9</v>
      </c>
      <c r="P59" s="93">
        <v>0.9</v>
      </c>
      <c r="Q59" s="102">
        <f t="shared" si="0"/>
        <v>0.9</v>
      </c>
      <c r="R59" s="93">
        <v>17.600000000000001</v>
      </c>
      <c r="S59" s="93">
        <v>116</v>
      </c>
      <c r="T59" s="103">
        <f t="shared" si="1"/>
        <v>30</v>
      </c>
      <c r="U59" s="93">
        <v>100</v>
      </c>
      <c r="V59" s="104">
        <f t="shared" si="2"/>
        <v>3000</v>
      </c>
      <c r="W59" s="93">
        <v>6</v>
      </c>
      <c r="X59" s="93" t="s">
        <v>46</v>
      </c>
      <c r="Y59" s="93" t="s">
        <v>69</v>
      </c>
      <c r="Z59" s="93" t="s">
        <v>97</v>
      </c>
      <c r="AA59" s="93" t="s">
        <v>55</v>
      </c>
      <c r="AB59" s="53" t="s">
        <v>158</v>
      </c>
    </row>
    <row r="60" spans="1:28" x14ac:dyDescent="0.15">
      <c r="A60" s="93" t="s">
        <v>51</v>
      </c>
      <c r="B60" s="93" t="s">
        <v>157</v>
      </c>
      <c r="C60" s="93">
        <v>2019</v>
      </c>
      <c r="D60" s="101" t="s">
        <v>260</v>
      </c>
      <c r="E60" s="93" t="s">
        <v>268</v>
      </c>
      <c r="F60" s="93" t="s">
        <v>262</v>
      </c>
      <c r="G60" s="93" t="s">
        <v>36</v>
      </c>
      <c r="H60" s="93" t="s">
        <v>160</v>
      </c>
      <c r="I60" s="93" t="s">
        <v>159</v>
      </c>
      <c r="J60" s="93" t="s">
        <v>38</v>
      </c>
      <c r="K60" s="93" t="s">
        <v>161</v>
      </c>
      <c r="L60" s="93">
        <v>2</v>
      </c>
      <c r="N60" s="93">
        <v>1</v>
      </c>
      <c r="O60" s="93">
        <v>0.85</v>
      </c>
      <c r="P60" s="93">
        <v>0.8</v>
      </c>
      <c r="Q60" s="102">
        <f t="shared" si="0"/>
        <v>0.82499999999999996</v>
      </c>
      <c r="R60" s="93">
        <v>17.8</v>
      </c>
      <c r="S60" s="93">
        <v>116</v>
      </c>
      <c r="T60" s="103">
        <f t="shared" si="1"/>
        <v>30</v>
      </c>
      <c r="U60" s="93">
        <v>100</v>
      </c>
      <c r="V60" s="104">
        <f t="shared" si="2"/>
        <v>3000</v>
      </c>
      <c r="W60" s="93">
        <v>6</v>
      </c>
      <c r="X60" s="93" t="s">
        <v>46</v>
      </c>
      <c r="Y60" s="93" t="s">
        <v>69</v>
      </c>
      <c r="Z60" s="93" t="s">
        <v>97</v>
      </c>
      <c r="AA60" s="93" t="s">
        <v>55</v>
      </c>
      <c r="AB60" s="53" t="s">
        <v>158</v>
      </c>
    </row>
    <row r="61" spans="1:28" x14ac:dyDescent="0.15">
      <c r="A61" s="93" t="s">
        <v>51</v>
      </c>
      <c r="B61" s="93" t="s">
        <v>157</v>
      </c>
      <c r="C61" s="93">
        <v>2019</v>
      </c>
      <c r="D61" s="101" t="s">
        <v>260</v>
      </c>
      <c r="E61" s="93" t="s">
        <v>268</v>
      </c>
      <c r="F61" s="93" t="s">
        <v>262</v>
      </c>
      <c r="G61" s="93" t="s">
        <v>36</v>
      </c>
      <c r="H61" s="93" t="s">
        <v>160</v>
      </c>
      <c r="I61" s="93" t="s">
        <v>159</v>
      </c>
      <c r="J61" s="93" t="s">
        <v>38</v>
      </c>
      <c r="K61" s="93" t="s">
        <v>161</v>
      </c>
      <c r="L61" s="93">
        <v>3</v>
      </c>
      <c r="N61" s="93">
        <v>1</v>
      </c>
      <c r="O61" s="93">
        <v>0.95</v>
      </c>
      <c r="P61" s="93">
        <v>0.9</v>
      </c>
      <c r="Q61" s="102">
        <f t="shared" si="0"/>
        <v>0.92500000000000004</v>
      </c>
      <c r="R61" s="93">
        <v>16.899999999999999</v>
      </c>
      <c r="S61" s="93">
        <v>118</v>
      </c>
      <c r="T61" s="103">
        <f t="shared" si="1"/>
        <v>30</v>
      </c>
      <c r="U61" s="93">
        <v>100</v>
      </c>
      <c r="V61" s="104">
        <f t="shared" si="2"/>
        <v>3000</v>
      </c>
      <c r="W61" s="93">
        <v>6</v>
      </c>
      <c r="X61" s="93" t="s">
        <v>46</v>
      </c>
      <c r="Y61" s="93" t="s">
        <v>69</v>
      </c>
      <c r="Z61" s="93" t="s">
        <v>97</v>
      </c>
      <c r="AA61" s="93" t="s">
        <v>55</v>
      </c>
      <c r="AB61" s="53" t="s">
        <v>158</v>
      </c>
    </row>
    <row r="62" spans="1:28" x14ac:dyDescent="0.15">
      <c r="A62" s="93" t="s">
        <v>51</v>
      </c>
      <c r="B62" s="93" t="s">
        <v>157</v>
      </c>
      <c r="C62" s="93">
        <v>2019</v>
      </c>
      <c r="D62" s="101" t="s">
        <v>260</v>
      </c>
      <c r="E62" s="93" t="s">
        <v>272</v>
      </c>
      <c r="F62" s="93" t="s">
        <v>273</v>
      </c>
      <c r="G62" s="93" t="s">
        <v>36</v>
      </c>
      <c r="H62" s="93" t="s">
        <v>164</v>
      </c>
      <c r="I62" s="93" t="s">
        <v>159</v>
      </c>
      <c r="J62" s="93" t="s">
        <v>38</v>
      </c>
      <c r="K62" s="93" t="s">
        <v>161</v>
      </c>
      <c r="L62" s="93">
        <v>1</v>
      </c>
      <c r="N62" s="93">
        <v>1</v>
      </c>
      <c r="O62" s="93">
        <v>0.75</v>
      </c>
      <c r="P62" s="93">
        <v>0.8</v>
      </c>
      <c r="Q62" s="102">
        <f t="shared" si="0"/>
        <v>0.77500000000000002</v>
      </c>
      <c r="R62" s="93">
        <v>17.3</v>
      </c>
      <c r="S62" s="93">
        <v>150</v>
      </c>
      <c r="T62" s="103">
        <f t="shared" si="1"/>
        <v>22</v>
      </c>
      <c r="U62" s="93">
        <v>98</v>
      </c>
      <c r="V62" s="104">
        <f t="shared" si="2"/>
        <v>2156</v>
      </c>
      <c r="W62" s="93">
        <v>12</v>
      </c>
      <c r="X62" s="93" t="s">
        <v>46</v>
      </c>
      <c r="Y62" s="93" t="s">
        <v>97</v>
      </c>
      <c r="Z62" s="93" t="s">
        <v>69</v>
      </c>
      <c r="AA62" s="93" t="s">
        <v>55</v>
      </c>
      <c r="AB62" s="53" t="s">
        <v>158</v>
      </c>
    </row>
    <row r="63" spans="1:28" x14ac:dyDescent="0.15">
      <c r="A63" s="93" t="s">
        <v>51</v>
      </c>
      <c r="B63" s="93" t="s">
        <v>157</v>
      </c>
      <c r="C63" s="93">
        <v>2019</v>
      </c>
      <c r="D63" s="101" t="s">
        <v>260</v>
      </c>
      <c r="E63" s="93" t="s">
        <v>272</v>
      </c>
      <c r="F63" s="93" t="s">
        <v>273</v>
      </c>
      <c r="G63" s="93" t="s">
        <v>36</v>
      </c>
      <c r="H63" s="93" t="s">
        <v>164</v>
      </c>
      <c r="I63" s="93" t="s">
        <v>159</v>
      </c>
      <c r="J63" s="93" t="s">
        <v>38</v>
      </c>
      <c r="K63" s="93" t="s">
        <v>161</v>
      </c>
      <c r="L63" s="93">
        <v>2</v>
      </c>
      <c r="N63" s="93">
        <v>1</v>
      </c>
      <c r="O63" s="93">
        <v>0.8</v>
      </c>
      <c r="P63" s="93">
        <v>0.95</v>
      </c>
      <c r="Q63" s="102">
        <f t="shared" si="0"/>
        <v>0.875</v>
      </c>
      <c r="R63" s="93">
        <v>16.899999999999999</v>
      </c>
      <c r="S63" s="93">
        <v>136</v>
      </c>
      <c r="T63" s="103">
        <f t="shared" si="1"/>
        <v>25</v>
      </c>
      <c r="U63" s="93">
        <v>98</v>
      </c>
      <c r="V63" s="104">
        <f t="shared" si="2"/>
        <v>2450</v>
      </c>
      <c r="W63" s="93">
        <v>12</v>
      </c>
      <c r="X63" s="93" t="s">
        <v>46</v>
      </c>
      <c r="Y63" s="93" t="s">
        <v>97</v>
      </c>
      <c r="Z63" s="93" t="s">
        <v>69</v>
      </c>
      <c r="AA63" s="93" t="s">
        <v>55</v>
      </c>
      <c r="AB63" s="53" t="s">
        <v>158</v>
      </c>
    </row>
    <row r="64" spans="1:28" x14ac:dyDescent="0.15">
      <c r="A64" s="93" t="s">
        <v>51</v>
      </c>
      <c r="B64" s="93" t="s">
        <v>157</v>
      </c>
      <c r="C64" s="93">
        <v>2019</v>
      </c>
      <c r="D64" s="101" t="s">
        <v>260</v>
      </c>
      <c r="E64" s="93" t="s">
        <v>272</v>
      </c>
      <c r="F64" s="93" t="s">
        <v>273</v>
      </c>
      <c r="G64" s="93" t="s">
        <v>36</v>
      </c>
      <c r="H64" s="93" t="s">
        <v>164</v>
      </c>
      <c r="I64" s="93" t="s">
        <v>159</v>
      </c>
      <c r="J64" s="93" t="s">
        <v>38</v>
      </c>
      <c r="K64" s="93" t="s">
        <v>161</v>
      </c>
      <c r="L64" s="93">
        <v>3</v>
      </c>
      <c r="N64" s="93">
        <v>1</v>
      </c>
      <c r="O64" s="93">
        <v>0.85</v>
      </c>
      <c r="P64" s="93">
        <v>0.8</v>
      </c>
      <c r="Q64" s="102">
        <f t="shared" si="0"/>
        <v>0.82499999999999996</v>
      </c>
      <c r="R64" s="93">
        <v>16.7</v>
      </c>
      <c r="S64" s="93">
        <v>146</v>
      </c>
      <c r="T64" s="103">
        <f t="shared" si="1"/>
        <v>22</v>
      </c>
      <c r="U64" s="93">
        <v>98</v>
      </c>
      <c r="V64" s="104">
        <f t="shared" si="2"/>
        <v>2156</v>
      </c>
      <c r="W64" s="93">
        <v>12</v>
      </c>
      <c r="X64" s="93" t="s">
        <v>46</v>
      </c>
      <c r="Y64" s="93" t="s">
        <v>97</v>
      </c>
      <c r="Z64" s="93" t="s">
        <v>69</v>
      </c>
      <c r="AA64" s="93" t="s">
        <v>55</v>
      </c>
      <c r="AB64" s="53" t="s">
        <v>158</v>
      </c>
    </row>
    <row r="65" spans="1:28" x14ac:dyDescent="0.15">
      <c r="A65" s="93" t="s">
        <v>51</v>
      </c>
      <c r="B65" s="93" t="s">
        <v>157</v>
      </c>
      <c r="C65" s="93">
        <v>2019</v>
      </c>
      <c r="D65" s="101" t="s">
        <v>260</v>
      </c>
      <c r="E65" s="93" t="s">
        <v>272</v>
      </c>
      <c r="F65" s="93" t="s">
        <v>273</v>
      </c>
      <c r="G65" s="93" t="s">
        <v>36</v>
      </c>
      <c r="H65" s="93" t="s">
        <v>160</v>
      </c>
      <c r="I65" s="93" t="s">
        <v>159</v>
      </c>
      <c r="J65" s="93" t="s">
        <v>38</v>
      </c>
      <c r="K65" s="93" t="s">
        <v>161</v>
      </c>
      <c r="L65" s="93">
        <v>1</v>
      </c>
      <c r="N65" s="93">
        <v>1</v>
      </c>
      <c r="O65" s="93">
        <v>0.75</v>
      </c>
      <c r="P65" s="93">
        <v>0.8</v>
      </c>
      <c r="Q65" s="103">
        <f t="shared" si="0"/>
        <v>0.77500000000000002</v>
      </c>
      <c r="R65" s="93">
        <v>17.399999999999999</v>
      </c>
      <c r="S65" s="93">
        <v>134</v>
      </c>
      <c r="T65" s="103">
        <f t="shared" si="1"/>
        <v>25</v>
      </c>
      <c r="U65" s="93">
        <v>98</v>
      </c>
      <c r="V65" s="103">
        <f t="shared" si="2"/>
        <v>2450</v>
      </c>
      <c r="W65" s="93">
        <v>12</v>
      </c>
      <c r="X65" s="93" t="s">
        <v>46</v>
      </c>
      <c r="Y65" s="93" t="s">
        <v>97</v>
      </c>
      <c r="Z65" s="93" t="s">
        <v>69</v>
      </c>
      <c r="AA65" s="93" t="s">
        <v>55</v>
      </c>
      <c r="AB65" s="53" t="s">
        <v>158</v>
      </c>
    </row>
    <row r="66" spans="1:28" x14ac:dyDescent="0.15">
      <c r="A66" s="93" t="s">
        <v>51</v>
      </c>
      <c r="B66" s="93" t="s">
        <v>157</v>
      </c>
      <c r="C66" s="93">
        <v>2019</v>
      </c>
      <c r="D66" s="101" t="s">
        <v>260</v>
      </c>
      <c r="E66" s="93" t="s">
        <v>272</v>
      </c>
      <c r="F66" s="93" t="s">
        <v>273</v>
      </c>
      <c r="G66" s="93" t="s">
        <v>36</v>
      </c>
      <c r="H66" s="93" t="s">
        <v>160</v>
      </c>
      <c r="I66" s="93" t="s">
        <v>159</v>
      </c>
      <c r="J66" s="93" t="s">
        <v>38</v>
      </c>
      <c r="K66" s="93" t="s">
        <v>161</v>
      </c>
      <c r="L66" s="93">
        <v>2</v>
      </c>
      <c r="N66" s="93">
        <v>1</v>
      </c>
      <c r="O66" s="93">
        <v>0.75</v>
      </c>
      <c r="P66" s="93">
        <v>0.75</v>
      </c>
      <c r="Q66" s="103">
        <f t="shared" ref="Q66:Q85" si="3">IF(OR(O66="",P66=""),"",AVERAGE(O66,P66))</f>
        <v>0.75</v>
      </c>
      <c r="R66" s="93">
        <v>16.3</v>
      </c>
      <c r="S66" s="93">
        <v>128</v>
      </c>
      <c r="T66" s="103">
        <f t="shared" ref="T66:T85" si="4">IF(H66="","",IF(OR(H66="GREEN",H66="GK"),IF(S66&gt;=$AX$2,VLOOKUP(S66,$AX$2:$AY$12,2,1),""),IF(S66&gt;=$AZ$2,VLOOKUP(S66,$AZ$2:$BA$12,2,1),"")))</f>
        <v>27</v>
      </c>
      <c r="U66" s="93">
        <v>98</v>
      </c>
      <c r="V66" s="103">
        <f t="shared" ref="V66:V85" si="5">IF(OR(N66="",U66="",T66=""),"",U66/N66*T66)</f>
        <v>2646</v>
      </c>
      <c r="W66" s="93">
        <v>12</v>
      </c>
      <c r="X66" s="93" t="s">
        <v>46</v>
      </c>
      <c r="Y66" s="93" t="s">
        <v>97</v>
      </c>
      <c r="Z66" s="93" t="s">
        <v>69</v>
      </c>
      <c r="AA66" s="93" t="s">
        <v>55</v>
      </c>
      <c r="AB66" s="53" t="s">
        <v>158</v>
      </c>
    </row>
    <row r="67" spans="1:28" x14ac:dyDescent="0.15">
      <c r="A67" s="93" t="s">
        <v>51</v>
      </c>
      <c r="B67" s="93" t="s">
        <v>157</v>
      </c>
      <c r="C67" s="93">
        <v>2019</v>
      </c>
      <c r="D67" s="101" t="s">
        <v>260</v>
      </c>
      <c r="E67" s="93" t="s">
        <v>272</v>
      </c>
      <c r="F67" s="93" t="s">
        <v>273</v>
      </c>
      <c r="G67" s="93" t="s">
        <v>36</v>
      </c>
      <c r="H67" s="93" t="s">
        <v>160</v>
      </c>
      <c r="I67" s="93" t="s">
        <v>159</v>
      </c>
      <c r="J67" s="93" t="s">
        <v>38</v>
      </c>
      <c r="K67" s="93" t="s">
        <v>161</v>
      </c>
      <c r="L67" s="93">
        <v>3</v>
      </c>
      <c r="N67" s="93">
        <v>1</v>
      </c>
      <c r="O67" s="93">
        <v>0.7</v>
      </c>
      <c r="P67" s="93">
        <v>0.8</v>
      </c>
      <c r="Q67" s="103">
        <f t="shared" si="3"/>
        <v>0.75</v>
      </c>
      <c r="R67" s="93">
        <v>17.2</v>
      </c>
      <c r="S67" s="93">
        <v>132</v>
      </c>
      <c r="T67" s="103">
        <f t="shared" si="4"/>
        <v>25</v>
      </c>
      <c r="U67" s="93">
        <v>98</v>
      </c>
      <c r="V67" s="103">
        <f t="shared" si="5"/>
        <v>2450</v>
      </c>
      <c r="W67" s="93">
        <v>12</v>
      </c>
      <c r="X67" s="93" t="s">
        <v>46</v>
      </c>
      <c r="Y67" s="93" t="s">
        <v>97</v>
      </c>
      <c r="Z67" s="93" t="s">
        <v>69</v>
      </c>
      <c r="AA67" s="93" t="s">
        <v>55</v>
      </c>
      <c r="AB67" s="53" t="s">
        <v>158</v>
      </c>
    </row>
    <row r="68" spans="1:28" x14ac:dyDescent="0.15">
      <c r="A68" s="93" t="s">
        <v>51</v>
      </c>
      <c r="B68" s="93" t="s">
        <v>157</v>
      </c>
      <c r="C68" s="93">
        <v>2019</v>
      </c>
      <c r="D68" s="101" t="s">
        <v>260</v>
      </c>
      <c r="E68" s="93" t="s">
        <v>274</v>
      </c>
      <c r="F68" s="93" t="s">
        <v>262</v>
      </c>
      <c r="G68" s="93" t="s">
        <v>42</v>
      </c>
      <c r="H68" s="93" t="s">
        <v>164</v>
      </c>
      <c r="I68" s="93" t="s">
        <v>159</v>
      </c>
      <c r="J68" s="93" t="s">
        <v>38</v>
      </c>
      <c r="K68" s="93" t="s">
        <v>161</v>
      </c>
      <c r="L68" s="93">
        <v>1</v>
      </c>
      <c r="N68" s="93">
        <v>1</v>
      </c>
      <c r="O68" s="93">
        <v>1.05</v>
      </c>
      <c r="P68" s="93">
        <v>0.95</v>
      </c>
      <c r="Q68" s="103">
        <f t="shared" si="3"/>
        <v>1</v>
      </c>
      <c r="R68" s="93">
        <v>15.8</v>
      </c>
      <c r="S68" s="93">
        <v>116</v>
      </c>
      <c r="T68" s="103">
        <f t="shared" si="4"/>
        <v>30</v>
      </c>
      <c r="U68" s="93">
        <v>58</v>
      </c>
      <c r="V68" s="103">
        <f t="shared" si="5"/>
        <v>1740</v>
      </c>
      <c r="W68" s="93">
        <v>8</v>
      </c>
      <c r="X68" s="93" t="s">
        <v>46</v>
      </c>
      <c r="Y68" s="93" t="s">
        <v>55</v>
      </c>
      <c r="Z68" s="93" t="s">
        <v>69</v>
      </c>
      <c r="AA68" s="93" t="s">
        <v>97</v>
      </c>
      <c r="AB68" s="53" t="s">
        <v>158</v>
      </c>
    </row>
    <row r="69" spans="1:28" x14ac:dyDescent="0.15">
      <c r="A69" s="93" t="s">
        <v>51</v>
      </c>
      <c r="B69" s="93" t="s">
        <v>157</v>
      </c>
      <c r="C69" s="93">
        <v>2019</v>
      </c>
      <c r="D69" s="101" t="s">
        <v>260</v>
      </c>
      <c r="E69" s="93" t="s">
        <v>274</v>
      </c>
      <c r="F69" s="93" t="s">
        <v>262</v>
      </c>
      <c r="G69" s="93" t="s">
        <v>42</v>
      </c>
      <c r="H69" s="93" t="s">
        <v>164</v>
      </c>
      <c r="I69" s="93" t="s">
        <v>159</v>
      </c>
      <c r="J69" s="93" t="s">
        <v>38</v>
      </c>
      <c r="K69" s="93" t="s">
        <v>161</v>
      </c>
      <c r="L69" s="93">
        <v>2</v>
      </c>
      <c r="N69" s="93">
        <v>1</v>
      </c>
      <c r="O69" s="93">
        <v>0.95</v>
      </c>
      <c r="P69" s="93">
        <v>0.9</v>
      </c>
      <c r="Q69" s="103">
        <f t="shared" si="3"/>
        <v>0.92500000000000004</v>
      </c>
      <c r="R69" s="93">
        <v>16.2</v>
      </c>
      <c r="S69" s="93">
        <v>114</v>
      </c>
      <c r="T69" s="103">
        <f t="shared" si="4"/>
        <v>30</v>
      </c>
      <c r="U69" s="93">
        <v>58</v>
      </c>
      <c r="V69" s="103">
        <f t="shared" si="5"/>
        <v>1740</v>
      </c>
      <c r="W69" s="93">
        <v>8</v>
      </c>
      <c r="X69" s="93" t="s">
        <v>46</v>
      </c>
      <c r="Y69" s="93" t="s">
        <v>55</v>
      </c>
      <c r="Z69" s="93" t="s">
        <v>69</v>
      </c>
      <c r="AA69" s="93" t="s">
        <v>97</v>
      </c>
      <c r="AB69" s="53" t="s">
        <v>158</v>
      </c>
    </row>
    <row r="70" spans="1:28" x14ac:dyDescent="0.15">
      <c r="A70" s="93" t="s">
        <v>51</v>
      </c>
      <c r="B70" s="93" t="s">
        <v>157</v>
      </c>
      <c r="C70" s="93">
        <v>2019</v>
      </c>
      <c r="D70" s="101" t="s">
        <v>260</v>
      </c>
      <c r="E70" s="93" t="s">
        <v>274</v>
      </c>
      <c r="F70" s="93" t="s">
        <v>262</v>
      </c>
      <c r="G70" s="93" t="s">
        <v>42</v>
      </c>
      <c r="H70" s="93" t="s">
        <v>164</v>
      </c>
      <c r="I70" s="93" t="s">
        <v>159</v>
      </c>
      <c r="J70" s="93" t="s">
        <v>38</v>
      </c>
      <c r="K70" s="93" t="s">
        <v>161</v>
      </c>
      <c r="L70" s="93">
        <v>3</v>
      </c>
      <c r="N70" s="93">
        <v>1</v>
      </c>
      <c r="O70" s="93">
        <v>1</v>
      </c>
      <c r="P70" s="93">
        <v>0.9</v>
      </c>
      <c r="Q70" s="103">
        <f t="shared" si="3"/>
        <v>0.95</v>
      </c>
      <c r="R70" s="93">
        <v>15.5</v>
      </c>
      <c r="S70" s="93">
        <v>108</v>
      </c>
      <c r="T70" s="103">
        <f t="shared" si="4"/>
        <v>33</v>
      </c>
      <c r="U70" s="93">
        <v>58</v>
      </c>
      <c r="V70" s="103">
        <f t="shared" si="5"/>
        <v>1914</v>
      </c>
      <c r="W70" s="93">
        <v>8</v>
      </c>
      <c r="X70" s="93" t="s">
        <v>46</v>
      </c>
      <c r="Y70" s="93" t="s">
        <v>55</v>
      </c>
      <c r="Z70" s="93" t="s">
        <v>69</v>
      </c>
      <c r="AA70" s="93" t="s">
        <v>97</v>
      </c>
      <c r="AB70" s="53" t="s">
        <v>158</v>
      </c>
    </row>
    <row r="71" spans="1:28" x14ac:dyDescent="0.15">
      <c r="A71" s="93" t="s">
        <v>51</v>
      </c>
      <c r="B71" s="93" t="s">
        <v>157</v>
      </c>
      <c r="C71" s="93">
        <v>2019</v>
      </c>
      <c r="D71" s="101" t="s">
        <v>260</v>
      </c>
      <c r="E71" s="93" t="s">
        <v>274</v>
      </c>
      <c r="F71" s="93" t="s">
        <v>262</v>
      </c>
      <c r="G71" s="93" t="s">
        <v>42</v>
      </c>
      <c r="H71" s="93" t="s">
        <v>199</v>
      </c>
      <c r="I71" s="93" t="s">
        <v>159</v>
      </c>
      <c r="J71" s="93" t="s">
        <v>38</v>
      </c>
      <c r="K71" s="93" t="s">
        <v>161</v>
      </c>
      <c r="L71" s="93">
        <v>1</v>
      </c>
      <c r="N71" s="93">
        <v>5</v>
      </c>
      <c r="O71" s="93">
        <v>0.55000000000000004</v>
      </c>
      <c r="P71" s="93">
        <v>0.5</v>
      </c>
      <c r="Q71" s="103">
        <f t="shared" si="3"/>
        <v>0.52500000000000002</v>
      </c>
      <c r="R71" s="93">
        <v>17.3</v>
      </c>
      <c r="S71" s="93">
        <v>78</v>
      </c>
      <c r="T71" s="103">
        <f t="shared" si="4"/>
        <v>39</v>
      </c>
      <c r="U71" s="93">
        <v>398</v>
      </c>
      <c r="V71" s="103">
        <f t="shared" si="5"/>
        <v>3104.3999999999996</v>
      </c>
      <c r="W71" s="93">
        <v>8</v>
      </c>
      <c r="X71" s="93" t="s">
        <v>46</v>
      </c>
      <c r="Y71" s="93" t="s">
        <v>55</v>
      </c>
      <c r="Z71" s="93" t="s">
        <v>69</v>
      </c>
      <c r="AA71" s="93" t="s">
        <v>97</v>
      </c>
      <c r="AB71" s="53" t="s">
        <v>158</v>
      </c>
    </row>
    <row r="72" spans="1:28" x14ac:dyDescent="0.15">
      <c r="A72" s="93" t="s">
        <v>51</v>
      </c>
      <c r="B72" s="93" t="s">
        <v>157</v>
      </c>
      <c r="C72" s="93">
        <v>2019</v>
      </c>
      <c r="D72" s="101" t="s">
        <v>260</v>
      </c>
      <c r="E72" s="93" t="s">
        <v>274</v>
      </c>
      <c r="F72" s="93" t="s">
        <v>262</v>
      </c>
      <c r="G72" s="93" t="s">
        <v>42</v>
      </c>
      <c r="H72" s="93" t="s">
        <v>199</v>
      </c>
      <c r="I72" s="93" t="s">
        <v>159</v>
      </c>
      <c r="J72" s="93" t="s">
        <v>38</v>
      </c>
      <c r="K72" s="93" t="s">
        <v>161</v>
      </c>
      <c r="L72" s="93">
        <v>2</v>
      </c>
      <c r="N72" s="93">
        <v>5</v>
      </c>
      <c r="O72" s="93">
        <v>0.5</v>
      </c>
      <c r="P72" s="93">
        <v>0.5</v>
      </c>
      <c r="Q72" s="103">
        <f t="shared" si="3"/>
        <v>0.5</v>
      </c>
      <c r="R72" s="93">
        <v>16.7</v>
      </c>
      <c r="S72" s="93">
        <v>74</v>
      </c>
      <c r="T72" s="103">
        <f t="shared" si="4"/>
        <v>42</v>
      </c>
      <c r="U72" s="93">
        <v>398</v>
      </c>
      <c r="V72" s="103">
        <f t="shared" si="5"/>
        <v>3343.2</v>
      </c>
      <c r="W72" s="93">
        <v>8</v>
      </c>
      <c r="X72" s="93" t="s">
        <v>46</v>
      </c>
      <c r="Y72" s="93" t="s">
        <v>55</v>
      </c>
      <c r="Z72" s="93" t="s">
        <v>69</v>
      </c>
      <c r="AA72" s="93" t="s">
        <v>97</v>
      </c>
      <c r="AB72" s="53" t="s">
        <v>158</v>
      </c>
    </row>
    <row r="73" spans="1:28" x14ac:dyDescent="0.15">
      <c r="A73" s="93" t="s">
        <v>51</v>
      </c>
      <c r="B73" s="93" t="s">
        <v>157</v>
      </c>
      <c r="C73" s="93">
        <v>2019</v>
      </c>
      <c r="D73" s="101" t="s">
        <v>260</v>
      </c>
      <c r="E73" s="93" t="s">
        <v>274</v>
      </c>
      <c r="F73" s="93" t="s">
        <v>262</v>
      </c>
      <c r="G73" s="93" t="s">
        <v>42</v>
      </c>
      <c r="H73" s="93" t="s">
        <v>199</v>
      </c>
      <c r="I73" s="93" t="s">
        <v>159</v>
      </c>
      <c r="J73" s="93" t="s">
        <v>38</v>
      </c>
      <c r="K73" s="93" t="s">
        <v>161</v>
      </c>
      <c r="L73" s="93">
        <v>3</v>
      </c>
      <c r="N73" s="93">
        <v>5</v>
      </c>
      <c r="O73" s="93">
        <v>0.25</v>
      </c>
      <c r="P73" s="93">
        <v>0.25</v>
      </c>
      <c r="Q73" s="103">
        <f t="shared" si="3"/>
        <v>0.25</v>
      </c>
      <c r="R73" s="93">
        <v>17.100000000000001</v>
      </c>
      <c r="S73" s="93">
        <v>83</v>
      </c>
      <c r="T73" s="103">
        <f t="shared" si="4"/>
        <v>39</v>
      </c>
      <c r="U73" s="93">
        <v>398</v>
      </c>
      <c r="V73" s="103">
        <f t="shared" si="5"/>
        <v>3104.3999999999996</v>
      </c>
      <c r="W73" s="93">
        <v>8</v>
      </c>
      <c r="X73" s="93" t="s">
        <v>46</v>
      </c>
      <c r="Y73" s="93" t="s">
        <v>55</v>
      </c>
      <c r="Z73" s="93" t="s">
        <v>69</v>
      </c>
      <c r="AA73" s="93" t="s">
        <v>97</v>
      </c>
      <c r="AB73" s="53" t="s">
        <v>158</v>
      </c>
    </row>
    <row r="74" spans="1:28" x14ac:dyDescent="0.15">
      <c r="A74" s="93" t="s">
        <v>51</v>
      </c>
      <c r="B74" s="93" t="s">
        <v>157</v>
      </c>
      <c r="C74" s="93">
        <v>2019</v>
      </c>
      <c r="D74" s="101" t="s">
        <v>260</v>
      </c>
      <c r="E74" s="93" t="s">
        <v>274</v>
      </c>
      <c r="F74" s="93" t="s">
        <v>262</v>
      </c>
      <c r="G74" s="93" t="s">
        <v>42</v>
      </c>
      <c r="H74" s="93" t="s">
        <v>160</v>
      </c>
      <c r="I74" s="93" t="s">
        <v>159</v>
      </c>
      <c r="J74" s="93" t="s">
        <v>38</v>
      </c>
      <c r="K74" s="93" t="s">
        <v>161</v>
      </c>
      <c r="L74" s="93">
        <v>1</v>
      </c>
      <c r="N74" s="93">
        <v>1</v>
      </c>
      <c r="O74" s="93">
        <v>0.75</v>
      </c>
      <c r="P74" s="93">
        <v>0.85</v>
      </c>
      <c r="Q74" s="103">
        <f t="shared" si="3"/>
        <v>0.8</v>
      </c>
      <c r="R74" s="93">
        <v>18.899999999999999</v>
      </c>
      <c r="S74" s="93">
        <v>138</v>
      </c>
      <c r="T74" s="103">
        <f t="shared" si="4"/>
        <v>22</v>
      </c>
      <c r="U74" s="93">
        <v>98</v>
      </c>
      <c r="V74" s="103">
        <f t="shared" si="5"/>
        <v>2156</v>
      </c>
      <c r="W74" s="93">
        <v>8</v>
      </c>
      <c r="X74" s="93" t="s">
        <v>46</v>
      </c>
      <c r="Y74" s="93" t="s">
        <v>55</v>
      </c>
      <c r="Z74" s="93" t="s">
        <v>69</v>
      </c>
      <c r="AA74" s="93" t="s">
        <v>97</v>
      </c>
      <c r="AB74" s="53" t="s">
        <v>158</v>
      </c>
    </row>
    <row r="75" spans="1:28" x14ac:dyDescent="0.15">
      <c r="A75" s="93" t="s">
        <v>51</v>
      </c>
      <c r="B75" s="93" t="s">
        <v>157</v>
      </c>
      <c r="C75" s="93">
        <v>2019</v>
      </c>
      <c r="D75" s="101" t="s">
        <v>260</v>
      </c>
      <c r="E75" s="93" t="s">
        <v>274</v>
      </c>
      <c r="F75" s="93" t="s">
        <v>262</v>
      </c>
      <c r="G75" s="93" t="s">
        <v>42</v>
      </c>
      <c r="H75" s="93" t="s">
        <v>160</v>
      </c>
      <c r="I75" s="93" t="s">
        <v>159</v>
      </c>
      <c r="J75" s="93" t="s">
        <v>38</v>
      </c>
      <c r="K75" s="93" t="s">
        <v>161</v>
      </c>
      <c r="L75" s="93">
        <v>2</v>
      </c>
      <c r="N75" s="93">
        <v>1</v>
      </c>
      <c r="O75" s="93">
        <v>0.8</v>
      </c>
      <c r="P75" s="93">
        <v>0.8</v>
      </c>
      <c r="Q75" s="103">
        <f t="shared" si="3"/>
        <v>0.8</v>
      </c>
      <c r="R75" s="93">
        <v>18.600000000000001</v>
      </c>
      <c r="S75" s="93">
        <v>136</v>
      </c>
      <c r="T75" s="103">
        <f t="shared" si="4"/>
        <v>25</v>
      </c>
      <c r="U75" s="93">
        <v>98</v>
      </c>
      <c r="V75" s="103">
        <f t="shared" si="5"/>
        <v>2450</v>
      </c>
      <c r="W75" s="93">
        <v>8</v>
      </c>
      <c r="X75" s="93" t="s">
        <v>46</v>
      </c>
      <c r="Y75" s="93" t="s">
        <v>55</v>
      </c>
      <c r="Z75" s="93" t="s">
        <v>69</v>
      </c>
      <c r="AA75" s="93" t="s">
        <v>97</v>
      </c>
      <c r="AB75" s="53" t="s">
        <v>158</v>
      </c>
    </row>
    <row r="76" spans="1:28" x14ac:dyDescent="0.15">
      <c r="A76" s="93" t="s">
        <v>51</v>
      </c>
      <c r="B76" s="93" t="s">
        <v>157</v>
      </c>
      <c r="C76" s="93">
        <v>2019</v>
      </c>
      <c r="D76" s="101" t="s">
        <v>260</v>
      </c>
      <c r="E76" s="93" t="s">
        <v>274</v>
      </c>
      <c r="F76" s="93" t="s">
        <v>262</v>
      </c>
      <c r="G76" s="93" t="s">
        <v>42</v>
      </c>
      <c r="H76" s="93" t="s">
        <v>160</v>
      </c>
      <c r="I76" s="93" t="s">
        <v>159</v>
      </c>
      <c r="J76" s="93" t="s">
        <v>38</v>
      </c>
      <c r="K76" s="93" t="s">
        <v>161</v>
      </c>
      <c r="L76" s="93">
        <v>3</v>
      </c>
      <c r="N76" s="93">
        <v>1</v>
      </c>
      <c r="O76" s="93">
        <v>0.75</v>
      </c>
      <c r="P76" s="93">
        <v>0.85</v>
      </c>
      <c r="Q76" s="103">
        <f t="shared" si="3"/>
        <v>0.8</v>
      </c>
      <c r="R76" s="93">
        <v>19.899999999999999</v>
      </c>
      <c r="S76" s="93">
        <v>132</v>
      </c>
      <c r="T76" s="103">
        <f t="shared" si="4"/>
        <v>25</v>
      </c>
      <c r="U76" s="93">
        <v>98</v>
      </c>
      <c r="V76" s="103">
        <f t="shared" si="5"/>
        <v>2450</v>
      </c>
      <c r="W76" s="93">
        <v>8</v>
      </c>
      <c r="X76" s="93" t="s">
        <v>46</v>
      </c>
      <c r="Y76" s="93" t="s">
        <v>55</v>
      </c>
      <c r="Z76" s="93" t="s">
        <v>69</v>
      </c>
      <c r="AA76" s="93" t="s">
        <v>97</v>
      </c>
      <c r="AB76" s="53" t="s">
        <v>158</v>
      </c>
    </row>
    <row r="77" spans="1:28" x14ac:dyDescent="0.15">
      <c r="D77" s="101"/>
      <c r="Q77" s="103" t="str">
        <f t="shared" si="3"/>
        <v/>
      </c>
      <c r="T77" s="103" t="str">
        <f t="shared" si="4"/>
        <v/>
      </c>
      <c r="V77" s="103" t="str">
        <f t="shared" si="5"/>
        <v/>
      </c>
    </row>
    <row r="78" spans="1:28" x14ac:dyDescent="0.15">
      <c r="D78" s="101"/>
      <c r="Q78" s="103" t="str">
        <f t="shared" si="3"/>
        <v/>
      </c>
      <c r="T78" s="103" t="str">
        <f t="shared" si="4"/>
        <v/>
      </c>
      <c r="V78" s="103" t="str">
        <f t="shared" si="5"/>
        <v/>
      </c>
    </row>
    <row r="79" spans="1:28" x14ac:dyDescent="0.15">
      <c r="D79" s="101"/>
      <c r="Q79" s="103" t="str">
        <f t="shared" si="3"/>
        <v/>
      </c>
      <c r="T79" s="103" t="str">
        <f t="shared" si="4"/>
        <v/>
      </c>
      <c r="V79" s="103" t="str">
        <f t="shared" si="5"/>
        <v/>
      </c>
    </row>
    <row r="80" spans="1:28"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B48E7726-793A-4F18-BC24-C0390E28EC2B}">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6890D8A7-5A76-461A-BC87-926649C25FF7}">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BE8A9564-4995-4761-A43D-709EFF751B59}">
      <formula1>$AT$2:$AT$3</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A12FEC4E-BCB1-409F-B57C-B99BDDC88E81}">
      <formula1>$AL$4:$AL$12</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12BE4164-72CA-4F85-8CE3-E72AFB55855B}">
      <formula1>$AN$5:$AN$6</formula1>
    </dataValidation>
    <dataValidation type="list" allowBlank="1" showInputMessage="1" showErrorMessage="1" sqref="Y2:AA500" xr:uid="{5CEDE770-56AA-46CA-93FF-DDF74E715426}">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E50B8D6C-2392-444C-A8E8-7724139CFAC3}">
      <formula1>$AP$2:$AP$27</formula1>
    </dataValidation>
    <dataValidation type="list" allowBlank="1" showInputMessage="1" showErrorMessage="1" sqref="H2:H500" xr:uid="{3584634F-E04E-474A-9532-B6F7C590437E}">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18D47BF8-7AD5-4A9D-B5A6-DDFEA33797F2}">
      <formula1>$AH$2:$AH$11</formula1>
    </dataValidation>
    <dataValidation type="list" allowBlank="1" showInputMessage="1" showErrorMessage="1" sqref="K2:K89" xr:uid="{3BAB6009-57C9-4515-B239-5ACB43B3C9D2}">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7280E6F4-233B-4CFC-8BBF-55CB60239979}">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3C40A0D9-FF34-4B00-9E67-56F1DB8D499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7F09260E-F367-4661-99A8-41246C7D7F43}">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95CDE023-0D2B-4AC7-9BC8-63A3538D19BD}">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8ECB3E74-9368-4BB5-ACFA-0C719B8B8D66}">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3350D-316F-4B70-990B-ABB4B6CFF4DE}">
  <sheetPr>
    <pageSetUpPr fitToPage="1"/>
  </sheetPr>
  <dimension ref="A1:BA117"/>
  <sheetViews>
    <sheetView topLeftCell="A22" zoomScale="80" zoomScaleNormal="80" workbookViewId="0">
      <selection activeCell="H86" sqref="H86"/>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279</v>
      </c>
      <c r="B1" s="55" t="s">
        <v>1</v>
      </c>
      <c r="C1" s="55" t="s">
        <v>2</v>
      </c>
      <c r="D1" s="56" t="s">
        <v>3</v>
      </c>
      <c r="E1" s="56" t="s">
        <v>280</v>
      </c>
      <c r="F1" s="56" t="s">
        <v>5</v>
      </c>
      <c r="G1" s="56" t="s">
        <v>6</v>
      </c>
      <c r="H1" s="56" t="s">
        <v>281</v>
      </c>
      <c r="I1" s="56" t="s">
        <v>8</v>
      </c>
      <c r="J1" s="56" t="s">
        <v>9</v>
      </c>
      <c r="K1" s="56" t="s">
        <v>10</v>
      </c>
      <c r="L1" s="56" t="s">
        <v>11</v>
      </c>
      <c r="M1" s="56" t="s">
        <v>12</v>
      </c>
      <c r="N1" s="56" t="s">
        <v>13</v>
      </c>
      <c r="O1" s="56" t="s">
        <v>14</v>
      </c>
      <c r="P1" s="56" t="s">
        <v>15</v>
      </c>
      <c r="Q1" s="3" t="s">
        <v>16</v>
      </c>
      <c r="R1" s="56" t="s">
        <v>17</v>
      </c>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232</v>
      </c>
      <c r="C2" s="127">
        <v>2019</v>
      </c>
      <c r="D2" s="128" t="s">
        <v>313</v>
      </c>
      <c r="E2" s="127" t="s">
        <v>282</v>
      </c>
      <c r="F2" s="127" t="s">
        <v>283</v>
      </c>
      <c r="G2" s="127" t="s">
        <v>42</v>
      </c>
      <c r="H2" s="53" t="s">
        <v>164</v>
      </c>
      <c r="I2" s="53" t="s">
        <v>159</v>
      </c>
      <c r="J2" s="127" t="s">
        <v>38</v>
      </c>
      <c r="K2" s="53" t="s">
        <v>161</v>
      </c>
      <c r="L2" s="53">
        <v>1</v>
      </c>
      <c r="M2" s="53"/>
      <c r="N2" s="53">
        <v>4</v>
      </c>
      <c r="O2" s="53">
        <v>0.75</v>
      </c>
      <c r="P2" s="53">
        <v>0.7</v>
      </c>
      <c r="Q2" s="74">
        <f t="shared" ref="Q2:Q65" si="0">IF(OR(O2="",P2=""),"",AVERAGE(O2,P2))</f>
        <v>0.72499999999999998</v>
      </c>
      <c r="R2" s="53">
        <v>16.2</v>
      </c>
      <c r="S2" s="53">
        <v>96</v>
      </c>
      <c r="T2" s="16">
        <f t="shared" ref="T2:T65" si="1">IF(H2="","",IF(OR(H2="GREEN",H2="GK"),IF(S2&gt;=$AX$2,VLOOKUP(S2,$AX$2:$AY$15,2,1),""),IF(S2&gt;=$AZ$2,VLOOKUP(S2,$AZ$2:$BA$15,2,1),"")))</f>
        <v>36</v>
      </c>
      <c r="U2" s="53">
        <v>350</v>
      </c>
      <c r="V2" s="129">
        <f t="shared" ref="V2:V65" si="2">IF(OR(N2="",U2="",T2=""),"",U2/N2*T2)</f>
        <v>3150</v>
      </c>
      <c r="W2" s="53">
        <v>4</v>
      </c>
      <c r="X2" s="127" t="s">
        <v>39</v>
      </c>
      <c r="Y2" s="53" t="s">
        <v>97</v>
      </c>
      <c r="Z2" s="53" t="s">
        <v>55</v>
      </c>
      <c r="AA2" s="53" t="s">
        <v>47</v>
      </c>
      <c r="AB2" s="127" t="s">
        <v>284</v>
      </c>
      <c r="AC2" s="34"/>
      <c r="AE2" s="64" t="s">
        <v>35</v>
      </c>
      <c r="AG2" s="49" t="s">
        <v>282</v>
      </c>
      <c r="AH2" s="49" t="s">
        <v>283</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232</v>
      </c>
      <c r="C3" s="127">
        <v>2019</v>
      </c>
      <c r="D3" s="128" t="s">
        <v>313</v>
      </c>
      <c r="E3" s="127" t="s">
        <v>282</v>
      </c>
      <c r="F3" s="127" t="s">
        <v>283</v>
      </c>
      <c r="G3" s="127" t="s">
        <v>42</v>
      </c>
      <c r="H3" s="53" t="s">
        <v>164</v>
      </c>
      <c r="I3" s="53" t="s">
        <v>159</v>
      </c>
      <c r="J3" s="127" t="s">
        <v>38</v>
      </c>
      <c r="K3" s="53" t="s">
        <v>161</v>
      </c>
      <c r="L3" s="53">
        <v>2</v>
      </c>
      <c r="N3" s="53">
        <v>4</v>
      </c>
      <c r="O3" s="53">
        <v>0.9</v>
      </c>
      <c r="P3" s="53">
        <v>1</v>
      </c>
      <c r="Q3" s="74">
        <f t="shared" si="0"/>
        <v>0.95</v>
      </c>
      <c r="R3" s="53">
        <v>14.5</v>
      </c>
      <c r="S3" s="53">
        <v>96</v>
      </c>
      <c r="T3" s="16">
        <f t="shared" si="1"/>
        <v>36</v>
      </c>
      <c r="U3" s="53">
        <v>350</v>
      </c>
      <c r="V3" s="129">
        <f t="shared" si="2"/>
        <v>3150</v>
      </c>
      <c r="W3" s="53">
        <v>4</v>
      </c>
      <c r="X3" s="127" t="s">
        <v>39</v>
      </c>
      <c r="Y3" s="53" t="s">
        <v>97</v>
      </c>
      <c r="Z3" s="53" t="s">
        <v>55</v>
      </c>
      <c r="AA3" s="53" t="s">
        <v>47</v>
      </c>
      <c r="AB3" s="127" t="s">
        <v>284</v>
      </c>
      <c r="AC3" s="34"/>
      <c r="AE3" s="22" t="s">
        <v>41</v>
      </c>
      <c r="AG3" s="49" t="s">
        <v>285</v>
      </c>
      <c r="AH3" s="49" t="s">
        <v>286</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232</v>
      </c>
      <c r="C4" s="127">
        <v>2019</v>
      </c>
      <c r="D4" s="128" t="s">
        <v>313</v>
      </c>
      <c r="E4" s="127" t="s">
        <v>282</v>
      </c>
      <c r="F4" s="127" t="s">
        <v>283</v>
      </c>
      <c r="G4" s="127" t="s">
        <v>42</v>
      </c>
      <c r="H4" s="53" t="s">
        <v>164</v>
      </c>
      <c r="I4" s="53" t="s">
        <v>159</v>
      </c>
      <c r="J4" s="127" t="s">
        <v>38</v>
      </c>
      <c r="K4" s="53" t="s">
        <v>161</v>
      </c>
      <c r="L4" s="53">
        <v>3</v>
      </c>
      <c r="N4" s="53">
        <v>4</v>
      </c>
      <c r="O4" s="53">
        <v>0.75</v>
      </c>
      <c r="P4" s="53">
        <v>0.85</v>
      </c>
      <c r="Q4" s="74">
        <f t="shared" si="0"/>
        <v>0.8</v>
      </c>
      <c r="R4" s="53">
        <v>11.3</v>
      </c>
      <c r="S4" s="53">
        <v>102</v>
      </c>
      <c r="T4" s="16">
        <f t="shared" si="1"/>
        <v>33</v>
      </c>
      <c r="U4" s="53">
        <v>350</v>
      </c>
      <c r="V4" s="129">
        <f t="shared" si="2"/>
        <v>2887.5</v>
      </c>
      <c r="W4" s="53">
        <v>4</v>
      </c>
      <c r="X4" s="127" t="s">
        <v>39</v>
      </c>
      <c r="Y4" s="53" t="s">
        <v>97</v>
      </c>
      <c r="Z4" s="53" t="s">
        <v>55</v>
      </c>
      <c r="AA4" s="53" t="s">
        <v>47</v>
      </c>
      <c r="AB4" s="127" t="s">
        <v>284</v>
      </c>
      <c r="AC4" s="34"/>
      <c r="AE4" s="22" t="s">
        <v>34</v>
      </c>
      <c r="AG4" s="49" t="s">
        <v>287</v>
      </c>
      <c r="AH4" s="49" t="s">
        <v>288</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232</v>
      </c>
      <c r="C5" s="127">
        <v>2019</v>
      </c>
      <c r="D5" s="128" t="s">
        <v>313</v>
      </c>
      <c r="E5" s="127" t="s">
        <v>282</v>
      </c>
      <c r="F5" s="127" t="s">
        <v>283</v>
      </c>
      <c r="G5" s="127" t="s">
        <v>42</v>
      </c>
      <c r="H5" s="53" t="s">
        <v>160</v>
      </c>
      <c r="I5" s="53" t="s">
        <v>159</v>
      </c>
      <c r="J5" s="127" t="s">
        <v>38</v>
      </c>
      <c r="K5" s="53" t="s">
        <v>161</v>
      </c>
      <c r="L5" s="53">
        <v>1</v>
      </c>
      <c r="N5" s="53">
        <v>1</v>
      </c>
      <c r="O5" s="53">
        <v>0.5</v>
      </c>
      <c r="P5" s="53">
        <v>0.5</v>
      </c>
      <c r="Q5" s="74">
        <f t="shared" si="0"/>
        <v>0.5</v>
      </c>
      <c r="R5" s="53">
        <v>17.899999999999999</v>
      </c>
      <c r="S5" s="53">
        <v>132</v>
      </c>
      <c r="T5" s="16">
        <f t="shared" si="1"/>
        <v>25</v>
      </c>
      <c r="U5" s="53">
        <v>118</v>
      </c>
      <c r="V5" s="129">
        <f t="shared" si="2"/>
        <v>2950</v>
      </c>
      <c r="W5" s="53">
        <v>4</v>
      </c>
      <c r="X5" s="127" t="s">
        <v>39</v>
      </c>
      <c r="Y5" s="53" t="s">
        <v>97</v>
      </c>
      <c r="Z5" s="53" t="s">
        <v>55</v>
      </c>
      <c r="AA5" s="53" t="s">
        <v>47</v>
      </c>
      <c r="AB5" s="127" t="s">
        <v>284</v>
      </c>
      <c r="AC5" s="34"/>
      <c r="AE5" s="22" t="s">
        <v>51</v>
      </c>
      <c r="AG5" s="49" t="s">
        <v>289</v>
      </c>
      <c r="AH5" s="49" t="s">
        <v>290</v>
      </c>
      <c r="AJ5" s="27"/>
      <c r="AL5" s="72" t="s">
        <v>66</v>
      </c>
      <c r="AN5" s="72" t="s">
        <v>52</v>
      </c>
      <c r="AP5" s="23" t="s">
        <v>119</v>
      </c>
      <c r="AR5" s="23" t="s">
        <v>54</v>
      </c>
      <c r="AV5" s="23" t="s">
        <v>55</v>
      </c>
      <c r="AX5" s="24">
        <v>84</v>
      </c>
      <c r="AY5" s="25">
        <v>39</v>
      </c>
      <c r="AZ5" s="25">
        <v>84</v>
      </c>
      <c r="BA5" s="26">
        <v>36</v>
      </c>
    </row>
    <row r="6" spans="1:53" x14ac:dyDescent="0.15">
      <c r="A6" s="127" t="s">
        <v>61</v>
      </c>
      <c r="B6" s="127" t="s">
        <v>232</v>
      </c>
      <c r="C6" s="127">
        <v>2019</v>
      </c>
      <c r="D6" s="128" t="s">
        <v>313</v>
      </c>
      <c r="E6" s="127" t="s">
        <v>282</v>
      </c>
      <c r="F6" s="127" t="s">
        <v>283</v>
      </c>
      <c r="G6" s="127" t="s">
        <v>42</v>
      </c>
      <c r="H6" s="53" t="s">
        <v>160</v>
      </c>
      <c r="I6" s="53" t="s">
        <v>159</v>
      </c>
      <c r="J6" s="127" t="s">
        <v>38</v>
      </c>
      <c r="K6" s="53" t="s">
        <v>161</v>
      </c>
      <c r="L6" s="53">
        <v>2</v>
      </c>
      <c r="N6" s="53">
        <v>1</v>
      </c>
      <c r="O6" s="53">
        <v>0.5</v>
      </c>
      <c r="P6" s="53">
        <v>0.7</v>
      </c>
      <c r="Q6" s="74">
        <f t="shared" si="0"/>
        <v>0.6</v>
      </c>
      <c r="R6" s="53">
        <v>17.899999999999999</v>
      </c>
      <c r="S6" s="53">
        <v>132</v>
      </c>
      <c r="T6" s="16">
        <f t="shared" si="1"/>
        <v>25</v>
      </c>
      <c r="U6" s="53">
        <v>118</v>
      </c>
      <c r="V6" s="129">
        <f t="shared" si="2"/>
        <v>2950</v>
      </c>
      <c r="W6" s="53">
        <v>4</v>
      </c>
      <c r="X6" s="127" t="s">
        <v>39</v>
      </c>
      <c r="Y6" s="53" t="s">
        <v>97</v>
      </c>
      <c r="Z6" s="53" t="s">
        <v>55</v>
      </c>
      <c r="AA6" s="53" t="s">
        <v>47</v>
      </c>
      <c r="AB6" s="127" t="s">
        <v>284</v>
      </c>
      <c r="AC6" s="34"/>
      <c r="AE6" s="22" t="s">
        <v>56</v>
      </c>
      <c r="AG6" s="49" t="s">
        <v>291</v>
      </c>
      <c r="AH6" s="49" t="s">
        <v>292</v>
      </c>
      <c r="AJ6" s="27"/>
      <c r="AL6" s="72" t="s">
        <v>99</v>
      </c>
      <c r="AN6" s="72" t="s">
        <v>57</v>
      </c>
      <c r="AP6" s="23" t="s">
        <v>53</v>
      </c>
      <c r="AR6" s="23" t="s">
        <v>59</v>
      </c>
      <c r="AV6" s="23" t="s">
        <v>60</v>
      </c>
      <c r="AX6" s="24">
        <v>97</v>
      </c>
      <c r="AY6" s="25">
        <v>36</v>
      </c>
      <c r="AZ6" s="25">
        <v>99</v>
      </c>
      <c r="BA6" s="26">
        <v>33</v>
      </c>
    </row>
    <row r="7" spans="1:53" x14ac:dyDescent="0.15">
      <c r="A7" s="127" t="s">
        <v>61</v>
      </c>
      <c r="B7" s="127" t="s">
        <v>232</v>
      </c>
      <c r="C7" s="127">
        <v>2019</v>
      </c>
      <c r="D7" s="128" t="s">
        <v>313</v>
      </c>
      <c r="E7" s="127" t="s">
        <v>282</v>
      </c>
      <c r="F7" s="127" t="s">
        <v>283</v>
      </c>
      <c r="G7" s="127" t="s">
        <v>42</v>
      </c>
      <c r="H7" s="53" t="s">
        <v>160</v>
      </c>
      <c r="I7" s="53" t="s">
        <v>159</v>
      </c>
      <c r="J7" s="127" t="s">
        <v>38</v>
      </c>
      <c r="K7" s="53" t="s">
        <v>161</v>
      </c>
      <c r="L7" s="53">
        <v>3</v>
      </c>
      <c r="N7" s="53">
        <v>1</v>
      </c>
      <c r="O7" s="53">
        <v>0.5</v>
      </c>
      <c r="P7" s="53">
        <v>0.65</v>
      </c>
      <c r="Q7" s="74">
        <f t="shared" si="0"/>
        <v>0.57499999999999996</v>
      </c>
      <c r="R7" s="53">
        <v>17.399999999999999</v>
      </c>
      <c r="S7" s="53">
        <v>134</v>
      </c>
      <c r="T7" s="16">
        <f t="shared" si="1"/>
        <v>25</v>
      </c>
      <c r="U7" s="53">
        <v>118</v>
      </c>
      <c r="V7" s="129">
        <f t="shared" si="2"/>
        <v>2950</v>
      </c>
      <c r="W7" s="53">
        <v>4</v>
      </c>
      <c r="X7" s="127" t="s">
        <v>39</v>
      </c>
      <c r="Y7" s="53" t="s">
        <v>97</v>
      </c>
      <c r="Z7" s="53" t="s">
        <v>55</v>
      </c>
      <c r="AA7" s="53" t="s">
        <v>47</v>
      </c>
      <c r="AB7" s="127" t="s">
        <v>284</v>
      </c>
      <c r="AC7" s="34"/>
      <c r="AE7" s="22" t="s">
        <v>61</v>
      </c>
      <c r="AG7" s="49" t="s">
        <v>293</v>
      </c>
      <c r="AH7" s="49" t="s">
        <v>294</v>
      </c>
      <c r="AJ7" s="27"/>
      <c r="AL7" s="34" t="s">
        <v>109</v>
      </c>
      <c r="AN7" s="72"/>
      <c r="AP7" s="23" t="s">
        <v>58</v>
      </c>
      <c r="AR7" s="23" t="s">
        <v>122</v>
      </c>
      <c r="AV7" s="23" t="s">
        <v>64</v>
      </c>
      <c r="AX7" s="24">
        <v>109</v>
      </c>
      <c r="AY7" s="25">
        <v>33</v>
      </c>
      <c r="AZ7" s="25">
        <v>113</v>
      </c>
      <c r="BA7" s="26">
        <v>30</v>
      </c>
    </row>
    <row r="8" spans="1:53" x14ac:dyDescent="0.15">
      <c r="A8" s="127" t="s">
        <v>61</v>
      </c>
      <c r="B8" s="127" t="s">
        <v>232</v>
      </c>
      <c r="C8" s="127">
        <v>2019</v>
      </c>
      <c r="D8" s="128" t="s">
        <v>313</v>
      </c>
      <c r="E8" s="127" t="s">
        <v>285</v>
      </c>
      <c r="F8" s="127" t="s">
        <v>286</v>
      </c>
      <c r="G8" s="127" t="s">
        <v>42</v>
      </c>
      <c r="H8" s="53" t="s">
        <v>164</v>
      </c>
      <c r="I8" s="53" t="s">
        <v>159</v>
      </c>
      <c r="J8" s="127" t="s">
        <v>38</v>
      </c>
      <c r="K8" s="53" t="s">
        <v>161</v>
      </c>
      <c r="L8" s="53">
        <v>1</v>
      </c>
      <c r="N8" s="53">
        <v>4</v>
      </c>
      <c r="O8" s="53">
        <v>1.25</v>
      </c>
      <c r="P8" s="53">
        <v>1.75</v>
      </c>
      <c r="Q8" s="74">
        <f t="shared" si="0"/>
        <v>1.5</v>
      </c>
      <c r="R8" s="53">
        <v>17.3</v>
      </c>
      <c r="S8" s="53">
        <v>103</v>
      </c>
      <c r="T8" s="16">
        <f t="shared" si="1"/>
        <v>33</v>
      </c>
      <c r="U8" s="53">
        <v>398</v>
      </c>
      <c r="V8" s="129">
        <f t="shared" si="2"/>
        <v>3283.5</v>
      </c>
      <c r="W8" s="53">
        <v>12</v>
      </c>
      <c r="X8" s="127" t="s">
        <v>46</v>
      </c>
      <c r="Y8" s="53" t="s">
        <v>97</v>
      </c>
      <c r="Z8" s="53" t="s">
        <v>47</v>
      </c>
      <c r="AA8" s="53" t="s">
        <v>55</v>
      </c>
      <c r="AB8" s="127" t="s">
        <v>284</v>
      </c>
      <c r="AC8" s="34"/>
      <c r="AE8" s="22" t="s">
        <v>59</v>
      </c>
      <c r="AG8" s="49" t="s">
        <v>295</v>
      </c>
      <c r="AH8" s="49" t="s">
        <v>296</v>
      </c>
      <c r="AJ8" s="28"/>
      <c r="AL8" s="34" t="s">
        <v>134</v>
      </c>
      <c r="AN8" s="72"/>
      <c r="AP8" s="23" t="s">
        <v>62</v>
      </c>
      <c r="AR8" s="23" t="s">
        <v>81</v>
      </c>
      <c r="AV8" s="23" t="s">
        <v>97</v>
      </c>
      <c r="AX8" s="24">
        <v>119</v>
      </c>
      <c r="AY8" s="25">
        <v>30</v>
      </c>
      <c r="AZ8" s="25">
        <v>121</v>
      </c>
      <c r="BA8" s="26">
        <v>27</v>
      </c>
    </row>
    <row r="9" spans="1:53" x14ac:dyDescent="0.15">
      <c r="A9" s="127" t="s">
        <v>61</v>
      </c>
      <c r="B9" s="127" t="s">
        <v>232</v>
      </c>
      <c r="C9" s="127">
        <v>2019</v>
      </c>
      <c r="D9" s="128" t="s">
        <v>313</v>
      </c>
      <c r="E9" s="127" t="s">
        <v>285</v>
      </c>
      <c r="F9" s="127" t="s">
        <v>286</v>
      </c>
      <c r="G9" s="127" t="s">
        <v>42</v>
      </c>
      <c r="H9" s="53" t="s">
        <v>164</v>
      </c>
      <c r="I9" s="53" t="s">
        <v>159</v>
      </c>
      <c r="J9" s="127" t="s">
        <v>38</v>
      </c>
      <c r="K9" s="53" t="s">
        <v>161</v>
      </c>
      <c r="L9" s="53">
        <v>2</v>
      </c>
      <c r="N9" s="53">
        <v>4</v>
      </c>
      <c r="O9" s="53">
        <v>1.2</v>
      </c>
      <c r="P9" s="53">
        <v>1.25</v>
      </c>
      <c r="Q9" s="74">
        <f t="shared" si="0"/>
        <v>1.2250000000000001</v>
      </c>
      <c r="R9" s="34">
        <v>17.3</v>
      </c>
      <c r="S9" s="53">
        <v>91</v>
      </c>
      <c r="T9" s="16">
        <f t="shared" si="1"/>
        <v>36</v>
      </c>
      <c r="U9" s="53">
        <v>398</v>
      </c>
      <c r="V9" s="129">
        <f t="shared" si="2"/>
        <v>3582</v>
      </c>
      <c r="W9" s="53">
        <v>12</v>
      </c>
      <c r="X9" s="127" t="s">
        <v>46</v>
      </c>
      <c r="Y9" s="53" t="s">
        <v>97</v>
      </c>
      <c r="Z9" s="53" t="s">
        <v>47</v>
      </c>
      <c r="AA9" s="53" t="s">
        <v>55</v>
      </c>
      <c r="AB9" s="127" t="s">
        <v>284</v>
      </c>
      <c r="AC9" s="34"/>
      <c r="AE9" s="22" t="s">
        <v>98</v>
      </c>
      <c r="AG9" s="49" t="s">
        <v>133</v>
      </c>
      <c r="AH9" s="49" t="s">
        <v>297</v>
      </c>
      <c r="AL9" s="72"/>
      <c r="AN9" s="72"/>
      <c r="AP9" s="23" t="s">
        <v>95</v>
      </c>
      <c r="AR9" s="23" t="s">
        <v>89</v>
      </c>
      <c r="AV9" s="23" t="s">
        <v>102</v>
      </c>
      <c r="AX9" s="24">
        <v>128</v>
      </c>
      <c r="AY9" s="25">
        <v>27</v>
      </c>
      <c r="AZ9" s="25">
        <v>129</v>
      </c>
      <c r="BA9" s="26">
        <v>25</v>
      </c>
    </row>
    <row r="10" spans="1:53" x14ac:dyDescent="0.15">
      <c r="A10" s="127" t="s">
        <v>61</v>
      </c>
      <c r="B10" s="127" t="s">
        <v>232</v>
      </c>
      <c r="C10" s="127">
        <v>2019</v>
      </c>
      <c r="D10" s="128" t="s">
        <v>313</v>
      </c>
      <c r="E10" s="127" t="s">
        <v>285</v>
      </c>
      <c r="F10" s="127" t="s">
        <v>286</v>
      </c>
      <c r="G10" s="127" t="s">
        <v>42</v>
      </c>
      <c r="H10" s="53" t="s">
        <v>164</v>
      </c>
      <c r="I10" s="53" t="s">
        <v>159</v>
      </c>
      <c r="J10" s="127" t="s">
        <v>38</v>
      </c>
      <c r="K10" s="53" t="s">
        <v>161</v>
      </c>
      <c r="L10" s="53">
        <v>3</v>
      </c>
      <c r="N10" s="53">
        <v>4</v>
      </c>
      <c r="O10" s="53">
        <v>1.25</v>
      </c>
      <c r="P10" s="53">
        <v>1.25</v>
      </c>
      <c r="Q10" s="74">
        <f t="shared" si="0"/>
        <v>1.25</v>
      </c>
      <c r="R10" s="53">
        <v>16.899999999999999</v>
      </c>
      <c r="S10" s="53">
        <v>91</v>
      </c>
      <c r="T10" s="16">
        <f t="shared" si="1"/>
        <v>36</v>
      </c>
      <c r="U10" s="53">
        <v>398</v>
      </c>
      <c r="V10" s="129">
        <f t="shared" si="2"/>
        <v>3582</v>
      </c>
      <c r="W10" s="53">
        <v>12</v>
      </c>
      <c r="X10" s="127" t="s">
        <v>46</v>
      </c>
      <c r="Y10" s="53" t="s">
        <v>97</v>
      </c>
      <c r="Z10" s="53" t="s">
        <v>47</v>
      </c>
      <c r="AA10" s="53" t="s">
        <v>55</v>
      </c>
      <c r="AB10" s="127" t="s">
        <v>284</v>
      </c>
      <c r="AC10" s="34"/>
      <c r="AE10" s="22" t="s">
        <v>103</v>
      </c>
      <c r="AG10" s="49" t="s">
        <v>298</v>
      </c>
      <c r="AH10" s="49" t="s">
        <v>299</v>
      </c>
      <c r="AL10" s="27"/>
      <c r="AP10" s="23" t="s">
        <v>100</v>
      </c>
      <c r="AR10" s="23" t="s">
        <v>123</v>
      </c>
      <c r="AV10" s="23" t="s">
        <v>106</v>
      </c>
      <c r="AX10" s="24">
        <v>138</v>
      </c>
      <c r="AY10" s="25">
        <v>25</v>
      </c>
      <c r="AZ10" s="25">
        <v>138</v>
      </c>
      <c r="BA10" s="26">
        <v>22</v>
      </c>
    </row>
    <row r="11" spans="1:53" x14ac:dyDescent="0.15">
      <c r="A11" s="127" t="s">
        <v>61</v>
      </c>
      <c r="B11" s="127" t="s">
        <v>232</v>
      </c>
      <c r="C11" s="127">
        <v>2019</v>
      </c>
      <c r="D11" s="128" t="s">
        <v>313</v>
      </c>
      <c r="E11" s="127" t="s">
        <v>285</v>
      </c>
      <c r="F11" s="127" t="s">
        <v>286</v>
      </c>
      <c r="G11" s="127" t="s">
        <v>42</v>
      </c>
      <c r="H11" s="53" t="s">
        <v>160</v>
      </c>
      <c r="I11" s="53" t="s">
        <v>159</v>
      </c>
      <c r="J11" s="127" t="s">
        <v>38</v>
      </c>
      <c r="K11" s="53" t="s">
        <v>161</v>
      </c>
      <c r="L11" s="53">
        <v>1</v>
      </c>
      <c r="N11" s="53">
        <v>4</v>
      </c>
      <c r="O11" s="53">
        <v>0.5</v>
      </c>
      <c r="P11" s="53">
        <v>0.5</v>
      </c>
      <c r="Q11" s="74">
        <f t="shared" si="0"/>
        <v>0.5</v>
      </c>
      <c r="R11" s="53">
        <v>19.3</v>
      </c>
      <c r="S11" s="53">
        <v>111</v>
      </c>
      <c r="T11" s="16">
        <f t="shared" si="1"/>
        <v>33</v>
      </c>
      <c r="U11" s="53">
        <v>498</v>
      </c>
      <c r="V11" s="129">
        <f t="shared" si="2"/>
        <v>4108.5</v>
      </c>
      <c r="W11" s="53">
        <v>12</v>
      </c>
      <c r="X11" s="127" t="s">
        <v>46</v>
      </c>
      <c r="Y11" s="53" t="s">
        <v>97</v>
      </c>
      <c r="Z11" s="53" t="s">
        <v>47</v>
      </c>
      <c r="AA11" s="53" t="s">
        <v>55</v>
      </c>
      <c r="AB11" s="127" t="s">
        <v>284</v>
      </c>
      <c r="AC11" s="34"/>
      <c r="AE11" s="22" t="s">
        <v>65</v>
      </c>
      <c r="AG11" s="49" t="s">
        <v>300</v>
      </c>
      <c r="AH11" s="49" t="s">
        <v>299</v>
      </c>
      <c r="AL11" s="134"/>
      <c r="AP11" s="23" t="s">
        <v>104</v>
      </c>
      <c r="AR11" s="23" t="s">
        <v>87</v>
      </c>
      <c r="AV11" s="135" t="s">
        <v>301</v>
      </c>
      <c r="AX11" s="24">
        <v>151</v>
      </c>
      <c r="AY11" s="25">
        <v>22</v>
      </c>
      <c r="AZ11" s="25">
        <v>152</v>
      </c>
      <c r="BA11" s="26">
        <v>18</v>
      </c>
    </row>
    <row r="12" spans="1:53" x14ac:dyDescent="0.15">
      <c r="A12" s="127" t="s">
        <v>61</v>
      </c>
      <c r="B12" s="127" t="s">
        <v>232</v>
      </c>
      <c r="C12" s="127">
        <v>2019</v>
      </c>
      <c r="D12" s="128" t="s">
        <v>313</v>
      </c>
      <c r="E12" s="127" t="s">
        <v>285</v>
      </c>
      <c r="F12" s="127" t="s">
        <v>286</v>
      </c>
      <c r="G12" s="127" t="s">
        <v>42</v>
      </c>
      <c r="H12" s="53" t="s">
        <v>160</v>
      </c>
      <c r="I12" s="53" t="s">
        <v>159</v>
      </c>
      <c r="J12" s="127" t="s">
        <v>38</v>
      </c>
      <c r="K12" s="53" t="s">
        <v>161</v>
      </c>
      <c r="L12" s="53">
        <v>2</v>
      </c>
      <c r="N12" s="53">
        <v>4</v>
      </c>
      <c r="O12" s="53">
        <v>0.5</v>
      </c>
      <c r="P12" s="53">
        <v>0.5</v>
      </c>
      <c r="Q12" s="74">
        <f t="shared" si="0"/>
        <v>0.5</v>
      </c>
      <c r="R12" s="34">
        <v>18.899999999999999</v>
      </c>
      <c r="S12" s="53">
        <v>104</v>
      </c>
      <c r="T12" s="16">
        <f t="shared" si="1"/>
        <v>33</v>
      </c>
      <c r="U12" s="53">
        <v>498</v>
      </c>
      <c r="V12" s="129">
        <f t="shared" si="2"/>
        <v>4108.5</v>
      </c>
      <c r="W12" s="53">
        <v>12</v>
      </c>
      <c r="X12" s="127" t="s">
        <v>46</v>
      </c>
      <c r="Y12" s="53" t="s">
        <v>97</v>
      </c>
      <c r="Z12" s="53" t="s">
        <v>47</v>
      </c>
      <c r="AA12" s="53" t="s">
        <v>55</v>
      </c>
      <c r="AB12" s="127" t="s">
        <v>284</v>
      </c>
      <c r="AC12" s="34"/>
      <c r="AE12" s="22" t="s">
        <v>70</v>
      </c>
      <c r="AG12" s="23"/>
      <c r="AH12" s="22"/>
      <c r="AL12" s="134"/>
      <c r="AP12" s="23" t="s">
        <v>67</v>
      </c>
      <c r="AR12" s="23" t="s">
        <v>124</v>
      </c>
      <c r="AV12" s="135" t="s">
        <v>302</v>
      </c>
      <c r="AX12" s="24">
        <v>180</v>
      </c>
      <c r="AY12" s="25">
        <v>18</v>
      </c>
      <c r="AZ12" s="25">
        <v>181</v>
      </c>
      <c r="BA12" s="26">
        <v>16</v>
      </c>
    </row>
    <row r="13" spans="1:53" x14ac:dyDescent="0.15">
      <c r="A13" s="127" t="s">
        <v>61</v>
      </c>
      <c r="B13" s="127" t="s">
        <v>232</v>
      </c>
      <c r="C13" s="127">
        <v>2019</v>
      </c>
      <c r="D13" s="128" t="s">
        <v>313</v>
      </c>
      <c r="E13" s="127" t="s">
        <v>285</v>
      </c>
      <c r="F13" s="127" t="s">
        <v>286</v>
      </c>
      <c r="G13" s="127" t="s">
        <v>42</v>
      </c>
      <c r="H13" s="53" t="s">
        <v>160</v>
      </c>
      <c r="I13" s="53" t="s">
        <v>159</v>
      </c>
      <c r="J13" s="127" t="s">
        <v>38</v>
      </c>
      <c r="K13" s="53" t="s">
        <v>161</v>
      </c>
      <c r="L13" s="53">
        <v>3</v>
      </c>
      <c r="N13" s="53">
        <v>4</v>
      </c>
      <c r="O13" s="53">
        <v>0.5</v>
      </c>
      <c r="P13" s="53">
        <v>0.5</v>
      </c>
      <c r="Q13" s="74">
        <f t="shared" si="0"/>
        <v>0.5</v>
      </c>
      <c r="R13" s="53">
        <v>17.600000000000001</v>
      </c>
      <c r="S13" s="53">
        <v>107</v>
      </c>
      <c r="T13" s="16">
        <f t="shared" si="1"/>
        <v>33</v>
      </c>
      <c r="U13" s="53">
        <v>498</v>
      </c>
      <c r="V13" s="129">
        <f t="shared" si="2"/>
        <v>4108.5</v>
      </c>
      <c r="W13" s="53">
        <v>12</v>
      </c>
      <c r="X13" s="127" t="s">
        <v>46</v>
      </c>
      <c r="Y13" s="53" t="s">
        <v>97</v>
      </c>
      <c r="Z13" s="53" t="s">
        <v>47</v>
      </c>
      <c r="AA13" s="53" t="s">
        <v>55</v>
      </c>
      <c r="AB13" s="127" t="s">
        <v>284</v>
      </c>
      <c r="AC13" s="34"/>
      <c r="AE13" s="22" t="s">
        <v>73</v>
      </c>
      <c r="AG13" s="23"/>
      <c r="AH13" s="22"/>
      <c r="AL13" s="136"/>
      <c r="AP13" s="23" t="s">
        <v>71</v>
      </c>
      <c r="AR13" s="23" t="s">
        <v>103</v>
      </c>
      <c r="AV13" s="135" t="s">
        <v>303</v>
      </c>
      <c r="AX13" s="24"/>
      <c r="AY13" s="25"/>
      <c r="AZ13" s="25"/>
      <c r="BA13" s="26"/>
    </row>
    <row r="14" spans="1:53" x14ac:dyDescent="0.15">
      <c r="A14" s="127" t="s">
        <v>61</v>
      </c>
      <c r="B14" s="127" t="s">
        <v>232</v>
      </c>
      <c r="C14" s="127">
        <v>2019</v>
      </c>
      <c r="D14" s="128" t="s">
        <v>313</v>
      </c>
      <c r="E14" s="127" t="s">
        <v>287</v>
      </c>
      <c r="F14" s="127" t="s">
        <v>288</v>
      </c>
      <c r="G14" s="127" t="s">
        <v>42</v>
      </c>
      <c r="H14" s="53" t="s">
        <v>164</v>
      </c>
      <c r="I14" s="53" t="s">
        <v>159</v>
      </c>
      <c r="J14" s="127" t="s">
        <v>38</v>
      </c>
      <c r="K14" s="53" t="s">
        <v>161</v>
      </c>
      <c r="L14" s="53">
        <v>1</v>
      </c>
      <c r="N14" s="53">
        <v>4</v>
      </c>
      <c r="O14" s="53">
        <v>1.25</v>
      </c>
      <c r="P14" s="53">
        <v>1</v>
      </c>
      <c r="Q14" s="74">
        <f t="shared" si="0"/>
        <v>1.125</v>
      </c>
      <c r="R14" s="53">
        <v>16.7</v>
      </c>
      <c r="S14" s="53">
        <v>92</v>
      </c>
      <c r="T14" s="16">
        <f t="shared" si="1"/>
        <v>36</v>
      </c>
      <c r="U14" s="53">
        <v>298</v>
      </c>
      <c r="V14" s="129">
        <f t="shared" si="2"/>
        <v>2682</v>
      </c>
      <c r="W14" s="53">
        <v>12</v>
      </c>
      <c r="X14" s="127" t="s">
        <v>46</v>
      </c>
      <c r="Y14" s="53" t="s">
        <v>69</v>
      </c>
      <c r="Z14" s="53" t="s">
        <v>55</v>
      </c>
      <c r="AA14" s="53" t="s">
        <v>90</v>
      </c>
      <c r="AB14" s="127" t="s">
        <v>284</v>
      </c>
      <c r="AC14" s="34"/>
      <c r="AE14" s="22" t="s">
        <v>76</v>
      </c>
      <c r="AG14" s="23"/>
      <c r="AH14" s="22"/>
      <c r="AL14" s="34"/>
      <c r="AP14" s="23" t="s">
        <v>74</v>
      </c>
      <c r="AR14" s="23" t="s">
        <v>125</v>
      </c>
      <c r="AV14" s="135" t="s">
        <v>304</v>
      </c>
      <c r="AX14" s="24"/>
      <c r="AY14" s="25"/>
      <c r="AZ14" s="25"/>
      <c r="BA14" s="26"/>
    </row>
    <row r="15" spans="1:53" x14ac:dyDescent="0.15">
      <c r="A15" s="127" t="s">
        <v>61</v>
      </c>
      <c r="B15" s="127" t="s">
        <v>232</v>
      </c>
      <c r="C15" s="127">
        <v>2019</v>
      </c>
      <c r="D15" s="128" t="s">
        <v>313</v>
      </c>
      <c r="E15" s="127" t="s">
        <v>287</v>
      </c>
      <c r="F15" s="127" t="s">
        <v>288</v>
      </c>
      <c r="G15" s="127" t="s">
        <v>42</v>
      </c>
      <c r="H15" s="53" t="s">
        <v>164</v>
      </c>
      <c r="I15" s="53" t="s">
        <v>159</v>
      </c>
      <c r="J15" s="127" t="s">
        <v>38</v>
      </c>
      <c r="K15" s="53" t="s">
        <v>161</v>
      </c>
      <c r="L15" s="53">
        <v>2</v>
      </c>
      <c r="N15" s="53">
        <v>4</v>
      </c>
      <c r="O15" s="53">
        <v>0.9</v>
      </c>
      <c r="P15" s="53">
        <v>0.95</v>
      </c>
      <c r="Q15" s="74">
        <f t="shared" si="0"/>
        <v>0.92500000000000004</v>
      </c>
      <c r="R15" s="34">
        <v>17</v>
      </c>
      <c r="S15" s="53">
        <v>85</v>
      </c>
      <c r="T15" s="16">
        <f t="shared" si="1"/>
        <v>36</v>
      </c>
      <c r="U15" s="53">
        <v>298</v>
      </c>
      <c r="V15" s="129">
        <f t="shared" si="2"/>
        <v>2682</v>
      </c>
      <c r="W15" s="53">
        <v>12</v>
      </c>
      <c r="X15" s="127" t="s">
        <v>46</v>
      </c>
      <c r="Y15" s="53" t="s">
        <v>69</v>
      </c>
      <c r="Z15" s="53" t="s">
        <v>55</v>
      </c>
      <c r="AA15" s="53" t="s">
        <v>90</v>
      </c>
      <c r="AB15" s="127" t="s">
        <v>284</v>
      </c>
      <c r="AC15" s="34"/>
      <c r="AE15" s="22" t="s">
        <v>79</v>
      </c>
      <c r="AG15" s="23"/>
      <c r="AH15" s="23"/>
      <c r="AL15" s="34"/>
      <c r="AP15" s="23" t="s">
        <v>77</v>
      </c>
      <c r="AR15" s="23" t="s">
        <v>94</v>
      </c>
      <c r="AV15" s="135" t="s">
        <v>305</v>
      </c>
      <c r="AX15" s="31"/>
      <c r="AY15" s="32"/>
      <c r="AZ15" s="32"/>
      <c r="BA15" s="33"/>
    </row>
    <row r="16" spans="1:53" x14ac:dyDescent="0.15">
      <c r="A16" s="127" t="s">
        <v>61</v>
      </c>
      <c r="B16" s="127" t="s">
        <v>232</v>
      </c>
      <c r="C16" s="127">
        <v>2019</v>
      </c>
      <c r="D16" s="128" t="s">
        <v>313</v>
      </c>
      <c r="E16" s="127" t="s">
        <v>287</v>
      </c>
      <c r="F16" s="127" t="s">
        <v>288</v>
      </c>
      <c r="G16" s="127" t="s">
        <v>42</v>
      </c>
      <c r="H16" s="53" t="s">
        <v>164</v>
      </c>
      <c r="I16" s="53" t="s">
        <v>159</v>
      </c>
      <c r="J16" s="127" t="s">
        <v>38</v>
      </c>
      <c r="K16" s="53" t="s">
        <v>161</v>
      </c>
      <c r="L16" s="53">
        <v>3</v>
      </c>
      <c r="N16" s="53">
        <v>4</v>
      </c>
      <c r="O16" s="53">
        <v>0.85</v>
      </c>
      <c r="P16" s="53">
        <v>1.05</v>
      </c>
      <c r="Q16" s="74">
        <f t="shared" si="0"/>
        <v>0.95</v>
      </c>
      <c r="R16" s="53">
        <v>16.899999999999999</v>
      </c>
      <c r="S16" s="53">
        <v>88</v>
      </c>
      <c r="T16" s="16">
        <f t="shared" si="1"/>
        <v>36</v>
      </c>
      <c r="U16" s="53">
        <v>298</v>
      </c>
      <c r="V16" s="129">
        <f t="shared" si="2"/>
        <v>2682</v>
      </c>
      <c r="W16" s="53">
        <v>12</v>
      </c>
      <c r="X16" s="127" t="s">
        <v>46</v>
      </c>
      <c r="Y16" s="53" t="s">
        <v>69</v>
      </c>
      <c r="Z16" s="53" t="s">
        <v>55</v>
      </c>
      <c r="AA16" s="53" t="s">
        <v>90</v>
      </c>
      <c r="AB16" s="127" t="s">
        <v>284</v>
      </c>
      <c r="AC16" s="34"/>
      <c r="AE16" s="22" t="s">
        <v>82</v>
      </c>
      <c r="AG16" s="23"/>
      <c r="AH16" s="23"/>
      <c r="AP16" s="23" t="s">
        <v>80</v>
      </c>
      <c r="AR16" s="23" t="s">
        <v>63</v>
      </c>
      <c r="AV16" s="135" t="s">
        <v>306</v>
      </c>
    </row>
    <row r="17" spans="1:48" x14ac:dyDescent="0.15">
      <c r="A17" s="127" t="s">
        <v>61</v>
      </c>
      <c r="B17" s="127" t="s">
        <v>232</v>
      </c>
      <c r="C17" s="127">
        <v>2019</v>
      </c>
      <c r="D17" s="128" t="s">
        <v>313</v>
      </c>
      <c r="E17" s="127" t="s">
        <v>287</v>
      </c>
      <c r="F17" s="127" t="s">
        <v>288</v>
      </c>
      <c r="G17" s="127" t="s">
        <v>42</v>
      </c>
      <c r="H17" s="53" t="s">
        <v>160</v>
      </c>
      <c r="I17" s="53" t="s">
        <v>159</v>
      </c>
      <c r="J17" s="127" t="s">
        <v>38</v>
      </c>
      <c r="K17" s="53" t="s">
        <v>161</v>
      </c>
      <c r="L17" s="53">
        <v>1</v>
      </c>
      <c r="N17" s="53">
        <v>4</v>
      </c>
      <c r="O17" s="53">
        <v>0.5</v>
      </c>
      <c r="P17" s="53">
        <v>0.5</v>
      </c>
      <c r="Q17" s="74">
        <f t="shared" si="0"/>
        <v>0.5</v>
      </c>
      <c r="R17" s="53">
        <v>17.600000000000001</v>
      </c>
      <c r="S17" s="53">
        <v>98</v>
      </c>
      <c r="T17" s="16">
        <f t="shared" si="1"/>
        <v>36</v>
      </c>
      <c r="U17" s="53">
        <v>398</v>
      </c>
      <c r="V17" s="129">
        <f t="shared" si="2"/>
        <v>3582</v>
      </c>
      <c r="W17" s="53">
        <v>12</v>
      </c>
      <c r="X17" s="127" t="s">
        <v>46</v>
      </c>
      <c r="Y17" s="53" t="s">
        <v>69</v>
      </c>
      <c r="Z17" s="53" t="s">
        <v>55</v>
      </c>
      <c r="AA17" s="53" t="s">
        <v>90</v>
      </c>
      <c r="AB17" s="127" t="s">
        <v>284</v>
      </c>
      <c r="AC17" s="34"/>
      <c r="AE17" s="22" t="s">
        <v>85</v>
      </c>
      <c r="AP17" s="27" t="s">
        <v>110</v>
      </c>
      <c r="AR17" s="23" t="s">
        <v>96</v>
      </c>
      <c r="AV17" s="135" t="s">
        <v>253</v>
      </c>
    </row>
    <row r="18" spans="1:48" x14ac:dyDescent="0.15">
      <c r="A18" s="127" t="s">
        <v>61</v>
      </c>
      <c r="B18" s="127" t="s">
        <v>232</v>
      </c>
      <c r="C18" s="127">
        <v>2019</v>
      </c>
      <c r="D18" s="128" t="s">
        <v>313</v>
      </c>
      <c r="E18" s="127" t="s">
        <v>287</v>
      </c>
      <c r="F18" s="127" t="s">
        <v>288</v>
      </c>
      <c r="G18" s="127" t="s">
        <v>42</v>
      </c>
      <c r="H18" s="53" t="s">
        <v>160</v>
      </c>
      <c r="I18" s="53" t="s">
        <v>159</v>
      </c>
      <c r="J18" s="127" t="s">
        <v>38</v>
      </c>
      <c r="K18" s="53" t="s">
        <v>161</v>
      </c>
      <c r="L18" s="53">
        <v>2</v>
      </c>
      <c r="N18" s="53">
        <v>4</v>
      </c>
      <c r="O18" s="53">
        <v>0.5</v>
      </c>
      <c r="P18" s="53">
        <v>0.5</v>
      </c>
      <c r="Q18" s="74">
        <f t="shared" si="0"/>
        <v>0.5</v>
      </c>
      <c r="R18" s="34">
        <v>17.3</v>
      </c>
      <c r="S18" s="53">
        <v>98</v>
      </c>
      <c r="T18" s="16">
        <f t="shared" si="1"/>
        <v>36</v>
      </c>
      <c r="U18" s="53">
        <v>398</v>
      </c>
      <c r="V18" s="129">
        <f t="shared" si="2"/>
        <v>3582</v>
      </c>
      <c r="W18" s="53">
        <v>12</v>
      </c>
      <c r="X18" s="127" t="s">
        <v>46</v>
      </c>
      <c r="Y18" s="53" t="s">
        <v>69</v>
      </c>
      <c r="Z18" s="53" t="s">
        <v>55</v>
      </c>
      <c r="AA18" s="53" t="s">
        <v>90</v>
      </c>
      <c r="AB18" s="127" t="s">
        <v>284</v>
      </c>
      <c r="AC18" s="34"/>
      <c r="AE18" s="22" t="s">
        <v>87</v>
      </c>
      <c r="AP18" s="27" t="s">
        <v>111</v>
      </c>
      <c r="AR18" s="23" t="s">
        <v>101</v>
      </c>
      <c r="AV18" s="135" t="s">
        <v>135</v>
      </c>
    </row>
    <row r="19" spans="1:48" x14ac:dyDescent="0.15">
      <c r="A19" s="127" t="s">
        <v>61</v>
      </c>
      <c r="B19" s="127" t="s">
        <v>232</v>
      </c>
      <c r="C19" s="127">
        <v>2019</v>
      </c>
      <c r="D19" s="128" t="s">
        <v>313</v>
      </c>
      <c r="E19" s="127" t="s">
        <v>287</v>
      </c>
      <c r="F19" s="127" t="s">
        <v>288</v>
      </c>
      <c r="G19" s="127" t="s">
        <v>42</v>
      </c>
      <c r="H19" s="53" t="s">
        <v>160</v>
      </c>
      <c r="I19" s="53" t="s">
        <v>159</v>
      </c>
      <c r="J19" s="127" t="s">
        <v>38</v>
      </c>
      <c r="K19" s="53" t="s">
        <v>161</v>
      </c>
      <c r="L19" s="53">
        <v>3</v>
      </c>
      <c r="N19" s="53">
        <v>4</v>
      </c>
      <c r="O19" s="34">
        <v>0.5</v>
      </c>
      <c r="P19" s="53">
        <v>0.5</v>
      </c>
      <c r="Q19" s="74">
        <f t="shared" si="0"/>
        <v>0.5</v>
      </c>
      <c r="R19" s="53">
        <v>18</v>
      </c>
      <c r="S19" s="53">
        <v>96</v>
      </c>
      <c r="T19" s="16">
        <f t="shared" si="1"/>
        <v>36</v>
      </c>
      <c r="U19" s="53">
        <v>398</v>
      </c>
      <c r="V19" s="129">
        <f t="shared" si="2"/>
        <v>3582</v>
      </c>
      <c r="W19" s="53">
        <v>12</v>
      </c>
      <c r="X19" s="127" t="s">
        <v>46</v>
      </c>
      <c r="Y19" s="53" t="s">
        <v>307</v>
      </c>
      <c r="Z19" s="53" t="s">
        <v>55</v>
      </c>
      <c r="AA19" s="53" t="s">
        <v>90</v>
      </c>
      <c r="AB19" s="127" t="s">
        <v>284</v>
      </c>
      <c r="AC19" s="34"/>
      <c r="AE19" s="35" t="s">
        <v>89</v>
      </c>
      <c r="AP19" s="27" t="s">
        <v>112</v>
      </c>
      <c r="AR19" s="23" t="s">
        <v>126</v>
      </c>
      <c r="AV19" s="135" t="s">
        <v>308</v>
      </c>
    </row>
    <row r="20" spans="1:48" x14ac:dyDescent="0.15">
      <c r="A20" s="127" t="s">
        <v>61</v>
      </c>
      <c r="B20" s="127" t="s">
        <v>232</v>
      </c>
      <c r="C20" s="127">
        <v>2019</v>
      </c>
      <c r="D20" s="128" t="s">
        <v>313</v>
      </c>
      <c r="E20" s="127" t="s">
        <v>289</v>
      </c>
      <c r="F20" s="127" t="s">
        <v>290</v>
      </c>
      <c r="G20" s="127" t="s">
        <v>42</v>
      </c>
      <c r="H20" s="53" t="s">
        <v>164</v>
      </c>
      <c r="I20" s="53" t="s">
        <v>159</v>
      </c>
      <c r="J20" s="127" t="s">
        <v>38</v>
      </c>
      <c r="K20" s="53" t="s">
        <v>161</v>
      </c>
      <c r="L20" s="53">
        <v>1</v>
      </c>
      <c r="N20" s="53">
        <v>1</v>
      </c>
      <c r="O20" s="53">
        <v>1.25</v>
      </c>
      <c r="P20" s="53">
        <v>1</v>
      </c>
      <c r="Q20" s="74">
        <f t="shared" si="0"/>
        <v>1.125</v>
      </c>
      <c r="R20" s="53">
        <v>14.3</v>
      </c>
      <c r="S20" s="53">
        <v>121</v>
      </c>
      <c r="T20" s="16">
        <f t="shared" si="1"/>
        <v>27</v>
      </c>
      <c r="U20" s="53">
        <v>128</v>
      </c>
      <c r="V20" s="129">
        <f t="shared" si="2"/>
        <v>3456</v>
      </c>
      <c r="W20" s="53">
        <v>12</v>
      </c>
      <c r="X20" s="127" t="s">
        <v>46</v>
      </c>
      <c r="Y20" s="53" t="s">
        <v>307</v>
      </c>
      <c r="Z20" s="53" t="s">
        <v>97</v>
      </c>
      <c r="AA20" s="53" t="s">
        <v>55</v>
      </c>
      <c r="AB20" s="127" t="s">
        <v>284</v>
      </c>
      <c r="AC20" s="34"/>
      <c r="AE20" s="22"/>
      <c r="AP20" s="27" t="s">
        <v>113</v>
      </c>
      <c r="AR20" s="23" t="s">
        <v>105</v>
      </c>
      <c r="AV20" s="135" t="s">
        <v>309</v>
      </c>
    </row>
    <row r="21" spans="1:48" x14ac:dyDescent="0.15">
      <c r="A21" s="127" t="s">
        <v>61</v>
      </c>
      <c r="B21" s="127" t="s">
        <v>232</v>
      </c>
      <c r="C21" s="127">
        <v>2019</v>
      </c>
      <c r="D21" s="128" t="s">
        <v>313</v>
      </c>
      <c r="E21" s="127" t="s">
        <v>289</v>
      </c>
      <c r="F21" s="127" t="s">
        <v>290</v>
      </c>
      <c r="G21" s="127" t="s">
        <v>42</v>
      </c>
      <c r="H21" s="53" t="s">
        <v>164</v>
      </c>
      <c r="I21" s="53" t="s">
        <v>159</v>
      </c>
      <c r="J21" s="127" t="s">
        <v>38</v>
      </c>
      <c r="K21" s="53" t="s">
        <v>161</v>
      </c>
      <c r="L21" s="53">
        <v>2</v>
      </c>
      <c r="N21" s="53">
        <v>1</v>
      </c>
      <c r="O21" s="53">
        <v>0.85</v>
      </c>
      <c r="P21" s="53">
        <v>1</v>
      </c>
      <c r="Q21" s="74">
        <f t="shared" si="0"/>
        <v>0.92500000000000004</v>
      </c>
      <c r="R21" s="53">
        <v>16.100000000000001</v>
      </c>
      <c r="S21" s="53">
        <v>112</v>
      </c>
      <c r="T21" s="16">
        <f t="shared" si="1"/>
        <v>33</v>
      </c>
      <c r="U21" s="53">
        <v>128</v>
      </c>
      <c r="V21" s="129">
        <f t="shared" si="2"/>
        <v>4224</v>
      </c>
      <c r="W21" s="53">
        <v>12</v>
      </c>
      <c r="X21" s="127" t="s">
        <v>46</v>
      </c>
      <c r="Y21" s="53" t="s">
        <v>307</v>
      </c>
      <c r="Z21" s="53" t="s">
        <v>97</v>
      </c>
      <c r="AA21" s="53" t="s">
        <v>55</v>
      </c>
      <c r="AB21" s="127" t="s">
        <v>284</v>
      </c>
      <c r="AC21" s="34"/>
      <c r="AE21" s="22"/>
      <c r="AP21" s="27" t="s">
        <v>114</v>
      </c>
      <c r="AR21" s="23" t="s">
        <v>68</v>
      </c>
      <c r="AV21" s="135" t="s">
        <v>310</v>
      </c>
    </row>
    <row r="22" spans="1:48" x14ac:dyDescent="0.15">
      <c r="A22" s="127" t="s">
        <v>61</v>
      </c>
      <c r="B22" s="127" t="s">
        <v>232</v>
      </c>
      <c r="C22" s="127">
        <v>2019</v>
      </c>
      <c r="D22" s="128" t="s">
        <v>313</v>
      </c>
      <c r="E22" s="127" t="s">
        <v>289</v>
      </c>
      <c r="F22" s="127" t="s">
        <v>290</v>
      </c>
      <c r="G22" s="127" t="s">
        <v>42</v>
      </c>
      <c r="H22" s="53" t="s">
        <v>164</v>
      </c>
      <c r="I22" s="53" t="s">
        <v>159</v>
      </c>
      <c r="J22" s="127" t="s">
        <v>38</v>
      </c>
      <c r="K22" s="53" t="s">
        <v>161</v>
      </c>
      <c r="L22" s="53">
        <v>3</v>
      </c>
      <c r="N22" s="53">
        <v>1</v>
      </c>
      <c r="O22" s="53">
        <v>1.25</v>
      </c>
      <c r="P22" s="53">
        <v>1.25</v>
      </c>
      <c r="Q22" s="74">
        <f t="shared" si="0"/>
        <v>1.25</v>
      </c>
      <c r="R22" s="53">
        <v>17</v>
      </c>
      <c r="S22" s="53">
        <v>116</v>
      </c>
      <c r="T22" s="16">
        <f t="shared" si="1"/>
        <v>30</v>
      </c>
      <c r="U22" s="53">
        <v>128</v>
      </c>
      <c r="V22" s="129">
        <f t="shared" si="2"/>
        <v>3840</v>
      </c>
      <c r="W22" s="53">
        <v>12</v>
      </c>
      <c r="X22" s="127" t="s">
        <v>46</v>
      </c>
      <c r="Y22" s="53" t="s">
        <v>307</v>
      </c>
      <c r="Z22" s="53" t="s">
        <v>97</v>
      </c>
      <c r="AA22" s="53" t="s">
        <v>55</v>
      </c>
      <c r="AB22" s="127" t="s">
        <v>284</v>
      </c>
      <c r="AC22" s="34"/>
      <c r="AE22" s="35"/>
      <c r="AP22" s="27" t="s">
        <v>115</v>
      </c>
      <c r="AR22" s="23" t="s">
        <v>83</v>
      </c>
      <c r="AV22" s="23"/>
    </row>
    <row r="23" spans="1:48" x14ac:dyDescent="0.15">
      <c r="A23" s="127" t="s">
        <v>61</v>
      </c>
      <c r="B23" s="127" t="s">
        <v>232</v>
      </c>
      <c r="C23" s="127">
        <v>2019</v>
      </c>
      <c r="D23" s="128" t="s">
        <v>313</v>
      </c>
      <c r="E23" s="127" t="s">
        <v>289</v>
      </c>
      <c r="F23" s="127" t="s">
        <v>290</v>
      </c>
      <c r="G23" s="127" t="s">
        <v>42</v>
      </c>
      <c r="H23" s="53" t="s">
        <v>199</v>
      </c>
      <c r="I23" s="53" t="s">
        <v>159</v>
      </c>
      <c r="J23" s="127" t="s">
        <v>38</v>
      </c>
      <c r="K23" s="53" t="s">
        <v>161</v>
      </c>
      <c r="L23" s="53">
        <v>1</v>
      </c>
      <c r="N23" s="53">
        <v>5</v>
      </c>
      <c r="O23" s="53">
        <v>0.75</v>
      </c>
      <c r="P23" s="53">
        <v>0.8</v>
      </c>
      <c r="Q23" s="74">
        <f t="shared" si="0"/>
        <v>0.77500000000000002</v>
      </c>
      <c r="R23" s="53">
        <v>18.600000000000001</v>
      </c>
      <c r="S23" s="53">
        <v>89</v>
      </c>
      <c r="T23" s="16">
        <f t="shared" si="1"/>
        <v>36</v>
      </c>
      <c r="U23" s="53">
        <v>398</v>
      </c>
      <c r="V23" s="129">
        <f t="shared" si="2"/>
        <v>2865.6</v>
      </c>
      <c r="W23" s="53">
        <v>12</v>
      </c>
      <c r="X23" s="127" t="s">
        <v>46</v>
      </c>
      <c r="Y23" s="53" t="s">
        <v>307</v>
      </c>
      <c r="Z23" s="53" t="s">
        <v>97</v>
      </c>
      <c r="AA23" s="53" t="s">
        <v>55</v>
      </c>
      <c r="AB23" s="127" t="s">
        <v>284</v>
      </c>
      <c r="AC23" s="34"/>
      <c r="AE23" s="22"/>
      <c r="AP23" s="27" t="s">
        <v>113</v>
      </c>
      <c r="AR23" s="23" t="s">
        <v>105</v>
      </c>
      <c r="AV23" s="135" t="s">
        <v>309</v>
      </c>
    </row>
    <row r="24" spans="1:48" x14ac:dyDescent="0.15">
      <c r="A24" s="127" t="s">
        <v>61</v>
      </c>
      <c r="B24" s="127" t="s">
        <v>232</v>
      </c>
      <c r="C24" s="127">
        <v>2019</v>
      </c>
      <c r="D24" s="128" t="s">
        <v>313</v>
      </c>
      <c r="E24" s="127" t="s">
        <v>289</v>
      </c>
      <c r="F24" s="127" t="s">
        <v>290</v>
      </c>
      <c r="G24" s="127" t="s">
        <v>42</v>
      </c>
      <c r="H24" s="53" t="s">
        <v>199</v>
      </c>
      <c r="I24" s="53" t="s">
        <v>159</v>
      </c>
      <c r="J24" s="127" t="s">
        <v>38</v>
      </c>
      <c r="K24" s="53" t="s">
        <v>161</v>
      </c>
      <c r="L24" s="53">
        <v>2</v>
      </c>
      <c r="N24" s="53">
        <v>5</v>
      </c>
      <c r="O24" s="53">
        <v>0.65</v>
      </c>
      <c r="P24" s="53">
        <v>0.6</v>
      </c>
      <c r="Q24" s="74">
        <f t="shared" si="0"/>
        <v>0.625</v>
      </c>
      <c r="R24" s="53">
        <v>19.100000000000001</v>
      </c>
      <c r="S24" s="53">
        <v>82</v>
      </c>
      <c r="T24" s="16">
        <f t="shared" si="1"/>
        <v>39</v>
      </c>
      <c r="U24" s="53">
        <v>398</v>
      </c>
      <c r="V24" s="129">
        <f t="shared" si="2"/>
        <v>3104.3999999999996</v>
      </c>
      <c r="W24" s="53">
        <v>12</v>
      </c>
      <c r="X24" s="127" t="s">
        <v>46</v>
      </c>
      <c r="Y24" s="53" t="s">
        <v>307</v>
      </c>
      <c r="Z24" s="53" t="s">
        <v>97</v>
      </c>
      <c r="AA24" s="53" t="s">
        <v>55</v>
      </c>
      <c r="AB24" s="127" t="s">
        <v>284</v>
      </c>
      <c r="AC24" s="34"/>
      <c r="AE24" s="22"/>
      <c r="AP24" s="27" t="s">
        <v>114</v>
      </c>
      <c r="AR24" s="23" t="s">
        <v>68</v>
      </c>
      <c r="AV24" s="135" t="s">
        <v>310</v>
      </c>
    </row>
    <row r="25" spans="1:48" x14ac:dyDescent="0.15">
      <c r="A25" s="127" t="s">
        <v>61</v>
      </c>
      <c r="B25" s="127" t="s">
        <v>232</v>
      </c>
      <c r="C25" s="127">
        <v>2019</v>
      </c>
      <c r="D25" s="128" t="s">
        <v>313</v>
      </c>
      <c r="E25" s="127" t="s">
        <v>289</v>
      </c>
      <c r="F25" s="127" t="s">
        <v>290</v>
      </c>
      <c r="G25" s="127" t="s">
        <v>42</v>
      </c>
      <c r="H25" s="53" t="s">
        <v>199</v>
      </c>
      <c r="I25" s="53" t="s">
        <v>159</v>
      </c>
      <c r="J25" s="127" t="s">
        <v>38</v>
      </c>
      <c r="K25" s="53" t="s">
        <v>161</v>
      </c>
      <c r="L25" s="53">
        <v>3</v>
      </c>
      <c r="N25" s="53">
        <v>5</v>
      </c>
      <c r="O25" s="53">
        <v>0.75</v>
      </c>
      <c r="P25" s="53">
        <v>0.5</v>
      </c>
      <c r="Q25" s="74">
        <f t="shared" si="0"/>
        <v>0.625</v>
      </c>
      <c r="R25" s="53">
        <v>18.899999999999999</v>
      </c>
      <c r="S25" s="53">
        <v>91</v>
      </c>
      <c r="T25" s="16">
        <f t="shared" si="1"/>
        <v>36</v>
      </c>
      <c r="U25" s="53">
        <v>398</v>
      </c>
      <c r="V25" s="129">
        <f t="shared" si="2"/>
        <v>2865.6</v>
      </c>
      <c r="W25" s="53">
        <v>12</v>
      </c>
      <c r="X25" s="127" t="s">
        <v>46</v>
      </c>
      <c r="Y25" s="53" t="s">
        <v>307</v>
      </c>
      <c r="Z25" s="53" t="s">
        <v>97</v>
      </c>
      <c r="AA25" s="53" t="s">
        <v>55</v>
      </c>
      <c r="AB25" s="127" t="s">
        <v>284</v>
      </c>
      <c r="AC25" s="34"/>
      <c r="AE25" s="35"/>
      <c r="AP25" s="27" t="s">
        <v>115</v>
      </c>
      <c r="AR25" s="23" t="s">
        <v>83</v>
      </c>
      <c r="AV25" s="23"/>
    </row>
    <row r="26" spans="1:48" x14ac:dyDescent="0.15">
      <c r="A26" s="127" t="s">
        <v>61</v>
      </c>
      <c r="B26" s="127" t="s">
        <v>232</v>
      </c>
      <c r="C26" s="127">
        <v>2019</v>
      </c>
      <c r="D26" s="128" t="s">
        <v>313</v>
      </c>
      <c r="E26" s="127" t="s">
        <v>289</v>
      </c>
      <c r="F26" s="127" t="s">
        <v>290</v>
      </c>
      <c r="G26" s="127" t="s">
        <v>42</v>
      </c>
      <c r="H26" s="53" t="s">
        <v>160</v>
      </c>
      <c r="I26" s="53" t="s">
        <v>159</v>
      </c>
      <c r="J26" s="127" t="s">
        <v>38</v>
      </c>
      <c r="K26" s="53" t="s">
        <v>161</v>
      </c>
      <c r="L26" s="53">
        <v>1</v>
      </c>
      <c r="N26" s="53">
        <v>4</v>
      </c>
      <c r="O26" s="53">
        <v>0.75</v>
      </c>
      <c r="P26" s="53">
        <v>0.5</v>
      </c>
      <c r="Q26" s="74">
        <f t="shared" si="0"/>
        <v>0.625</v>
      </c>
      <c r="R26" s="53">
        <v>17.399999999999999</v>
      </c>
      <c r="S26" s="53">
        <v>121</v>
      </c>
      <c r="T26" s="16">
        <f t="shared" si="1"/>
        <v>27</v>
      </c>
      <c r="U26" s="53">
        <v>398</v>
      </c>
      <c r="V26" s="129">
        <f t="shared" si="2"/>
        <v>2686.5</v>
      </c>
      <c r="W26" s="53">
        <v>12</v>
      </c>
      <c r="X26" s="127" t="s">
        <v>46</v>
      </c>
      <c r="Y26" s="53" t="s">
        <v>307</v>
      </c>
      <c r="Z26" s="53" t="s">
        <v>97</v>
      </c>
      <c r="AA26" s="53" t="s">
        <v>55</v>
      </c>
      <c r="AB26" s="127" t="s">
        <v>284</v>
      </c>
      <c r="AC26" s="34"/>
      <c r="AE26" s="22"/>
      <c r="AP26" s="27" t="s">
        <v>137</v>
      </c>
      <c r="AR26" s="23" t="s">
        <v>61</v>
      </c>
    </row>
    <row r="27" spans="1:48" x14ac:dyDescent="0.15">
      <c r="A27" s="127" t="s">
        <v>61</v>
      </c>
      <c r="B27" s="127" t="s">
        <v>232</v>
      </c>
      <c r="C27" s="127">
        <v>2019</v>
      </c>
      <c r="D27" s="128" t="s">
        <v>313</v>
      </c>
      <c r="E27" s="127" t="s">
        <v>289</v>
      </c>
      <c r="F27" s="127" t="s">
        <v>290</v>
      </c>
      <c r="G27" s="127" t="s">
        <v>42</v>
      </c>
      <c r="H27" s="53" t="s">
        <v>160</v>
      </c>
      <c r="I27" s="53" t="s">
        <v>159</v>
      </c>
      <c r="J27" s="127" t="s">
        <v>38</v>
      </c>
      <c r="K27" s="53" t="s">
        <v>161</v>
      </c>
      <c r="L27" s="53">
        <v>2</v>
      </c>
      <c r="N27" s="53">
        <v>4</v>
      </c>
      <c r="O27" s="53">
        <v>0.5</v>
      </c>
      <c r="P27" s="53">
        <v>0.5</v>
      </c>
      <c r="Q27" s="74">
        <f t="shared" si="0"/>
        <v>0.5</v>
      </c>
      <c r="R27" s="53">
        <v>18.100000000000001</v>
      </c>
      <c r="S27" s="53">
        <v>103</v>
      </c>
      <c r="T27" s="16">
        <f t="shared" si="1"/>
        <v>33</v>
      </c>
      <c r="U27" s="53">
        <v>398</v>
      </c>
      <c r="V27" s="129">
        <f t="shared" si="2"/>
        <v>3283.5</v>
      </c>
      <c r="W27" s="53">
        <v>12</v>
      </c>
      <c r="X27" s="127" t="s">
        <v>46</v>
      </c>
      <c r="Y27" s="53" t="s">
        <v>307</v>
      </c>
      <c r="Z27" s="53" t="s">
        <v>97</v>
      </c>
      <c r="AA27" s="53" t="s">
        <v>55</v>
      </c>
      <c r="AB27" s="127" t="s">
        <v>284</v>
      </c>
      <c r="AC27" s="34"/>
      <c r="AE27" s="22"/>
      <c r="AP27" s="27" t="s">
        <v>138</v>
      </c>
      <c r="AR27" s="23" t="s">
        <v>91</v>
      </c>
    </row>
    <row r="28" spans="1:48" x14ac:dyDescent="0.15">
      <c r="A28" s="127" t="s">
        <v>61</v>
      </c>
      <c r="B28" s="127" t="s">
        <v>232</v>
      </c>
      <c r="C28" s="127">
        <v>2019</v>
      </c>
      <c r="D28" s="128" t="s">
        <v>313</v>
      </c>
      <c r="E28" s="127" t="s">
        <v>289</v>
      </c>
      <c r="F28" s="127" t="s">
        <v>290</v>
      </c>
      <c r="G28" s="127" t="s">
        <v>42</v>
      </c>
      <c r="H28" s="53" t="s">
        <v>160</v>
      </c>
      <c r="I28" s="53" t="s">
        <v>159</v>
      </c>
      <c r="J28" s="127" t="s">
        <v>38</v>
      </c>
      <c r="K28" s="53" t="s">
        <v>161</v>
      </c>
      <c r="L28" s="53">
        <v>3</v>
      </c>
      <c r="N28" s="53">
        <v>4</v>
      </c>
      <c r="O28" s="34">
        <v>0.75</v>
      </c>
      <c r="P28" s="53">
        <v>0.65</v>
      </c>
      <c r="Q28" s="74">
        <f t="shared" si="0"/>
        <v>0.7</v>
      </c>
      <c r="R28" s="53">
        <v>17.600000000000001</v>
      </c>
      <c r="S28" s="53">
        <v>110</v>
      </c>
      <c r="T28" s="16">
        <f t="shared" si="1"/>
        <v>33</v>
      </c>
      <c r="U28" s="53">
        <v>398</v>
      </c>
      <c r="V28" s="129">
        <f t="shared" si="2"/>
        <v>3283.5</v>
      </c>
      <c r="W28" s="53">
        <v>12</v>
      </c>
      <c r="X28" s="127" t="s">
        <v>46</v>
      </c>
      <c r="Y28" s="53" t="s">
        <v>307</v>
      </c>
      <c r="Z28" s="53" t="s">
        <v>97</v>
      </c>
      <c r="AA28" s="53" t="s">
        <v>55</v>
      </c>
      <c r="AB28" s="127" t="s">
        <v>284</v>
      </c>
      <c r="AC28" s="34"/>
      <c r="AE28" s="35"/>
      <c r="AP28" s="27" t="s">
        <v>116</v>
      </c>
      <c r="AR28" s="27" t="s">
        <v>92</v>
      </c>
    </row>
    <row r="29" spans="1:48" x14ac:dyDescent="0.15">
      <c r="A29" s="127" t="s">
        <v>61</v>
      </c>
      <c r="B29" s="127" t="s">
        <v>232</v>
      </c>
      <c r="C29" s="127">
        <v>2019</v>
      </c>
      <c r="D29" s="128" t="s">
        <v>313</v>
      </c>
      <c r="E29" s="127" t="s">
        <v>291</v>
      </c>
      <c r="F29" s="127" t="s">
        <v>292</v>
      </c>
      <c r="G29" s="127" t="s">
        <v>42</v>
      </c>
      <c r="H29" s="53" t="s">
        <v>164</v>
      </c>
      <c r="I29" s="53" t="s">
        <v>159</v>
      </c>
      <c r="J29" s="127" t="s">
        <v>38</v>
      </c>
      <c r="K29" s="53" t="s">
        <v>161</v>
      </c>
      <c r="L29" s="53">
        <v>1</v>
      </c>
      <c r="N29" s="53">
        <v>1</v>
      </c>
      <c r="O29" s="34">
        <v>0.7</v>
      </c>
      <c r="P29" s="53">
        <v>0.65</v>
      </c>
      <c r="Q29" s="74">
        <f t="shared" si="0"/>
        <v>0.67500000000000004</v>
      </c>
      <c r="R29" s="53">
        <v>17.5</v>
      </c>
      <c r="S29" s="53">
        <v>114</v>
      </c>
      <c r="T29" s="16">
        <f t="shared" si="1"/>
        <v>30</v>
      </c>
      <c r="U29" s="53">
        <v>108</v>
      </c>
      <c r="V29" s="129">
        <f t="shared" si="2"/>
        <v>3240</v>
      </c>
      <c r="W29" s="53">
        <v>14</v>
      </c>
      <c r="X29" s="127" t="s">
        <v>46</v>
      </c>
      <c r="Y29" s="53" t="s">
        <v>69</v>
      </c>
      <c r="Z29" s="53" t="s">
        <v>55</v>
      </c>
      <c r="AA29" s="53" t="s">
        <v>97</v>
      </c>
      <c r="AB29" s="127" t="s">
        <v>284</v>
      </c>
      <c r="AC29" s="34"/>
      <c r="AD29" s="34"/>
      <c r="AE29" s="35"/>
      <c r="AP29" s="27" t="s">
        <v>117</v>
      </c>
      <c r="AR29" s="23" t="s">
        <v>153</v>
      </c>
    </row>
    <row r="30" spans="1:48" x14ac:dyDescent="0.15">
      <c r="A30" s="127" t="s">
        <v>61</v>
      </c>
      <c r="B30" s="127" t="s">
        <v>232</v>
      </c>
      <c r="C30" s="127">
        <v>2019</v>
      </c>
      <c r="D30" s="128" t="s">
        <v>313</v>
      </c>
      <c r="E30" s="127" t="s">
        <v>291</v>
      </c>
      <c r="F30" s="127" t="s">
        <v>292</v>
      </c>
      <c r="G30" s="127" t="s">
        <v>42</v>
      </c>
      <c r="H30" s="53" t="s">
        <v>164</v>
      </c>
      <c r="I30" s="53" t="s">
        <v>159</v>
      </c>
      <c r="J30" s="127" t="s">
        <v>38</v>
      </c>
      <c r="K30" s="53" t="s">
        <v>161</v>
      </c>
      <c r="L30" s="53">
        <v>2</v>
      </c>
      <c r="N30" s="53">
        <v>1</v>
      </c>
      <c r="O30" s="34">
        <v>0.5</v>
      </c>
      <c r="P30" s="53">
        <v>0.5</v>
      </c>
      <c r="Q30" s="74">
        <f t="shared" si="0"/>
        <v>0.5</v>
      </c>
      <c r="R30" s="53">
        <v>17.399999999999999</v>
      </c>
      <c r="S30" s="53">
        <v>114</v>
      </c>
      <c r="T30" s="16">
        <f t="shared" si="1"/>
        <v>30</v>
      </c>
      <c r="U30" s="53">
        <v>108</v>
      </c>
      <c r="V30" s="129">
        <f t="shared" si="2"/>
        <v>3240</v>
      </c>
      <c r="W30" s="53">
        <v>14</v>
      </c>
      <c r="X30" s="127" t="s">
        <v>46</v>
      </c>
      <c r="Y30" s="53" t="s">
        <v>69</v>
      </c>
      <c r="Z30" s="53" t="s">
        <v>55</v>
      </c>
      <c r="AA30" s="53" t="s">
        <v>97</v>
      </c>
      <c r="AB30" s="127" t="s">
        <v>284</v>
      </c>
      <c r="AC30" s="34"/>
      <c r="AD30" s="34"/>
      <c r="AE30" s="28"/>
      <c r="AP30" s="27" t="s">
        <v>118</v>
      </c>
      <c r="AR30" s="23"/>
    </row>
    <row r="31" spans="1:48" x14ac:dyDescent="0.15">
      <c r="A31" s="127" t="s">
        <v>61</v>
      </c>
      <c r="B31" s="127" t="s">
        <v>232</v>
      </c>
      <c r="C31" s="127">
        <v>2019</v>
      </c>
      <c r="D31" s="128" t="s">
        <v>313</v>
      </c>
      <c r="E31" s="127" t="s">
        <v>291</v>
      </c>
      <c r="F31" s="127" t="s">
        <v>292</v>
      </c>
      <c r="G31" s="127" t="s">
        <v>42</v>
      </c>
      <c r="H31" s="53" t="s">
        <v>164</v>
      </c>
      <c r="I31" s="53" t="s">
        <v>159</v>
      </c>
      <c r="J31" s="127" t="s">
        <v>38</v>
      </c>
      <c r="K31" s="53" t="s">
        <v>161</v>
      </c>
      <c r="L31" s="53">
        <v>3</v>
      </c>
      <c r="N31" s="53">
        <v>1</v>
      </c>
      <c r="O31" s="34">
        <v>0.9</v>
      </c>
      <c r="P31" s="53">
        <v>0.9</v>
      </c>
      <c r="Q31" s="74">
        <f t="shared" si="0"/>
        <v>0.9</v>
      </c>
      <c r="R31" s="53">
        <v>17.8</v>
      </c>
      <c r="S31" s="53">
        <v>123</v>
      </c>
      <c r="T31" s="16">
        <f t="shared" si="1"/>
        <v>27</v>
      </c>
      <c r="U31" s="53">
        <v>108</v>
      </c>
      <c r="V31" s="129">
        <f t="shared" si="2"/>
        <v>2916</v>
      </c>
      <c r="W31" s="53">
        <v>14</v>
      </c>
      <c r="X31" s="127" t="s">
        <v>46</v>
      </c>
      <c r="Y31" s="53" t="s">
        <v>69</v>
      </c>
      <c r="Z31" s="53" t="s">
        <v>55</v>
      </c>
      <c r="AA31" s="53" t="s">
        <v>97</v>
      </c>
      <c r="AB31" s="127" t="s">
        <v>284</v>
      </c>
      <c r="AC31" s="34"/>
      <c r="AD31" s="34"/>
      <c r="AP31" s="27"/>
      <c r="AR31" s="23"/>
    </row>
    <row r="32" spans="1:48" x14ac:dyDescent="0.15">
      <c r="A32" s="127" t="s">
        <v>61</v>
      </c>
      <c r="B32" s="127" t="s">
        <v>232</v>
      </c>
      <c r="C32" s="127">
        <v>2019</v>
      </c>
      <c r="D32" s="128" t="s">
        <v>313</v>
      </c>
      <c r="E32" s="127" t="s">
        <v>291</v>
      </c>
      <c r="F32" s="127" t="s">
        <v>292</v>
      </c>
      <c r="G32" s="127" t="s">
        <v>42</v>
      </c>
      <c r="H32" s="53" t="s">
        <v>160</v>
      </c>
      <c r="I32" s="53" t="s">
        <v>159</v>
      </c>
      <c r="J32" s="127" t="s">
        <v>38</v>
      </c>
      <c r="K32" s="53" t="s">
        <v>161</v>
      </c>
      <c r="L32" s="53">
        <v>1</v>
      </c>
      <c r="N32" s="53">
        <v>1</v>
      </c>
      <c r="O32" s="34">
        <v>0.8</v>
      </c>
      <c r="P32" s="53">
        <v>0.5</v>
      </c>
      <c r="Q32" s="74">
        <f t="shared" si="0"/>
        <v>0.65</v>
      </c>
      <c r="R32" s="53">
        <v>17.600000000000001</v>
      </c>
      <c r="S32" s="53">
        <v>149</v>
      </c>
      <c r="T32" s="16">
        <f t="shared" si="1"/>
        <v>22</v>
      </c>
      <c r="U32" s="53">
        <v>105</v>
      </c>
      <c r="V32" s="129">
        <f t="shared" si="2"/>
        <v>2310</v>
      </c>
      <c r="W32" s="53">
        <v>14</v>
      </c>
      <c r="X32" s="127" t="s">
        <v>46</v>
      </c>
      <c r="Y32" s="53" t="s">
        <v>69</v>
      </c>
      <c r="Z32" s="53" t="s">
        <v>55</v>
      </c>
      <c r="AA32" s="53" t="s">
        <v>97</v>
      </c>
      <c r="AB32" s="127" t="s">
        <v>284</v>
      </c>
      <c r="AC32" s="34"/>
    </row>
    <row r="33" spans="1:29" x14ac:dyDescent="0.15">
      <c r="A33" s="127" t="s">
        <v>61</v>
      </c>
      <c r="B33" s="127" t="s">
        <v>232</v>
      </c>
      <c r="C33" s="127">
        <v>2019</v>
      </c>
      <c r="D33" s="128" t="s">
        <v>313</v>
      </c>
      <c r="E33" s="127" t="s">
        <v>291</v>
      </c>
      <c r="F33" s="127" t="s">
        <v>292</v>
      </c>
      <c r="G33" s="127" t="s">
        <v>42</v>
      </c>
      <c r="H33" s="53" t="s">
        <v>160</v>
      </c>
      <c r="I33" s="53" t="s">
        <v>159</v>
      </c>
      <c r="J33" s="127" t="s">
        <v>38</v>
      </c>
      <c r="K33" s="53" t="s">
        <v>161</v>
      </c>
      <c r="L33" s="53">
        <v>2</v>
      </c>
      <c r="N33" s="53">
        <v>1</v>
      </c>
      <c r="O33" s="34">
        <v>0.5</v>
      </c>
      <c r="P33" s="53">
        <v>0.5</v>
      </c>
      <c r="Q33" s="74">
        <f t="shared" si="0"/>
        <v>0.5</v>
      </c>
      <c r="R33" s="53">
        <v>18.8</v>
      </c>
      <c r="S33" s="53">
        <v>145</v>
      </c>
      <c r="T33" s="16">
        <f t="shared" si="1"/>
        <v>22</v>
      </c>
      <c r="U33" s="53">
        <v>105</v>
      </c>
      <c r="V33" s="129">
        <f t="shared" si="2"/>
        <v>2310</v>
      </c>
      <c r="W33" s="53">
        <v>14</v>
      </c>
      <c r="X33" s="127" t="s">
        <v>46</v>
      </c>
      <c r="Y33" s="53" t="s">
        <v>69</v>
      </c>
      <c r="Z33" s="53" t="s">
        <v>55</v>
      </c>
      <c r="AA33" s="53" t="s">
        <v>97</v>
      </c>
      <c r="AB33" s="127" t="s">
        <v>284</v>
      </c>
      <c r="AC33" s="34"/>
    </row>
    <row r="34" spans="1:29" x14ac:dyDescent="0.15">
      <c r="A34" s="127" t="s">
        <v>61</v>
      </c>
      <c r="B34" s="127" t="s">
        <v>232</v>
      </c>
      <c r="C34" s="127">
        <v>2019</v>
      </c>
      <c r="D34" s="128" t="s">
        <v>313</v>
      </c>
      <c r="E34" s="127" t="s">
        <v>291</v>
      </c>
      <c r="F34" s="127" t="s">
        <v>292</v>
      </c>
      <c r="G34" s="127" t="s">
        <v>42</v>
      </c>
      <c r="H34" s="53" t="s">
        <v>160</v>
      </c>
      <c r="I34" s="53" t="s">
        <v>159</v>
      </c>
      <c r="J34" s="127" t="s">
        <v>38</v>
      </c>
      <c r="K34" s="53" t="s">
        <v>161</v>
      </c>
      <c r="L34" s="53">
        <v>3</v>
      </c>
      <c r="N34" s="53">
        <v>1</v>
      </c>
      <c r="O34" s="34">
        <v>0.5</v>
      </c>
      <c r="P34" s="53">
        <v>0.95</v>
      </c>
      <c r="Q34" s="74">
        <f t="shared" si="0"/>
        <v>0.72499999999999998</v>
      </c>
      <c r="R34" s="53">
        <v>17.7</v>
      </c>
      <c r="S34" s="53">
        <v>148</v>
      </c>
      <c r="T34" s="16">
        <f t="shared" si="1"/>
        <v>22</v>
      </c>
      <c r="U34" s="53">
        <v>105</v>
      </c>
      <c r="V34" s="129">
        <f t="shared" si="2"/>
        <v>2310</v>
      </c>
      <c r="W34" s="53">
        <v>14</v>
      </c>
      <c r="X34" s="127" t="s">
        <v>46</v>
      </c>
      <c r="Y34" s="53" t="s">
        <v>69</v>
      </c>
      <c r="Z34" s="53" t="s">
        <v>55</v>
      </c>
      <c r="AA34" s="53" t="s">
        <v>97</v>
      </c>
      <c r="AB34" s="127" t="s">
        <v>284</v>
      </c>
      <c r="AC34" s="34"/>
    </row>
    <row r="35" spans="1:29" x14ac:dyDescent="0.15">
      <c r="A35" s="127" t="s">
        <v>61</v>
      </c>
      <c r="B35" s="127" t="s">
        <v>232</v>
      </c>
      <c r="C35" s="127">
        <v>2019</v>
      </c>
      <c r="D35" s="128" t="s">
        <v>313</v>
      </c>
      <c r="E35" s="127" t="s">
        <v>291</v>
      </c>
      <c r="F35" s="127" t="s">
        <v>292</v>
      </c>
      <c r="G35" s="127" t="s">
        <v>42</v>
      </c>
      <c r="H35" s="53" t="s">
        <v>160</v>
      </c>
      <c r="I35" s="53" t="s">
        <v>165</v>
      </c>
      <c r="J35" s="127" t="s">
        <v>38</v>
      </c>
      <c r="K35" s="53" t="s">
        <v>161</v>
      </c>
      <c r="L35" s="53">
        <v>1</v>
      </c>
      <c r="N35" s="53">
        <v>1</v>
      </c>
      <c r="O35" s="34">
        <v>0.5</v>
      </c>
      <c r="P35" s="53">
        <v>0.5</v>
      </c>
      <c r="Q35" s="74">
        <f t="shared" si="0"/>
        <v>0.5</v>
      </c>
      <c r="R35" s="53">
        <v>18.399999999999999</v>
      </c>
      <c r="S35" s="53">
        <v>119</v>
      </c>
      <c r="T35" s="16">
        <f t="shared" si="1"/>
        <v>30</v>
      </c>
      <c r="U35" s="53">
        <v>138</v>
      </c>
      <c r="V35" s="129">
        <f t="shared" si="2"/>
        <v>4140</v>
      </c>
      <c r="W35" s="53">
        <v>14</v>
      </c>
      <c r="X35" s="127" t="s">
        <v>46</v>
      </c>
      <c r="Y35" s="53" t="s">
        <v>69</v>
      </c>
      <c r="Z35" s="53" t="s">
        <v>55</v>
      </c>
      <c r="AA35" s="53" t="s">
        <v>97</v>
      </c>
      <c r="AB35" s="127" t="s">
        <v>284</v>
      </c>
      <c r="AC35" s="34"/>
    </row>
    <row r="36" spans="1:29" x14ac:dyDescent="0.15">
      <c r="A36" s="127" t="s">
        <v>61</v>
      </c>
      <c r="B36" s="127" t="s">
        <v>232</v>
      </c>
      <c r="C36" s="127">
        <v>2019</v>
      </c>
      <c r="D36" s="128" t="s">
        <v>313</v>
      </c>
      <c r="E36" s="127" t="s">
        <v>291</v>
      </c>
      <c r="F36" s="127" t="s">
        <v>292</v>
      </c>
      <c r="G36" s="127" t="s">
        <v>42</v>
      </c>
      <c r="H36" s="53" t="s">
        <v>160</v>
      </c>
      <c r="I36" s="53" t="s">
        <v>165</v>
      </c>
      <c r="J36" s="127" t="s">
        <v>38</v>
      </c>
      <c r="K36" s="53" t="s">
        <v>161</v>
      </c>
      <c r="L36" s="53">
        <v>2</v>
      </c>
      <c r="N36" s="53">
        <v>1</v>
      </c>
      <c r="O36" s="34">
        <v>0.5</v>
      </c>
      <c r="P36" s="53">
        <v>0.65</v>
      </c>
      <c r="Q36" s="74">
        <f t="shared" si="0"/>
        <v>0.57499999999999996</v>
      </c>
      <c r="R36" s="53">
        <v>18.100000000000001</v>
      </c>
      <c r="S36" s="53">
        <v>122</v>
      </c>
      <c r="T36" s="16">
        <f t="shared" si="1"/>
        <v>27</v>
      </c>
      <c r="U36" s="53">
        <v>138</v>
      </c>
      <c r="V36" s="129">
        <f t="shared" si="2"/>
        <v>3726</v>
      </c>
      <c r="W36" s="53">
        <v>14</v>
      </c>
      <c r="X36" s="127" t="s">
        <v>46</v>
      </c>
      <c r="Y36" s="53" t="s">
        <v>69</v>
      </c>
      <c r="Z36" s="53" t="s">
        <v>55</v>
      </c>
      <c r="AA36" s="53" t="s">
        <v>97</v>
      </c>
      <c r="AB36" s="127" t="s">
        <v>284</v>
      </c>
      <c r="AC36" s="34"/>
    </row>
    <row r="37" spans="1:29" x14ac:dyDescent="0.15">
      <c r="A37" s="127" t="s">
        <v>61</v>
      </c>
      <c r="B37" s="127" t="s">
        <v>232</v>
      </c>
      <c r="C37" s="127">
        <v>2019</v>
      </c>
      <c r="D37" s="128" t="s">
        <v>313</v>
      </c>
      <c r="E37" s="127" t="s">
        <v>291</v>
      </c>
      <c r="F37" s="127" t="s">
        <v>292</v>
      </c>
      <c r="G37" s="127" t="s">
        <v>42</v>
      </c>
      <c r="H37" s="53" t="s">
        <v>160</v>
      </c>
      <c r="I37" s="53" t="s">
        <v>165</v>
      </c>
      <c r="J37" s="127" t="s">
        <v>38</v>
      </c>
      <c r="K37" s="53" t="s">
        <v>161</v>
      </c>
      <c r="L37" s="53">
        <v>3</v>
      </c>
      <c r="N37" s="53">
        <v>1</v>
      </c>
      <c r="O37" s="34">
        <v>0.5</v>
      </c>
      <c r="P37" s="53">
        <v>0.6</v>
      </c>
      <c r="Q37" s="74">
        <f t="shared" si="0"/>
        <v>0.55000000000000004</v>
      </c>
      <c r="R37" s="53">
        <v>17.5</v>
      </c>
      <c r="S37" s="53">
        <v>121</v>
      </c>
      <c r="T37" s="16">
        <f t="shared" si="1"/>
        <v>27</v>
      </c>
      <c r="U37" s="53">
        <v>138</v>
      </c>
      <c r="V37" s="129">
        <f t="shared" si="2"/>
        <v>3726</v>
      </c>
      <c r="W37" s="53">
        <v>14</v>
      </c>
      <c r="X37" s="127" t="s">
        <v>46</v>
      </c>
      <c r="Y37" s="53" t="s">
        <v>69</v>
      </c>
      <c r="Z37" s="53" t="s">
        <v>55</v>
      </c>
      <c r="AA37" s="53" t="s">
        <v>97</v>
      </c>
      <c r="AB37" s="127" t="s">
        <v>284</v>
      </c>
      <c r="AC37" s="34"/>
    </row>
    <row r="38" spans="1:29" x14ac:dyDescent="0.15">
      <c r="A38" s="127" t="s">
        <v>61</v>
      </c>
      <c r="B38" s="127" t="s">
        <v>232</v>
      </c>
      <c r="C38" s="127">
        <v>2019</v>
      </c>
      <c r="D38" s="128" t="s">
        <v>313</v>
      </c>
      <c r="E38" s="127" t="s">
        <v>293</v>
      </c>
      <c r="F38" s="127" t="s">
        <v>294</v>
      </c>
      <c r="G38" s="127" t="s">
        <v>42</v>
      </c>
      <c r="H38" s="53" t="s">
        <v>160</v>
      </c>
      <c r="I38" s="53" t="s">
        <v>159</v>
      </c>
      <c r="J38" s="127" t="s">
        <v>38</v>
      </c>
      <c r="K38" s="53" t="s">
        <v>161</v>
      </c>
      <c r="L38" s="53">
        <v>1</v>
      </c>
      <c r="N38" s="53">
        <v>4</v>
      </c>
      <c r="O38" s="34">
        <v>1.25</v>
      </c>
      <c r="P38" s="53">
        <v>1</v>
      </c>
      <c r="Q38" s="74">
        <f t="shared" si="0"/>
        <v>1.125</v>
      </c>
      <c r="R38" s="53">
        <v>16.2</v>
      </c>
      <c r="S38" s="53">
        <v>110</v>
      </c>
      <c r="T38" s="16">
        <f t="shared" si="1"/>
        <v>33</v>
      </c>
      <c r="U38" s="53">
        <v>398</v>
      </c>
      <c r="V38" s="129">
        <f t="shared" si="2"/>
        <v>3283.5</v>
      </c>
      <c r="W38" s="53">
        <v>12</v>
      </c>
      <c r="X38" s="127" t="s">
        <v>46</v>
      </c>
      <c r="Y38" s="53" t="s">
        <v>47</v>
      </c>
      <c r="Z38" s="53" t="s">
        <v>97</v>
      </c>
      <c r="AA38" s="53" t="s">
        <v>55</v>
      </c>
      <c r="AB38" s="127" t="s">
        <v>284</v>
      </c>
      <c r="AC38" s="34"/>
    </row>
    <row r="39" spans="1:29" x14ac:dyDescent="0.15">
      <c r="A39" s="127" t="s">
        <v>61</v>
      </c>
      <c r="B39" s="127" t="s">
        <v>232</v>
      </c>
      <c r="C39" s="127">
        <v>2019</v>
      </c>
      <c r="D39" s="128" t="s">
        <v>313</v>
      </c>
      <c r="E39" s="127" t="s">
        <v>293</v>
      </c>
      <c r="F39" s="127" t="s">
        <v>294</v>
      </c>
      <c r="G39" s="127" t="s">
        <v>42</v>
      </c>
      <c r="H39" s="53" t="s">
        <v>160</v>
      </c>
      <c r="I39" s="53" t="s">
        <v>159</v>
      </c>
      <c r="J39" s="127" t="s">
        <v>38</v>
      </c>
      <c r="K39" s="53" t="s">
        <v>161</v>
      </c>
      <c r="L39" s="53">
        <v>2</v>
      </c>
      <c r="N39" s="53">
        <v>4</v>
      </c>
      <c r="O39" s="34">
        <v>0.75</v>
      </c>
      <c r="P39" s="53">
        <v>1.25</v>
      </c>
      <c r="Q39" s="74">
        <f t="shared" si="0"/>
        <v>1</v>
      </c>
      <c r="R39" s="53">
        <v>13.9</v>
      </c>
      <c r="S39" s="53">
        <v>113</v>
      </c>
      <c r="T39" s="16">
        <f t="shared" si="1"/>
        <v>30</v>
      </c>
      <c r="U39" s="53">
        <v>398</v>
      </c>
      <c r="V39" s="129">
        <f t="shared" si="2"/>
        <v>2985</v>
      </c>
      <c r="W39" s="53">
        <v>12</v>
      </c>
      <c r="X39" s="127" t="s">
        <v>46</v>
      </c>
      <c r="Y39" s="53" t="s">
        <v>47</v>
      </c>
      <c r="Z39" s="53" t="s">
        <v>97</v>
      </c>
      <c r="AA39" s="53" t="s">
        <v>55</v>
      </c>
      <c r="AB39" s="127" t="s">
        <v>284</v>
      </c>
      <c r="AC39" s="34"/>
    </row>
    <row r="40" spans="1:29" x14ac:dyDescent="0.15">
      <c r="A40" s="127" t="s">
        <v>61</v>
      </c>
      <c r="B40" s="127" t="s">
        <v>232</v>
      </c>
      <c r="C40" s="127">
        <v>2019</v>
      </c>
      <c r="D40" s="128" t="s">
        <v>313</v>
      </c>
      <c r="E40" s="127" t="s">
        <v>293</v>
      </c>
      <c r="F40" s="127" t="s">
        <v>294</v>
      </c>
      <c r="G40" s="127" t="s">
        <v>42</v>
      </c>
      <c r="H40" s="53" t="s">
        <v>160</v>
      </c>
      <c r="I40" s="53" t="s">
        <v>159</v>
      </c>
      <c r="J40" s="127" t="s">
        <v>38</v>
      </c>
      <c r="K40" s="53" t="s">
        <v>161</v>
      </c>
      <c r="L40" s="53">
        <v>3</v>
      </c>
      <c r="N40" s="53">
        <v>4</v>
      </c>
      <c r="O40" s="34">
        <v>0.8</v>
      </c>
      <c r="P40" s="53">
        <v>0.95</v>
      </c>
      <c r="Q40" s="74">
        <f t="shared" si="0"/>
        <v>0.875</v>
      </c>
      <c r="R40" s="53">
        <v>17.100000000000001</v>
      </c>
      <c r="S40" s="53">
        <v>109</v>
      </c>
      <c r="T40" s="16">
        <f t="shared" si="1"/>
        <v>33</v>
      </c>
      <c r="U40" s="53">
        <v>398</v>
      </c>
      <c r="V40" s="129">
        <f t="shared" si="2"/>
        <v>3283.5</v>
      </c>
      <c r="W40" s="53">
        <v>12</v>
      </c>
      <c r="X40" s="127" t="s">
        <v>46</v>
      </c>
      <c r="Y40" s="53" t="s">
        <v>47</v>
      </c>
      <c r="Z40" s="53" t="s">
        <v>97</v>
      </c>
      <c r="AA40" s="53" t="s">
        <v>55</v>
      </c>
      <c r="AB40" s="127" t="s">
        <v>284</v>
      </c>
      <c r="AC40" s="34"/>
    </row>
    <row r="41" spans="1:29" x14ac:dyDescent="0.15">
      <c r="A41" s="127" t="s">
        <v>61</v>
      </c>
      <c r="B41" s="127" t="s">
        <v>232</v>
      </c>
      <c r="C41" s="127">
        <v>2019</v>
      </c>
      <c r="D41" s="128" t="s">
        <v>313</v>
      </c>
      <c r="E41" s="127" t="s">
        <v>293</v>
      </c>
      <c r="F41" s="127" t="s">
        <v>294</v>
      </c>
      <c r="G41" s="127" t="s">
        <v>42</v>
      </c>
      <c r="H41" s="53" t="s">
        <v>160</v>
      </c>
      <c r="I41" s="53" t="s">
        <v>159</v>
      </c>
      <c r="J41" s="127" t="s">
        <v>38</v>
      </c>
      <c r="K41" s="53" t="s">
        <v>161</v>
      </c>
      <c r="L41" s="53">
        <v>1</v>
      </c>
      <c r="N41" s="53">
        <v>3</v>
      </c>
      <c r="O41" s="34">
        <v>0.75</v>
      </c>
      <c r="P41" s="53">
        <v>0.65</v>
      </c>
      <c r="Q41" s="74">
        <f t="shared" si="0"/>
        <v>0.7</v>
      </c>
      <c r="R41" s="53">
        <v>18.2</v>
      </c>
      <c r="S41" s="53">
        <v>133</v>
      </c>
      <c r="T41" s="16">
        <f t="shared" si="1"/>
        <v>25</v>
      </c>
      <c r="U41" s="53">
        <v>398</v>
      </c>
      <c r="V41" s="129">
        <f t="shared" si="2"/>
        <v>3316.6666666666665</v>
      </c>
      <c r="W41" s="53">
        <v>12</v>
      </c>
      <c r="X41" s="127" t="s">
        <v>46</v>
      </c>
      <c r="Y41" s="53" t="s">
        <v>47</v>
      </c>
      <c r="Z41" s="53" t="s">
        <v>97</v>
      </c>
      <c r="AA41" s="53" t="s">
        <v>55</v>
      </c>
      <c r="AB41" s="127" t="s">
        <v>284</v>
      </c>
      <c r="AC41" s="34"/>
    </row>
    <row r="42" spans="1:29" x14ac:dyDescent="0.15">
      <c r="A42" s="127" t="s">
        <v>61</v>
      </c>
      <c r="B42" s="127" t="s">
        <v>232</v>
      </c>
      <c r="C42" s="127">
        <v>2019</v>
      </c>
      <c r="D42" s="128" t="s">
        <v>313</v>
      </c>
      <c r="E42" s="127" t="s">
        <v>293</v>
      </c>
      <c r="F42" s="127" t="s">
        <v>294</v>
      </c>
      <c r="G42" s="127" t="s">
        <v>42</v>
      </c>
      <c r="H42" s="53" t="s">
        <v>160</v>
      </c>
      <c r="I42" s="53" t="s">
        <v>159</v>
      </c>
      <c r="J42" s="127" t="s">
        <v>38</v>
      </c>
      <c r="K42" s="53" t="s">
        <v>161</v>
      </c>
      <c r="L42" s="53">
        <v>2</v>
      </c>
      <c r="N42" s="53">
        <v>3</v>
      </c>
      <c r="O42" s="34">
        <v>1</v>
      </c>
      <c r="P42" s="53">
        <v>1.2</v>
      </c>
      <c r="Q42" s="74">
        <f t="shared" si="0"/>
        <v>1.1000000000000001</v>
      </c>
      <c r="R42" s="53">
        <v>17.399999999999999</v>
      </c>
      <c r="S42" s="53">
        <v>136</v>
      </c>
      <c r="T42" s="16">
        <f t="shared" si="1"/>
        <v>25</v>
      </c>
      <c r="U42" s="53">
        <v>398</v>
      </c>
      <c r="V42" s="129">
        <f t="shared" si="2"/>
        <v>3316.6666666666665</v>
      </c>
      <c r="W42" s="53">
        <v>12</v>
      </c>
      <c r="X42" s="127" t="s">
        <v>46</v>
      </c>
      <c r="Y42" s="53" t="s">
        <v>47</v>
      </c>
      <c r="Z42" s="53" t="s">
        <v>97</v>
      </c>
      <c r="AA42" s="53" t="s">
        <v>55</v>
      </c>
      <c r="AB42" s="127" t="s">
        <v>284</v>
      </c>
      <c r="AC42" s="34"/>
    </row>
    <row r="43" spans="1:29" x14ac:dyDescent="0.15">
      <c r="A43" s="127" t="s">
        <v>61</v>
      </c>
      <c r="B43" s="127" t="s">
        <v>232</v>
      </c>
      <c r="C43" s="127">
        <v>2019</v>
      </c>
      <c r="D43" s="128" t="s">
        <v>313</v>
      </c>
      <c r="E43" s="127" t="s">
        <v>293</v>
      </c>
      <c r="F43" s="127" t="s">
        <v>294</v>
      </c>
      <c r="G43" s="127" t="s">
        <v>42</v>
      </c>
      <c r="H43" s="53" t="s">
        <v>160</v>
      </c>
      <c r="I43" s="53" t="s">
        <v>159</v>
      </c>
      <c r="J43" s="127" t="s">
        <v>38</v>
      </c>
      <c r="K43" s="53" t="s">
        <v>161</v>
      </c>
      <c r="L43" s="53">
        <v>3</v>
      </c>
      <c r="N43" s="53">
        <v>3</v>
      </c>
      <c r="O43" s="53">
        <v>0.95</v>
      </c>
      <c r="P43" s="53">
        <v>0.85</v>
      </c>
      <c r="Q43" s="74">
        <f t="shared" si="0"/>
        <v>0.89999999999999991</v>
      </c>
      <c r="R43" s="53">
        <v>18.100000000000001</v>
      </c>
      <c r="S43" s="53">
        <v>131</v>
      </c>
      <c r="T43" s="16">
        <f t="shared" si="1"/>
        <v>25</v>
      </c>
      <c r="U43" s="53">
        <v>398</v>
      </c>
      <c r="V43" s="129">
        <f t="shared" si="2"/>
        <v>3316.6666666666665</v>
      </c>
      <c r="W43" s="53">
        <v>12</v>
      </c>
      <c r="X43" s="127" t="s">
        <v>46</v>
      </c>
      <c r="Y43" s="53" t="s">
        <v>47</v>
      </c>
      <c r="Z43" s="53" t="s">
        <v>97</v>
      </c>
      <c r="AA43" s="53" t="s">
        <v>55</v>
      </c>
      <c r="AB43" s="127" t="s">
        <v>284</v>
      </c>
      <c r="AC43" s="34"/>
    </row>
    <row r="44" spans="1:29" x14ac:dyDescent="0.15">
      <c r="A44" s="127" t="s">
        <v>61</v>
      </c>
      <c r="B44" s="127" t="s">
        <v>232</v>
      </c>
      <c r="C44" s="127">
        <v>2019</v>
      </c>
      <c r="D44" s="128" t="s">
        <v>313</v>
      </c>
      <c r="E44" s="127" t="s">
        <v>295</v>
      </c>
      <c r="F44" s="127" t="s">
        <v>296</v>
      </c>
      <c r="G44" s="127" t="s">
        <v>42</v>
      </c>
      <c r="H44" s="53" t="s">
        <v>199</v>
      </c>
      <c r="I44" s="53" t="s">
        <v>159</v>
      </c>
      <c r="J44" s="127" t="s">
        <v>38</v>
      </c>
      <c r="K44" s="53" t="s">
        <v>161</v>
      </c>
      <c r="L44" s="53">
        <v>1</v>
      </c>
      <c r="N44" s="53">
        <v>4</v>
      </c>
      <c r="O44" s="34">
        <v>0.5</v>
      </c>
      <c r="P44" s="53">
        <v>0.5</v>
      </c>
      <c r="Q44" s="74">
        <f t="shared" si="0"/>
        <v>0.5</v>
      </c>
      <c r="R44" s="53">
        <v>19.2</v>
      </c>
      <c r="S44" s="53">
        <v>82</v>
      </c>
      <c r="T44" s="16">
        <f t="shared" si="1"/>
        <v>39</v>
      </c>
      <c r="U44" s="53">
        <v>213</v>
      </c>
      <c r="V44" s="129">
        <f t="shared" si="2"/>
        <v>2076.75</v>
      </c>
      <c r="W44" s="53">
        <v>14</v>
      </c>
      <c r="X44" s="127" t="s">
        <v>46</v>
      </c>
      <c r="Y44" s="53" t="s">
        <v>97</v>
      </c>
      <c r="Z44" s="53" t="s">
        <v>55</v>
      </c>
      <c r="AA44" s="53" t="s">
        <v>47</v>
      </c>
      <c r="AB44" s="127" t="s">
        <v>284</v>
      </c>
    </row>
    <row r="45" spans="1:29" x14ac:dyDescent="0.15">
      <c r="A45" s="127" t="s">
        <v>61</v>
      </c>
      <c r="B45" s="127" t="s">
        <v>232</v>
      </c>
      <c r="C45" s="127">
        <v>2020</v>
      </c>
      <c r="D45" s="128" t="s">
        <v>313</v>
      </c>
      <c r="E45" s="127" t="s">
        <v>295</v>
      </c>
      <c r="F45" s="127" t="s">
        <v>296</v>
      </c>
      <c r="G45" s="127" t="s">
        <v>42</v>
      </c>
      <c r="H45" s="53" t="s">
        <v>199</v>
      </c>
      <c r="I45" s="53" t="s">
        <v>159</v>
      </c>
      <c r="J45" s="127" t="s">
        <v>38</v>
      </c>
      <c r="K45" s="53" t="s">
        <v>161</v>
      </c>
      <c r="L45" s="53">
        <v>2</v>
      </c>
      <c r="N45" s="53">
        <v>4</v>
      </c>
      <c r="O45" s="34">
        <v>0.5</v>
      </c>
      <c r="P45" s="53">
        <v>0.5</v>
      </c>
      <c r="Q45" s="74">
        <f t="shared" si="0"/>
        <v>0.5</v>
      </c>
      <c r="R45" s="53">
        <v>18.899999999999999</v>
      </c>
      <c r="S45" s="53">
        <v>73</v>
      </c>
      <c r="T45" s="16">
        <f t="shared" si="1"/>
        <v>42</v>
      </c>
      <c r="U45" s="53">
        <v>213</v>
      </c>
      <c r="V45" s="129">
        <f t="shared" si="2"/>
        <v>2236.5</v>
      </c>
      <c r="W45" s="53">
        <v>14</v>
      </c>
      <c r="X45" s="127" t="s">
        <v>46</v>
      </c>
      <c r="Y45" s="53" t="s">
        <v>97</v>
      </c>
      <c r="Z45" s="53" t="s">
        <v>55</v>
      </c>
      <c r="AA45" s="53" t="s">
        <v>47</v>
      </c>
      <c r="AB45" s="127" t="s">
        <v>284</v>
      </c>
    </row>
    <row r="46" spans="1:29" x14ac:dyDescent="0.15">
      <c r="A46" s="127" t="s">
        <v>61</v>
      </c>
      <c r="B46" s="127" t="s">
        <v>232</v>
      </c>
      <c r="C46" s="127">
        <v>2021</v>
      </c>
      <c r="D46" s="128" t="s">
        <v>313</v>
      </c>
      <c r="E46" s="127" t="s">
        <v>295</v>
      </c>
      <c r="F46" s="127" t="s">
        <v>296</v>
      </c>
      <c r="G46" s="127" t="s">
        <v>42</v>
      </c>
      <c r="H46" s="53" t="s">
        <v>199</v>
      </c>
      <c r="I46" s="53" t="s">
        <v>159</v>
      </c>
      <c r="J46" s="127" t="s">
        <v>38</v>
      </c>
      <c r="K46" s="53" t="s">
        <v>161</v>
      </c>
      <c r="L46" s="53">
        <v>3</v>
      </c>
      <c r="N46" s="53">
        <v>4</v>
      </c>
      <c r="O46" s="34">
        <v>0.5</v>
      </c>
      <c r="P46" s="53">
        <v>0.5</v>
      </c>
      <c r="Q46" s="74">
        <f t="shared" si="0"/>
        <v>0.5</v>
      </c>
      <c r="R46" s="53">
        <v>18.8</v>
      </c>
      <c r="S46" s="53">
        <v>76</v>
      </c>
      <c r="T46" s="16">
        <f t="shared" si="1"/>
        <v>39</v>
      </c>
      <c r="U46" s="53">
        <v>213</v>
      </c>
      <c r="V46" s="129">
        <f t="shared" si="2"/>
        <v>2076.75</v>
      </c>
      <c r="W46" s="53">
        <v>14</v>
      </c>
      <c r="X46" s="127" t="s">
        <v>46</v>
      </c>
      <c r="Y46" s="53" t="s">
        <v>97</v>
      </c>
      <c r="Z46" s="53" t="s">
        <v>55</v>
      </c>
      <c r="AA46" s="53" t="s">
        <v>47</v>
      </c>
      <c r="AB46" s="127" t="s">
        <v>284</v>
      </c>
    </row>
    <row r="47" spans="1:29" x14ac:dyDescent="0.15">
      <c r="A47" s="127" t="s">
        <v>61</v>
      </c>
      <c r="B47" s="127" t="s">
        <v>232</v>
      </c>
      <c r="C47" s="127">
        <v>2022</v>
      </c>
      <c r="D47" s="128" t="s">
        <v>313</v>
      </c>
      <c r="E47" s="127" t="s">
        <v>295</v>
      </c>
      <c r="F47" s="127" t="s">
        <v>296</v>
      </c>
      <c r="G47" s="127" t="s">
        <v>42</v>
      </c>
      <c r="H47" s="53" t="s">
        <v>160</v>
      </c>
      <c r="I47" s="53" t="s">
        <v>159</v>
      </c>
      <c r="J47" s="127" t="s">
        <v>38</v>
      </c>
      <c r="K47" s="53" t="s">
        <v>161</v>
      </c>
      <c r="L47" s="53">
        <v>1</v>
      </c>
      <c r="N47" s="53">
        <v>1</v>
      </c>
      <c r="O47" s="34">
        <v>1</v>
      </c>
      <c r="P47" s="53">
        <v>0.75</v>
      </c>
      <c r="Q47" s="74">
        <f t="shared" si="0"/>
        <v>0.875</v>
      </c>
      <c r="R47" s="53">
        <v>17.3</v>
      </c>
      <c r="S47" s="53">
        <v>111</v>
      </c>
      <c r="T47" s="16">
        <f t="shared" si="1"/>
        <v>33</v>
      </c>
      <c r="U47" s="53">
        <v>116</v>
      </c>
      <c r="V47" s="129">
        <f t="shared" si="2"/>
        <v>3828</v>
      </c>
      <c r="W47" s="53">
        <v>14</v>
      </c>
      <c r="X47" s="127" t="s">
        <v>46</v>
      </c>
      <c r="Y47" s="53" t="s">
        <v>97</v>
      </c>
      <c r="Z47" s="53" t="s">
        <v>55</v>
      </c>
      <c r="AA47" s="53" t="s">
        <v>47</v>
      </c>
      <c r="AB47" s="127" t="s">
        <v>284</v>
      </c>
      <c r="AC47" s="34"/>
    </row>
    <row r="48" spans="1:29" x14ac:dyDescent="0.15">
      <c r="A48" s="127" t="s">
        <v>61</v>
      </c>
      <c r="B48" s="127" t="s">
        <v>232</v>
      </c>
      <c r="C48" s="127">
        <v>2023</v>
      </c>
      <c r="D48" s="128" t="s">
        <v>313</v>
      </c>
      <c r="E48" s="127" t="s">
        <v>295</v>
      </c>
      <c r="F48" s="127" t="s">
        <v>296</v>
      </c>
      <c r="G48" s="127" t="s">
        <v>42</v>
      </c>
      <c r="H48" s="53" t="s">
        <v>160</v>
      </c>
      <c r="I48" s="53" t="s">
        <v>159</v>
      </c>
      <c r="J48" s="127" t="s">
        <v>38</v>
      </c>
      <c r="K48" s="53" t="s">
        <v>161</v>
      </c>
      <c r="L48" s="53">
        <v>2</v>
      </c>
      <c r="N48" s="53">
        <v>1</v>
      </c>
      <c r="O48" s="34">
        <v>1.05</v>
      </c>
      <c r="P48" s="53">
        <v>1.25</v>
      </c>
      <c r="Q48" s="74">
        <f t="shared" si="0"/>
        <v>1.1499999999999999</v>
      </c>
      <c r="R48" s="53">
        <v>17.2</v>
      </c>
      <c r="S48" s="53">
        <v>107</v>
      </c>
      <c r="T48" s="16">
        <f t="shared" si="1"/>
        <v>33</v>
      </c>
      <c r="U48" s="53">
        <v>116</v>
      </c>
      <c r="V48" s="129">
        <f t="shared" si="2"/>
        <v>3828</v>
      </c>
      <c r="W48" s="53">
        <v>14</v>
      </c>
      <c r="X48" s="127" t="s">
        <v>46</v>
      </c>
      <c r="Y48" s="53" t="s">
        <v>97</v>
      </c>
      <c r="Z48" s="53" t="s">
        <v>55</v>
      </c>
      <c r="AA48" s="53" t="s">
        <v>47</v>
      </c>
      <c r="AB48" s="127" t="s">
        <v>284</v>
      </c>
      <c r="AC48" s="34"/>
    </row>
    <row r="49" spans="1:29" x14ac:dyDescent="0.15">
      <c r="A49" s="127" t="s">
        <v>61</v>
      </c>
      <c r="B49" s="127" t="s">
        <v>232</v>
      </c>
      <c r="C49" s="127">
        <v>2024</v>
      </c>
      <c r="D49" s="128" t="s">
        <v>313</v>
      </c>
      <c r="E49" s="127" t="s">
        <v>295</v>
      </c>
      <c r="F49" s="127" t="s">
        <v>296</v>
      </c>
      <c r="G49" s="127" t="s">
        <v>42</v>
      </c>
      <c r="H49" s="53" t="s">
        <v>160</v>
      </c>
      <c r="I49" s="53" t="s">
        <v>159</v>
      </c>
      <c r="J49" s="127" t="s">
        <v>38</v>
      </c>
      <c r="K49" s="53" t="s">
        <v>161</v>
      </c>
      <c r="L49" s="53">
        <v>3</v>
      </c>
      <c r="N49" s="53">
        <v>1</v>
      </c>
      <c r="O49" s="34">
        <v>1.1000000000000001</v>
      </c>
      <c r="P49" s="53">
        <v>1.1499999999999999</v>
      </c>
      <c r="Q49" s="74">
        <f t="shared" si="0"/>
        <v>1.125</v>
      </c>
      <c r="R49" s="34">
        <v>17.600000000000001</v>
      </c>
      <c r="S49" s="53">
        <v>113</v>
      </c>
      <c r="T49" s="16">
        <f t="shared" si="1"/>
        <v>30</v>
      </c>
      <c r="U49" s="53">
        <v>116</v>
      </c>
      <c r="V49" s="129">
        <f t="shared" si="2"/>
        <v>3480</v>
      </c>
      <c r="W49" s="53">
        <v>14</v>
      </c>
      <c r="X49" s="127" t="s">
        <v>46</v>
      </c>
      <c r="Y49" s="53" t="s">
        <v>97</v>
      </c>
      <c r="Z49" s="53" t="s">
        <v>55</v>
      </c>
      <c r="AA49" s="53" t="s">
        <v>47</v>
      </c>
      <c r="AB49" s="127" t="s">
        <v>284</v>
      </c>
      <c r="AC49" s="34"/>
    </row>
    <row r="50" spans="1:29" x14ac:dyDescent="0.15">
      <c r="A50" s="127" t="s">
        <v>61</v>
      </c>
      <c r="B50" s="127" t="s">
        <v>232</v>
      </c>
      <c r="C50" s="127">
        <v>2019</v>
      </c>
      <c r="D50" s="128" t="s">
        <v>313</v>
      </c>
      <c r="E50" s="127" t="s">
        <v>133</v>
      </c>
      <c r="F50" s="127" t="s">
        <v>297</v>
      </c>
      <c r="G50" s="127" t="s">
        <v>42</v>
      </c>
      <c r="H50" s="53" t="s">
        <v>164</v>
      </c>
      <c r="I50" s="53" t="s">
        <v>159</v>
      </c>
      <c r="J50" s="127" t="s">
        <v>38</v>
      </c>
      <c r="K50" s="53" t="s">
        <v>161</v>
      </c>
      <c r="L50" s="53">
        <v>1</v>
      </c>
      <c r="N50" s="53">
        <v>1</v>
      </c>
      <c r="O50" s="53">
        <v>0.9</v>
      </c>
      <c r="P50" s="53">
        <v>0.7</v>
      </c>
      <c r="Q50" s="74">
        <f t="shared" si="0"/>
        <v>0.8</v>
      </c>
      <c r="R50" s="53">
        <v>17.100000000000001</v>
      </c>
      <c r="S50" s="53">
        <v>118</v>
      </c>
      <c r="T50" s="16">
        <f t="shared" si="1"/>
        <v>30</v>
      </c>
      <c r="U50" s="53">
        <v>98</v>
      </c>
      <c r="V50" s="129">
        <f t="shared" si="2"/>
        <v>2940</v>
      </c>
      <c r="W50" s="53">
        <v>20</v>
      </c>
      <c r="X50" s="127" t="s">
        <v>46</v>
      </c>
      <c r="Y50" s="53" t="s">
        <v>97</v>
      </c>
      <c r="Z50" s="53" t="s">
        <v>69</v>
      </c>
      <c r="AA50" s="53" t="s">
        <v>55</v>
      </c>
      <c r="AB50" s="127" t="s">
        <v>284</v>
      </c>
      <c r="AC50" s="34"/>
    </row>
    <row r="51" spans="1:29" x14ac:dyDescent="0.15">
      <c r="A51" s="127" t="s">
        <v>61</v>
      </c>
      <c r="B51" s="127" t="s">
        <v>232</v>
      </c>
      <c r="C51" s="127">
        <v>2019</v>
      </c>
      <c r="D51" s="128" t="s">
        <v>313</v>
      </c>
      <c r="E51" s="127" t="s">
        <v>133</v>
      </c>
      <c r="F51" s="127" t="s">
        <v>297</v>
      </c>
      <c r="G51" s="127" t="s">
        <v>42</v>
      </c>
      <c r="H51" s="53" t="s">
        <v>164</v>
      </c>
      <c r="I51" s="53" t="s">
        <v>159</v>
      </c>
      <c r="J51" s="127" t="s">
        <v>38</v>
      </c>
      <c r="K51" s="53" t="s">
        <v>161</v>
      </c>
      <c r="L51" s="53">
        <v>2</v>
      </c>
      <c r="N51" s="53">
        <v>1</v>
      </c>
      <c r="O51" s="53">
        <v>0.75</v>
      </c>
      <c r="P51" s="53">
        <v>0.5</v>
      </c>
      <c r="Q51" s="74">
        <f t="shared" si="0"/>
        <v>0.625</v>
      </c>
      <c r="R51" s="53">
        <v>17.3</v>
      </c>
      <c r="S51" s="53">
        <v>127</v>
      </c>
      <c r="T51" s="16">
        <f t="shared" si="1"/>
        <v>27</v>
      </c>
      <c r="U51" s="53">
        <v>98</v>
      </c>
      <c r="V51" s="129">
        <f t="shared" si="2"/>
        <v>2646</v>
      </c>
      <c r="W51" s="53">
        <v>20</v>
      </c>
      <c r="X51" s="127" t="s">
        <v>46</v>
      </c>
      <c r="Y51" s="53" t="s">
        <v>97</v>
      </c>
      <c r="Z51" s="53" t="s">
        <v>69</v>
      </c>
      <c r="AA51" s="53" t="s">
        <v>55</v>
      </c>
      <c r="AB51" s="127" t="s">
        <v>284</v>
      </c>
      <c r="AC51" s="34"/>
    </row>
    <row r="52" spans="1:29" x14ac:dyDescent="0.15">
      <c r="A52" s="127" t="s">
        <v>61</v>
      </c>
      <c r="B52" s="127" t="s">
        <v>232</v>
      </c>
      <c r="C52" s="127">
        <v>2019</v>
      </c>
      <c r="D52" s="128" t="s">
        <v>313</v>
      </c>
      <c r="E52" s="127" t="s">
        <v>133</v>
      </c>
      <c r="F52" s="127" t="s">
        <v>297</v>
      </c>
      <c r="G52" s="127" t="s">
        <v>42</v>
      </c>
      <c r="H52" s="53" t="s">
        <v>164</v>
      </c>
      <c r="I52" s="53" t="s">
        <v>159</v>
      </c>
      <c r="J52" s="127" t="s">
        <v>38</v>
      </c>
      <c r="K52" s="53" t="s">
        <v>161</v>
      </c>
      <c r="L52" s="53">
        <v>3</v>
      </c>
      <c r="N52" s="53">
        <v>1</v>
      </c>
      <c r="O52" s="53">
        <v>0.8</v>
      </c>
      <c r="P52" s="53">
        <v>0.7</v>
      </c>
      <c r="Q52" s="74">
        <f t="shared" si="0"/>
        <v>0.75</v>
      </c>
      <c r="R52" s="53">
        <v>17.5</v>
      </c>
      <c r="S52" s="53">
        <v>125</v>
      </c>
      <c r="T52" s="16">
        <f t="shared" si="1"/>
        <v>27</v>
      </c>
      <c r="U52" s="53">
        <v>98</v>
      </c>
      <c r="V52" s="129">
        <f t="shared" si="2"/>
        <v>2646</v>
      </c>
      <c r="W52" s="53">
        <v>20</v>
      </c>
      <c r="X52" s="127" t="s">
        <v>46</v>
      </c>
      <c r="Y52" s="53" t="s">
        <v>97</v>
      </c>
      <c r="Z52" s="53" t="s">
        <v>69</v>
      </c>
      <c r="AA52" s="53" t="s">
        <v>55</v>
      </c>
      <c r="AB52" s="127" t="s">
        <v>284</v>
      </c>
      <c r="AC52" s="34"/>
    </row>
    <row r="53" spans="1:29" x14ac:dyDescent="0.15">
      <c r="A53" s="127" t="s">
        <v>61</v>
      </c>
      <c r="B53" s="127" t="s">
        <v>232</v>
      </c>
      <c r="C53" s="127">
        <v>2019</v>
      </c>
      <c r="D53" s="128" t="s">
        <v>313</v>
      </c>
      <c r="E53" s="127" t="s">
        <v>133</v>
      </c>
      <c r="F53" s="127" t="s">
        <v>297</v>
      </c>
      <c r="G53" s="127" t="s">
        <v>42</v>
      </c>
      <c r="H53" s="53" t="s">
        <v>160</v>
      </c>
      <c r="I53" s="53" t="s">
        <v>159</v>
      </c>
      <c r="J53" s="127" t="s">
        <v>38</v>
      </c>
      <c r="K53" s="53" t="s">
        <v>161</v>
      </c>
      <c r="L53" s="53">
        <v>1</v>
      </c>
      <c r="N53" s="53">
        <v>1</v>
      </c>
      <c r="O53" s="53">
        <v>0.7</v>
      </c>
      <c r="P53" s="53">
        <v>0.85</v>
      </c>
      <c r="Q53" s="74">
        <f t="shared" si="0"/>
        <v>0.77499999999999991</v>
      </c>
      <c r="R53" s="53">
        <v>17.600000000000001</v>
      </c>
      <c r="S53" s="53">
        <v>148</v>
      </c>
      <c r="T53" s="16">
        <f t="shared" si="1"/>
        <v>22</v>
      </c>
      <c r="U53" s="53">
        <v>138</v>
      </c>
      <c r="V53" s="129">
        <f t="shared" si="2"/>
        <v>3036</v>
      </c>
      <c r="W53" s="53">
        <v>20</v>
      </c>
      <c r="X53" s="127" t="s">
        <v>46</v>
      </c>
      <c r="Y53" s="53" t="s">
        <v>97</v>
      </c>
      <c r="Z53" s="53" t="s">
        <v>69</v>
      </c>
      <c r="AA53" s="53" t="s">
        <v>55</v>
      </c>
      <c r="AB53" s="127" t="s">
        <v>284</v>
      </c>
      <c r="AC53" s="34"/>
    </row>
    <row r="54" spans="1:29" x14ac:dyDescent="0.15">
      <c r="A54" s="127" t="s">
        <v>61</v>
      </c>
      <c r="B54" s="127" t="s">
        <v>232</v>
      </c>
      <c r="C54" s="127">
        <v>2019</v>
      </c>
      <c r="D54" s="128" t="s">
        <v>313</v>
      </c>
      <c r="E54" s="127" t="s">
        <v>133</v>
      </c>
      <c r="F54" s="127" t="s">
        <v>297</v>
      </c>
      <c r="G54" s="127" t="s">
        <v>42</v>
      </c>
      <c r="H54" s="53" t="s">
        <v>160</v>
      </c>
      <c r="I54" s="53" t="s">
        <v>159</v>
      </c>
      <c r="J54" s="127" t="s">
        <v>38</v>
      </c>
      <c r="K54" s="53" t="s">
        <v>161</v>
      </c>
      <c r="L54" s="53">
        <v>2</v>
      </c>
      <c r="N54" s="53">
        <v>1</v>
      </c>
      <c r="O54" s="53">
        <v>0.7</v>
      </c>
      <c r="P54" s="53">
        <v>0.5</v>
      </c>
      <c r="Q54" s="74">
        <f t="shared" si="0"/>
        <v>0.6</v>
      </c>
      <c r="R54" s="53">
        <v>17.100000000000001</v>
      </c>
      <c r="S54" s="53">
        <v>149</v>
      </c>
      <c r="T54" s="16">
        <f t="shared" si="1"/>
        <v>22</v>
      </c>
      <c r="U54" s="53">
        <v>138</v>
      </c>
      <c r="V54" s="129">
        <f t="shared" si="2"/>
        <v>3036</v>
      </c>
      <c r="W54" s="53">
        <v>20</v>
      </c>
      <c r="X54" s="127" t="s">
        <v>46</v>
      </c>
      <c r="Y54" s="53" t="s">
        <v>97</v>
      </c>
      <c r="Z54" s="53" t="s">
        <v>69</v>
      </c>
      <c r="AA54" s="53" t="s">
        <v>55</v>
      </c>
      <c r="AB54" s="127" t="s">
        <v>284</v>
      </c>
      <c r="AC54" s="34"/>
    </row>
    <row r="55" spans="1:29" x14ac:dyDescent="0.15">
      <c r="A55" s="127" t="s">
        <v>61</v>
      </c>
      <c r="B55" s="127" t="s">
        <v>232</v>
      </c>
      <c r="C55" s="127">
        <v>2019</v>
      </c>
      <c r="D55" s="128" t="s">
        <v>313</v>
      </c>
      <c r="E55" s="127" t="s">
        <v>133</v>
      </c>
      <c r="F55" s="127" t="s">
        <v>297</v>
      </c>
      <c r="G55" s="127" t="s">
        <v>42</v>
      </c>
      <c r="H55" s="53" t="s">
        <v>160</v>
      </c>
      <c r="I55" s="53" t="s">
        <v>159</v>
      </c>
      <c r="J55" s="127" t="s">
        <v>38</v>
      </c>
      <c r="K55" s="53" t="s">
        <v>161</v>
      </c>
      <c r="L55" s="53">
        <v>3</v>
      </c>
      <c r="N55" s="53">
        <v>1</v>
      </c>
      <c r="O55" s="53">
        <v>0.75</v>
      </c>
      <c r="P55" s="53">
        <v>0.65</v>
      </c>
      <c r="Q55" s="74">
        <f t="shared" si="0"/>
        <v>0.7</v>
      </c>
      <c r="R55" s="53">
        <v>17.3</v>
      </c>
      <c r="S55" s="53">
        <v>139</v>
      </c>
      <c r="T55" s="16">
        <f t="shared" si="1"/>
        <v>22</v>
      </c>
      <c r="U55" s="53">
        <v>138</v>
      </c>
      <c r="V55" s="129">
        <f t="shared" si="2"/>
        <v>3036</v>
      </c>
      <c r="W55" s="53">
        <v>20</v>
      </c>
      <c r="X55" s="127" t="s">
        <v>46</v>
      </c>
      <c r="Y55" s="53" t="s">
        <v>97</v>
      </c>
      <c r="Z55" s="53" t="s">
        <v>69</v>
      </c>
      <c r="AA55" s="53" t="s">
        <v>55</v>
      </c>
      <c r="AB55" s="127" t="s">
        <v>284</v>
      </c>
      <c r="AC55" s="34"/>
    </row>
    <row r="56" spans="1:29" x14ac:dyDescent="0.15">
      <c r="A56" s="127" t="s">
        <v>61</v>
      </c>
      <c r="B56" s="127" t="s">
        <v>232</v>
      </c>
      <c r="C56" s="127">
        <v>2019</v>
      </c>
      <c r="D56" s="128" t="s">
        <v>313</v>
      </c>
      <c r="E56" s="127" t="s">
        <v>298</v>
      </c>
      <c r="F56" s="127" t="s">
        <v>299</v>
      </c>
      <c r="G56" s="127" t="s">
        <v>42</v>
      </c>
      <c r="H56" s="53" t="s">
        <v>164</v>
      </c>
      <c r="I56" s="53" t="s">
        <v>159</v>
      </c>
      <c r="J56" s="127" t="s">
        <v>38</v>
      </c>
      <c r="K56" s="53" t="s">
        <v>161</v>
      </c>
      <c r="L56" s="53">
        <v>1</v>
      </c>
      <c r="N56" s="53">
        <v>1</v>
      </c>
      <c r="O56" s="53">
        <v>0.75</v>
      </c>
      <c r="P56" s="53">
        <v>0.85</v>
      </c>
      <c r="Q56" s="74">
        <f t="shared" si="0"/>
        <v>0.8</v>
      </c>
      <c r="R56" s="53">
        <v>17.5</v>
      </c>
      <c r="S56" s="53">
        <v>138</v>
      </c>
      <c r="T56" s="16">
        <f t="shared" si="1"/>
        <v>22</v>
      </c>
      <c r="U56" s="53">
        <v>98</v>
      </c>
      <c r="V56" s="129">
        <f t="shared" si="2"/>
        <v>2156</v>
      </c>
      <c r="W56" s="53">
        <v>12</v>
      </c>
      <c r="X56" s="127" t="s">
        <v>46</v>
      </c>
      <c r="Y56" s="53" t="s">
        <v>97</v>
      </c>
      <c r="Z56" s="53" t="s">
        <v>86</v>
      </c>
      <c r="AA56" s="53" t="s">
        <v>55</v>
      </c>
      <c r="AB56" s="127" t="s">
        <v>284</v>
      </c>
    </row>
    <row r="57" spans="1:29" x14ac:dyDescent="0.15">
      <c r="A57" s="127" t="s">
        <v>61</v>
      </c>
      <c r="B57" s="127" t="s">
        <v>232</v>
      </c>
      <c r="C57" s="127">
        <v>2019</v>
      </c>
      <c r="D57" s="128" t="s">
        <v>313</v>
      </c>
      <c r="E57" s="127" t="s">
        <v>298</v>
      </c>
      <c r="F57" s="127" t="s">
        <v>299</v>
      </c>
      <c r="G57" s="127" t="s">
        <v>42</v>
      </c>
      <c r="H57" s="53" t="s">
        <v>164</v>
      </c>
      <c r="I57" s="53" t="s">
        <v>159</v>
      </c>
      <c r="J57" s="127" t="s">
        <v>38</v>
      </c>
      <c r="K57" s="53" t="s">
        <v>161</v>
      </c>
      <c r="L57" s="53">
        <v>2</v>
      </c>
      <c r="N57" s="53">
        <v>1</v>
      </c>
      <c r="O57" s="53">
        <v>0.6</v>
      </c>
      <c r="P57" s="53">
        <v>0.65</v>
      </c>
      <c r="Q57" s="74">
        <f t="shared" si="0"/>
        <v>0.625</v>
      </c>
      <c r="R57" s="53">
        <v>17.600000000000001</v>
      </c>
      <c r="S57" s="53">
        <v>148</v>
      </c>
      <c r="T57" s="16">
        <f t="shared" si="1"/>
        <v>22</v>
      </c>
      <c r="U57" s="53">
        <v>98</v>
      </c>
      <c r="V57" s="129">
        <f t="shared" si="2"/>
        <v>2156</v>
      </c>
      <c r="W57" s="53">
        <v>12</v>
      </c>
      <c r="X57" s="127" t="s">
        <v>46</v>
      </c>
      <c r="Y57" s="53" t="s">
        <v>97</v>
      </c>
      <c r="Z57" s="53" t="s">
        <v>86</v>
      </c>
      <c r="AA57" s="53" t="s">
        <v>55</v>
      </c>
      <c r="AB57" s="127" t="s">
        <v>284</v>
      </c>
    </row>
    <row r="58" spans="1:29" x14ac:dyDescent="0.15">
      <c r="A58" s="127" t="s">
        <v>61</v>
      </c>
      <c r="B58" s="127" t="s">
        <v>232</v>
      </c>
      <c r="C58" s="127">
        <v>2019</v>
      </c>
      <c r="D58" s="128" t="s">
        <v>313</v>
      </c>
      <c r="E58" s="127" t="s">
        <v>298</v>
      </c>
      <c r="F58" s="127" t="s">
        <v>299</v>
      </c>
      <c r="G58" s="127" t="s">
        <v>42</v>
      </c>
      <c r="H58" s="53" t="s">
        <v>164</v>
      </c>
      <c r="I58" s="53" t="s">
        <v>159</v>
      </c>
      <c r="J58" s="127" t="s">
        <v>38</v>
      </c>
      <c r="K58" s="53" t="s">
        <v>161</v>
      </c>
      <c r="L58" s="53">
        <v>3</v>
      </c>
      <c r="N58" s="53">
        <v>1</v>
      </c>
      <c r="O58" s="53">
        <v>0.7</v>
      </c>
      <c r="P58" s="53">
        <v>0.85</v>
      </c>
      <c r="Q58" s="74">
        <f t="shared" si="0"/>
        <v>0.77499999999999991</v>
      </c>
      <c r="R58" s="53">
        <v>18.8</v>
      </c>
      <c r="S58" s="53">
        <v>142</v>
      </c>
      <c r="T58" s="16">
        <f t="shared" si="1"/>
        <v>22</v>
      </c>
      <c r="U58" s="53">
        <v>98</v>
      </c>
      <c r="V58" s="129">
        <f t="shared" si="2"/>
        <v>2156</v>
      </c>
      <c r="W58" s="53">
        <v>12</v>
      </c>
      <c r="X58" s="127" t="s">
        <v>46</v>
      </c>
      <c r="Y58" s="53" t="s">
        <v>97</v>
      </c>
      <c r="Z58" s="53" t="s">
        <v>86</v>
      </c>
      <c r="AA58" s="53" t="s">
        <v>55</v>
      </c>
      <c r="AB58" s="127" t="s">
        <v>284</v>
      </c>
    </row>
    <row r="59" spans="1:29" x14ac:dyDescent="0.15">
      <c r="A59" s="127" t="s">
        <v>61</v>
      </c>
      <c r="B59" s="127" t="s">
        <v>232</v>
      </c>
      <c r="C59" s="127">
        <v>2019</v>
      </c>
      <c r="D59" s="128" t="s">
        <v>313</v>
      </c>
      <c r="E59" s="127" t="s">
        <v>298</v>
      </c>
      <c r="F59" s="127" t="s">
        <v>299</v>
      </c>
      <c r="G59" s="127" t="s">
        <v>42</v>
      </c>
      <c r="H59" s="53" t="s">
        <v>160</v>
      </c>
      <c r="I59" s="53" t="s">
        <v>159</v>
      </c>
      <c r="J59" s="127" t="s">
        <v>38</v>
      </c>
      <c r="K59" s="53" t="s">
        <v>161</v>
      </c>
      <c r="L59" s="53">
        <v>1</v>
      </c>
      <c r="N59" s="53">
        <v>1</v>
      </c>
      <c r="O59" s="53">
        <v>0.6</v>
      </c>
      <c r="P59" s="53">
        <v>0.55000000000000004</v>
      </c>
      <c r="Q59" s="74">
        <f t="shared" si="0"/>
        <v>0.57499999999999996</v>
      </c>
      <c r="R59" s="53">
        <v>17.5</v>
      </c>
      <c r="S59" s="53">
        <v>139</v>
      </c>
      <c r="T59" s="16">
        <f t="shared" si="1"/>
        <v>22</v>
      </c>
      <c r="U59" s="53">
        <v>98</v>
      </c>
      <c r="V59" s="129">
        <f t="shared" si="2"/>
        <v>2156</v>
      </c>
      <c r="W59" s="53">
        <v>12</v>
      </c>
      <c r="X59" s="127" t="s">
        <v>46</v>
      </c>
      <c r="Y59" s="53" t="s">
        <v>97</v>
      </c>
      <c r="Z59" s="53" t="s">
        <v>86</v>
      </c>
      <c r="AA59" s="53" t="s">
        <v>55</v>
      </c>
      <c r="AB59" s="127" t="s">
        <v>284</v>
      </c>
      <c r="AC59" s="34"/>
    </row>
    <row r="60" spans="1:29" x14ac:dyDescent="0.15">
      <c r="A60" s="127" t="s">
        <v>61</v>
      </c>
      <c r="B60" s="127" t="s">
        <v>232</v>
      </c>
      <c r="C60" s="127">
        <v>2019</v>
      </c>
      <c r="D60" s="128" t="s">
        <v>313</v>
      </c>
      <c r="E60" s="127" t="s">
        <v>298</v>
      </c>
      <c r="F60" s="127" t="s">
        <v>299</v>
      </c>
      <c r="G60" s="127" t="s">
        <v>42</v>
      </c>
      <c r="H60" s="53" t="s">
        <v>160</v>
      </c>
      <c r="I60" s="53" t="s">
        <v>159</v>
      </c>
      <c r="J60" s="127" t="s">
        <v>38</v>
      </c>
      <c r="K60" s="53" t="s">
        <v>161</v>
      </c>
      <c r="L60" s="53">
        <v>2</v>
      </c>
      <c r="N60" s="53">
        <v>1</v>
      </c>
      <c r="O60" s="53">
        <v>0.75</v>
      </c>
      <c r="P60" s="53">
        <v>0.65</v>
      </c>
      <c r="Q60" s="74">
        <f t="shared" si="0"/>
        <v>0.7</v>
      </c>
      <c r="R60" s="53">
        <v>17.7</v>
      </c>
      <c r="S60" s="53">
        <v>135</v>
      </c>
      <c r="T60" s="16">
        <f t="shared" si="1"/>
        <v>25</v>
      </c>
      <c r="U60" s="53">
        <v>98</v>
      </c>
      <c r="V60" s="129">
        <f t="shared" si="2"/>
        <v>2450</v>
      </c>
      <c r="W60" s="53">
        <v>12</v>
      </c>
      <c r="X60" s="127" t="s">
        <v>46</v>
      </c>
      <c r="Y60" s="53" t="s">
        <v>97</v>
      </c>
      <c r="Z60" s="53" t="s">
        <v>86</v>
      </c>
      <c r="AA60" s="53" t="s">
        <v>55</v>
      </c>
      <c r="AB60" s="127" t="s">
        <v>284</v>
      </c>
      <c r="AC60" s="34"/>
    </row>
    <row r="61" spans="1:29" x14ac:dyDescent="0.15">
      <c r="A61" s="127" t="s">
        <v>61</v>
      </c>
      <c r="B61" s="127" t="s">
        <v>232</v>
      </c>
      <c r="C61" s="127">
        <v>2019</v>
      </c>
      <c r="D61" s="128" t="s">
        <v>313</v>
      </c>
      <c r="E61" s="127" t="s">
        <v>298</v>
      </c>
      <c r="F61" s="127" t="s">
        <v>299</v>
      </c>
      <c r="G61" s="127" t="s">
        <v>42</v>
      </c>
      <c r="H61" s="53" t="s">
        <v>160</v>
      </c>
      <c r="I61" s="53" t="s">
        <v>159</v>
      </c>
      <c r="J61" s="127" t="s">
        <v>38</v>
      </c>
      <c r="K61" s="53" t="s">
        <v>161</v>
      </c>
      <c r="L61" s="53">
        <v>3</v>
      </c>
      <c r="N61" s="53">
        <v>1</v>
      </c>
      <c r="O61" s="53">
        <v>0.65</v>
      </c>
      <c r="P61" s="53">
        <v>0.55000000000000004</v>
      </c>
      <c r="Q61" s="74">
        <f t="shared" si="0"/>
        <v>0.60000000000000009</v>
      </c>
      <c r="R61" s="53">
        <v>17.3</v>
      </c>
      <c r="S61" s="53">
        <v>138</v>
      </c>
      <c r="T61" s="16">
        <f t="shared" si="1"/>
        <v>22</v>
      </c>
      <c r="U61" s="53">
        <v>98</v>
      </c>
      <c r="V61" s="129">
        <f t="shared" si="2"/>
        <v>2156</v>
      </c>
      <c r="W61" s="53">
        <v>12</v>
      </c>
      <c r="X61" s="127" t="s">
        <v>46</v>
      </c>
      <c r="Y61" s="53" t="s">
        <v>97</v>
      </c>
      <c r="Z61" s="53" t="s">
        <v>86</v>
      </c>
      <c r="AA61" s="53" t="s">
        <v>55</v>
      </c>
      <c r="AB61" s="127" t="s">
        <v>284</v>
      </c>
      <c r="AC61" s="34"/>
    </row>
    <row r="62" spans="1:29" x14ac:dyDescent="0.15">
      <c r="A62" s="127" t="s">
        <v>61</v>
      </c>
      <c r="B62" s="127" t="s">
        <v>232</v>
      </c>
      <c r="C62" s="127">
        <v>2019</v>
      </c>
      <c r="D62" s="128" t="s">
        <v>313</v>
      </c>
      <c r="E62" s="127" t="s">
        <v>300</v>
      </c>
      <c r="F62" s="127" t="s">
        <v>299</v>
      </c>
      <c r="G62" s="127" t="s">
        <v>42</v>
      </c>
      <c r="H62" s="53" t="s">
        <v>164</v>
      </c>
      <c r="I62" s="53" t="s">
        <v>159</v>
      </c>
      <c r="J62" s="127" t="s">
        <v>38</v>
      </c>
      <c r="K62" s="53" t="s">
        <v>161</v>
      </c>
      <c r="L62" s="53">
        <v>1</v>
      </c>
      <c r="N62" s="53">
        <v>4</v>
      </c>
      <c r="O62" s="53">
        <v>0.5</v>
      </c>
      <c r="P62" s="53">
        <v>0.5</v>
      </c>
      <c r="Q62" s="74">
        <f t="shared" si="0"/>
        <v>0.5</v>
      </c>
      <c r="R62" s="53">
        <v>17.399999999999999</v>
      </c>
      <c r="S62" s="53">
        <v>103</v>
      </c>
      <c r="T62" s="16">
        <f t="shared" si="1"/>
        <v>33</v>
      </c>
      <c r="U62" s="53">
        <v>321</v>
      </c>
      <c r="V62" s="129">
        <f t="shared" si="2"/>
        <v>2648.25</v>
      </c>
      <c r="W62" s="53">
        <v>26</v>
      </c>
      <c r="X62" s="127" t="s">
        <v>46</v>
      </c>
      <c r="Y62" s="53" t="s">
        <v>97</v>
      </c>
      <c r="Z62" s="53" t="s">
        <v>69</v>
      </c>
      <c r="AA62" s="53" t="s">
        <v>55</v>
      </c>
      <c r="AB62" s="127" t="s">
        <v>284</v>
      </c>
      <c r="AC62" s="34"/>
    </row>
    <row r="63" spans="1:29" x14ac:dyDescent="0.15">
      <c r="A63" s="127" t="s">
        <v>61</v>
      </c>
      <c r="B63" s="127" t="s">
        <v>232</v>
      </c>
      <c r="C63" s="127">
        <v>2019</v>
      </c>
      <c r="D63" s="128" t="s">
        <v>313</v>
      </c>
      <c r="E63" s="127" t="s">
        <v>300</v>
      </c>
      <c r="F63" s="127" t="s">
        <v>299</v>
      </c>
      <c r="G63" s="127" t="s">
        <v>42</v>
      </c>
      <c r="H63" s="53" t="s">
        <v>164</v>
      </c>
      <c r="I63" s="53" t="s">
        <v>159</v>
      </c>
      <c r="J63" s="127" t="s">
        <v>38</v>
      </c>
      <c r="K63" s="53" t="s">
        <v>161</v>
      </c>
      <c r="L63" s="53">
        <v>2</v>
      </c>
      <c r="N63" s="53">
        <v>4</v>
      </c>
      <c r="O63" s="53">
        <v>0.5</v>
      </c>
      <c r="P63" s="53">
        <v>0.5</v>
      </c>
      <c r="Q63" s="74">
        <f t="shared" si="0"/>
        <v>0.5</v>
      </c>
      <c r="R63" s="53">
        <v>17</v>
      </c>
      <c r="S63" s="53">
        <v>101</v>
      </c>
      <c r="T63" s="16">
        <f t="shared" si="1"/>
        <v>33</v>
      </c>
      <c r="U63" s="53">
        <v>321</v>
      </c>
      <c r="V63" s="129">
        <f t="shared" si="2"/>
        <v>2648.25</v>
      </c>
      <c r="W63" s="53">
        <v>26</v>
      </c>
      <c r="X63" s="127" t="s">
        <v>46</v>
      </c>
      <c r="Y63" s="53" t="s">
        <v>97</v>
      </c>
      <c r="Z63" s="53" t="s">
        <v>69</v>
      </c>
      <c r="AA63" s="53" t="s">
        <v>55</v>
      </c>
      <c r="AB63" s="127" t="s">
        <v>284</v>
      </c>
      <c r="AC63" s="34"/>
    </row>
    <row r="64" spans="1:29" x14ac:dyDescent="0.15">
      <c r="A64" s="127" t="s">
        <v>61</v>
      </c>
      <c r="B64" s="127" t="s">
        <v>232</v>
      </c>
      <c r="C64" s="127">
        <v>2019</v>
      </c>
      <c r="D64" s="128" t="s">
        <v>313</v>
      </c>
      <c r="E64" s="127" t="s">
        <v>300</v>
      </c>
      <c r="F64" s="127" t="s">
        <v>299</v>
      </c>
      <c r="G64" s="127" t="s">
        <v>42</v>
      </c>
      <c r="H64" s="53" t="s">
        <v>164</v>
      </c>
      <c r="I64" s="53" t="s">
        <v>159</v>
      </c>
      <c r="J64" s="127" t="s">
        <v>38</v>
      </c>
      <c r="K64" s="53" t="s">
        <v>161</v>
      </c>
      <c r="L64" s="53">
        <v>3</v>
      </c>
      <c r="N64" s="53">
        <v>4</v>
      </c>
      <c r="O64" s="53">
        <v>0.5</v>
      </c>
      <c r="P64" s="53">
        <v>0.5</v>
      </c>
      <c r="Q64" s="74">
        <f t="shared" si="0"/>
        <v>0.5</v>
      </c>
      <c r="R64" s="53">
        <v>18.3</v>
      </c>
      <c r="S64" s="53">
        <v>98</v>
      </c>
      <c r="T64" s="16">
        <f t="shared" si="1"/>
        <v>36</v>
      </c>
      <c r="U64" s="53">
        <v>321</v>
      </c>
      <c r="V64" s="129">
        <f t="shared" si="2"/>
        <v>2889</v>
      </c>
      <c r="W64" s="53">
        <v>26</v>
      </c>
      <c r="X64" s="127" t="s">
        <v>46</v>
      </c>
      <c r="Y64" s="53" t="s">
        <v>97</v>
      </c>
      <c r="Z64" s="53" t="s">
        <v>69</v>
      </c>
      <c r="AA64" s="53" t="s">
        <v>55</v>
      </c>
      <c r="AB64" s="127" t="s">
        <v>284</v>
      </c>
      <c r="AC64" s="34"/>
    </row>
    <row r="65" spans="1:29" x14ac:dyDescent="0.15">
      <c r="A65" s="127" t="s">
        <v>61</v>
      </c>
      <c r="B65" s="127" t="s">
        <v>232</v>
      </c>
      <c r="C65" s="127">
        <v>2019</v>
      </c>
      <c r="D65" s="128" t="s">
        <v>313</v>
      </c>
      <c r="E65" s="127" t="s">
        <v>300</v>
      </c>
      <c r="F65" s="127" t="s">
        <v>299</v>
      </c>
      <c r="G65" s="127" t="s">
        <v>42</v>
      </c>
      <c r="H65" s="53" t="s">
        <v>199</v>
      </c>
      <c r="I65" s="53" t="s">
        <v>159</v>
      </c>
      <c r="J65" s="127" t="s">
        <v>38</v>
      </c>
      <c r="K65" s="53" t="s">
        <v>161</v>
      </c>
      <c r="L65" s="53">
        <v>1</v>
      </c>
      <c r="N65" s="53">
        <v>4</v>
      </c>
      <c r="O65" s="53">
        <v>0.5</v>
      </c>
      <c r="P65" s="53">
        <v>0.5</v>
      </c>
      <c r="Q65" s="74">
        <f t="shared" si="0"/>
        <v>0.5</v>
      </c>
      <c r="R65" s="53">
        <v>19</v>
      </c>
      <c r="S65" s="53">
        <v>75</v>
      </c>
      <c r="T65" s="16">
        <f t="shared" si="1"/>
        <v>42</v>
      </c>
      <c r="U65" s="53">
        <v>321</v>
      </c>
      <c r="V65" s="129">
        <f t="shared" si="2"/>
        <v>3370.5</v>
      </c>
      <c r="W65" s="53">
        <v>26</v>
      </c>
      <c r="X65" s="127" t="s">
        <v>46</v>
      </c>
      <c r="Y65" s="53" t="s">
        <v>97</v>
      </c>
      <c r="Z65" s="53" t="s">
        <v>69</v>
      </c>
      <c r="AA65" s="53" t="s">
        <v>55</v>
      </c>
      <c r="AB65" s="127" t="s">
        <v>284</v>
      </c>
      <c r="AC65" s="34"/>
    </row>
    <row r="66" spans="1:29" x14ac:dyDescent="0.15">
      <c r="A66" s="127" t="s">
        <v>61</v>
      </c>
      <c r="B66" s="127" t="s">
        <v>232</v>
      </c>
      <c r="C66" s="127">
        <v>2019</v>
      </c>
      <c r="D66" s="128" t="s">
        <v>313</v>
      </c>
      <c r="E66" s="127" t="s">
        <v>300</v>
      </c>
      <c r="F66" s="127" t="s">
        <v>299</v>
      </c>
      <c r="G66" s="127" t="s">
        <v>42</v>
      </c>
      <c r="H66" s="53" t="s">
        <v>199</v>
      </c>
      <c r="I66" s="53" t="s">
        <v>159</v>
      </c>
      <c r="J66" s="127" t="s">
        <v>38</v>
      </c>
      <c r="K66" s="53" t="s">
        <v>161</v>
      </c>
      <c r="L66" s="53">
        <v>2</v>
      </c>
      <c r="N66" s="53">
        <v>4</v>
      </c>
      <c r="O66" s="53">
        <v>0.5</v>
      </c>
      <c r="P66" s="53">
        <v>0.5</v>
      </c>
      <c r="Q66" s="74">
        <f t="shared" ref="Q66:Q76" si="3">IF(OR(O66="",P66=""),"",AVERAGE(O66,P66))</f>
        <v>0.5</v>
      </c>
      <c r="R66" s="53">
        <v>19.100000000000001</v>
      </c>
      <c r="S66" s="53">
        <v>78</v>
      </c>
      <c r="T66" s="16">
        <f t="shared" ref="T66:T76" si="4">IF(H66="","",IF(OR(H66="GREEN",H66="GK"),IF(S66&gt;=$AX$2,VLOOKUP(S66,$AX$2:$AY$15,2,1),""),IF(S66&gt;=$AZ$2,VLOOKUP(S66,$AZ$2:$BA$15,2,1),"")))</f>
        <v>39</v>
      </c>
      <c r="U66" s="53">
        <v>321</v>
      </c>
      <c r="V66" s="129">
        <f t="shared" ref="V66:V76" si="5">IF(OR(N66="",U66="",T66=""),"",U66/N66*T66)</f>
        <v>3129.75</v>
      </c>
      <c r="W66" s="53">
        <v>26</v>
      </c>
      <c r="X66" s="127" t="s">
        <v>46</v>
      </c>
      <c r="Y66" s="53" t="s">
        <v>97</v>
      </c>
      <c r="Z66" s="53" t="s">
        <v>69</v>
      </c>
      <c r="AA66" s="53" t="s">
        <v>55</v>
      </c>
      <c r="AB66" s="127" t="s">
        <v>284</v>
      </c>
      <c r="AC66" s="34"/>
    </row>
    <row r="67" spans="1:29" x14ac:dyDescent="0.15">
      <c r="A67" s="127" t="s">
        <v>61</v>
      </c>
      <c r="B67" s="127" t="s">
        <v>232</v>
      </c>
      <c r="C67" s="127">
        <v>2019</v>
      </c>
      <c r="D67" s="128" t="s">
        <v>313</v>
      </c>
      <c r="E67" s="127" t="s">
        <v>300</v>
      </c>
      <c r="F67" s="127" t="s">
        <v>299</v>
      </c>
      <c r="G67" s="127" t="s">
        <v>42</v>
      </c>
      <c r="H67" s="53" t="s">
        <v>199</v>
      </c>
      <c r="I67" s="53" t="s">
        <v>159</v>
      </c>
      <c r="J67" s="127" t="s">
        <v>38</v>
      </c>
      <c r="K67" s="53" t="s">
        <v>161</v>
      </c>
      <c r="L67" s="53">
        <v>3</v>
      </c>
      <c r="N67" s="53">
        <v>4</v>
      </c>
      <c r="O67" s="53">
        <v>0.5</v>
      </c>
      <c r="P67" s="53">
        <v>0.5</v>
      </c>
      <c r="Q67" s="74">
        <f t="shared" si="3"/>
        <v>0.5</v>
      </c>
      <c r="R67" s="53">
        <v>18.600000000000001</v>
      </c>
      <c r="S67" s="53">
        <v>80</v>
      </c>
      <c r="T67" s="16">
        <f t="shared" si="4"/>
        <v>39</v>
      </c>
      <c r="U67" s="53">
        <v>321</v>
      </c>
      <c r="V67" s="129">
        <f t="shared" si="5"/>
        <v>3129.75</v>
      </c>
      <c r="W67" s="53">
        <v>26</v>
      </c>
      <c r="X67" s="127" t="s">
        <v>46</v>
      </c>
      <c r="Y67" s="53" t="s">
        <v>97</v>
      </c>
      <c r="Z67" s="53" t="s">
        <v>69</v>
      </c>
      <c r="AA67" s="53" t="s">
        <v>55</v>
      </c>
      <c r="AB67" s="127" t="s">
        <v>284</v>
      </c>
      <c r="AC67" s="34"/>
    </row>
    <row r="68" spans="1:29" x14ac:dyDescent="0.15">
      <c r="A68" s="127" t="s">
        <v>61</v>
      </c>
      <c r="B68" s="127" t="s">
        <v>232</v>
      </c>
      <c r="C68" s="127">
        <v>2019</v>
      </c>
      <c r="D68" s="128" t="s">
        <v>313</v>
      </c>
      <c r="E68" s="127" t="s">
        <v>300</v>
      </c>
      <c r="F68" s="127" t="s">
        <v>299</v>
      </c>
      <c r="G68" s="127" t="s">
        <v>42</v>
      </c>
      <c r="H68" s="53" t="s">
        <v>160</v>
      </c>
      <c r="I68" s="53" t="s">
        <v>159</v>
      </c>
      <c r="J68" s="127" t="s">
        <v>38</v>
      </c>
      <c r="K68" s="53" t="s">
        <v>161</v>
      </c>
      <c r="L68" s="53">
        <v>1</v>
      </c>
      <c r="N68" s="53">
        <v>1</v>
      </c>
      <c r="O68" s="53">
        <v>0.5</v>
      </c>
      <c r="P68" s="53">
        <v>0.5</v>
      </c>
      <c r="Q68" s="74">
        <f t="shared" si="3"/>
        <v>0.5</v>
      </c>
      <c r="R68" s="53">
        <v>19.100000000000001</v>
      </c>
      <c r="S68" s="53">
        <v>142</v>
      </c>
      <c r="T68" s="16">
        <f t="shared" si="4"/>
        <v>22</v>
      </c>
      <c r="U68" s="53">
        <v>315</v>
      </c>
      <c r="V68" s="129">
        <f t="shared" si="5"/>
        <v>6930</v>
      </c>
      <c r="W68" s="53">
        <v>26</v>
      </c>
      <c r="X68" s="127" t="s">
        <v>46</v>
      </c>
      <c r="Y68" s="53" t="s">
        <v>97</v>
      </c>
      <c r="Z68" s="53" t="s">
        <v>69</v>
      </c>
      <c r="AA68" s="53" t="s">
        <v>55</v>
      </c>
      <c r="AB68" s="127" t="s">
        <v>284</v>
      </c>
    </row>
    <row r="69" spans="1:29" x14ac:dyDescent="0.15">
      <c r="A69" s="127" t="s">
        <v>61</v>
      </c>
      <c r="B69" s="127" t="s">
        <v>232</v>
      </c>
      <c r="C69" s="127">
        <v>2019</v>
      </c>
      <c r="D69" s="128" t="s">
        <v>313</v>
      </c>
      <c r="E69" s="127" t="s">
        <v>300</v>
      </c>
      <c r="F69" s="127" t="s">
        <v>299</v>
      </c>
      <c r="G69" s="127" t="s">
        <v>42</v>
      </c>
      <c r="H69" s="53" t="s">
        <v>160</v>
      </c>
      <c r="I69" s="53" t="s">
        <v>159</v>
      </c>
      <c r="J69" s="127" t="s">
        <v>38</v>
      </c>
      <c r="K69" s="53" t="s">
        <v>161</v>
      </c>
      <c r="L69" s="53">
        <v>2</v>
      </c>
      <c r="N69" s="53">
        <v>1</v>
      </c>
      <c r="O69" s="53">
        <v>0.5</v>
      </c>
      <c r="P69" s="53">
        <v>0.5</v>
      </c>
      <c r="Q69" s="74">
        <f t="shared" si="3"/>
        <v>0.5</v>
      </c>
      <c r="R69" s="53">
        <v>18.100000000000001</v>
      </c>
      <c r="S69" s="53">
        <v>138</v>
      </c>
      <c r="T69" s="16">
        <f t="shared" si="4"/>
        <v>22</v>
      </c>
      <c r="U69" s="53">
        <v>315</v>
      </c>
      <c r="V69" s="129">
        <f t="shared" si="5"/>
        <v>6930</v>
      </c>
      <c r="W69" s="53">
        <v>26</v>
      </c>
      <c r="X69" s="127" t="s">
        <v>46</v>
      </c>
      <c r="Y69" s="53" t="s">
        <v>97</v>
      </c>
      <c r="Z69" s="53" t="s">
        <v>69</v>
      </c>
      <c r="AA69" s="53" t="s">
        <v>55</v>
      </c>
      <c r="AB69" s="127" t="s">
        <v>284</v>
      </c>
    </row>
    <row r="70" spans="1:29" x14ac:dyDescent="0.15">
      <c r="A70" s="127" t="s">
        <v>61</v>
      </c>
      <c r="B70" s="127" t="s">
        <v>232</v>
      </c>
      <c r="C70" s="127">
        <v>2019</v>
      </c>
      <c r="D70" s="128" t="s">
        <v>313</v>
      </c>
      <c r="E70" s="127" t="s">
        <v>300</v>
      </c>
      <c r="F70" s="127" t="s">
        <v>299</v>
      </c>
      <c r="G70" s="127" t="s">
        <v>42</v>
      </c>
      <c r="H70" s="53" t="s">
        <v>160</v>
      </c>
      <c r="I70" s="53" t="s">
        <v>159</v>
      </c>
      <c r="J70" s="127" t="s">
        <v>38</v>
      </c>
      <c r="K70" s="53" t="s">
        <v>161</v>
      </c>
      <c r="L70" s="53">
        <v>3</v>
      </c>
      <c r="N70" s="53">
        <v>1</v>
      </c>
      <c r="O70" s="53">
        <v>0.5</v>
      </c>
      <c r="P70" s="53">
        <v>0.5</v>
      </c>
      <c r="Q70" s="74">
        <f t="shared" si="3"/>
        <v>0.5</v>
      </c>
      <c r="R70" s="53">
        <v>18.899999999999999</v>
      </c>
      <c r="S70" s="53">
        <v>130</v>
      </c>
      <c r="T70" s="16">
        <f t="shared" si="4"/>
        <v>25</v>
      </c>
      <c r="U70" s="53">
        <v>315</v>
      </c>
      <c r="V70" s="129">
        <f t="shared" si="5"/>
        <v>7875</v>
      </c>
      <c r="W70" s="53">
        <v>26</v>
      </c>
      <c r="X70" s="127" t="s">
        <v>46</v>
      </c>
      <c r="Y70" s="53" t="s">
        <v>97</v>
      </c>
      <c r="Z70" s="53" t="s">
        <v>69</v>
      </c>
      <c r="AA70" s="53" t="s">
        <v>55</v>
      </c>
      <c r="AB70" s="127" t="s">
        <v>284</v>
      </c>
    </row>
    <row r="71" spans="1:29" x14ac:dyDescent="0.15">
      <c r="A71" s="127"/>
      <c r="B71" s="127"/>
      <c r="C71" s="127"/>
      <c r="D71" s="128"/>
      <c r="E71" s="127"/>
      <c r="F71" s="127"/>
      <c r="G71" s="127"/>
      <c r="J71" s="127"/>
      <c r="Q71" s="74" t="str">
        <f t="shared" si="3"/>
        <v/>
      </c>
      <c r="T71" s="16" t="str">
        <f t="shared" si="4"/>
        <v/>
      </c>
      <c r="V71" s="129" t="str">
        <f t="shared" si="5"/>
        <v/>
      </c>
      <c r="X71" s="127"/>
      <c r="AB71" s="127"/>
      <c r="AC71" s="34"/>
    </row>
    <row r="72" spans="1:29" x14ac:dyDescent="0.15">
      <c r="A72" s="127"/>
      <c r="B72" s="127"/>
      <c r="C72" s="127"/>
      <c r="D72" s="128"/>
      <c r="E72" s="127"/>
      <c r="F72" s="127"/>
      <c r="G72" s="127"/>
      <c r="J72" s="127"/>
      <c r="Q72" s="74" t="str">
        <f t="shared" si="3"/>
        <v/>
      </c>
      <c r="R72" s="34"/>
      <c r="T72" s="16" t="str">
        <f t="shared" si="4"/>
        <v/>
      </c>
      <c r="V72" s="129" t="str">
        <f t="shared" si="5"/>
        <v/>
      </c>
      <c r="X72" s="127"/>
      <c r="AB72" s="127"/>
      <c r="AC72" s="34"/>
    </row>
    <row r="73" spans="1:29" x14ac:dyDescent="0.15">
      <c r="A73" s="127"/>
      <c r="B73" s="127"/>
      <c r="C73" s="127"/>
      <c r="D73" s="128"/>
      <c r="F73" s="127"/>
      <c r="G73" s="127"/>
      <c r="J73" s="127"/>
      <c r="Q73" s="74" t="str">
        <f t="shared" si="3"/>
        <v/>
      </c>
      <c r="R73" s="34"/>
      <c r="T73" s="16" t="str">
        <f t="shared" si="4"/>
        <v/>
      </c>
      <c r="V73" s="129" t="str">
        <f t="shared" si="5"/>
        <v/>
      </c>
      <c r="X73" s="127"/>
      <c r="AB73" s="127"/>
      <c r="AC73" s="34"/>
    </row>
    <row r="74" spans="1:29" x14ac:dyDescent="0.15">
      <c r="A74" s="127"/>
      <c r="B74" s="127"/>
      <c r="C74" s="127"/>
      <c r="D74" s="128"/>
      <c r="F74" s="127"/>
      <c r="G74" s="127"/>
      <c r="J74" s="127"/>
      <c r="Q74" s="74" t="str">
        <f t="shared" si="3"/>
        <v/>
      </c>
      <c r="T74" s="16" t="str">
        <f t="shared" si="4"/>
        <v/>
      </c>
      <c r="V74" s="129" t="str">
        <f t="shared" si="5"/>
        <v/>
      </c>
      <c r="X74" s="127"/>
      <c r="AB74" s="127"/>
      <c r="AC74" s="34"/>
    </row>
    <row r="75" spans="1:29" x14ac:dyDescent="0.15">
      <c r="A75" s="127"/>
      <c r="B75" s="127"/>
      <c r="C75" s="127"/>
      <c r="D75" s="128"/>
      <c r="F75" s="127"/>
      <c r="G75" s="127"/>
      <c r="J75" s="127"/>
      <c r="Q75" s="74" t="str">
        <f t="shared" si="3"/>
        <v/>
      </c>
      <c r="T75" s="16" t="str">
        <f t="shared" si="4"/>
        <v/>
      </c>
      <c r="V75" s="129" t="str">
        <f t="shared" si="5"/>
        <v/>
      </c>
      <c r="X75" s="127"/>
      <c r="AB75" s="127"/>
      <c r="AC75" s="34"/>
    </row>
    <row r="76" spans="1:29" x14ac:dyDescent="0.15">
      <c r="A76" s="127"/>
      <c r="B76" s="127"/>
      <c r="C76" s="127"/>
      <c r="D76" s="128"/>
      <c r="G76" s="127"/>
      <c r="J76" s="127"/>
      <c r="Q76" s="74" t="str">
        <f t="shared" si="3"/>
        <v/>
      </c>
      <c r="T76" s="16" t="str">
        <f t="shared" si="4"/>
        <v/>
      </c>
      <c r="V76" s="129" t="str">
        <f t="shared" si="5"/>
        <v/>
      </c>
      <c r="X76" s="127"/>
      <c r="AB76" s="127"/>
      <c r="AC76" s="34"/>
    </row>
    <row r="77" spans="1:29" x14ac:dyDescent="0.15">
      <c r="A77" s="127"/>
      <c r="B77" s="127"/>
      <c r="C77" s="127"/>
      <c r="D77" s="128"/>
      <c r="G77" s="127"/>
      <c r="J77" s="127"/>
      <c r="Q77" s="74"/>
      <c r="V77" s="129"/>
      <c r="X77" s="127"/>
      <c r="AB77" s="127"/>
    </row>
    <row r="78" spans="1:29" x14ac:dyDescent="0.15">
      <c r="A78" s="127"/>
      <c r="B78" s="127"/>
      <c r="C78" s="127"/>
      <c r="D78" s="128"/>
      <c r="G78" s="127"/>
      <c r="J78" s="127"/>
      <c r="Q78" s="74"/>
      <c r="V78" s="129"/>
      <c r="X78" s="127"/>
      <c r="AB78" s="127"/>
    </row>
    <row r="79" spans="1:29" x14ac:dyDescent="0.15">
      <c r="A79" s="127"/>
      <c r="B79" s="127"/>
      <c r="C79" s="127"/>
      <c r="D79" s="128"/>
      <c r="G79" s="127"/>
      <c r="J79" s="127"/>
      <c r="Q79" s="74"/>
      <c r="V79" s="129"/>
      <c r="X79" s="127"/>
      <c r="AB79" s="127"/>
    </row>
    <row r="80" spans="1:29" x14ac:dyDescent="0.15">
      <c r="A80" s="127"/>
      <c r="B80" s="127"/>
      <c r="C80" s="127"/>
      <c r="D80" s="128"/>
      <c r="G80" s="127"/>
      <c r="J80" s="127"/>
      <c r="Q80" s="74" t="str">
        <f t="shared" ref="Q80:Q82" si="6">IF(OR(O80="",P80=""),"",AVERAGE(O80,P80))</f>
        <v/>
      </c>
      <c r="T80" s="16" t="str">
        <f>IF(H80="","",IF(OR(H80="GREEN",H80="GK"),IF(S80&gt;=$AX$2,VLOOKUP(S80,$AX$2:$AY$15,2,1),""),IF(S80&gt;=$AZ$2,VLOOKUP(S80,$AZ$2:$BA$15,2,1),"")))</f>
        <v/>
      </c>
      <c r="V80" s="129" t="str">
        <f t="shared" ref="V80:V82" si="7">IF(OR(N80="",U80="",T80=""),"",U80/N80*T80)</f>
        <v/>
      </c>
      <c r="X80" s="127"/>
      <c r="AB80" s="127"/>
    </row>
    <row r="81" spans="1:28" x14ac:dyDescent="0.15">
      <c r="A81" s="127"/>
      <c r="B81" s="127"/>
      <c r="C81" s="127"/>
      <c r="D81" s="128"/>
      <c r="G81" s="127"/>
      <c r="J81" s="127"/>
      <c r="Q81" s="74" t="str">
        <f t="shared" si="6"/>
        <v/>
      </c>
      <c r="T81" s="16" t="str">
        <f>IF(H81="","",IF(OR(H81="GREEN",H81="GK"),IF(S81&gt;=$AX$2,VLOOKUP(S81,$AX$2:$AY$15,2,1),""),IF(S81&gt;=$AZ$2,VLOOKUP(S81,$AZ$2:$BA$15,2,1),"")))</f>
        <v/>
      </c>
      <c r="V81" s="129" t="str">
        <f t="shared" si="7"/>
        <v/>
      </c>
      <c r="X81" s="127"/>
      <c r="AB81" s="127"/>
    </row>
    <row r="82" spans="1:28" x14ac:dyDescent="0.15">
      <c r="A82" s="127"/>
      <c r="B82" s="127"/>
      <c r="C82" s="127"/>
      <c r="D82" s="128"/>
      <c r="G82" s="127"/>
      <c r="J82" s="127"/>
      <c r="Q82" s="74" t="str">
        <f t="shared" si="6"/>
        <v/>
      </c>
      <c r="T82" s="16" t="str">
        <f>IF(H82="","",IF(OR(H82="GREEN",H82="GK"),IF(S82&gt;=$AX$2,VLOOKUP(S82,$AX$2:$AY$15,2,1),""),IF(S82&gt;=$AZ$2,VLOOKUP(S82,$AZ$2:$BA$15,2,1),"")))</f>
        <v/>
      </c>
      <c r="V82" s="129" t="str">
        <f t="shared" si="7"/>
        <v/>
      </c>
      <c r="X82" s="127"/>
      <c r="AB82" s="127"/>
    </row>
    <row r="83" spans="1:28" x14ac:dyDescent="0.15">
      <c r="A83" s="127"/>
      <c r="B83" s="127"/>
      <c r="C83" s="127"/>
      <c r="D83" s="128"/>
      <c r="G83" s="127"/>
      <c r="J83" s="127"/>
      <c r="Q83" s="74"/>
      <c r="V83" s="129"/>
      <c r="X83" s="127"/>
      <c r="AB83" s="127"/>
    </row>
    <row r="84" spans="1:28" x14ac:dyDescent="0.15">
      <c r="A84" s="127"/>
      <c r="B84" s="127"/>
      <c r="C84" s="127"/>
      <c r="D84" s="128"/>
      <c r="G84" s="127"/>
      <c r="J84" s="127"/>
      <c r="Q84" s="74"/>
      <c r="V84" s="129"/>
      <c r="X84" s="127"/>
      <c r="AB84" s="127"/>
    </row>
    <row r="85" spans="1:28" x14ac:dyDescent="0.15">
      <c r="A85" s="127"/>
      <c r="B85" s="127"/>
      <c r="C85" s="127"/>
      <c r="D85" s="128"/>
      <c r="G85" s="127"/>
      <c r="J85" s="127"/>
      <c r="Q85" s="74"/>
      <c r="V85" s="129"/>
      <c r="X85" s="127"/>
      <c r="AB85" s="127"/>
    </row>
    <row r="86" spans="1:28" x14ac:dyDescent="0.15">
      <c r="A86" s="127"/>
      <c r="B86" s="127"/>
      <c r="C86" s="127"/>
      <c r="D86" s="128"/>
      <c r="G86" s="127"/>
      <c r="J86" s="127"/>
      <c r="Q86" s="74"/>
      <c r="V86" s="129"/>
      <c r="X86" s="127"/>
      <c r="AB86" s="127"/>
    </row>
    <row r="87" spans="1:28" x14ac:dyDescent="0.15">
      <c r="A87" s="127"/>
      <c r="B87" s="127"/>
      <c r="C87" s="127"/>
      <c r="D87" s="128"/>
      <c r="G87" s="127"/>
      <c r="J87" s="127"/>
      <c r="Q87" s="74"/>
      <c r="V87" s="129"/>
      <c r="X87" s="127"/>
      <c r="AB87" s="127"/>
    </row>
    <row r="88" spans="1:28" x14ac:dyDescent="0.15">
      <c r="A88" s="127"/>
      <c r="B88" s="127"/>
      <c r="C88" s="127"/>
      <c r="D88" s="128"/>
      <c r="G88" s="127"/>
      <c r="J88" s="127"/>
      <c r="Q88" s="74"/>
      <c r="V88" s="129"/>
      <c r="X88" s="127"/>
      <c r="AB88" s="127"/>
    </row>
    <row r="89" spans="1:28" x14ac:dyDescent="0.15">
      <c r="A89" s="127"/>
      <c r="B89" s="127"/>
      <c r="C89" s="127"/>
      <c r="D89" s="128"/>
      <c r="G89" s="127"/>
      <c r="J89" s="127"/>
      <c r="Q89" s="74"/>
      <c r="V89" s="129"/>
      <c r="X89" s="127"/>
      <c r="AB89" s="127"/>
    </row>
    <row r="90" spans="1:28" x14ac:dyDescent="0.15">
      <c r="A90" s="127"/>
      <c r="B90" s="127"/>
      <c r="C90" s="127"/>
      <c r="D90" s="128"/>
      <c r="G90" s="127"/>
      <c r="J90" s="127"/>
      <c r="Q90" s="74"/>
      <c r="V90" s="129"/>
      <c r="X90" s="127"/>
      <c r="AB90" s="127"/>
    </row>
    <row r="91" spans="1:28" x14ac:dyDescent="0.15">
      <c r="A91" s="127"/>
      <c r="B91" s="127"/>
      <c r="C91" s="127"/>
      <c r="D91" s="128"/>
      <c r="G91" s="127"/>
      <c r="J91" s="127"/>
      <c r="Q91" s="74"/>
      <c r="V91" s="129"/>
      <c r="X91" s="127"/>
      <c r="AB91" s="127"/>
    </row>
    <row r="92" spans="1:28" x14ac:dyDescent="0.15">
      <c r="A92" s="127"/>
      <c r="B92" s="127"/>
      <c r="C92" s="127"/>
      <c r="D92" s="128"/>
      <c r="G92" s="127"/>
      <c r="J92" s="127"/>
      <c r="Q92" s="74"/>
      <c r="V92" s="129"/>
      <c r="X92" s="127"/>
      <c r="AB92" s="127"/>
    </row>
    <row r="93" spans="1:28" x14ac:dyDescent="0.15">
      <c r="A93" s="127"/>
      <c r="B93" s="127"/>
      <c r="C93" s="127"/>
      <c r="D93" s="128"/>
      <c r="G93" s="127"/>
      <c r="J93" s="127"/>
      <c r="Q93" s="74"/>
      <c r="V93" s="129"/>
      <c r="X93" s="127"/>
      <c r="AB93" s="127"/>
    </row>
    <row r="94" spans="1:28" x14ac:dyDescent="0.15">
      <c r="A94" s="127"/>
      <c r="B94" s="127"/>
      <c r="C94" s="127"/>
      <c r="D94" s="128"/>
      <c r="G94" s="127"/>
      <c r="J94" s="127"/>
      <c r="Q94" s="74"/>
      <c r="V94" s="129"/>
      <c r="X94" s="127"/>
      <c r="AB94" s="127"/>
    </row>
    <row r="95" spans="1:28" x14ac:dyDescent="0.15">
      <c r="A95" s="127"/>
      <c r="B95" s="127"/>
      <c r="C95" s="127"/>
      <c r="D95" s="128"/>
      <c r="G95" s="127"/>
      <c r="J95" s="127"/>
      <c r="Q95" s="74"/>
      <c r="V95" s="129"/>
      <c r="X95" s="127"/>
      <c r="AB95" s="127"/>
    </row>
    <row r="96" spans="1:28" x14ac:dyDescent="0.15">
      <c r="A96" s="127"/>
      <c r="B96" s="127"/>
      <c r="C96" s="127"/>
      <c r="D96" s="128"/>
      <c r="G96" s="127"/>
      <c r="J96" s="127"/>
      <c r="Q96" s="74"/>
      <c r="V96" s="129"/>
      <c r="X96" s="127"/>
      <c r="AB96" s="127"/>
    </row>
    <row r="97" spans="1:28" x14ac:dyDescent="0.15">
      <c r="A97" s="127"/>
      <c r="B97" s="127"/>
      <c r="C97" s="127"/>
      <c r="D97" s="128"/>
      <c r="G97" s="127"/>
      <c r="J97" s="127"/>
      <c r="Q97" s="74"/>
      <c r="V97" s="129"/>
      <c r="X97" s="127"/>
      <c r="AB97" s="127"/>
    </row>
    <row r="98" spans="1:28" x14ac:dyDescent="0.15">
      <c r="D98" s="128"/>
    </row>
    <row r="99" spans="1:28" x14ac:dyDescent="0.15">
      <c r="A99" s="127"/>
      <c r="B99" s="127"/>
      <c r="C99" s="127"/>
      <c r="D99" s="128"/>
      <c r="G99" s="127"/>
      <c r="J99" s="127"/>
      <c r="Q99" s="74"/>
      <c r="V99" s="129"/>
      <c r="X99" s="127"/>
      <c r="AB99" s="127"/>
    </row>
    <row r="100" spans="1:28" x14ac:dyDescent="0.15">
      <c r="A100" s="127"/>
      <c r="B100" s="127"/>
      <c r="C100" s="127"/>
      <c r="G100" s="127"/>
      <c r="J100" s="127"/>
      <c r="Q100" s="74"/>
      <c r="V100" s="129"/>
      <c r="X100" s="127"/>
      <c r="AB100" s="127"/>
    </row>
    <row r="101" spans="1:28" x14ac:dyDescent="0.15">
      <c r="A101" s="127"/>
      <c r="B101" s="127"/>
      <c r="C101" s="127"/>
      <c r="D101" s="128"/>
      <c r="G101" s="127"/>
      <c r="J101" s="127"/>
      <c r="Q101" s="74"/>
      <c r="V101" s="129"/>
      <c r="X101" s="127"/>
      <c r="AB101" s="127"/>
    </row>
    <row r="102" spans="1:28" x14ac:dyDescent="0.15">
      <c r="A102" s="127"/>
      <c r="B102" s="127"/>
      <c r="C102" s="127"/>
      <c r="D102" s="128"/>
      <c r="G102" s="127"/>
      <c r="J102" s="127"/>
      <c r="Q102" s="74"/>
      <c r="V102" s="129"/>
      <c r="X102" s="127"/>
      <c r="AB102" s="127"/>
    </row>
    <row r="103" spans="1:28" x14ac:dyDescent="0.15">
      <c r="A103" s="127"/>
      <c r="B103" s="127"/>
      <c r="C103" s="127"/>
      <c r="D103" s="128"/>
      <c r="G103" s="127"/>
      <c r="J103" s="127"/>
      <c r="Q103" s="74"/>
      <c r="V103" s="129"/>
      <c r="X103" s="127"/>
      <c r="AB103" s="127"/>
    </row>
    <row r="104" spans="1:28" x14ac:dyDescent="0.15">
      <c r="A104" s="127"/>
      <c r="B104" s="127"/>
      <c r="C104" s="127"/>
      <c r="D104" s="128"/>
      <c r="G104" s="127"/>
      <c r="J104" s="127"/>
      <c r="Q104" s="74"/>
      <c r="V104" s="129"/>
      <c r="X104" s="127"/>
      <c r="AB104" s="127"/>
    </row>
    <row r="105" spans="1:28" x14ac:dyDescent="0.15">
      <c r="A105" s="127"/>
      <c r="B105" s="127"/>
      <c r="C105" s="127"/>
      <c r="D105" s="128"/>
      <c r="G105" s="127"/>
      <c r="J105" s="127"/>
      <c r="Q105" s="74"/>
      <c r="V105" s="129"/>
      <c r="X105" s="127"/>
      <c r="AB105" s="127"/>
    </row>
    <row r="106" spans="1:28" x14ac:dyDescent="0.15">
      <c r="A106" s="127"/>
      <c r="B106" s="127"/>
      <c r="C106" s="127"/>
      <c r="D106" s="128"/>
      <c r="G106" s="127"/>
      <c r="J106" s="127"/>
      <c r="Q106" s="74"/>
      <c r="V106" s="129"/>
      <c r="X106" s="127"/>
      <c r="AB106" s="127"/>
    </row>
    <row r="107" spans="1:28" x14ac:dyDescent="0.15">
      <c r="A107" s="127"/>
      <c r="B107" s="127"/>
      <c r="C107" s="127"/>
      <c r="D107" s="128"/>
      <c r="G107" s="127"/>
      <c r="J107" s="127"/>
      <c r="Q107" s="74"/>
      <c r="V107" s="129"/>
      <c r="X107" s="127"/>
      <c r="AB107" s="127"/>
    </row>
    <row r="108" spans="1:28" x14ac:dyDescent="0.15">
      <c r="A108" s="127"/>
      <c r="B108" s="127"/>
      <c r="C108" s="127"/>
      <c r="D108" s="128"/>
      <c r="G108" s="127"/>
      <c r="J108" s="127"/>
      <c r="Q108" s="74"/>
      <c r="V108" s="129"/>
      <c r="X108" s="127"/>
      <c r="AB108" s="127"/>
    </row>
    <row r="109" spans="1:28" x14ac:dyDescent="0.15">
      <c r="A109" s="127"/>
      <c r="B109" s="127"/>
      <c r="C109" s="127"/>
      <c r="D109" s="128"/>
      <c r="G109" s="127"/>
      <c r="J109" s="127"/>
      <c r="Q109" s="74"/>
      <c r="V109" s="129"/>
      <c r="X109" s="127"/>
      <c r="AB109" s="127"/>
    </row>
    <row r="110" spans="1:28" x14ac:dyDescent="0.15">
      <c r="A110" s="127"/>
      <c r="B110" s="127"/>
      <c r="C110" s="127"/>
      <c r="D110" s="128"/>
      <c r="G110" s="127"/>
      <c r="J110" s="127"/>
      <c r="Q110" s="74"/>
      <c r="V110" s="129"/>
      <c r="X110" s="127"/>
      <c r="AB110" s="127"/>
    </row>
    <row r="111" spans="1:28" x14ac:dyDescent="0.15">
      <c r="A111" s="127"/>
      <c r="B111" s="127"/>
      <c r="C111" s="127"/>
      <c r="D111" s="128"/>
      <c r="G111" s="127"/>
      <c r="J111" s="127"/>
      <c r="Q111" s="74"/>
      <c r="V111" s="129"/>
      <c r="X111" s="127"/>
      <c r="AB111" s="127"/>
    </row>
    <row r="112" spans="1:28" x14ac:dyDescent="0.15">
      <c r="A112" s="127"/>
      <c r="B112" s="127"/>
      <c r="C112" s="127"/>
      <c r="D112" s="128"/>
      <c r="G112" s="127"/>
      <c r="J112" s="127"/>
      <c r="Q112" s="74"/>
      <c r="V112" s="129"/>
      <c r="X112" s="127"/>
      <c r="AB112" s="127"/>
    </row>
    <row r="113" spans="1:28" x14ac:dyDescent="0.15">
      <c r="A113" s="127"/>
      <c r="B113" s="127"/>
      <c r="C113" s="127"/>
      <c r="D113" s="128"/>
      <c r="G113" s="127"/>
      <c r="J113" s="127"/>
      <c r="Q113" s="74"/>
      <c r="V113" s="129"/>
      <c r="X113" s="127"/>
      <c r="AB113" s="127"/>
    </row>
    <row r="114" spans="1:28" x14ac:dyDescent="0.15">
      <c r="A114" s="127"/>
      <c r="B114" s="127"/>
      <c r="C114" s="127"/>
      <c r="D114" s="128"/>
      <c r="G114" s="127"/>
      <c r="J114" s="127"/>
      <c r="Q114" s="74"/>
      <c r="V114" s="129"/>
      <c r="X114" s="127"/>
      <c r="AB114" s="127"/>
    </row>
    <row r="115" spans="1:28" x14ac:dyDescent="0.15">
      <c r="A115" s="127"/>
      <c r="B115" s="127"/>
      <c r="C115" s="127"/>
      <c r="D115" s="128"/>
      <c r="G115" s="127"/>
      <c r="J115" s="127"/>
      <c r="Q115" s="74"/>
      <c r="V115" s="129"/>
      <c r="X115" s="127"/>
      <c r="AB115" s="127"/>
    </row>
    <row r="116" spans="1:28" x14ac:dyDescent="0.15">
      <c r="D116" s="128"/>
    </row>
    <row r="117" spans="1:28" x14ac:dyDescent="0.15">
      <c r="D117" s="128"/>
    </row>
  </sheetData>
  <autoFilter ref="A1:BA1" xr:uid="{00000000-0009-0000-0000-000004000000}"/>
  <phoneticPr fontId="3"/>
  <dataValidations count="21">
    <dataValidation type="list" allowBlank="1" showInputMessage="1" showErrorMessage="1" sqref="K2:K123" xr:uid="{3B0EDF19-53F2-4413-BA98-CD70CD8BA619}">
      <formula1>$AR$2:$AR$29</formula1>
    </dataValidation>
    <dataValidation type="list" allowBlank="1" showInputMessage="1" showErrorMessage="1" sqref="I64409:I64414 WVQ981892:WVQ981897 WLU981892:WLU981897 WBY981892:WBY981897 VSC981892:VSC981897 VIG981892:VIG981897 UYK981892:UYK981897 UOO981892:UOO981897 UES981892:UES981897 TUW981892:TUW981897 TLA981892:TLA981897 TBE981892:TBE981897 SRI981892:SRI981897 SHM981892:SHM981897 RXQ981892:RXQ981897 RNU981892:RNU981897 RDY981892:RDY981897 QUC981892:QUC981897 QKG981892:QKG981897 QAK981892:QAK981897 PQO981892:PQO981897 PGS981892:PGS981897 OWW981892:OWW981897 ONA981892:ONA981897 ODE981892:ODE981897 NTI981892:NTI981897 NJM981892:NJM981897 MZQ981892:MZQ981897 MPU981892:MPU981897 MFY981892:MFY981897 LWC981892:LWC981897 LMG981892:LMG981897 LCK981892:LCK981897 KSO981892:KSO981897 KIS981892:KIS981897 JYW981892:JYW981897 JPA981892:JPA981897 JFE981892:JFE981897 IVI981892:IVI981897 ILM981892:ILM981897 IBQ981892:IBQ981897 HRU981892:HRU981897 HHY981892:HHY981897 GYC981892:GYC981897 GOG981892:GOG981897 GEK981892:GEK981897 FUO981892:FUO981897 FKS981892:FKS981897 FAW981892:FAW981897 ERA981892:ERA981897 EHE981892:EHE981897 DXI981892:DXI981897 DNM981892:DNM981897 DDQ981892:DDQ981897 CTU981892:CTU981897 CJY981892:CJY981897 CAC981892:CAC981897 BQG981892:BQG981897 BGK981892:BGK981897 AWO981892:AWO981897 AMS981892:AMS981897 ACW981892:ACW981897 TA981892:TA981897 JE981892:JE981897 I981913:I981918 WVQ916356:WVQ916361 WLU916356:WLU916361 WBY916356:WBY916361 VSC916356:VSC916361 VIG916356:VIG916361 UYK916356:UYK916361 UOO916356:UOO916361 UES916356:UES916361 TUW916356:TUW916361 TLA916356:TLA916361 TBE916356:TBE916361 SRI916356:SRI916361 SHM916356:SHM916361 RXQ916356:RXQ916361 RNU916356:RNU916361 RDY916356:RDY916361 QUC916356:QUC916361 QKG916356:QKG916361 QAK916356:QAK916361 PQO916356:PQO916361 PGS916356:PGS916361 OWW916356:OWW916361 ONA916356:ONA916361 ODE916356:ODE916361 NTI916356:NTI916361 NJM916356:NJM916361 MZQ916356:MZQ916361 MPU916356:MPU916361 MFY916356:MFY916361 LWC916356:LWC916361 LMG916356:LMG916361 LCK916356:LCK916361 KSO916356:KSO916361 KIS916356:KIS916361 JYW916356:JYW916361 JPA916356:JPA916361 JFE916356:JFE916361 IVI916356:IVI916361 ILM916356:ILM916361 IBQ916356:IBQ916361 HRU916356:HRU916361 HHY916356:HHY916361 GYC916356:GYC916361 GOG916356:GOG916361 GEK916356:GEK916361 FUO916356:FUO916361 FKS916356:FKS916361 FAW916356:FAW916361 ERA916356:ERA916361 EHE916356:EHE916361 DXI916356:DXI916361 DNM916356:DNM916361 DDQ916356:DDQ916361 CTU916356:CTU916361 CJY916356:CJY916361 CAC916356:CAC916361 BQG916356:BQG916361 BGK916356:BGK916361 AWO916356:AWO916361 AMS916356:AMS916361 ACW916356:ACW916361 TA916356:TA916361 JE916356:JE916361 I916377:I916382 WVQ850820:WVQ850825 WLU850820:WLU850825 WBY850820:WBY850825 VSC850820:VSC850825 VIG850820:VIG850825 UYK850820:UYK850825 UOO850820:UOO850825 UES850820:UES850825 TUW850820:TUW850825 TLA850820:TLA850825 TBE850820:TBE850825 SRI850820:SRI850825 SHM850820:SHM850825 RXQ850820:RXQ850825 RNU850820:RNU850825 RDY850820:RDY850825 QUC850820:QUC850825 QKG850820:QKG850825 QAK850820:QAK850825 PQO850820:PQO850825 PGS850820:PGS850825 OWW850820:OWW850825 ONA850820:ONA850825 ODE850820:ODE850825 NTI850820:NTI850825 NJM850820:NJM850825 MZQ850820:MZQ850825 MPU850820:MPU850825 MFY850820:MFY850825 LWC850820:LWC850825 LMG850820:LMG850825 LCK850820:LCK850825 KSO850820:KSO850825 KIS850820:KIS850825 JYW850820:JYW850825 JPA850820:JPA850825 JFE850820:JFE850825 IVI850820:IVI850825 ILM850820:ILM850825 IBQ850820:IBQ850825 HRU850820:HRU850825 HHY850820:HHY850825 GYC850820:GYC850825 GOG850820:GOG850825 GEK850820:GEK850825 FUO850820:FUO850825 FKS850820:FKS850825 FAW850820:FAW850825 ERA850820:ERA850825 EHE850820:EHE850825 DXI850820:DXI850825 DNM850820:DNM850825 DDQ850820:DDQ850825 CTU850820:CTU850825 CJY850820:CJY850825 CAC850820:CAC850825 BQG850820:BQG850825 BGK850820:BGK850825 AWO850820:AWO850825 AMS850820:AMS850825 ACW850820:ACW850825 TA850820:TA850825 JE850820:JE850825 I850841:I850846 WVQ785284:WVQ785289 WLU785284:WLU785289 WBY785284:WBY785289 VSC785284:VSC785289 VIG785284:VIG785289 UYK785284:UYK785289 UOO785284:UOO785289 UES785284:UES785289 TUW785284:TUW785289 TLA785284:TLA785289 TBE785284:TBE785289 SRI785284:SRI785289 SHM785284:SHM785289 RXQ785284:RXQ785289 RNU785284:RNU785289 RDY785284:RDY785289 QUC785284:QUC785289 QKG785284:QKG785289 QAK785284:QAK785289 PQO785284:PQO785289 PGS785284:PGS785289 OWW785284:OWW785289 ONA785284:ONA785289 ODE785284:ODE785289 NTI785284:NTI785289 NJM785284:NJM785289 MZQ785284:MZQ785289 MPU785284:MPU785289 MFY785284:MFY785289 LWC785284:LWC785289 LMG785284:LMG785289 LCK785284:LCK785289 KSO785284:KSO785289 KIS785284:KIS785289 JYW785284:JYW785289 JPA785284:JPA785289 JFE785284:JFE785289 IVI785284:IVI785289 ILM785284:ILM785289 IBQ785284:IBQ785289 HRU785284:HRU785289 HHY785284:HHY785289 GYC785284:GYC785289 GOG785284:GOG785289 GEK785284:GEK785289 FUO785284:FUO785289 FKS785284:FKS785289 FAW785284:FAW785289 ERA785284:ERA785289 EHE785284:EHE785289 DXI785284:DXI785289 DNM785284:DNM785289 DDQ785284:DDQ785289 CTU785284:CTU785289 CJY785284:CJY785289 CAC785284:CAC785289 BQG785284:BQG785289 BGK785284:BGK785289 AWO785284:AWO785289 AMS785284:AMS785289 ACW785284:ACW785289 TA785284:TA785289 JE785284:JE785289 I785305:I785310 WVQ719748:WVQ719753 WLU719748:WLU719753 WBY719748:WBY719753 VSC719748:VSC719753 VIG719748:VIG719753 UYK719748:UYK719753 UOO719748:UOO719753 UES719748:UES719753 TUW719748:TUW719753 TLA719748:TLA719753 TBE719748:TBE719753 SRI719748:SRI719753 SHM719748:SHM719753 RXQ719748:RXQ719753 RNU719748:RNU719753 RDY719748:RDY719753 QUC719748:QUC719753 QKG719748:QKG719753 QAK719748:QAK719753 PQO719748:PQO719753 PGS719748:PGS719753 OWW719748:OWW719753 ONA719748:ONA719753 ODE719748:ODE719753 NTI719748:NTI719753 NJM719748:NJM719753 MZQ719748:MZQ719753 MPU719748:MPU719753 MFY719748:MFY719753 LWC719748:LWC719753 LMG719748:LMG719753 LCK719748:LCK719753 KSO719748:KSO719753 KIS719748:KIS719753 JYW719748:JYW719753 JPA719748:JPA719753 JFE719748:JFE719753 IVI719748:IVI719753 ILM719748:ILM719753 IBQ719748:IBQ719753 HRU719748:HRU719753 HHY719748:HHY719753 GYC719748:GYC719753 GOG719748:GOG719753 GEK719748:GEK719753 FUO719748:FUO719753 FKS719748:FKS719753 FAW719748:FAW719753 ERA719748:ERA719753 EHE719748:EHE719753 DXI719748:DXI719753 DNM719748:DNM719753 DDQ719748:DDQ719753 CTU719748:CTU719753 CJY719748:CJY719753 CAC719748:CAC719753 BQG719748:BQG719753 BGK719748:BGK719753 AWO719748:AWO719753 AMS719748:AMS719753 ACW719748:ACW719753 TA719748:TA719753 JE719748:JE719753 I719769:I719774 WVQ654212:WVQ654217 WLU654212:WLU654217 WBY654212:WBY654217 VSC654212:VSC654217 VIG654212:VIG654217 UYK654212:UYK654217 UOO654212:UOO654217 UES654212:UES654217 TUW654212:TUW654217 TLA654212:TLA654217 TBE654212:TBE654217 SRI654212:SRI654217 SHM654212:SHM654217 RXQ654212:RXQ654217 RNU654212:RNU654217 RDY654212:RDY654217 QUC654212:QUC654217 QKG654212:QKG654217 QAK654212:QAK654217 PQO654212:PQO654217 PGS654212:PGS654217 OWW654212:OWW654217 ONA654212:ONA654217 ODE654212:ODE654217 NTI654212:NTI654217 NJM654212:NJM654217 MZQ654212:MZQ654217 MPU654212:MPU654217 MFY654212:MFY654217 LWC654212:LWC654217 LMG654212:LMG654217 LCK654212:LCK654217 KSO654212:KSO654217 KIS654212:KIS654217 JYW654212:JYW654217 JPA654212:JPA654217 JFE654212:JFE654217 IVI654212:IVI654217 ILM654212:ILM654217 IBQ654212:IBQ654217 HRU654212:HRU654217 HHY654212:HHY654217 GYC654212:GYC654217 GOG654212:GOG654217 GEK654212:GEK654217 FUO654212:FUO654217 FKS654212:FKS654217 FAW654212:FAW654217 ERA654212:ERA654217 EHE654212:EHE654217 DXI654212:DXI654217 DNM654212:DNM654217 DDQ654212:DDQ654217 CTU654212:CTU654217 CJY654212:CJY654217 CAC654212:CAC654217 BQG654212:BQG654217 BGK654212:BGK654217 AWO654212:AWO654217 AMS654212:AMS654217 ACW654212:ACW654217 TA654212:TA654217 JE654212:JE654217 I654233:I654238 WVQ588676:WVQ588681 WLU588676:WLU588681 WBY588676:WBY588681 VSC588676:VSC588681 VIG588676:VIG588681 UYK588676:UYK588681 UOO588676:UOO588681 UES588676:UES588681 TUW588676:TUW588681 TLA588676:TLA588681 TBE588676:TBE588681 SRI588676:SRI588681 SHM588676:SHM588681 RXQ588676:RXQ588681 RNU588676:RNU588681 RDY588676:RDY588681 QUC588676:QUC588681 QKG588676:QKG588681 QAK588676:QAK588681 PQO588676:PQO588681 PGS588676:PGS588681 OWW588676:OWW588681 ONA588676:ONA588681 ODE588676:ODE588681 NTI588676:NTI588681 NJM588676:NJM588681 MZQ588676:MZQ588681 MPU588676:MPU588681 MFY588676:MFY588681 LWC588676:LWC588681 LMG588676:LMG588681 LCK588676:LCK588681 KSO588676:KSO588681 KIS588676:KIS588681 JYW588676:JYW588681 JPA588676:JPA588681 JFE588676:JFE588681 IVI588676:IVI588681 ILM588676:ILM588681 IBQ588676:IBQ588681 HRU588676:HRU588681 HHY588676:HHY588681 GYC588676:GYC588681 GOG588676:GOG588681 GEK588676:GEK588681 FUO588676:FUO588681 FKS588676:FKS588681 FAW588676:FAW588681 ERA588676:ERA588681 EHE588676:EHE588681 DXI588676:DXI588681 DNM588676:DNM588681 DDQ588676:DDQ588681 CTU588676:CTU588681 CJY588676:CJY588681 CAC588676:CAC588681 BQG588676:BQG588681 BGK588676:BGK588681 AWO588676:AWO588681 AMS588676:AMS588681 ACW588676:ACW588681 TA588676:TA588681 JE588676:JE588681 I588697:I588702 WVQ523140:WVQ523145 WLU523140:WLU523145 WBY523140:WBY523145 VSC523140:VSC523145 VIG523140:VIG523145 UYK523140:UYK523145 UOO523140:UOO523145 UES523140:UES523145 TUW523140:TUW523145 TLA523140:TLA523145 TBE523140:TBE523145 SRI523140:SRI523145 SHM523140:SHM523145 RXQ523140:RXQ523145 RNU523140:RNU523145 RDY523140:RDY523145 QUC523140:QUC523145 QKG523140:QKG523145 QAK523140:QAK523145 PQO523140:PQO523145 PGS523140:PGS523145 OWW523140:OWW523145 ONA523140:ONA523145 ODE523140:ODE523145 NTI523140:NTI523145 NJM523140:NJM523145 MZQ523140:MZQ523145 MPU523140:MPU523145 MFY523140:MFY523145 LWC523140:LWC523145 LMG523140:LMG523145 LCK523140:LCK523145 KSO523140:KSO523145 KIS523140:KIS523145 JYW523140:JYW523145 JPA523140:JPA523145 JFE523140:JFE523145 IVI523140:IVI523145 ILM523140:ILM523145 IBQ523140:IBQ523145 HRU523140:HRU523145 HHY523140:HHY523145 GYC523140:GYC523145 GOG523140:GOG523145 GEK523140:GEK523145 FUO523140:FUO523145 FKS523140:FKS523145 FAW523140:FAW523145 ERA523140:ERA523145 EHE523140:EHE523145 DXI523140:DXI523145 DNM523140:DNM523145 DDQ523140:DDQ523145 CTU523140:CTU523145 CJY523140:CJY523145 CAC523140:CAC523145 BQG523140:BQG523145 BGK523140:BGK523145 AWO523140:AWO523145 AMS523140:AMS523145 ACW523140:ACW523145 TA523140:TA523145 JE523140:JE523145 I523161:I523166 WVQ457604:WVQ457609 WLU457604:WLU457609 WBY457604:WBY457609 VSC457604:VSC457609 VIG457604:VIG457609 UYK457604:UYK457609 UOO457604:UOO457609 UES457604:UES457609 TUW457604:TUW457609 TLA457604:TLA457609 TBE457604:TBE457609 SRI457604:SRI457609 SHM457604:SHM457609 RXQ457604:RXQ457609 RNU457604:RNU457609 RDY457604:RDY457609 QUC457604:QUC457609 QKG457604:QKG457609 QAK457604:QAK457609 PQO457604:PQO457609 PGS457604:PGS457609 OWW457604:OWW457609 ONA457604:ONA457609 ODE457604:ODE457609 NTI457604:NTI457609 NJM457604:NJM457609 MZQ457604:MZQ457609 MPU457604:MPU457609 MFY457604:MFY457609 LWC457604:LWC457609 LMG457604:LMG457609 LCK457604:LCK457609 KSO457604:KSO457609 KIS457604:KIS457609 JYW457604:JYW457609 JPA457604:JPA457609 JFE457604:JFE457609 IVI457604:IVI457609 ILM457604:ILM457609 IBQ457604:IBQ457609 HRU457604:HRU457609 HHY457604:HHY457609 GYC457604:GYC457609 GOG457604:GOG457609 GEK457604:GEK457609 FUO457604:FUO457609 FKS457604:FKS457609 FAW457604:FAW457609 ERA457604:ERA457609 EHE457604:EHE457609 DXI457604:DXI457609 DNM457604:DNM457609 DDQ457604:DDQ457609 CTU457604:CTU457609 CJY457604:CJY457609 CAC457604:CAC457609 BQG457604:BQG457609 BGK457604:BGK457609 AWO457604:AWO457609 AMS457604:AMS457609 ACW457604:ACW457609 TA457604:TA457609 JE457604:JE457609 I457625:I457630 WVQ392068:WVQ392073 WLU392068:WLU392073 WBY392068:WBY392073 VSC392068:VSC392073 VIG392068:VIG392073 UYK392068:UYK392073 UOO392068:UOO392073 UES392068:UES392073 TUW392068:TUW392073 TLA392068:TLA392073 TBE392068:TBE392073 SRI392068:SRI392073 SHM392068:SHM392073 RXQ392068:RXQ392073 RNU392068:RNU392073 RDY392068:RDY392073 QUC392068:QUC392073 QKG392068:QKG392073 QAK392068:QAK392073 PQO392068:PQO392073 PGS392068:PGS392073 OWW392068:OWW392073 ONA392068:ONA392073 ODE392068:ODE392073 NTI392068:NTI392073 NJM392068:NJM392073 MZQ392068:MZQ392073 MPU392068:MPU392073 MFY392068:MFY392073 LWC392068:LWC392073 LMG392068:LMG392073 LCK392068:LCK392073 KSO392068:KSO392073 KIS392068:KIS392073 JYW392068:JYW392073 JPA392068:JPA392073 JFE392068:JFE392073 IVI392068:IVI392073 ILM392068:ILM392073 IBQ392068:IBQ392073 HRU392068:HRU392073 HHY392068:HHY392073 GYC392068:GYC392073 GOG392068:GOG392073 GEK392068:GEK392073 FUO392068:FUO392073 FKS392068:FKS392073 FAW392068:FAW392073 ERA392068:ERA392073 EHE392068:EHE392073 DXI392068:DXI392073 DNM392068:DNM392073 DDQ392068:DDQ392073 CTU392068:CTU392073 CJY392068:CJY392073 CAC392068:CAC392073 BQG392068:BQG392073 BGK392068:BGK392073 AWO392068:AWO392073 AMS392068:AMS392073 ACW392068:ACW392073 TA392068:TA392073 JE392068:JE392073 I392089:I392094 WVQ326532:WVQ326537 WLU326532:WLU326537 WBY326532:WBY326537 VSC326532:VSC326537 VIG326532:VIG326537 UYK326532:UYK326537 UOO326532:UOO326537 UES326532:UES326537 TUW326532:TUW326537 TLA326532:TLA326537 TBE326532:TBE326537 SRI326532:SRI326537 SHM326532:SHM326537 RXQ326532:RXQ326537 RNU326532:RNU326537 RDY326532:RDY326537 QUC326532:QUC326537 QKG326532:QKG326537 QAK326532:QAK326537 PQO326532:PQO326537 PGS326532:PGS326537 OWW326532:OWW326537 ONA326532:ONA326537 ODE326532:ODE326537 NTI326532:NTI326537 NJM326532:NJM326537 MZQ326532:MZQ326537 MPU326532:MPU326537 MFY326532:MFY326537 LWC326532:LWC326537 LMG326532:LMG326537 LCK326532:LCK326537 KSO326532:KSO326537 KIS326532:KIS326537 JYW326532:JYW326537 JPA326532:JPA326537 JFE326532:JFE326537 IVI326532:IVI326537 ILM326532:ILM326537 IBQ326532:IBQ326537 HRU326532:HRU326537 HHY326532:HHY326537 GYC326532:GYC326537 GOG326532:GOG326537 GEK326532:GEK326537 FUO326532:FUO326537 FKS326532:FKS326537 FAW326532:FAW326537 ERA326532:ERA326537 EHE326532:EHE326537 DXI326532:DXI326537 DNM326532:DNM326537 DDQ326532:DDQ326537 CTU326532:CTU326537 CJY326532:CJY326537 CAC326532:CAC326537 BQG326532:BQG326537 BGK326532:BGK326537 AWO326532:AWO326537 AMS326532:AMS326537 ACW326532:ACW326537 TA326532:TA326537 JE326532:JE326537 I326553:I326558 WVQ260996:WVQ261001 WLU260996:WLU261001 WBY260996:WBY261001 VSC260996:VSC261001 VIG260996:VIG261001 UYK260996:UYK261001 UOO260996:UOO261001 UES260996:UES261001 TUW260996:TUW261001 TLA260996:TLA261001 TBE260996:TBE261001 SRI260996:SRI261001 SHM260996:SHM261001 RXQ260996:RXQ261001 RNU260996:RNU261001 RDY260996:RDY261001 QUC260996:QUC261001 QKG260996:QKG261001 QAK260996:QAK261001 PQO260996:PQO261001 PGS260996:PGS261001 OWW260996:OWW261001 ONA260996:ONA261001 ODE260996:ODE261001 NTI260996:NTI261001 NJM260996:NJM261001 MZQ260996:MZQ261001 MPU260996:MPU261001 MFY260996:MFY261001 LWC260996:LWC261001 LMG260996:LMG261001 LCK260996:LCK261001 KSO260996:KSO261001 KIS260996:KIS261001 JYW260996:JYW261001 JPA260996:JPA261001 JFE260996:JFE261001 IVI260996:IVI261001 ILM260996:ILM261001 IBQ260996:IBQ261001 HRU260996:HRU261001 HHY260996:HHY261001 GYC260996:GYC261001 GOG260996:GOG261001 GEK260996:GEK261001 FUO260996:FUO261001 FKS260996:FKS261001 FAW260996:FAW261001 ERA260996:ERA261001 EHE260996:EHE261001 DXI260996:DXI261001 DNM260996:DNM261001 DDQ260996:DDQ261001 CTU260996:CTU261001 CJY260996:CJY261001 CAC260996:CAC261001 BQG260996:BQG261001 BGK260996:BGK261001 AWO260996:AWO261001 AMS260996:AMS261001 ACW260996:ACW261001 TA260996:TA261001 JE260996:JE261001 I261017:I261022 WVQ195460:WVQ195465 WLU195460:WLU195465 WBY195460:WBY195465 VSC195460:VSC195465 VIG195460:VIG195465 UYK195460:UYK195465 UOO195460:UOO195465 UES195460:UES195465 TUW195460:TUW195465 TLA195460:TLA195465 TBE195460:TBE195465 SRI195460:SRI195465 SHM195460:SHM195465 RXQ195460:RXQ195465 RNU195460:RNU195465 RDY195460:RDY195465 QUC195460:QUC195465 QKG195460:QKG195465 QAK195460:QAK195465 PQO195460:PQO195465 PGS195460:PGS195465 OWW195460:OWW195465 ONA195460:ONA195465 ODE195460:ODE195465 NTI195460:NTI195465 NJM195460:NJM195465 MZQ195460:MZQ195465 MPU195460:MPU195465 MFY195460:MFY195465 LWC195460:LWC195465 LMG195460:LMG195465 LCK195460:LCK195465 KSO195460:KSO195465 KIS195460:KIS195465 JYW195460:JYW195465 JPA195460:JPA195465 JFE195460:JFE195465 IVI195460:IVI195465 ILM195460:ILM195465 IBQ195460:IBQ195465 HRU195460:HRU195465 HHY195460:HHY195465 GYC195460:GYC195465 GOG195460:GOG195465 GEK195460:GEK195465 FUO195460:FUO195465 FKS195460:FKS195465 FAW195460:FAW195465 ERA195460:ERA195465 EHE195460:EHE195465 DXI195460:DXI195465 DNM195460:DNM195465 DDQ195460:DDQ195465 CTU195460:CTU195465 CJY195460:CJY195465 CAC195460:CAC195465 BQG195460:BQG195465 BGK195460:BGK195465 AWO195460:AWO195465 AMS195460:AMS195465 ACW195460:ACW195465 TA195460:TA195465 JE195460:JE195465 I195481:I195486 WVQ129924:WVQ129929 WLU129924:WLU129929 WBY129924:WBY129929 VSC129924:VSC129929 VIG129924:VIG129929 UYK129924:UYK129929 UOO129924:UOO129929 UES129924:UES129929 TUW129924:TUW129929 TLA129924:TLA129929 TBE129924:TBE129929 SRI129924:SRI129929 SHM129924:SHM129929 RXQ129924:RXQ129929 RNU129924:RNU129929 RDY129924:RDY129929 QUC129924:QUC129929 QKG129924:QKG129929 QAK129924:QAK129929 PQO129924:PQO129929 PGS129924:PGS129929 OWW129924:OWW129929 ONA129924:ONA129929 ODE129924:ODE129929 NTI129924:NTI129929 NJM129924:NJM129929 MZQ129924:MZQ129929 MPU129924:MPU129929 MFY129924:MFY129929 LWC129924:LWC129929 LMG129924:LMG129929 LCK129924:LCK129929 KSO129924:KSO129929 KIS129924:KIS129929 JYW129924:JYW129929 JPA129924:JPA129929 JFE129924:JFE129929 IVI129924:IVI129929 ILM129924:ILM129929 IBQ129924:IBQ129929 HRU129924:HRU129929 HHY129924:HHY129929 GYC129924:GYC129929 GOG129924:GOG129929 GEK129924:GEK129929 FUO129924:FUO129929 FKS129924:FKS129929 FAW129924:FAW129929 ERA129924:ERA129929 EHE129924:EHE129929 DXI129924:DXI129929 DNM129924:DNM129929 DDQ129924:DDQ129929 CTU129924:CTU129929 CJY129924:CJY129929 CAC129924:CAC129929 BQG129924:BQG129929 BGK129924:BGK129929 AWO129924:AWO129929 AMS129924:AMS129929 ACW129924:ACW129929 TA129924:TA129929 JE129924:JE129929 I129945:I129950 WVQ64388:WVQ64393 WLU64388:WLU64393 WBY64388:WBY64393 VSC64388:VSC64393 VIG64388:VIG64393 UYK64388:UYK64393 UOO64388:UOO64393 UES64388:UES64393 TUW64388:TUW64393 TLA64388:TLA64393 TBE64388:TBE64393 SRI64388:SRI64393 SHM64388:SHM64393 RXQ64388:RXQ64393 RNU64388:RNU64393 RDY64388:RDY64393 QUC64388:QUC64393 QKG64388:QKG64393 QAK64388:QAK64393 PQO64388:PQO64393 PGS64388:PGS64393 OWW64388:OWW64393 ONA64388:ONA64393 ODE64388:ODE64393 NTI64388:NTI64393 NJM64388:NJM64393 MZQ64388:MZQ64393 MPU64388:MPU64393 MFY64388:MFY64393 LWC64388:LWC64393 LMG64388:LMG64393 LCK64388:LCK64393 KSO64388:KSO64393 KIS64388:KIS64393 JYW64388:JYW64393 JPA64388:JPA64393 JFE64388:JFE64393 IVI64388:IVI64393 ILM64388:ILM64393 IBQ64388:IBQ64393 HRU64388:HRU64393 HHY64388:HHY64393 GYC64388:GYC64393 GOG64388:GOG64393 GEK64388:GEK64393 FUO64388:FUO64393 FKS64388:FKS64393 FAW64388:FAW64393 ERA64388:ERA64393 EHE64388:EHE64393 DXI64388:DXI64393 DNM64388:DNM64393 DDQ64388:DDQ64393 CTU64388:CTU64393 CJY64388:CJY64393 CAC64388:CAC64393 BQG64388:BQG64393 BGK64388:BGK64393 AWO64388:AWO64393 AMS64388:AMS64393 ACW64388:ACW64393 TA64388:TA64393 JE64388:JE64393" xr:uid="{32F33CE2-A1AC-4481-BA45-4E027DF2153A}">
      <formula1>$AN$8:$AN$9</formula1>
    </dataValidation>
    <dataValidation type="list" allowBlank="1" showInputMessage="1" showErrorMessage="1" sqref="WVS981808:WVS981897 WLW981808:WLW981897 K64313:K64402 JG64304:JG64393 TC64304:TC64393 ACY64304:ACY64393 AMU64304:AMU64393 AWQ64304:AWQ64393 BGM64304:BGM64393 BQI64304:BQI64393 CAE64304:CAE64393 CKA64304:CKA64393 CTW64304:CTW64393 DDS64304:DDS64393 DNO64304:DNO64393 DXK64304:DXK64393 EHG64304:EHG64393 ERC64304:ERC64393 FAY64304:FAY64393 FKU64304:FKU64393 FUQ64304:FUQ64393 GEM64304:GEM64393 GOI64304:GOI64393 GYE64304:GYE64393 HIA64304:HIA64393 HRW64304:HRW64393 IBS64304:IBS64393 ILO64304:ILO64393 IVK64304:IVK64393 JFG64304:JFG64393 JPC64304:JPC64393 JYY64304:JYY64393 KIU64304:KIU64393 KSQ64304:KSQ64393 LCM64304:LCM64393 LMI64304:LMI64393 LWE64304:LWE64393 MGA64304:MGA64393 MPW64304:MPW64393 MZS64304:MZS64393 NJO64304:NJO64393 NTK64304:NTK64393 ODG64304:ODG64393 ONC64304:ONC64393 OWY64304:OWY64393 PGU64304:PGU64393 PQQ64304:PQQ64393 QAM64304:QAM64393 QKI64304:QKI64393 QUE64304:QUE64393 REA64304:REA64393 RNW64304:RNW64393 RXS64304:RXS64393 SHO64304:SHO64393 SRK64304:SRK64393 TBG64304:TBG64393 TLC64304:TLC64393 TUY64304:TUY64393 UEU64304:UEU64393 UOQ64304:UOQ64393 UYM64304:UYM64393 VII64304:VII64393 VSE64304:VSE64393 WCA64304:WCA64393 WLW64304:WLW64393 WVS64304:WVS64393 K129849:K129938 JG129840:JG129929 TC129840:TC129929 ACY129840:ACY129929 AMU129840:AMU129929 AWQ129840:AWQ129929 BGM129840:BGM129929 BQI129840:BQI129929 CAE129840:CAE129929 CKA129840:CKA129929 CTW129840:CTW129929 DDS129840:DDS129929 DNO129840:DNO129929 DXK129840:DXK129929 EHG129840:EHG129929 ERC129840:ERC129929 FAY129840:FAY129929 FKU129840:FKU129929 FUQ129840:FUQ129929 GEM129840:GEM129929 GOI129840:GOI129929 GYE129840:GYE129929 HIA129840:HIA129929 HRW129840:HRW129929 IBS129840:IBS129929 ILO129840:ILO129929 IVK129840:IVK129929 JFG129840:JFG129929 JPC129840:JPC129929 JYY129840:JYY129929 KIU129840:KIU129929 KSQ129840:KSQ129929 LCM129840:LCM129929 LMI129840:LMI129929 LWE129840:LWE129929 MGA129840:MGA129929 MPW129840:MPW129929 MZS129840:MZS129929 NJO129840:NJO129929 NTK129840:NTK129929 ODG129840:ODG129929 ONC129840:ONC129929 OWY129840:OWY129929 PGU129840:PGU129929 PQQ129840:PQQ129929 QAM129840:QAM129929 QKI129840:QKI129929 QUE129840:QUE129929 REA129840:REA129929 RNW129840:RNW129929 RXS129840:RXS129929 SHO129840:SHO129929 SRK129840:SRK129929 TBG129840:TBG129929 TLC129840:TLC129929 TUY129840:TUY129929 UEU129840:UEU129929 UOQ129840:UOQ129929 UYM129840:UYM129929 VII129840:VII129929 VSE129840:VSE129929 WCA129840:WCA129929 WLW129840:WLW129929 WVS129840:WVS129929 K195385:K195474 JG195376:JG195465 TC195376:TC195465 ACY195376:ACY195465 AMU195376:AMU195465 AWQ195376:AWQ195465 BGM195376:BGM195465 BQI195376:BQI195465 CAE195376:CAE195465 CKA195376:CKA195465 CTW195376:CTW195465 DDS195376:DDS195465 DNO195376:DNO195465 DXK195376:DXK195465 EHG195376:EHG195465 ERC195376:ERC195465 FAY195376:FAY195465 FKU195376:FKU195465 FUQ195376:FUQ195465 GEM195376:GEM195465 GOI195376:GOI195465 GYE195376:GYE195465 HIA195376:HIA195465 HRW195376:HRW195465 IBS195376:IBS195465 ILO195376:ILO195465 IVK195376:IVK195465 JFG195376:JFG195465 JPC195376:JPC195465 JYY195376:JYY195465 KIU195376:KIU195465 KSQ195376:KSQ195465 LCM195376:LCM195465 LMI195376:LMI195465 LWE195376:LWE195465 MGA195376:MGA195465 MPW195376:MPW195465 MZS195376:MZS195465 NJO195376:NJO195465 NTK195376:NTK195465 ODG195376:ODG195465 ONC195376:ONC195465 OWY195376:OWY195465 PGU195376:PGU195465 PQQ195376:PQQ195465 QAM195376:QAM195465 QKI195376:QKI195465 QUE195376:QUE195465 REA195376:REA195465 RNW195376:RNW195465 RXS195376:RXS195465 SHO195376:SHO195465 SRK195376:SRK195465 TBG195376:TBG195465 TLC195376:TLC195465 TUY195376:TUY195465 UEU195376:UEU195465 UOQ195376:UOQ195465 UYM195376:UYM195465 VII195376:VII195465 VSE195376:VSE195465 WCA195376:WCA195465 WLW195376:WLW195465 WVS195376:WVS195465 K260921:K261010 JG260912:JG261001 TC260912:TC261001 ACY260912:ACY261001 AMU260912:AMU261001 AWQ260912:AWQ261001 BGM260912:BGM261001 BQI260912:BQI261001 CAE260912:CAE261001 CKA260912:CKA261001 CTW260912:CTW261001 DDS260912:DDS261001 DNO260912:DNO261001 DXK260912:DXK261001 EHG260912:EHG261001 ERC260912:ERC261001 FAY260912:FAY261001 FKU260912:FKU261001 FUQ260912:FUQ261001 GEM260912:GEM261001 GOI260912:GOI261001 GYE260912:GYE261001 HIA260912:HIA261001 HRW260912:HRW261001 IBS260912:IBS261001 ILO260912:ILO261001 IVK260912:IVK261001 JFG260912:JFG261001 JPC260912:JPC261001 JYY260912:JYY261001 KIU260912:KIU261001 KSQ260912:KSQ261001 LCM260912:LCM261001 LMI260912:LMI261001 LWE260912:LWE261001 MGA260912:MGA261001 MPW260912:MPW261001 MZS260912:MZS261001 NJO260912:NJO261001 NTK260912:NTK261001 ODG260912:ODG261001 ONC260912:ONC261001 OWY260912:OWY261001 PGU260912:PGU261001 PQQ260912:PQQ261001 QAM260912:QAM261001 QKI260912:QKI261001 QUE260912:QUE261001 REA260912:REA261001 RNW260912:RNW261001 RXS260912:RXS261001 SHO260912:SHO261001 SRK260912:SRK261001 TBG260912:TBG261001 TLC260912:TLC261001 TUY260912:TUY261001 UEU260912:UEU261001 UOQ260912:UOQ261001 UYM260912:UYM261001 VII260912:VII261001 VSE260912:VSE261001 WCA260912:WCA261001 WLW260912:WLW261001 WVS260912:WVS261001 K326457:K326546 JG326448:JG326537 TC326448:TC326537 ACY326448:ACY326537 AMU326448:AMU326537 AWQ326448:AWQ326537 BGM326448:BGM326537 BQI326448:BQI326537 CAE326448:CAE326537 CKA326448:CKA326537 CTW326448:CTW326537 DDS326448:DDS326537 DNO326448:DNO326537 DXK326448:DXK326537 EHG326448:EHG326537 ERC326448:ERC326537 FAY326448:FAY326537 FKU326448:FKU326537 FUQ326448:FUQ326537 GEM326448:GEM326537 GOI326448:GOI326537 GYE326448:GYE326537 HIA326448:HIA326537 HRW326448:HRW326537 IBS326448:IBS326537 ILO326448:ILO326537 IVK326448:IVK326537 JFG326448:JFG326537 JPC326448:JPC326537 JYY326448:JYY326537 KIU326448:KIU326537 KSQ326448:KSQ326537 LCM326448:LCM326537 LMI326448:LMI326537 LWE326448:LWE326537 MGA326448:MGA326537 MPW326448:MPW326537 MZS326448:MZS326537 NJO326448:NJO326537 NTK326448:NTK326537 ODG326448:ODG326537 ONC326448:ONC326537 OWY326448:OWY326537 PGU326448:PGU326537 PQQ326448:PQQ326537 QAM326448:QAM326537 QKI326448:QKI326537 QUE326448:QUE326537 REA326448:REA326537 RNW326448:RNW326537 RXS326448:RXS326537 SHO326448:SHO326537 SRK326448:SRK326537 TBG326448:TBG326537 TLC326448:TLC326537 TUY326448:TUY326537 UEU326448:UEU326537 UOQ326448:UOQ326537 UYM326448:UYM326537 VII326448:VII326537 VSE326448:VSE326537 WCA326448:WCA326537 WLW326448:WLW326537 WVS326448:WVS326537 K391993:K392082 JG391984:JG392073 TC391984:TC392073 ACY391984:ACY392073 AMU391984:AMU392073 AWQ391984:AWQ392073 BGM391984:BGM392073 BQI391984:BQI392073 CAE391984:CAE392073 CKA391984:CKA392073 CTW391984:CTW392073 DDS391984:DDS392073 DNO391984:DNO392073 DXK391984:DXK392073 EHG391984:EHG392073 ERC391984:ERC392073 FAY391984:FAY392073 FKU391984:FKU392073 FUQ391984:FUQ392073 GEM391984:GEM392073 GOI391984:GOI392073 GYE391984:GYE392073 HIA391984:HIA392073 HRW391984:HRW392073 IBS391984:IBS392073 ILO391984:ILO392073 IVK391984:IVK392073 JFG391984:JFG392073 JPC391984:JPC392073 JYY391984:JYY392073 KIU391984:KIU392073 KSQ391984:KSQ392073 LCM391984:LCM392073 LMI391984:LMI392073 LWE391984:LWE392073 MGA391984:MGA392073 MPW391984:MPW392073 MZS391984:MZS392073 NJO391984:NJO392073 NTK391984:NTK392073 ODG391984:ODG392073 ONC391984:ONC392073 OWY391984:OWY392073 PGU391984:PGU392073 PQQ391984:PQQ392073 QAM391984:QAM392073 QKI391984:QKI392073 QUE391984:QUE392073 REA391984:REA392073 RNW391984:RNW392073 RXS391984:RXS392073 SHO391984:SHO392073 SRK391984:SRK392073 TBG391984:TBG392073 TLC391984:TLC392073 TUY391984:TUY392073 UEU391984:UEU392073 UOQ391984:UOQ392073 UYM391984:UYM392073 VII391984:VII392073 VSE391984:VSE392073 WCA391984:WCA392073 WLW391984:WLW392073 WVS391984:WVS392073 K457529:K457618 JG457520:JG457609 TC457520:TC457609 ACY457520:ACY457609 AMU457520:AMU457609 AWQ457520:AWQ457609 BGM457520:BGM457609 BQI457520:BQI457609 CAE457520:CAE457609 CKA457520:CKA457609 CTW457520:CTW457609 DDS457520:DDS457609 DNO457520:DNO457609 DXK457520:DXK457609 EHG457520:EHG457609 ERC457520:ERC457609 FAY457520:FAY457609 FKU457520:FKU457609 FUQ457520:FUQ457609 GEM457520:GEM457609 GOI457520:GOI457609 GYE457520:GYE457609 HIA457520:HIA457609 HRW457520:HRW457609 IBS457520:IBS457609 ILO457520:ILO457609 IVK457520:IVK457609 JFG457520:JFG457609 JPC457520:JPC457609 JYY457520:JYY457609 KIU457520:KIU457609 KSQ457520:KSQ457609 LCM457520:LCM457609 LMI457520:LMI457609 LWE457520:LWE457609 MGA457520:MGA457609 MPW457520:MPW457609 MZS457520:MZS457609 NJO457520:NJO457609 NTK457520:NTK457609 ODG457520:ODG457609 ONC457520:ONC457609 OWY457520:OWY457609 PGU457520:PGU457609 PQQ457520:PQQ457609 QAM457520:QAM457609 QKI457520:QKI457609 QUE457520:QUE457609 REA457520:REA457609 RNW457520:RNW457609 RXS457520:RXS457609 SHO457520:SHO457609 SRK457520:SRK457609 TBG457520:TBG457609 TLC457520:TLC457609 TUY457520:TUY457609 UEU457520:UEU457609 UOQ457520:UOQ457609 UYM457520:UYM457609 VII457520:VII457609 VSE457520:VSE457609 WCA457520:WCA457609 WLW457520:WLW457609 WVS457520:WVS457609 K523065:K523154 JG523056:JG523145 TC523056:TC523145 ACY523056:ACY523145 AMU523056:AMU523145 AWQ523056:AWQ523145 BGM523056:BGM523145 BQI523056:BQI523145 CAE523056:CAE523145 CKA523056:CKA523145 CTW523056:CTW523145 DDS523056:DDS523145 DNO523056:DNO523145 DXK523056:DXK523145 EHG523056:EHG523145 ERC523056:ERC523145 FAY523056:FAY523145 FKU523056:FKU523145 FUQ523056:FUQ523145 GEM523056:GEM523145 GOI523056:GOI523145 GYE523056:GYE523145 HIA523056:HIA523145 HRW523056:HRW523145 IBS523056:IBS523145 ILO523056:ILO523145 IVK523056:IVK523145 JFG523056:JFG523145 JPC523056:JPC523145 JYY523056:JYY523145 KIU523056:KIU523145 KSQ523056:KSQ523145 LCM523056:LCM523145 LMI523056:LMI523145 LWE523056:LWE523145 MGA523056:MGA523145 MPW523056:MPW523145 MZS523056:MZS523145 NJO523056:NJO523145 NTK523056:NTK523145 ODG523056:ODG523145 ONC523056:ONC523145 OWY523056:OWY523145 PGU523056:PGU523145 PQQ523056:PQQ523145 QAM523056:QAM523145 QKI523056:QKI523145 QUE523056:QUE523145 REA523056:REA523145 RNW523056:RNW523145 RXS523056:RXS523145 SHO523056:SHO523145 SRK523056:SRK523145 TBG523056:TBG523145 TLC523056:TLC523145 TUY523056:TUY523145 UEU523056:UEU523145 UOQ523056:UOQ523145 UYM523056:UYM523145 VII523056:VII523145 VSE523056:VSE523145 WCA523056:WCA523145 WLW523056:WLW523145 WVS523056:WVS523145 K588601:K588690 JG588592:JG588681 TC588592:TC588681 ACY588592:ACY588681 AMU588592:AMU588681 AWQ588592:AWQ588681 BGM588592:BGM588681 BQI588592:BQI588681 CAE588592:CAE588681 CKA588592:CKA588681 CTW588592:CTW588681 DDS588592:DDS588681 DNO588592:DNO588681 DXK588592:DXK588681 EHG588592:EHG588681 ERC588592:ERC588681 FAY588592:FAY588681 FKU588592:FKU588681 FUQ588592:FUQ588681 GEM588592:GEM588681 GOI588592:GOI588681 GYE588592:GYE588681 HIA588592:HIA588681 HRW588592:HRW588681 IBS588592:IBS588681 ILO588592:ILO588681 IVK588592:IVK588681 JFG588592:JFG588681 JPC588592:JPC588681 JYY588592:JYY588681 KIU588592:KIU588681 KSQ588592:KSQ588681 LCM588592:LCM588681 LMI588592:LMI588681 LWE588592:LWE588681 MGA588592:MGA588681 MPW588592:MPW588681 MZS588592:MZS588681 NJO588592:NJO588681 NTK588592:NTK588681 ODG588592:ODG588681 ONC588592:ONC588681 OWY588592:OWY588681 PGU588592:PGU588681 PQQ588592:PQQ588681 QAM588592:QAM588681 QKI588592:QKI588681 QUE588592:QUE588681 REA588592:REA588681 RNW588592:RNW588681 RXS588592:RXS588681 SHO588592:SHO588681 SRK588592:SRK588681 TBG588592:TBG588681 TLC588592:TLC588681 TUY588592:TUY588681 UEU588592:UEU588681 UOQ588592:UOQ588681 UYM588592:UYM588681 VII588592:VII588681 VSE588592:VSE588681 WCA588592:WCA588681 WLW588592:WLW588681 WVS588592:WVS588681 K654137:K654226 JG654128:JG654217 TC654128:TC654217 ACY654128:ACY654217 AMU654128:AMU654217 AWQ654128:AWQ654217 BGM654128:BGM654217 BQI654128:BQI654217 CAE654128:CAE654217 CKA654128:CKA654217 CTW654128:CTW654217 DDS654128:DDS654217 DNO654128:DNO654217 DXK654128:DXK654217 EHG654128:EHG654217 ERC654128:ERC654217 FAY654128:FAY654217 FKU654128:FKU654217 FUQ654128:FUQ654217 GEM654128:GEM654217 GOI654128:GOI654217 GYE654128:GYE654217 HIA654128:HIA654217 HRW654128:HRW654217 IBS654128:IBS654217 ILO654128:ILO654217 IVK654128:IVK654217 JFG654128:JFG654217 JPC654128:JPC654217 JYY654128:JYY654217 KIU654128:KIU654217 KSQ654128:KSQ654217 LCM654128:LCM654217 LMI654128:LMI654217 LWE654128:LWE654217 MGA654128:MGA654217 MPW654128:MPW654217 MZS654128:MZS654217 NJO654128:NJO654217 NTK654128:NTK654217 ODG654128:ODG654217 ONC654128:ONC654217 OWY654128:OWY654217 PGU654128:PGU654217 PQQ654128:PQQ654217 QAM654128:QAM654217 QKI654128:QKI654217 QUE654128:QUE654217 REA654128:REA654217 RNW654128:RNW654217 RXS654128:RXS654217 SHO654128:SHO654217 SRK654128:SRK654217 TBG654128:TBG654217 TLC654128:TLC654217 TUY654128:TUY654217 UEU654128:UEU654217 UOQ654128:UOQ654217 UYM654128:UYM654217 VII654128:VII654217 VSE654128:VSE654217 WCA654128:WCA654217 WLW654128:WLW654217 WVS654128:WVS654217 K719673:K719762 JG719664:JG719753 TC719664:TC719753 ACY719664:ACY719753 AMU719664:AMU719753 AWQ719664:AWQ719753 BGM719664:BGM719753 BQI719664:BQI719753 CAE719664:CAE719753 CKA719664:CKA719753 CTW719664:CTW719753 DDS719664:DDS719753 DNO719664:DNO719753 DXK719664:DXK719753 EHG719664:EHG719753 ERC719664:ERC719753 FAY719664:FAY719753 FKU719664:FKU719753 FUQ719664:FUQ719753 GEM719664:GEM719753 GOI719664:GOI719753 GYE719664:GYE719753 HIA719664:HIA719753 HRW719664:HRW719753 IBS719664:IBS719753 ILO719664:ILO719753 IVK719664:IVK719753 JFG719664:JFG719753 JPC719664:JPC719753 JYY719664:JYY719753 KIU719664:KIU719753 KSQ719664:KSQ719753 LCM719664:LCM719753 LMI719664:LMI719753 LWE719664:LWE719753 MGA719664:MGA719753 MPW719664:MPW719753 MZS719664:MZS719753 NJO719664:NJO719753 NTK719664:NTK719753 ODG719664:ODG719753 ONC719664:ONC719753 OWY719664:OWY719753 PGU719664:PGU719753 PQQ719664:PQQ719753 QAM719664:QAM719753 QKI719664:QKI719753 QUE719664:QUE719753 REA719664:REA719753 RNW719664:RNW719753 RXS719664:RXS719753 SHO719664:SHO719753 SRK719664:SRK719753 TBG719664:TBG719753 TLC719664:TLC719753 TUY719664:TUY719753 UEU719664:UEU719753 UOQ719664:UOQ719753 UYM719664:UYM719753 VII719664:VII719753 VSE719664:VSE719753 WCA719664:WCA719753 WLW719664:WLW719753 WVS719664:WVS719753 K785209:K785298 JG785200:JG785289 TC785200:TC785289 ACY785200:ACY785289 AMU785200:AMU785289 AWQ785200:AWQ785289 BGM785200:BGM785289 BQI785200:BQI785289 CAE785200:CAE785289 CKA785200:CKA785289 CTW785200:CTW785289 DDS785200:DDS785289 DNO785200:DNO785289 DXK785200:DXK785289 EHG785200:EHG785289 ERC785200:ERC785289 FAY785200:FAY785289 FKU785200:FKU785289 FUQ785200:FUQ785289 GEM785200:GEM785289 GOI785200:GOI785289 GYE785200:GYE785289 HIA785200:HIA785289 HRW785200:HRW785289 IBS785200:IBS785289 ILO785200:ILO785289 IVK785200:IVK785289 JFG785200:JFG785289 JPC785200:JPC785289 JYY785200:JYY785289 KIU785200:KIU785289 KSQ785200:KSQ785289 LCM785200:LCM785289 LMI785200:LMI785289 LWE785200:LWE785289 MGA785200:MGA785289 MPW785200:MPW785289 MZS785200:MZS785289 NJO785200:NJO785289 NTK785200:NTK785289 ODG785200:ODG785289 ONC785200:ONC785289 OWY785200:OWY785289 PGU785200:PGU785289 PQQ785200:PQQ785289 QAM785200:QAM785289 QKI785200:QKI785289 QUE785200:QUE785289 REA785200:REA785289 RNW785200:RNW785289 RXS785200:RXS785289 SHO785200:SHO785289 SRK785200:SRK785289 TBG785200:TBG785289 TLC785200:TLC785289 TUY785200:TUY785289 UEU785200:UEU785289 UOQ785200:UOQ785289 UYM785200:UYM785289 VII785200:VII785289 VSE785200:VSE785289 WCA785200:WCA785289 WLW785200:WLW785289 WVS785200:WVS785289 K850745:K850834 JG850736:JG850825 TC850736:TC850825 ACY850736:ACY850825 AMU850736:AMU850825 AWQ850736:AWQ850825 BGM850736:BGM850825 BQI850736:BQI850825 CAE850736:CAE850825 CKA850736:CKA850825 CTW850736:CTW850825 DDS850736:DDS850825 DNO850736:DNO850825 DXK850736:DXK850825 EHG850736:EHG850825 ERC850736:ERC850825 FAY850736:FAY850825 FKU850736:FKU850825 FUQ850736:FUQ850825 GEM850736:GEM850825 GOI850736:GOI850825 GYE850736:GYE850825 HIA850736:HIA850825 HRW850736:HRW850825 IBS850736:IBS850825 ILO850736:ILO850825 IVK850736:IVK850825 JFG850736:JFG850825 JPC850736:JPC850825 JYY850736:JYY850825 KIU850736:KIU850825 KSQ850736:KSQ850825 LCM850736:LCM850825 LMI850736:LMI850825 LWE850736:LWE850825 MGA850736:MGA850825 MPW850736:MPW850825 MZS850736:MZS850825 NJO850736:NJO850825 NTK850736:NTK850825 ODG850736:ODG850825 ONC850736:ONC850825 OWY850736:OWY850825 PGU850736:PGU850825 PQQ850736:PQQ850825 QAM850736:QAM850825 QKI850736:QKI850825 QUE850736:QUE850825 REA850736:REA850825 RNW850736:RNW850825 RXS850736:RXS850825 SHO850736:SHO850825 SRK850736:SRK850825 TBG850736:TBG850825 TLC850736:TLC850825 TUY850736:TUY850825 UEU850736:UEU850825 UOQ850736:UOQ850825 UYM850736:UYM850825 VII850736:VII850825 VSE850736:VSE850825 WCA850736:WCA850825 WLW850736:WLW850825 WVS850736:WVS850825 K916281:K916370 JG916272:JG916361 TC916272:TC916361 ACY916272:ACY916361 AMU916272:AMU916361 AWQ916272:AWQ916361 BGM916272:BGM916361 BQI916272:BQI916361 CAE916272:CAE916361 CKA916272:CKA916361 CTW916272:CTW916361 DDS916272:DDS916361 DNO916272:DNO916361 DXK916272:DXK916361 EHG916272:EHG916361 ERC916272:ERC916361 FAY916272:FAY916361 FKU916272:FKU916361 FUQ916272:FUQ916361 GEM916272:GEM916361 GOI916272:GOI916361 GYE916272:GYE916361 HIA916272:HIA916361 HRW916272:HRW916361 IBS916272:IBS916361 ILO916272:ILO916361 IVK916272:IVK916361 JFG916272:JFG916361 JPC916272:JPC916361 JYY916272:JYY916361 KIU916272:KIU916361 KSQ916272:KSQ916361 LCM916272:LCM916361 LMI916272:LMI916361 LWE916272:LWE916361 MGA916272:MGA916361 MPW916272:MPW916361 MZS916272:MZS916361 NJO916272:NJO916361 NTK916272:NTK916361 ODG916272:ODG916361 ONC916272:ONC916361 OWY916272:OWY916361 PGU916272:PGU916361 PQQ916272:PQQ916361 QAM916272:QAM916361 QKI916272:QKI916361 QUE916272:QUE916361 REA916272:REA916361 RNW916272:RNW916361 RXS916272:RXS916361 SHO916272:SHO916361 SRK916272:SRK916361 TBG916272:TBG916361 TLC916272:TLC916361 TUY916272:TUY916361 UEU916272:UEU916361 UOQ916272:UOQ916361 UYM916272:UYM916361 VII916272:VII916361 VSE916272:VSE916361 WCA916272:WCA916361 WLW916272:WLW916361 WVS916272:WVS916361 K981817:K981906 JG981808:JG981897 TC981808:TC981897 ACY981808:ACY981897 AMU981808:AMU981897 AWQ981808:AWQ981897 BGM981808:BGM981897 BQI981808:BQI981897 CAE981808:CAE981897 CKA981808:CKA981897 CTW981808:CTW981897 DDS981808:DDS981897 DNO981808:DNO981897 DXK981808:DXK981897 EHG981808:EHG981897 ERC981808:ERC981897 FAY981808:FAY981897 FKU981808:FKU981897 FUQ981808:FUQ981897 GEM981808:GEM981897 GOI981808:GOI981897 GYE981808:GYE981897 HIA981808:HIA981897 HRW981808:HRW981897 IBS981808:IBS981897 ILO981808:ILO981897 IVK981808:IVK981897 JFG981808:JFG981897 JPC981808:JPC981897 JYY981808:JYY981897 KIU981808:KIU981897 KSQ981808:KSQ981897 LCM981808:LCM981897 LMI981808:LMI981897 LWE981808:LWE981897 MGA981808:MGA981897 MPW981808:MPW981897 MZS981808:MZS981897 NJO981808:NJO981897 NTK981808:NTK981897 ODG981808:ODG981897 ONC981808:ONC981897 OWY981808:OWY981897 PGU981808:PGU981897 PQQ981808:PQQ981897 QAM981808:QAM981897 QKI981808:QKI981897 QUE981808:QUE981897 REA981808:REA981897 RNW981808:RNW981897 RXS981808:RXS981897 SHO981808:SHO981897 SRK981808:SRK981897 TBG981808:TBG981897 TLC981808:TLC981897 TUY981808:TUY981897 UEU981808:UEU981897 UOQ981808:UOQ981897 UYM981808:UYM981897 VII981808:VII981897 VSE981808:VSE981897 WCA981808:WCA981897 JG2:JG76 TC2:TC76 ACY2:ACY76 AMU2:AMU76 AWQ2:AWQ76 BGM2:BGM76 BQI2:BQI76 CAE2:CAE76 CKA2:CKA76 CTW2:CTW76 DDS2:DDS76 DNO2:DNO76 DXK2:DXK76 EHG2:EHG76 ERC2:ERC76 FAY2:FAY76 FKU2:FKU76 FUQ2:FUQ76 GEM2:GEM76 GOI2:GOI76 GYE2:GYE76 HIA2:HIA76 HRW2:HRW76 IBS2:IBS76 ILO2:ILO76 IVK2:IVK76 JFG2:JFG76 JPC2:JPC76 JYY2:JYY76 KIU2:KIU76 KSQ2:KSQ76 LCM2:LCM76 LMI2:LMI76 LWE2:LWE76 MGA2:MGA76 MPW2:MPW76 MZS2:MZS76 NJO2:NJO76 NTK2:NTK76 ODG2:ODG76 ONC2:ONC76 OWY2:OWY76 PGU2:PGU76 PQQ2:PQQ76 QAM2:QAM76 QKI2:QKI76 QUE2:QUE76 REA2:REA76 RNW2:RNW76 RXS2:RXS76 SHO2:SHO76 SRK2:SRK76 TBG2:TBG76 TLC2:TLC76 TUY2:TUY76 UEU2:UEU76 UOQ2:UOQ76 UYM2:UYM76 VII2:VII76 VSE2:VSE76 WCA2:WCA76 WLW2:WLW76 WVS2:WVS76" xr:uid="{6051606B-D344-4F03-84E0-D7582344B2CC}">
      <formula1>$AR$2:$AR$27</formula1>
    </dataValidation>
    <dataValidation type="list" allowBlank="1" showInputMessage="1" showErrorMessage="1" sqref="WVR981808:WVR981897 WLV981808:WLV981897 WBZ981808:WBZ981897 VSD981808:VSD981897 VIH981808:VIH981897 UYL981808:UYL981897 UOP981808:UOP981897 UET981808:UET981897 TUX981808:TUX981897 TLB981808:TLB981897 TBF981808:TBF981897 SRJ981808:SRJ981897 SHN981808:SHN981897 RXR981808:RXR981897 RNV981808:RNV981897 RDZ981808:RDZ981897 QUD981808:QUD981897 QKH981808:QKH981897 QAL981808:QAL981897 PQP981808:PQP981897 PGT981808:PGT981897 OWX981808:OWX981897 ONB981808:ONB981897 ODF981808:ODF981897 NTJ981808:NTJ981897 NJN981808:NJN981897 MZR981808:MZR981897 MPV981808:MPV981897 MFZ981808:MFZ981897 LWD981808:LWD981897 LMH981808:LMH981897 LCL981808:LCL981897 KSP981808:KSP981897 KIT981808:KIT981897 JYX981808:JYX981897 JPB981808:JPB981897 JFF981808:JFF981897 IVJ981808:IVJ981897 ILN981808:ILN981897 IBR981808:IBR981897 HRV981808:HRV981897 HHZ981808:HHZ981897 GYD981808:GYD981897 GOH981808:GOH981897 GEL981808:GEL981897 FUP981808:FUP981897 FKT981808:FKT981897 FAX981808:FAX981897 ERB981808:ERB981897 EHF981808:EHF981897 DXJ981808:DXJ981897 DNN981808:DNN981897 DDR981808:DDR981897 CTV981808:CTV981897 CJZ981808:CJZ981897 CAD981808:CAD981897 BQH981808:BQH981897 BGL981808:BGL981897 AWP981808:AWP981897 AMT981808:AMT981897 ACX981808:ACX981897 TB981808:TB981897 JF981808:JF981897 J981817:J981906 WVR916272:WVR916361 WLV916272:WLV916361 WBZ916272:WBZ916361 VSD916272:VSD916361 VIH916272:VIH916361 UYL916272:UYL916361 UOP916272:UOP916361 UET916272:UET916361 TUX916272:TUX916361 TLB916272:TLB916361 TBF916272:TBF916361 SRJ916272:SRJ916361 SHN916272:SHN916361 RXR916272:RXR916361 RNV916272:RNV916361 RDZ916272:RDZ916361 QUD916272:QUD916361 QKH916272:QKH916361 QAL916272:QAL916361 PQP916272:PQP916361 PGT916272:PGT916361 OWX916272:OWX916361 ONB916272:ONB916361 ODF916272:ODF916361 NTJ916272:NTJ916361 NJN916272:NJN916361 MZR916272:MZR916361 MPV916272:MPV916361 MFZ916272:MFZ916361 LWD916272:LWD916361 LMH916272:LMH916361 LCL916272:LCL916361 KSP916272:KSP916361 KIT916272:KIT916361 JYX916272:JYX916361 JPB916272:JPB916361 JFF916272:JFF916361 IVJ916272:IVJ916361 ILN916272:ILN916361 IBR916272:IBR916361 HRV916272:HRV916361 HHZ916272:HHZ916361 GYD916272:GYD916361 GOH916272:GOH916361 GEL916272:GEL916361 FUP916272:FUP916361 FKT916272:FKT916361 FAX916272:FAX916361 ERB916272:ERB916361 EHF916272:EHF916361 DXJ916272:DXJ916361 DNN916272:DNN916361 DDR916272:DDR916361 CTV916272:CTV916361 CJZ916272:CJZ916361 CAD916272:CAD916361 BQH916272:BQH916361 BGL916272:BGL916361 AWP916272:AWP916361 AMT916272:AMT916361 ACX916272:ACX916361 TB916272:TB916361 JF916272:JF916361 J916281:J916370 WVR850736:WVR850825 WLV850736:WLV850825 WBZ850736:WBZ850825 VSD850736:VSD850825 VIH850736:VIH850825 UYL850736:UYL850825 UOP850736:UOP850825 UET850736:UET850825 TUX850736:TUX850825 TLB850736:TLB850825 TBF850736:TBF850825 SRJ850736:SRJ850825 SHN850736:SHN850825 RXR850736:RXR850825 RNV850736:RNV850825 RDZ850736:RDZ850825 QUD850736:QUD850825 QKH850736:QKH850825 QAL850736:QAL850825 PQP850736:PQP850825 PGT850736:PGT850825 OWX850736:OWX850825 ONB850736:ONB850825 ODF850736:ODF850825 NTJ850736:NTJ850825 NJN850736:NJN850825 MZR850736:MZR850825 MPV850736:MPV850825 MFZ850736:MFZ850825 LWD850736:LWD850825 LMH850736:LMH850825 LCL850736:LCL850825 KSP850736:KSP850825 KIT850736:KIT850825 JYX850736:JYX850825 JPB850736:JPB850825 JFF850736:JFF850825 IVJ850736:IVJ850825 ILN850736:ILN850825 IBR850736:IBR850825 HRV850736:HRV850825 HHZ850736:HHZ850825 GYD850736:GYD850825 GOH850736:GOH850825 GEL850736:GEL850825 FUP850736:FUP850825 FKT850736:FKT850825 FAX850736:FAX850825 ERB850736:ERB850825 EHF850736:EHF850825 DXJ850736:DXJ850825 DNN850736:DNN850825 DDR850736:DDR850825 CTV850736:CTV850825 CJZ850736:CJZ850825 CAD850736:CAD850825 BQH850736:BQH850825 BGL850736:BGL850825 AWP850736:AWP850825 AMT850736:AMT850825 ACX850736:ACX850825 TB850736:TB850825 JF850736:JF850825 J850745:J850834 WVR785200:WVR785289 WLV785200:WLV785289 WBZ785200:WBZ785289 VSD785200:VSD785289 VIH785200:VIH785289 UYL785200:UYL785289 UOP785200:UOP785289 UET785200:UET785289 TUX785200:TUX785289 TLB785200:TLB785289 TBF785200:TBF785289 SRJ785200:SRJ785289 SHN785200:SHN785289 RXR785200:RXR785289 RNV785200:RNV785289 RDZ785200:RDZ785289 QUD785200:QUD785289 QKH785200:QKH785289 QAL785200:QAL785289 PQP785200:PQP785289 PGT785200:PGT785289 OWX785200:OWX785289 ONB785200:ONB785289 ODF785200:ODF785289 NTJ785200:NTJ785289 NJN785200:NJN785289 MZR785200:MZR785289 MPV785200:MPV785289 MFZ785200:MFZ785289 LWD785200:LWD785289 LMH785200:LMH785289 LCL785200:LCL785289 KSP785200:KSP785289 KIT785200:KIT785289 JYX785200:JYX785289 JPB785200:JPB785289 JFF785200:JFF785289 IVJ785200:IVJ785289 ILN785200:ILN785289 IBR785200:IBR785289 HRV785200:HRV785289 HHZ785200:HHZ785289 GYD785200:GYD785289 GOH785200:GOH785289 GEL785200:GEL785289 FUP785200:FUP785289 FKT785200:FKT785289 FAX785200:FAX785289 ERB785200:ERB785289 EHF785200:EHF785289 DXJ785200:DXJ785289 DNN785200:DNN785289 DDR785200:DDR785289 CTV785200:CTV785289 CJZ785200:CJZ785289 CAD785200:CAD785289 BQH785200:BQH785289 BGL785200:BGL785289 AWP785200:AWP785289 AMT785200:AMT785289 ACX785200:ACX785289 TB785200:TB785289 JF785200:JF785289 J785209:J785298 WVR719664:WVR719753 WLV719664:WLV719753 WBZ719664:WBZ719753 VSD719664:VSD719753 VIH719664:VIH719753 UYL719664:UYL719753 UOP719664:UOP719753 UET719664:UET719753 TUX719664:TUX719753 TLB719664:TLB719753 TBF719664:TBF719753 SRJ719664:SRJ719753 SHN719664:SHN719753 RXR719664:RXR719753 RNV719664:RNV719753 RDZ719664:RDZ719753 QUD719664:QUD719753 QKH719664:QKH719753 QAL719664:QAL719753 PQP719664:PQP719753 PGT719664:PGT719753 OWX719664:OWX719753 ONB719664:ONB719753 ODF719664:ODF719753 NTJ719664:NTJ719753 NJN719664:NJN719753 MZR719664:MZR719753 MPV719664:MPV719753 MFZ719664:MFZ719753 LWD719664:LWD719753 LMH719664:LMH719753 LCL719664:LCL719753 KSP719664:KSP719753 KIT719664:KIT719753 JYX719664:JYX719753 JPB719664:JPB719753 JFF719664:JFF719753 IVJ719664:IVJ719753 ILN719664:ILN719753 IBR719664:IBR719753 HRV719664:HRV719753 HHZ719664:HHZ719753 GYD719664:GYD719753 GOH719664:GOH719753 GEL719664:GEL719753 FUP719664:FUP719753 FKT719664:FKT719753 FAX719664:FAX719753 ERB719664:ERB719753 EHF719664:EHF719753 DXJ719664:DXJ719753 DNN719664:DNN719753 DDR719664:DDR719753 CTV719664:CTV719753 CJZ719664:CJZ719753 CAD719664:CAD719753 BQH719664:BQH719753 BGL719664:BGL719753 AWP719664:AWP719753 AMT719664:AMT719753 ACX719664:ACX719753 TB719664:TB719753 JF719664:JF719753 J719673:J719762 WVR654128:WVR654217 WLV654128:WLV654217 WBZ654128:WBZ654217 VSD654128:VSD654217 VIH654128:VIH654217 UYL654128:UYL654217 UOP654128:UOP654217 UET654128:UET654217 TUX654128:TUX654217 TLB654128:TLB654217 TBF654128:TBF654217 SRJ654128:SRJ654217 SHN654128:SHN654217 RXR654128:RXR654217 RNV654128:RNV654217 RDZ654128:RDZ654217 QUD654128:QUD654217 QKH654128:QKH654217 QAL654128:QAL654217 PQP654128:PQP654217 PGT654128:PGT654217 OWX654128:OWX654217 ONB654128:ONB654217 ODF654128:ODF654217 NTJ654128:NTJ654217 NJN654128:NJN654217 MZR654128:MZR654217 MPV654128:MPV654217 MFZ654128:MFZ654217 LWD654128:LWD654217 LMH654128:LMH654217 LCL654128:LCL654217 KSP654128:KSP654217 KIT654128:KIT654217 JYX654128:JYX654217 JPB654128:JPB654217 JFF654128:JFF654217 IVJ654128:IVJ654217 ILN654128:ILN654217 IBR654128:IBR654217 HRV654128:HRV654217 HHZ654128:HHZ654217 GYD654128:GYD654217 GOH654128:GOH654217 GEL654128:GEL654217 FUP654128:FUP654217 FKT654128:FKT654217 FAX654128:FAX654217 ERB654128:ERB654217 EHF654128:EHF654217 DXJ654128:DXJ654217 DNN654128:DNN654217 DDR654128:DDR654217 CTV654128:CTV654217 CJZ654128:CJZ654217 CAD654128:CAD654217 BQH654128:BQH654217 BGL654128:BGL654217 AWP654128:AWP654217 AMT654128:AMT654217 ACX654128:ACX654217 TB654128:TB654217 JF654128:JF654217 J654137:J654226 WVR588592:WVR588681 WLV588592:WLV588681 WBZ588592:WBZ588681 VSD588592:VSD588681 VIH588592:VIH588681 UYL588592:UYL588681 UOP588592:UOP588681 UET588592:UET588681 TUX588592:TUX588681 TLB588592:TLB588681 TBF588592:TBF588681 SRJ588592:SRJ588681 SHN588592:SHN588681 RXR588592:RXR588681 RNV588592:RNV588681 RDZ588592:RDZ588681 QUD588592:QUD588681 QKH588592:QKH588681 QAL588592:QAL588681 PQP588592:PQP588681 PGT588592:PGT588681 OWX588592:OWX588681 ONB588592:ONB588681 ODF588592:ODF588681 NTJ588592:NTJ588681 NJN588592:NJN588681 MZR588592:MZR588681 MPV588592:MPV588681 MFZ588592:MFZ588681 LWD588592:LWD588681 LMH588592:LMH588681 LCL588592:LCL588681 KSP588592:KSP588681 KIT588592:KIT588681 JYX588592:JYX588681 JPB588592:JPB588681 JFF588592:JFF588681 IVJ588592:IVJ588681 ILN588592:ILN588681 IBR588592:IBR588681 HRV588592:HRV588681 HHZ588592:HHZ588681 GYD588592:GYD588681 GOH588592:GOH588681 GEL588592:GEL588681 FUP588592:FUP588681 FKT588592:FKT588681 FAX588592:FAX588681 ERB588592:ERB588681 EHF588592:EHF588681 DXJ588592:DXJ588681 DNN588592:DNN588681 DDR588592:DDR588681 CTV588592:CTV588681 CJZ588592:CJZ588681 CAD588592:CAD588681 BQH588592:BQH588681 BGL588592:BGL588681 AWP588592:AWP588681 AMT588592:AMT588681 ACX588592:ACX588681 TB588592:TB588681 JF588592:JF588681 J588601:J588690 WVR523056:WVR523145 WLV523056:WLV523145 WBZ523056:WBZ523145 VSD523056:VSD523145 VIH523056:VIH523145 UYL523056:UYL523145 UOP523056:UOP523145 UET523056:UET523145 TUX523056:TUX523145 TLB523056:TLB523145 TBF523056:TBF523145 SRJ523056:SRJ523145 SHN523056:SHN523145 RXR523056:RXR523145 RNV523056:RNV523145 RDZ523056:RDZ523145 QUD523056:QUD523145 QKH523056:QKH523145 QAL523056:QAL523145 PQP523056:PQP523145 PGT523056:PGT523145 OWX523056:OWX523145 ONB523056:ONB523145 ODF523056:ODF523145 NTJ523056:NTJ523145 NJN523056:NJN523145 MZR523056:MZR523145 MPV523056:MPV523145 MFZ523056:MFZ523145 LWD523056:LWD523145 LMH523056:LMH523145 LCL523056:LCL523145 KSP523056:KSP523145 KIT523056:KIT523145 JYX523056:JYX523145 JPB523056:JPB523145 JFF523056:JFF523145 IVJ523056:IVJ523145 ILN523056:ILN523145 IBR523056:IBR523145 HRV523056:HRV523145 HHZ523056:HHZ523145 GYD523056:GYD523145 GOH523056:GOH523145 GEL523056:GEL523145 FUP523056:FUP523145 FKT523056:FKT523145 FAX523056:FAX523145 ERB523056:ERB523145 EHF523056:EHF523145 DXJ523056:DXJ523145 DNN523056:DNN523145 DDR523056:DDR523145 CTV523056:CTV523145 CJZ523056:CJZ523145 CAD523056:CAD523145 BQH523056:BQH523145 BGL523056:BGL523145 AWP523056:AWP523145 AMT523056:AMT523145 ACX523056:ACX523145 TB523056:TB523145 JF523056:JF523145 J523065:J523154 WVR457520:WVR457609 WLV457520:WLV457609 WBZ457520:WBZ457609 VSD457520:VSD457609 VIH457520:VIH457609 UYL457520:UYL457609 UOP457520:UOP457609 UET457520:UET457609 TUX457520:TUX457609 TLB457520:TLB457609 TBF457520:TBF457609 SRJ457520:SRJ457609 SHN457520:SHN457609 RXR457520:RXR457609 RNV457520:RNV457609 RDZ457520:RDZ457609 QUD457520:QUD457609 QKH457520:QKH457609 QAL457520:QAL457609 PQP457520:PQP457609 PGT457520:PGT457609 OWX457520:OWX457609 ONB457520:ONB457609 ODF457520:ODF457609 NTJ457520:NTJ457609 NJN457520:NJN457609 MZR457520:MZR457609 MPV457520:MPV457609 MFZ457520:MFZ457609 LWD457520:LWD457609 LMH457520:LMH457609 LCL457520:LCL457609 KSP457520:KSP457609 KIT457520:KIT457609 JYX457520:JYX457609 JPB457520:JPB457609 JFF457520:JFF457609 IVJ457520:IVJ457609 ILN457520:ILN457609 IBR457520:IBR457609 HRV457520:HRV457609 HHZ457520:HHZ457609 GYD457520:GYD457609 GOH457520:GOH457609 GEL457520:GEL457609 FUP457520:FUP457609 FKT457520:FKT457609 FAX457520:FAX457609 ERB457520:ERB457609 EHF457520:EHF457609 DXJ457520:DXJ457609 DNN457520:DNN457609 DDR457520:DDR457609 CTV457520:CTV457609 CJZ457520:CJZ457609 CAD457520:CAD457609 BQH457520:BQH457609 BGL457520:BGL457609 AWP457520:AWP457609 AMT457520:AMT457609 ACX457520:ACX457609 TB457520:TB457609 JF457520:JF457609 J457529:J457618 WVR391984:WVR392073 WLV391984:WLV392073 WBZ391984:WBZ392073 VSD391984:VSD392073 VIH391984:VIH392073 UYL391984:UYL392073 UOP391984:UOP392073 UET391984:UET392073 TUX391984:TUX392073 TLB391984:TLB392073 TBF391984:TBF392073 SRJ391984:SRJ392073 SHN391984:SHN392073 RXR391984:RXR392073 RNV391984:RNV392073 RDZ391984:RDZ392073 QUD391984:QUD392073 QKH391984:QKH392073 QAL391984:QAL392073 PQP391984:PQP392073 PGT391984:PGT392073 OWX391984:OWX392073 ONB391984:ONB392073 ODF391984:ODF392073 NTJ391984:NTJ392073 NJN391984:NJN392073 MZR391984:MZR392073 MPV391984:MPV392073 MFZ391984:MFZ392073 LWD391984:LWD392073 LMH391984:LMH392073 LCL391984:LCL392073 KSP391984:KSP392073 KIT391984:KIT392073 JYX391984:JYX392073 JPB391984:JPB392073 JFF391984:JFF392073 IVJ391984:IVJ392073 ILN391984:ILN392073 IBR391984:IBR392073 HRV391984:HRV392073 HHZ391984:HHZ392073 GYD391984:GYD392073 GOH391984:GOH392073 GEL391984:GEL392073 FUP391984:FUP392073 FKT391984:FKT392073 FAX391984:FAX392073 ERB391984:ERB392073 EHF391984:EHF392073 DXJ391984:DXJ392073 DNN391984:DNN392073 DDR391984:DDR392073 CTV391984:CTV392073 CJZ391984:CJZ392073 CAD391984:CAD392073 BQH391984:BQH392073 BGL391984:BGL392073 AWP391984:AWP392073 AMT391984:AMT392073 ACX391984:ACX392073 TB391984:TB392073 JF391984:JF392073 J391993:J392082 WVR326448:WVR326537 WLV326448:WLV326537 WBZ326448:WBZ326537 VSD326448:VSD326537 VIH326448:VIH326537 UYL326448:UYL326537 UOP326448:UOP326537 UET326448:UET326537 TUX326448:TUX326537 TLB326448:TLB326537 TBF326448:TBF326537 SRJ326448:SRJ326537 SHN326448:SHN326537 RXR326448:RXR326537 RNV326448:RNV326537 RDZ326448:RDZ326537 QUD326448:QUD326537 QKH326448:QKH326537 QAL326448:QAL326537 PQP326448:PQP326537 PGT326448:PGT326537 OWX326448:OWX326537 ONB326448:ONB326537 ODF326448:ODF326537 NTJ326448:NTJ326537 NJN326448:NJN326537 MZR326448:MZR326537 MPV326448:MPV326537 MFZ326448:MFZ326537 LWD326448:LWD326537 LMH326448:LMH326537 LCL326448:LCL326537 KSP326448:KSP326537 KIT326448:KIT326537 JYX326448:JYX326537 JPB326448:JPB326537 JFF326448:JFF326537 IVJ326448:IVJ326537 ILN326448:ILN326537 IBR326448:IBR326537 HRV326448:HRV326537 HHZ326448:HHZ326537 GYD326448:GYD326537 GOH326448:GOH326537 GEL326448:GEL326537 FUP326448:FUP326537 FKT326448:FKT326537 FAX326448:FAX326537 ERB326448:ERB326537 EHF326448:EHF326537 DXJ326448:DXJ326537 DNN326448:DNN326537 DDR326448:DDR326537 CTV326448:CTV326537 CJZ326448:CJZ326537 CAD326448:CAD326537 BQH326448:BQH326537 BGL326448:BGL326537 AWP326448:AWP326537 AMT326448:AMT326537 ACX326448:ACX326537 TB326448:TB326537 JF326448:JF326537 J326457:J326546 WVR260912:WVR261001 WLV260912:WLV261001 WBZ260912:WBZ261001 VSD260912:VSD261001 VIH260912:VIH261001 UYL260912:UYL261001 UOP260912:UOP261001 UET260912:UET261001 TUX260912:TUX261001 TLB260912:TLB261001 TBF260912:TBF261001 SRJ260912:SRJ261001 SHN260912:SHN261001 RXR260912:RXR261001 RNV260912:RNV261001 RDZ260912:RDZ261001 QUD260912:QUD261001 QKH260912:QKH261001 QAL260912:QAL261001 PQP260912:PQP261001 PGT260912:PGT261001 OWX260912:OWX261001 ONB260912:ONB261001 ODF260912:ODF261001 NTJ260912:NTJ261001 NJN260912:NJN261001 MZR260912:MZR261001 MPV260912:MPV261001 MFZ260912:MFZ261001 LWD260912:LWD261001 LMH260912:LMH261001 LCL260912:LCL261001 KSP260912:KSP261001 KIT260912:KIT261001 JYX260912:JYX261001 JPB260912:JPB261001 JFF260912:JFF261001 IVJ260912:IVJ261001 ILN260912:ILN261001 IBR260912:IBR261001 HRV260912:HRV261001 HHZ260912:HHZ261001 GYD260912:GYD261001 GOH260912:GOH261001 GEL260912:GEL261001 FUP260912:FUP261001 FKT260912:FKT261001 FAX260912:FAX261001 ERB260912:ERB261001 EHF260912:EHF261001 DXJ260912:DXJ261001 DNN260912:DNN261001 DDR260912:DDR261001 CTV260912:CTV261001 CJZ260912:CJZ261001 CAD260912:CAD261001 BQH260912:BQH261001 BGL260912:BGL261001 AWP260912:AWP261001 AMT260912:AMT261001 ACX260912:ACX261001 TB260912:TB261001 JF260912:JF261001 J260921:J261010 WVR195376:WVR195465 WLV195376:WLV195465 WBZ195376:WBZ195465 VSD195376:VSD195465 VIH195376:VIH195465 UYL195376:UYL195465 UOP195376:UOP195465 UET195376:UET195465 TUX195376:TUX195465 TLB195376:TLB195465 TBF195376:TBF195465 SRJ195376:SRJ195465 SHN195376:SHN195465 RXR195376:RXR195465 RNV195376:RNV195465 RDZ195376:RDZ195465 QUD195376:QUD195465 QKH195376:QKH195465 QAL195376:QAL195465 PQP195376:PQP195465 PGT195376:PGT195465 OWX195376:OWX195465 ONB195376:ONB195465 ODF195376:ODF195465 NTJ195376:NTJ195465 NJN195376:NJN195465 MZR195376:MZR195465 MPV195376:MPV195465 MFZ195376:MFZ195465 LWD195376:LWD195465 LMH195376:LMH195465 LCL195376:LCL195465 KSP195376:KSP195465 KIT195376:KIT195465 JYX195376:JYX195465 JPB195376:JPB195465 JFF195376:JFF195465 IVJ195376:IVJ195465 ILN195376:ILN195465 IBR195376:IBR195465 HRV195376:HRV195465 HHZ195376:HHZ195465 GYD195376:GYD195465 GOH195376:GOH195465 GEL195376:GEL195465 FUP195376:FUP195465 FKT195376:FKT195465 FAX195376:FAX195465 ERB195376:ERB195465 EHF195376:EHF195465 DXJ195376:DXJ195465 DNN195376:DNN195465 DDR195376:DDR195465 CTV195376:CTV195465 CJZ195376:CJZ195465 CAD195376:CAD195465 BQH195376:BQH195465 BGL195376:BGL195465 AWP195376:AWP195465 AMT195376:AMT195465 ACX195376:ACX195465 TB195376:TB195465 JF195376:JF195465 J195385:J195474 WVR129840:WVR129929 WLV129840:WLV129929 WBZ129840:WBZ129929 VSD129840:VSD129929 VIH129840:VIH129929 UYL129840:UYL129929 UOP129840:UOP129929 UET129840:UET129929 TUX129840:TUX129929 TLB129840:TLB129929 TBF129840:TBF129929 SRJ129840:SRJ129929 SHN129840:SHN129929 RXR129840:RXR129929 RNV129840:RNV129929 RDZ129840:RDZ129929 QUD129840:QUD129929 QKH129840:QKH129929 QAL129840:QAL129929 PQP129840:PQP129929 PGT129840:PGT129929 OWX129840:OWX129929 ONB129840:ONB129929 ODF129840:ODF129929 NTJ129840:NTJ129929 NJN129840:NJN129929 MZR129840:MZR129929 MPV129840:MPV129929 MFZ129840:MFZ129929 LWD129840:LWD129929 LMH129840:LMH129929 LCL129840:LCL129929 KSP129840:KSP129929 KIT129840:KIT129929 JYX129840:JYX129929 JPB129840:JPB129929 JFF129840:JFF129929 IVJ129840:IVJ129929 ILN129840:ILN129929 IBR129840:IBR129929 HRV129840:HRV129929 HHZ129840:HHZ129929 GYD129840:GYD129929 GOH129840:GOH129929 GEL129840:GEL129929 FUP129840:FUP129929 FKT129840:FKT129929 FAX129840:FAX129929 ERB129840:ERB129929 EHF129840:EHF129929 DXJ129840:DXJ129929 DNN129840:DNN129929 DDR129840:DDR129929 CTV129840:CTV129929 CJZ129840:CJZ129929 CAD129840:CAD129929 BQH129840:BQH129929 BGL129840:BGL129929 AWP129840:AWP129929 AMT129840:AMT129929 ACX129840:ACX129929 TB129840:TB129929 JF129840:JF129929 J129849:J129938 WVR64304:WVR64393 WLV64304:WLV64393 WBZ64304:WBZ64393 VSD64304:VSD64393 VIH64304:VIH64393 UYL64304:UYL64393 UOP64304:UOP64393 UET64304:UET64393 TUX64304:TUX64393 TLB64304:TLB64393 TBF64304:TBF64393 SRJ64304:SRJ64393 SHN64304:SHN64393 RXR64304:RXR64393 RNV64304:RNV64393 RDZ64304:RDZ64393 QUD64304:QUD64393 QKH64304:QKH64393 QAL64304:QAL64393 PQP64304:PQP64393 PGT64304:PGT64393 OWX64304:OWX64393 ONB64304:ONB64393 ODF64304:ODF64393 NTJ64304:NTJ64393 NJN64304:NJN64393 MZR64304:MZR64393 MPV64304:MPV64393 MFZ64304:MFZ64393 LWD64304:LWD64393 LMH64304:LMH64393 LCL64304:LCL64393 KSP64304:KSP64393 KIT64304:KIT64393 JYX64304:JYX64393 JPB64304:JPB64393 JFF64304:JFF64393 IVJ64304:IVJ64393 ILN64304:ILN64393 IBR64304:IBR64393 HRV64304:HRV64393 HHZ64304:HHZ64393 GYD64304:GYD64393 GOH64304:GOH64393 GEL64304:GEL64393 FUP64304:FUP64393 FKT64304:FKT64393 FAX64304:FAX64393 ERB64304:ERB64393 EHF64304:EHF64393 DXJ64304:DXJ64393 DNN64304:DNN64393 DDR64304:DDR64393 CTV64304:CTV64393 CJZ64304:CJZ64393 CAD64304:CAD64393 BQH64304:BQH64393 BGL64304:BGL64393 AWP64304:AWP64393 AMT64304:AMT64393 ACX64304:ACX64393 TB64304:TB64393 JF64304:JF64393 J64313:J64402 WVR2:WVR76 WLV2:WLV76 WBZ2:WBZ76 VSD2:VSD76 VIH2:VIH76 UYL2:UYL76 UOP2:UOP76 UET2:UET76 TUX2:TUX76 TLB2:TLB76 TBF2:TBF76 SRJ2:SRJ76 SHN2:SHN76 RXR2:RXR76 RNV2:RNV76 RDZ2:RDZ76 QUD2:QUD76 QKH2:QKH76 QAL2:QAL76 PQP2:PQP76 PGT2:PGT76 OWX2:OWX76 ONB2:ONB76 ODF2:ODF76 NTJ2:NTJ76 NJN2:NJN76 MZR2:MZR76 MPV2:MPV76 MFZ2:MFZ76 LWD2:LWD76 LMH2:LMH76 LCL2:LCL76 KSP2:KSP76 KIT2:KIT76 JYX2:JYX76 JPB2:JPB76 JFF2:JFF76 IVJ2:IVJ76 ILN2:ILN76 IBR2:IBR76 HRV2:HRV76 HHZ2:HHZ76 GYD2:GYD76 GOH2:GOH76 GEL2:GEL76 FUP2:FUP76 FKT2:FKT76 FAX2:FAX76 ERB2:ERB76 EHF2:EHF76 DXJ2:DXJ76 DNN2:DNN76 DDR2:DDR76 CTV2:CTV76 CJZ2:CJZ76 CAD2:CAD76 BQH2:BQH76 BGL2:BGL76 AWP2:AWP76 AMT2:AMT76 ACX2:ACX76 TB2:TB76 JF2:JF76" xr:uid="{749B2D9A-5BD5-4CE1-AC4B-4ED836C2A198}">
      <formula1>$AP$2:$AP$15</formula1>
    </dataValidation>
    <dataValidation type="list" allowBlank="1" showInputMessage="1" showErrorMessage="1" sqref="WVN981808:WVN981897 WLR981808:WLR981897 WBV981808:WBV981897 VRZ981808:VRZ981897 VID981808:VID981897 UYH981808:UYH981897 UOL981808:UOL981897 UEP981808:UEP981897 TUT981808:TUT981897 TKX981808:TKX981897 TBB981808:TBB981897 SRF981808:SRF981897 SHJ981808:SHJ981897 RXN981808:RXN981897 RNR981808:RNR981897 RDV981808:RDV981897 QTZ981808:QTZ981897 QKD981808:QKD981897 QAH981808:QAH981897 PQL981808:PQL981897 PGP981808:PGP981897 OWT981808:OWT981897 OMX981808:OMX981897 ODB981808:ODB981897 NTF981808:NTF981897 NJJ981808:NJJ981897 MZN981808:MZN981897 MPR981808:MPR981897 MFV981808:MFV981897 LVZ981808:LVZ981897 LMD981808:LMD981897 LCH981808:LCH981897 KSL981808:KSL981897 KIP981808:KIP981897 JYT981808:JYT981897 JOX981808:JOX981897 JFB981808:JFB981897 IVF981808:IVF981897 ILJ981808:ILJ981897 IBN981808:IBN981897 HRR981808:HRR981897 HHV981808:HHV981897 GXZ981808:GXZ981897 GOD981808:GOD981897 GEH981808:GEH981897 FUL981808:FUL981897 FKP981808:FKP981897 FAT981808:FAT981897 EQX981808:EQX981897 EHB981808:EHB981897 DXF981808:DXF981897 DNJ981808:DNJ981897 DDN981808:DDN981897 CTR981808:CTR981897 CJV981808:CJV981897 BZZ981808:BZZ981897 BQD981808:BQD981897 BGH981808:BGH981897 AWL981808:AWL981897 AMP981808:AMP981897 ACT981808:ACT981897 SX981808:SX981897 JB981808:JB981897 F981819:F981908 WVN916272:WVN916361 WLR916272:WLR916361 WBV916272:WBV916361 VRZ916272:VRZ916361 VID916272:VID916361 UYH916272:UYH916361 UOL916272:UOL916361 UEP916272:UEP916361 TUT916272:TUT916361 TKX916272:TKX916361 TBB916272:TBB916361 SRF916272:SRF916361 SHJ916272:SHJ916361 RXN916272:RXN916361 RNR916272:RNR916361 RDV916272:RDV916361 QTZ916272:QTZ916361 QKD916272:QKD916361 QAH916272:QAH916361 PQL916272:PQL916361 PGP916272:PGP916361 OWT916272:OWT916361 OMX916272:OMX916361 ODB916272:ODB916361 NTF916272:NTF916361 NJJ916272:NJJ916361 MZN916272:MZN916361 MPR916272:MPR916361 MFV916272:MFV916361 LVZ916272:LVZ916361 LMD916272:LMD916361 LCH916272:LCH916361 KSL916272:KSL916361 KIP916272:KIP916361 JYT916272:JYT916361 JOX916272:JOX916361 JFB916272:JFB916361 IVF916272:IVF916361 ILJ916272:ILJ916361 IBN916272:IBN916361 HRR916272:HRR916361 HHV916272:HHV916361 GXZ916272:GXZ916361 GOD916272:GOD916361 GEH916272:GEH916361 FUL916272:FUL916361 FKP916272:FKP916361 FAT916272:FAT916361 EQX916272:EQX916361 EHB916272:EHB916361 DXF916272:DXF916361 DNJ916272:DNJ916361 DDN916272:DDN916361 CTR916272:CTR916361 CJV916272:CJV916361 BZZ916272:BZZ916361 BQD916272:BQD916361 BGH916272:BGH916361 AWL916272:AWL916361 AMP916272:AMP916361 ACT916272:ACT916361 SX916272:SX916361 JB916272:JB916361 F916283:F916372 WVN850736:WVN850825 WLR850736:WLR850825 WBV850736:WBV850825 VRZ850736:VRZ850825 VID850736:VID850825 UYH850736:UYH850825 UOL850736:UOL850825 UEP850736:UEP850825 TUT850736:TUT850825 TKX850736:TKX850825 TBB850736:TBB850825 SRF850736:SRF850825 SHJ850736:SHJ850825 RXN850736:RXN850825 RNR850736:RNR850825 RDV850736:RDV850825 QTZ850736:QTZ850825 QKD850736:QKD850825 QAH850736:QAH850825 PQL850736:PQL850825 PGP850736:PGP850825 OWT850736:OWT850825 OMX850736:OMX850825 ODB850736:ODB850825 NTF850736:NTF850825 NJJ850736:NJJ850825 MZN850736:MZN850825 MPR850736:MPR850825 MFV850736:MFV850825 LVZ850736:LVZ850825 LMD850736:LMD850825 LCH850736:LCH850825 KSL850736:KSL850825 KIP850736:KIP850825 JYT850736:JYT850825 JOX850736:JOX850825 JFB850736:JFB850825 IVF850736:IVF850825 ILJ850736:ILJ850825 IBN850736:IBN850825 HRR850736:HRR850825 HHV850736:HHV850825 GXZ850736:GXZ850825 GOD850736:GOD850825 GEH850736:GEH850825 FUL850736:FUL850825 FKP850736:FKP850825 FAT850736:FAT850825 EQX850736:EQX850825 EHB850736:EHB850825 DXF850736:DXF850825 DNJ850736:DNJ850825 DDN850736:DDN850825 CTR850736:CTR850825 CJV850736:CJV850825 BZZ850736:BZZ850825 BQD850736:BQD850825 BGH850736:BGH850825 AWL850736:AWL850825 AMP850736:AMP850825 ACT850736:ACT850825 SX850736:SX850825 JB850736:JB850825 F850747:F850836 WVN785200:WVN785289 WLR785200:WLR785289 WBV785200:WBV785289 VRZ785200:VRZ785289 VID785200:VID785289 UYH785200:UYH785289 UOL785200:UOL785289 UEP785200:UEP785289 TUT785200:TUT785289 TKX785200:TKX785289 TBB785200:TBB785289 SRF785200:SRF785289 SHJ785200:SHJ785289 RXN785200:RXN785289 RNR785200:RNR785289 RDV785200:RDV785289 QTZ785200:QTZ785289 QKD785200:QKD785289 QAH785200:QAH785289 PQL785200:PQL785289 PGP785200:PGP785289 OWT785200:OWT785289 OMX785200:OMX785289 ODB785200:ODB785289 NTF785200:NTF785289 NJJ785200:NJJ785289 MZN785200:MZN785289 MPR785200:MPR785289 MFV785200:MFV785289 LVZ785200:LVZ785289 LMD785200:LMD785289 LCH785200:LCH785289 KSL785200:KSL785289 KIP785200:KIP785289 JYT785200:JYT785289 JOX785200:JOX785289 JFB785200:JFB785289 IVF785200:IVF785289 ILJ785200:ILJ785289 IBN785200:IBN785289 HRR785200:HRR785289 HHV785200:HHV785289 GXZ785200:GXZ785289 GOD785200:GOD785289 GEH785200:GEH785289 FUL785200:FUL785289 FKP785200:FKP785289 FAT785200:FAT785289 EQX785200:EQX785289 EHB785200:EHB785289 DXF785200:DXF785289 DNJ785200:DNJ785289 DDN785200:DDN785289 CTR785200:CTR785289 CJV785200:CJV785289 BZZ785200:BZZ785289 BQD785200:BQD785289 BGH785200:BGH785289 AWL785200:AWL785289 AMP785200:AMP785289 ACT785200:ACT785289 SX785200:SX785289 JB785200:JB785289 F785211:F785300 WVN719664:WVN719753 WLR719664:WLR719753 WBV719664:WBV719753 VRZ719664:VRZ719753 VID719664:VID719753 UYH719664:UYH719753 UOL719664:UOL719753 UEP719664:UEP719753 TUT719664:TUT719753 TKX719664:TKX719753 TBB719664:TBB719753 SRF719664:SRF719753 SHJ719664:SHJ719753 RXN719664:RXN719753 RNR719664:RNR719753 RDV719664:RDV719753 QTZ719664:QTZ719753 QKD719664:QKD719753 QAH719664:QAH719753 PQL719664:PQL719753 PGP719664:PGP719753 OWT719664:OWT719753 OMX719664:OMX719753 ODB719664:ODB719753 NTF719664:NTF719753 NJJ719664:NJJ719753 MZN719664:MZN719753 MPR719664:MPR719753 MFV719664:MFV719753 LVZ719664:LVZ719753 LMD719664:LMD719753 LCH719664:LCH719753 KSL719664:KSL719753 KIP719664:KIP719753 JYT719664:JYT719753 JOX719664:JOX719753 JFB719664:JFB719753 IVF719664:IVF719753 ILJ719664:ILJ719753 IBN719664:IBN719753 HRR719664:HRR719753 HHV719664:HHV719753 GXZ719664:GXZ719753 GOD719664:GOD719753 GEH719664:GEH719753 FUL719664:FUL719753 FKP719664:FKP719753 FAT719664:FAT719753 EQX719664:EQX719753 EHB719664:EHB719753 DXF719664:DXF719753 DNJ719664:DNJ719753 DDN719664:DDN719753 CTR719664:CTR719753 CJV719664:CJV719753 BZZ719664:BZZ719753 BQD719664:BQD719753 BGH719664:BGH719753 AWL719664:AWL719753 AMP719664:AMP719753 ACT719664:ACT719753 SX719664:SX719753 JB719664:JB719753 F719675:F719764 WVN654128:WVN654217 WLR654128:WLR654217 WBV654128:WBV654217 VRZ654128:VRZ654217 VID654128:VID654217 UYH654128:UYH654217 UOL654128:UOL654217 UEP654128:UEP654217 TUT654128:TUT654217 TKX654128:TKX654217 TBB654128:TBB654217 SRF654128:SRF654217 SHJ654128:SHJ654217 RXN654128:RXN654217 RNR654128:RNR654217 RDV654128:RDV654217 QTZ654128:QTZ654217 QKD654128:QKD654217 QAH654128:QAH654217 PQL654128:PQL654217 PGP654128:PGP654217 OWT654128:OWT654217 OMX654128:OMX654217 ODB654128:ODB654217 NTF654128:NTF654217 NJJ654128:NJJ654217 MZN654128:MZN654217 MPR654128:MPR654217 MFV654128:MFV654217 LVZ654128:LVZ654217 LMD654128:LMD654217 LCH654128:LCH654217 KSL654128:KSL654217 KIP654128:KIP654217 JYT654128:JYT654217 JOX654128:JOX654217 JFB654128:JFB654217 IVF654128:IVF654217 ILJ654128:ILJ654217 IBN654128:IBN654217 HRR654128:HRR654217 HHV654128:HHV654217 GXZ654128:GXZ654217 GOD654128:GOD654217 GEH654128:GEH654217 FUL654128:FUL654217 FKP654128:FKP654217 FAT654128:FAT654217 EQX654128:EQX654217 EHB654128:EHB654217 DXF654128:DXF654217 DNJ654128:DNJ654217 DDN654128:DDN654217 CTR654128:CTR654217 CJV654128:CJV654217 BZZ654128:BZZ654217 BQD654128:BQD654217 BGH654128:BGH654217 AWL654128:AWL654217 AMP654128:AMP654217 ACT654128:ACT654217 SX654128:SX654217 JB654128:JB654217 F654139:F654228 WVN588592:WVN588681 WLR588592:WLR588681 WBV588592:WBV588681 VRZ588592:VRZ588681 VID588592:VID588681 UYH588592:UYH588681 UOL588592:UOL588681 UEP588592:UEP588681 TUT588592:TUT588681 TKX588592:TKX588681 TBB588592:TBB588681 SRF588592:SRF588681 SHJ588592:SHJ588681 RXN588592:RXN588681 RNR588592:RNR588681 RDV588592:RDV588681 QTZ588592:QTZ588681 QKD588592:QKD588681 QAH588592:QAH588681 PQL588592:PQL588681 PGP588592:PGP588681 OWT588592:OWT588681 OMX588592:OMX588681 ODB588592:ODB588681 NTF588592:NTF588681 NJJ588592:NJJ588681 MZN588592:MZN588681 MPR588592:MPR588681 MFV588592:MFV588681 LVZ588592:LVZ588681 LMD588592:LMD588681 LCH588592:LCH588681 KSL588592:KSL588681 KIP588592:KIP588681 JYT588592:JYT588681 JOX588592:JOX588681 JFB588592:JFB588681 IVF588592:IVF588681 ILJ588592:ILJ588681 IBN588592:IBN588681 HRR588592:HRR588681 HHV588592:HHV588681 GXZ588592:GXZ588681 GOD588592:GOD588681 GEH588592:GEH588681 FUL588592:FUL588681 FKP588592:FKP588681 FAT588592:FAT588681 EQX588592:EQX588681 EHB588592:EHB588681 DXF588592:DXF588681 DNJ588592:DNJ588681 DDN588592:DDN588681 CTR588592:CTR588681 CJV588592:CJV588681 BZZ588592:BZZ588681 BQD588592:BQD588681 BGH588592:BGH588681 AWL588592:AWL588681 AMP588592:AMP588681 ACT588592:ACT588681 SX588592:SX588681 JB588592:JB588681 F588603:F588692 WVN523056:WVN523145 WLR523056:WLR523145 WBV523056:WBV523145 VRZ523056:VRZ523145 VID523056:VID523145 UYH523056:UYH523145 UOL523056:UOL523145 UEP523056:UEP523145 TUT523056:TUT523145 TKX523056:TKX523145 TBB523056:TBB523145 SRF523056:SRF523145 SHJ523056:SHJ523145 RXN523056:RXN523145 RNR523056:RNR523145 RDV523056:RDV523145 QTZ523056:QTZ523145 QKD523056:QKD523145 QAH523056:QAH523145 PQL523056:PQL523145 PGP523056:PGP523145 OWT523056:OWT523145 OMX523056:OMX523145 ODB523056:ODB523145 NTF523056:NTF523145 NJJ523056:NJJ523145 MZN523056:MZN523145 MPR523056:MPR523145 MFV523056:MFV523145 LVZ523056:LVZ523145 LMD523056:LMD523145 LCH523056:LCH523145 KSL523056:KSL523145 KIP523056:KIP523145 JYT523056:JYT523145 JOX523056:JOX523145 JFB523056:JFB523145 IVF523056:IVF523145 ILJ523056:ILJ523145 IBN523056:IBN523145 HRR523056:HRR523145 HHV523056:HHV523145 GXZ523056:GXZ523145 GOD523056:GOD523145 GEH523056:GEH523145 FUL523056:FUL523145 FKP523056:FKP523145 FAT523056:FAT523145 EQX523056:EQX523145 EHB523056:EHB523145 DXF523056:DXF523145 DNJ523056:DNJ523145 DDN523056:DDN523145 CTR523056:CTR523145 CJV523056:CJV523145 BZZ523056:BZZ523145 BQD523056:BQD523145 BGH523056:BGH523145 AWL523056:AWL523145 AMP523056:AMP523145 ACT523056:ACT523145 SX523056:SX523145 JB523056:JB523145 F523067:F523156 WVN457520:WVN457609 WLR457520:WLR457609 WBV457520:WBV457609 VRZ457520:VRZ457609 VID457520:VID457609 UYH457520:UYH457609 UOL457520:UOL457609 UEP457520:UEP457609 TUT457520:TUT457609 TKX457520:TKX457609 TBB457520:TBB457609 SRF457520:SRF457609 SHJ457520:SHJ457609 RXN457520:RXN457609 RNR457520:RNR457609 RDV457520:RDV457609 QTZ457520:QTZ457609 QKD457520:QKD457609 QAH457520:QAH457609 PQL457520:PQL457609 PGP457520:PGP457609 OWT457520:OWT457609 OMX457520:OMX457609 ODB457520:ODB457609 NTF457520:NTF457609 NJJ457520:NJJ457609 MZN457520:MZN457609 MPR457520:MPR457609 MFV457520:MFV457609 LVZ457520:LVZ457609 LMD457520:LMD457609 LCH457520:LCH457609 KSL457520:KSL457609 KIP457520:KIP457609 JYT457520:JYT457609 JOX457520:JOX457609 JFB457520:JFB457609 IVF457520:IVF457609 ILJ457520:ILJ457609 IBN457520:IBN457609 HRR457520:HRR457609 HHV457520:HHV457609 GXZ457520:GXZ457609 GOD457520:GOD457609 GEH457520:GEH457609 FUL457520:FUL457609 FKP457520:FKP457609 FAT457520:FAT457609 EQX457520:EQX457609 EHB457520:EHB457609 DXF457520:DXF457609 DNJ457520:DNJ457609 DDN457520:DDN457609 CTR457520:CTR457609 CJV457520:CJV457609 BZZ457520:BZZ457609 BQD457520:BQD457609 BGH457520:BGH457609 AWL457520:AWL457609 AMP457520:AMP457609 ACT457520:ACT457609 SX457520:SX457609 JB457520:JB457609 F457531:F457620 WVN391984:WVN392073 WLR391984:WLR392073 WBV391984:WBV392073 VRZ391984:VRZ392073 VID391984:VID392073 UYH391984:UYH392073 UOL391984:UOL392073 UEP391984:UEP392073 TUT391984:TUT392073 TKX391984:TKX392073 TBB391984:TBB392073 SRF391984:SRF392073 SHJ391984:SHJ392073 RXN391984:RXN392073 RNR391984:RNR392073 RDV391984:RDV392073 QTZ391984:QTZ392073 QKD391984:QKD392073 QAH391984:QAH392073 PQL391984:PQL392073 PGP391984:PGP392073 OWT391984:OWT392073 OMX391984:OMX392073 ODB391984:ODB392073 NTF391984:NTF392073 NJJ391984:NJJ392073 MZN391984:MZN392073 MPR391984:MPR392073 MFV391984:MFV392073 LVZ391984:LVZ392073 LMD391984:LMD392073 LCH391984:LCH392073 KSL391984:KSL392073 KIP391984:KIP392073 JYT391984:JYT392073 JOX391984:JOX392073 JFB391984:JFB392073 IVF391984:IVF392073 ILJ391984:ILJ392073 IBN391984:IBN392073 HRR391984:HRR392073 HHV391984:HHV392073 GXZ391984:GXZ392073 GOD391984:GOD392073 GEH391984:GEH392073 FUL391984:FUL392073 FKP391984:FKP392073 FAT391984:FAT392073 EQX391984:EQX392073 EHB391984:EHB392073 DXF391984:DXF392073 DNJ391984:DNJ392073 DDN391984:DDN392073 CTR391984:CTR392073 CJV391984:CJV392073 BZZ391984:BZZ392073 BQD391984:BQD392073 BGH391984:BGH392073 AWL391984:AWL392073 AMP391984:AMP392073 ACT391984:ACT392073 SX391984:SX392073 JB391984:JB392073 F391995:F392084 WVN326448:WVN326537 WLR326448:WLR326537 WBV326448:WBV326537 VRZ326448:VRZ326537 VID326448:VID326537 UYH326448:UYH326537 UOL326448:UOL326537 UEP326448:UEP326537 TUT326448:TUT326537 TKX326448:TKX326537 TBB326448:TBB326537 SRF326448:SRF326537 SHJ326448:SHJ326537 RXN326448:RXN326537 RNR326448:RNR326537 RDV326448:RDV326537 QTZ326448:QTZ326537 QKD326448:QKD326537 QAH326448:QAH326537 PQL326448:PQL326537 PGP326448:PGP326537 OWT326448:OWT326537 OMX326448:OMX326537 ODB326448:ODB326537 NTF326448:NTF326537 NJJ326448:NJJ326537 MZN326448:MZN326537 MPR326448:MPR326537 MFV326448:MFV326537 LVZ326448:LVZ326537 LMD326448:LMD326537 LCH326448:LCH326537 KSL326448:KSL326537 KIP326448:KIP326537 JYT326448:JYT326537 JOX326448:JOX326537 JFB326448:JFB326537 IVF326448:IVF326537 ILJ326448:ILJ326537 IBN326448:IBN326537 HRR326448:HRR326537 HHV326448:HHV326537 GXZ326448:GXZ326537 GOD326448:GOD326537 GEH326448:GEH326537 FUL326448:FUL326537 FKP326448:FKP326537 FAT326448:FAT326537 EQX326448:EQX326537 EHB326448:EHB326537 DXF326448:DXF326537 DNJ326448:DNJ326537 DDN326448:DDN326537 CTR326448:CTR326537 CJV326448:CJV326537 BZZ326448:BZZ326537 BQD326448:BQD326537 BGH326448:BGH326537 AWL326448:AWL326537 AMP326448:AMP326537 ACT326448:ACT326537 SX326448:SX326537 JB326448:JB326537 F326459:F326548 WVN260912:WVN261001 WLR260912:WLR261001 WBV260912:WBV261001 VRZ260912:VRZ261001 VID260912:VID261001 UYH260912:UYH261001 UOL260912:UOL261001 UEP260912:UEP261001 TUT260912:TUT261001 TKX260912:TKX261001 TBB260912:TBB261001 SRF260912:SRF261001 SHJ260912:SHJ261001 RXN260912:RXN261001 RNR260912:RNR261001 RDV260912:RDV261001 QTZ260912:QTZ261001 QKD260912:QKD261001 QAH260912:QAH261001 PQL260912:PQL261001 PGP260912:PGP261001 OWT260912:OWT261001 OMX260912:OMX261001 ODB260912:ODB261001 NTF260912:NTF261001 NJJ260912:NJJ261001 MZN260912:MZN261001 MPR260912:MPR261001 MFV260912:MFV261001 LVZ260912:LVZ261001 LMD260912:LMD261001 LCH260912:LCH261001 KSL260912:KSL261001 KIP260912:KIP261001 JYT260912:JYT261001 JOX260912:JOX261001 JFB260912:JFB261001 IVF260912:IVF261001 ILJ260912:ILJ261001 IBN260912:IBN261001 HRR260912:HRR261001 HHV260912:HHV261001 GXZ260912:GXZ261001 GOD260912:GOD261001 GEH260912:GEH261001 FUL260912:FUL261001 FKP260912:FKP261001 FAT260912:FAT261001 EQX260912:EQX261001 EHB260912:EHB261001 DXF260912:DXF261001 DNJ260912:DNJ261001 DDN260912:DDN261001 CTR260912:CTR261001 CJV260912:CJV261001 BZZ260912:BZZ261001 BQD260912:BQD261001 BGH260912:BGH261001 AWL260912:AWL261001 AMP260912:AMP261001 ACT260912:ACT261001 SX260912:SX261001 JB260912:JB261001 F260923:F261012 WVN195376:WVN195465 WLR195376:WLR195465 WBV195376:WBV195465 VRZ195376:VRZ195465 VID195376:VID195465 UYH195376:UYH195465 UOL195376:UOL195465 UEP195376:UEP195465 TUT195376:TUT195465 TKX195376:TKX195465 TBB195376:TBB195465 SRF195376:SRF195465 SHJ195376:SHJ195465 RXN195376:RXN195465 RNR195376:RNR195465 RDV195376:RDV195465 QTZ195376:QTZ195465 QKD195376:QKD195465 QAH195376:QAH195465 PQL195376:PQL195465 PGP195376:PGP195465 OWT195376:OWT195465 OMX195376:OMX195465 ODB195376:ODB195465 NTF195376:NTF195465 NJJ195376:NJJ195465 MZN195376:MZN195465 MPR195376:MPR195465 MFV195376:MFV195465 LVZ195376:LVZ195465 LMD195376:LMD195465 LCH195376:LCH195465 KSL195376:KSL195465 KIP195376:KIP195465 JYT195376:JYT195465 JOX195376:JOX195465 JFB195376:JFB195465 IVF195376:IVF195465 ILJ195376:ILJ195465 IBN195376:IBN195465 HRR195376:HRR195465 HHV195376:HHV195465 GXZ195376:GXZ195465 GOD195376:GOD195465 GEH195376:GEH195465 FUL195376:FUL195465 FKP195376:FKP195465 FAT195376:FAT195465 EQX195376:EQX195465 EHB195376:EHB195465 DXF195376:DXF195465 DNJ195376:DNJ195465 DDN195376:DDN195465 CTR195376:CTR195465 CJV195376:CJV195465 BZZ195376:BZZ195465 BQD195376:BQD195465 BGH195376:BGH195465 AWL195376:AWL195465 AMP195376:AMP195465 ACT195376:ACT195465 SX195376:SX195465 JB195376:JB195465 F195387:F195476 WVN129840:WVN129929 WLR129840:WLR129929 WBV129840:WBV129929 VRZ129840:VRZ129929 VID129840:VID129929 UYH129840:UYH129929 UOL129840:UOL129929 UEP129840:UEP129929 TUT129840:TUT129929 TKX129840:TKX129929 TBB129840:TBB129929 SRF129840:SRF129929 SHJ129840:SHJ129929 RXN129840:RXN129929 RNR129840:RNR129929 RDV129840:RDV129929 QTZ129840:QTZ129929 QKD129840:QKD129929 QAH129840:QAH129929 PQL129840:PQL129929 PGP129840:PGP129929 OWT129840:OWT129929 OMX129840:OMX129929 ODB129840:ODB129929 NTF129840:NTF129929 NJJ129840:NJJ129929 MZN129840:MZN129929 MPR129840:MPR129929 MFV129840:MFV129929 LVZ129840:LVZ129929 LMD129840:LMD129929 LCH129840:LCH129929 KSL129840:KSL129929 KIP129840:KIP129929 JYT129840:JYT129929 JOX129840:JOX129929 JFB129840:JFB129929 IVF129840:IVF129929 ILJ129840:ILJ129929 IBN129840:IBN129929 HRR129840:HRR129929 HHV129840:HHV129929 GXZ129840:GXZ129929 GOD129840:GOD129929 GEH129840:GEH129929 FUL129840:FUL129929 FKP129840:FKP129929 FAT129840:FAT129929 EQX129840:EQX129929 EHB129840:EHB129929 DXF129840:DXF129929 DNJ129840:DNJ129929 DDN129840:DDN129929 CTR129840:CTR129929 CJV129840:CJV129929 BZZ129840:BZZ129929 BQD129840:BQD129929 BGH129840:BGH129929 AWL129840:AWL129929 AMP129840:AMP129929 ACT129840:ACT129929 SX129840:SX129929 JB129840:JB129929 F129851:F129940 WVN64304:WVN64393 WLR64304:WLR64393 WBV64304:WBV64393 VRZ64304:VRZ64393 VID64304:VID64393 UYH64304:UYH64393 UOL64304:UOL64393 UEP64304:UEP64393 TUT64304:TUT64393 TKX64304:TKX64393 TBB64304:TBB64393 SRF64304:SRF64393 SHJ64304:SHJ64393 RXN64304:RXN64393 RNR64304:RNR64393 RDV64304:RDV64393 QTZ64304:QTZ64393 QKD64304:QKD64393 QAH64304:QAH64393 PQL64304:PQL64393 PGP64304:PGP64393 OWT64304:OWT64393 OMX64304:OMX64393 ODB64304:ODB64393 NTF64304:NTF64393 NJJ64304:NJJ64393 MZN64304:MZN64393 MPR64304:MPR64393 MFV64304:MFV64393 LVZ64304:LVZ64393 LMD64304:LMD64393 LCH64304:LCH64393 KSL64304:KSL64393 KIP64304:KIP64393 JYT64304:JYT64393 JOX64304:JOX64393 JFB64304:JFB64393 IVF64304:IVF64393 ILJ64304:ILJ64393 IBN64304:IBN64393 HRR64304:HRR64393 HHV64304:HHV64393 GXZ64304:GXZ64393 GOD64304:GOD64393 GEH64304:GEH64393 FUL64304:FUL64393 FKP64304:FKP64393 FAT64304:FAT64393 EQX64304:EQX64393 EHB64304:EHB64393 DXF64304:DXF64393 DNJ64304:DNJ64393 DDN64304:DDN64393 CTR64304:CTR64393 CJV64304:CJV64393 BZZ64304:BZZ64393 BQD64304:BQD64393 BGH64304:BGH64393 AWL64304:AWL64393 AMP64304:AMP64393 ACT64304:ACT64393 SX64304:SX64393 JB64304:JB64393 F64315:F64404 JB2:JB76 SX2:SX76 ACT2:ACT76 AMP2:AMP76 AWL2:AWL76 BGH2:BGH76 BQD2:BQD76 BZZ2:BZZ76 CJV2:CJV76 CTR2:CTR76 DDN2:DDN76 DNJ2:DNJ76 DXF2:DXF76 EHB2:EHB76 EQX2:EQX76 FAT2:FAT76 FKP2:FKP76 FUL2:FUL76 GEH2:GEH76 GOD2:GOD76 GXZ2:GXZ76 HHV2:HHV76 HRR2:HRR76 IBN2:IBN76 ILJ2:ILJ76 IVF2:IVF76 JFB2:JFB76 JOX2:JOX76 JYT2:JYT76 KIP2:KIP76 KSL2:KSL76 LCH2:LCH76 LMD2:LMD76 LVZ2:LVZ76 MFV2:MFV76 MPR2:MPR76 MZN2:MZN76 NJJ2:NJJ76 NTF2:NTF76 ODB2:ODB76 OMX2:OMX76 OWT2:OWT76 PGP2:PGP76 PQL2:PQL76 QAH2:QAH76 QKD2:QKD76 QTZ2:QTZ76 RDV2:RDV76 RNR2:RNR76 RXN2:RXN76 SHJ2:SHJ76 SRF2:SRF76 TBB2:TBB76 TKX2:TKX76 TUT2:TUT76 UEP2:UEP76 UOL2:UOL76 UYH2:UYH76 VID2:VID76 VRZ2:VRZ76 WBV2:WBV76 WLR2:WLR76 WVN2:WVN76" xr:uid="{B5536BFE-12FC-44E1-AB4B-F5AFBF0C61DA}">
      <formula1>$AH$2:$AH$13</formula1>
    </dataValidation>
    <dataValidation type="list" allowBlank="1" showInputMessage="1" showErrorMessage="1" sqref="WVM981808:WVM981897 WLQ981808:WLQ981897 WBU981808:WBU981897 VRY981808:VRY981897 VIC981808:VIC981897 UYG981808:UYG981897 UOK981808:UOK981897 UEO981808:UEO981897 TUS981808:TUS981897 TKW981808:TKW981897 TBA981808:TBA981897 SRE981808:SRE981897 SHI981808:SHI981897 RXM981808:RXM981897 RNQ981808:RNQ981897 RDU981808:RDU981897 QTY981808:QTY981897 QKC981808:QKC981897 QAG981808:QAG981897 PQK981808:PQK981897 PGO981808:PGO981897 OWS981808:OWS981897 OMW981808:OMW981897 ODA981808:ODA981897 NTE981808:NTE981897 NJI981808:NJI981897 MZM981808:MZM981897 MPQ981808:MPQ981897 MFU981808:MFU981897 LVY981808:LVY981897 LMC981808:LMC981897 LCG981808:LCG981897 KSK981808:KSK981897 KIO981808:KIO981897 JYS981808:JYS981897 JOW981808:JOW981897 JFA981808:JFA981897 IVE981808:IVE981897 ILI981808:ILI981897 IBM981808:IBM981897 HRQ981808:HRQ981897 HHU981808:HHU981897 GXY981808:GXY981897 GOC981808:GOC981897 GEG981808:GEG981897 FUK981808:FUK981897 FKO981808:FKO981897 FAS981808:FAS981897 EQW981808:EQW981897 EHA981808:EHA981897 DXE981808:DXE981897 DNI981808:DNI981897 DDM981808:DDM981897 CTQ981808:CTQ981897 CJU981808:CJU981897 BZY981808:BZY981897 BQC981808:BQC981897 BGG981808:BGG981897 AWK981808:AWK981897 AMO981808:AMO981897 ACS981808:ACS981897 SW981808:SW981897 JA981808:JA981897 E981819:E981908 WVM916272:WVM916361 WLQ916272:WLQ916361 WBU916272:WBU916361 VRY916272:VRY916361 VIC916272:VIC916361 UYG916272:UYG916361 UOK916272:UOK916361 UEO916272:UEO916361 TUS916272:TUS916361 TKW916272:TKW916361 TBA916272:TBA916361 SRE916272:SRE916361 SHI916272:SHI916361 RXM916272:RXM916361 RNQ916272:RNQ916361 RDU916272:RDU916361 QTY916272:QTY916361 QKC916272:QKC916361 QAG916272:QAG916361 PQK916272:PQK916361 PGO916272:PGO916361 OWS916272:OWS916361 OMW916272:OMW916361 ODA916272:ODA916361 NTE916272:NTE916361 NJI916272:NJI916361 MZM916272:MZM916361 MPQ916272:MPQ916361 MFU916272:MFU916361 LVY916272:LVY916361 LMC916272:LMC916361 LCG916272:LCG916361 KSK916272:KSK916361 KIO916272:KIO916361 JYS916272:JYS916361 JOW916272:JOW916361 JFA916272:JFA916361 IVE916272:IVE916361 ILI916272:ILI916361 IBM916272:IBM916361 HRQ916272:HRQ916361 HHU916272:HHU916361 GXY916272:GXY916361 GOC916272:GOC916361 GEG916272:GEG916361 FUK916272:FUK916361 FKO916272:FKO916361 FAS916272:FAS916361 EQW916272:EQW916361 EHA916272:EHA916361 DXE916272:DXE916361 DNI916272:DNI916361 DDM916272:DDM916361 CTQ916272:CTQ916361 CJU916272:CJU916361 BZY916272:BZY916361 BQC916272:BQC916361 BGG916272:BGG916361 AWK916272:AWK916361 AMO916272:AMO916361 ACS916272:ACS916361 SW916272:SW916361 JA916272:JA916361 E916283:E916372 WVM850736:WVM850825 WLQ850736:WLQ850825 WBU850736:WBU850825 VRY850736:VRY850825 VIC850736:VIC850825 UYG850736:UYG850825 UOK850736:UOK850825 UEO850736:UEO850825 TUS850736:TUS850825 TKW850736:TKW850825 TBA850736:TBA850825 SRE850736:SRE850825 SHI850736:SHI850825 RXM850736:RXM850825 RNQ850736:RNQ850825 RDU850736:RDU850825 QTY850736:QTY850825 QKC850736:QKC850825 QAG850736:QAG850825 PQK850736:PQK850825 PGO850736:PGO850825 OWS850736:OWS850825 OMW850736:OMW850825 ODA850736:ODA850825 NTE850736:NTE850825 NJI850736:NJI850825 MZM850736:MZM850825 MPQ850736:MPQ850825 MFU850736:MFU850825 LVY850736:LVY850825 LMC850736:LMC850825 LCG850736:LCG850825 KSK850736:KSK850825 KIO850736:KIO850825 JYS850736:JYS850825 JOW850736:JOW850825 JFA850736:JFA850825 IVE850736:IVE850825 ILI850736:ILI850825 IBM850736:IBM850825 HRQ850736:HRQ850825 HHU850736:HHU850825 GXY850736:GXY850825 GOC850736:GOC850825 GEG850736:GEG850825 FUK850736:FUK850825 FKO850736:FKO850825 FAS850736:FAS850825 EQW850736:EQW850825 EHA850736:EHA850825 DXE850736:DXE850825 DNI850736:DNI850825 DDM850736:DDM850825 CTQ850736:CTQ850825 CJU850736:CJU850825 BZY850736:BZY850825 BQC850736:BQC850825 BGG850736:BGG850825 AWK850736:AWK850825 AMO850736:AMO850825 ACS850736:ACS850825 SW850736:SW850825 JA850736:JA850825 E850747:E850836 WVM785200:WVM785289 WLQ785200:WLQ785289 WBU785200:WBU785289 VRY785200:VRY785289 VIC785200:VIC785289 UYG785200:UYG785289 UOK785200:UOK785289 UEO785200:UEO785289 TUS785200:TUS785289 TKW785200:TKW785289 TBA785200:TBA785289 SRE785200:SRE785289 SHI785200:SHI785289 RXM785200:RXM785289 RNQ785200:RNQ785289 RDU785200:RDU785289 QTY785200:QTY785289 QKC785200:QKC785289 QAG785200:QAG785289 PQK785200:PQK785289 PGO785200:PGO785289 OWS785200:OWS785289 OMW785200:OMW785289 ODA785200:ODA785289 NTE785200:NTE785289 NJI785200:NJI785289 MZM785200:MZM785289 MPQ785200:MPQ785289 MFU785200:MFU785289 LVY785200:LVY785289 LMC785200:LMC785289 LCG785200:LCG785289 KSK785200:KSK785289 KIO785200:KIO785289 JYS785200:JYS785289 JOW785200:JOW785289 JFA785200:JFA785289 IVE785200:IVE785289 ILI785200:ILI785289 IBM785200:IBM785289 HRQ785200:HRQ785289 HHU785200:HHU785289 GXY785200:GXY785289 GOC785200:GOC785289 GEG785200:GEG785289 FUK785200:FUK785289 FKO785200:FKO785289 FAS785200:FAS785289 EQW785200:EQW785289 EHA785200:EHA785289 DXE785200:DXE785289 DNI785200:DNI785289 DDM785200:DDM785289 CTQ785200:CTQ785289 CJU785200:CJU785289 BZY785200:BZY785289 BQC785200:BQC785289 BGG785200:BGG785289 AWK785200:AWK785289 AMO785200:AMO785289 ACS785200:ACS785289 SW785200:SW785289 JA785200:JA785289 E785211:E785300 WVM719664:WVM719753 WLQ719664:WLQ719753 WBU719664:WBU719753 VRY719664:VRY719753 VIC719664:VIC719753 UYG719664:UYG719753 UOK719664:UOK719753 UEO719664:UEO719753 TUS719664:TUS719753 TKW719664:TKW719753 TBA719664:TBA719753 SRE719664:SRE719753 SHI719664:SHI719753 RXM719664:RXM719753 RNQ719664:RNQ719753 RDU719664:RDU719753 QTY719664:QTY719753 QKC719664:QKC719753 QAG719664:QAG719753 PQK719664:PQK719753 PGO719664:PGO719753 OWS719664:OWS719753 OMW719664:OMW719753 ODA719664:ODA719753 NTE719664:NTE719753 NJI719664:NJI719753 MZM719664:MZM719753 MPQ719664:MPQ719753 MFU719664:MFU719753 LVY719664:LVY719753 LMC719664:LMC719753 LCG719664:LCG719753 KSK719664:KSK719753 KIO719664:KIO719753 JYS719664:JYS719753 JOW719664:JOW719753 JFA719664:JFA719753 IVE719664:IVE719753 ILI719664:ILI719753 IBM719664:IBM719753 HRQ719664:HRQ719753 HHU719664:HHU719753 GXY719664:GXY719753 GOC719664:GOC719753 GEG719664:GEG719753 FUK719664:FUK719753 FKO719664:FKO719753 FAS719664:FAS719753 EQW719664:EQW719753 EHA719664:EHA719753 DXE719664:DXE719753 DNI719664:DNI719753 DDM719664:DDM719753 CTQ719664:CTQ719753 CJU719664:CJU719753 BZY719664:BZY719753 BQC719664:BQC719753 BGG719664:BGG719753 AWK719664:AWK719753 AMO719664:AMO719753 ACS719664:ACS719753 SW719664:SW719753 JA719664:JA719753 E719675:E719764 WVM654128:WVM654217 WLQ654128:WLQ654217 WBU654128:WBU654217 VRY654128:VRY654217 VIC654128:VIC654217 UYG654128:UYG654217 UOK654128:UOK654217 UEO654128:UEO654217 TUS654128:TUS654217 TKW654128:TKW654217 TBA654128:TBA654217 SRE654128:SRE654217 SHI654128:SHI654217 RXM654128:RXM654217 RNQ654128:RNQ654217 RDU654128:RDU654217 QTY654128:QTY654217 QKC654128:QKC654217 QAG654128:QAG654217 PQK654128:PQK654217 PGO654128:PGO654217 OWS654128:OWS654217 OMW654128:OMW654217 ODA654128:ODA654217 NTE654128:NTE654217 NJI654128:NJI654217 MZM654128:MZM654217 MPQ654128:MPQ654217 MFU654128:MFU654217 LVY654128:LVY654217 LMC654128:LMC654217 LCG654128:LCG654217 KSK654128:KSK654217 KIO654128:KIO654217 JYS654128:JYS654217 JOW654128:JOW654217 JFA654128:JFA654217 IVE654128:IVE654217 ILI654128:ILI654217 IBM654128:IBM654217 HRQ654128:HRQ654217 HHU654128:HHU654217 GXY654128:GXY654217 GOC654128:GOC654217 GEG654128:GEG654217 FUK654128:FUK654217 FKO654128:FKO654217 FAS654128:FAS654217 EQW654128:EQW654217 EHA654128:EHA654217 DXE654128:DXE654217 DNI654128:DNI654217 DDM654128:DDM654217 CTQ654128:CTQ654217 CJU654128:CJU654217 BZY654128:BZY654217 BQC654128:BQC654217 BGG654128:BGG654217 AWK654128:AWK654217 AMO654128:AMO654217 ACS654128:ACS654217 SW654128:SW654217 JA654128:JA654217 E654139:E654228 WVM588592:WVM588681 WLQ588592:WLQ588681 WBU588592:WBU588681 VRY588592:VRY588681 VIC588592:VIC588681 UYG588592:UYG588681 UOK588592:UOK588681 UEO588592:UEO588681 TUS588592:TUS588681 TKW588592:TKW588681 TBA588592:TBA588681 SRE588592:SRE588681 SHI588592:SHI588681 RXM588592:RXM588681 RNQ588592:RNQ588681 RDU588592:RDU588681 QTY588592:QTY588681 QKC588592:QKC588681 QAG588592:QAG588681 PQK588592:PQK588681 PGO588592:PGO588681 OWS588592:OWS588681 OMW588592:OMW588681 ODA588592:ODA588681 NTE588592:NTE588681 NJI588592:NJI588681 MZM588592:MZM588681 MPQ588592:MPQ588681 MFU588592:MFU588681 LVY588592:LVY588681 LMC588592:LMC588681 LCG588592:LCG588681 KSK588592:KSK588681 KIO588592:KIO588681 JYS588592:JYS588681 JOW588592:JOW588681 JFA588592:JFA588681 IVE588592:IVE588681 ILI588592:ILI588681 IBM588592:IBM588681 HRQ588592:HRQ588681 HHU588592:HHU588681 GXY588592:GXY588681 GOC588592:GOC588681 GEG588592:GEG588681 FUK588592:FUK588681 FKO588592:FKO588681 FAS588592:FAS588681 EQW588592:EQW588681 EHA588592:EHA588681 DXE588592:DXE588681 DNI588592:DNI588681 DDM588592:DDM588681 CTQ588592:CTQ588681 CJU588592:CJU588681 BZY588592:BZY588681 BQC588592:BQC588681 BGG588592:BGG588681 AWK588592:AWK588681 AMO588592:AMO588681 ACS588592:ACS588681 SW588592:SW588681 JA588592:JA588681 E588603:E588692 WVM523056:WVM523145 WLQ523056:WLQ523145 WBU523056:WBU523145 VRY523056:VRY523145 VIC523056:VIC523145 UYG523056:UYG523145 UOK523056:UOK523145 UEO523056:UEO523145 TUS523056:TUS523145 TKW523056:TKW523145 TBA523056:TBA523145 SRE523056:SRE523145 SHI523056:SHI523145 RXM523056:RXM523145 RNQ523056:RNQ523145 RDU523056:RDU523145 QTY523056:QTY523145 QKC523056:QKC523145 QAG523056:QAG523145 PQK523056:PQK523145 PGO523056:PGO523145 OWS523056:OWS523145 OMW523056:OMW523145 ODA523056:ODA523145 NTE523056:NTE523145 NJI523056:NJI523145 MZM523056:MZM523145 MPQ523056:MPQ523145 MFU523056:MFU523145 LVY523056:LVY523145 LMC523056:LMC523145 LCG523056:LCG523145 KSK523056:KSK523145 KIO523056:KIO523145 JYS523056:JYS523145 JOW523056:JOW523145 JFA523056:JFA523145 IVE523056:IVE523145 ILI523056:ILI523145 IBM523056:IBM523145 HRQ523056:HRQ523145 HHU523056:HHU523145 GXY523056:GXY523145 GOC523056:GOC523145 GEG523056:GEG523145 FUK523056:FUK523145 FKO523056:FKO523145 FAS523056:FAS523145 EQW523056:EQW523145 EHA523056:EHA523145 DXE523056:DXE523145 DNI523056:DNI523145 DDM523056:DDM523145 CTQ523056:CTQ523145 CJU523056:CJU523145 BZY523056:BZY523145 BQC523056:BQC523145 BGG523056:BGG523145 AWK523056:AWK523145 AMO523056:AMO523145 ACS523056:ACS523145 SW523056:SW523145 JA523056:JA523145 E523067:E523156 WVM457520:WVM457609 WLQ457520:WLQ457609 WBU457520:WBU457609 VRY457520:VRY457609 VIC457520:VIC457609 UYG457520:UYG457609 UOK457520:UOK457609 UEO457520:UEO457609 TUS457520:TUS457609 TKW457520:TKW457609 TBA457520:TBA457609 SRE457520:SRE457609 SHI457520:SHI457609 RXM457520:RXM457609 RNQ457520:RNQ457609 RDU457520:RDU457609 QTY457520:QTY457609 QKC457520:QKC457609 QAG457520:QAG457609 PQK457520:PQK457609 PGO457520:PGO457609 OWS457520:OWS457609 OMW457520:OMW457609 ODA457520:ODA457609 NTE457520:NTE457609 NJI457520:NJI457609 MZM457520:MZM457609 MPQ457520:MPQ457609 MFU457520:MFU457609 LVY457520:LVY457609 LMC457520:LMC457609 LCG457520:LCG457609 KSK457520:KSK457609 KIO457520:KIO457609 JYS457520:JYS457609 JOW457520:JOW457609 JFA457520:JFA457609 IVE457520:IVE457609 ILI457520:ILI457609 IBM457520:IBM457609 HRQ457520:HRQ457609 HHU457520:HHU457609 GXY457520:GXY457609 GOC457520:GOC457609 GEG457520:GEG457609 FUK457520:FUK457609 FKO457520:FKO457609 FAS457520:FAS457609 EQW457520:EQW457609 EHA457520:EHA457609 DXE457520:DXE457609 DNI457520:DNI457609 DDM457520:DDM457609 CTQ457520:CTQ457609 CJU457520:CJU457609 BZY457520:BZY457609 BQC457520:BQC457609 BGG457520:BGG457609 AWK457520:AWK457609 AMO457520:AMO457609 ACS457520:ACS457609 SW457520:SW457609 JA457520:JA457609 E457531:E457620 WVM391984:WVM392073 WLQ391984:WLQ392073 WBU391984:WBU392073 VRY391984:VRY392073 VIC391984:VIC392073 UYG391984:UYG392073 UOK391984:UOK392073 UEO391984:UEO392073 TUS391984:TUS392073 TKW391984:TKW392073 TBA391984:TBA392073 SRE391984:SRE392073 SHI391984:SHI392073 RXM391984:RXM392073 RNQ391984:RNQ392073 RDU391984:RDU392073 QTY391984:QTY392073 QKC391984:QKC392073 QAG391984:QAG392073 PQK391984:PQK392073 PGO391984:PGO392073 OWS391984:OWS392073 OMW391984:OMW392073 ODA391984:ODA392073 NTE391984:NTE392073 NJI391984:NJI392073 MZM391984:MZM392073 MPQ391984:MPQ392073 MFU391984:MFU392073 LVY391984:LVY392073 LMC391984:LMC392073 LCG391984:LCG392073 KSK391984:KSK392073 KIO391984:KIO392073 JYS391984:JYS392073 JOW391984:JOW392073 JFA391984:JFA392073 IVE391984:IVE392073 ILI391984:ILI392073 IBM391984:IBM392073 HRQ391984:HRQ392073 HHU391984:HHU392073 GXY391984:GXY392073 GOC391984:GOC392073 GEG391984:GEG392073 FUK391984:FUK392073 FKO391984:FKO392073 FAS391984:FAS392073 EQW391984:EQW392073 EHA391984:EHA392073 DXE391984:DXE392073 DNI391984:DNI392073 DDM391984:DDM392073 CTQ391984:CTQ392073 CJU391984:CJU392073 BZY391984:BZY392073 BQC391984:BQC392073 BGG391984:BGG392073 AWK391984:AWK392073 AMO391984:AMO392073 ACS391984:ACS392073 SW391984:SW392073 JA391984:JA392073 E391995:E392084 WVM326448:WVM326537 WLQ326448:WLQ326537 WBU326448:WBU326537 VRY326448:VRY326537 VIC326448:VIC326537 UYG326448:UYG326537 UOK326448:UOK326537 UEO326448:UEO326537 TUS326448:TUS326537 TKW326448:TKW326537 TBA326448:TBA326537 SRE326448:SRE326537 SHI326448:SHI326537 RXM326448:RXM326537 RNQ326448:RNQ326537 RDU326448:RDU326537 QTY326448:QTY326537 QKC326448:QKC326537 QAG326448:QAG326537 PQK326448:PQK326537 PGO326448:PGO326537 OWS326448:OWS326537 OMW326448:OMW326537 ODA326448:ODA326537 NTE326448:NTE326537 NJI326448:NJI326537 MZM326448:MZM326537 MPQ326448:MPQ326537 MFU326448:MFU326537 LVY326448:LVY326537 LMC326448:LMC326537 LCG326448:LCG326537 KSK326448:KSK326537 KIO326448:KIO326537 JYS326448:JYS326537 JOW326448:JOW326537 JFA326448:JFA326537 IVE326448:IVE326537 ILI326448:ILI326537 IBM326448:IBM326537 HRQ326448:HRQ326537 HHU326448:HHU326537 GXY326448:GXY326537 GOC326448:GOC326537 GEG326448:GEG326537 FUK326448:FUK326537 FKO326448:FKO326537 FAS326448:FAS326537 EQW326448:EQW326537 EHA326448:EHA326537 DXE326448:DXE326537 DNI326448:DNI326537 DDM326448:DDM326537 CTQ326448:CTQ326537 CJU326448:CJU326537 BZY326448:BZY326537 BQC326448:BQC326537 BGG326448:BGG326537 AWK326448:AWK326537 AMO326448:AMO326537 ACS326448:ACS326537 SW326448:SW326537 JA326448:JA326537 E326459:E326548 WVM260912:WVM261001 WLQ260912:WLQ261001 WBU260912:WBU261001 VRY260912:VRY261001 VIC260912:VIC261001 UYG260912:UYG261001 UOK260912:UOK261001 UEO260912:UEO261001 TUS260912:TUS261001 TKW260912:TKW261001 TBA260912:TBA261001 SRE260912:SRE261001 SHI260912:SHI261001 RXM260912:RXM261001 RNQ260912:RNQ261001 RDU260912:RDU261001 QTY260912:QTY261001 QKC260912:QKC261001 QAG260912:QAG261001 PQK260912:PQK261001 PGO260912:PGO261001 OWS260912:OWS261001 OMW260912:OMW261001 ODA260912:ODA261001 NTE260912:NTE261001 NJI260912:NJI261001 MZM260912:MZM261001 MPQ260912:MPQ261001 MFU260912:MFU261001 LVY260912:LVY261001 LMC260912:LMC261001 LCG260912:LCG261001 KSK260912:KSK261001 KIO260912:KIO261001 JYS260912:JYS261001 JOW260912:JOW261001 JFA260912:JFA261001 IVE260912:IVE261001 ILI260912:ILI261001 IBM260912:IBM261001 HRQ260912:HRQ261001 HHU260912:HHU261001 GXY260912:GXY261001 GOC260912:GOC261001 GEG260912:GEG261001 FUK260912:FUK261001 FKO260912:FKO261001 FAS260912:FAS261001 EQW260912:EQW261001 EHA260912:EHA261001 DXE260912:DXE261001 DNI260912:DNI261001 DDM260912:DDM261001 CTQ260912:CTQ261001 CJU260912:CJU261001 BZY260912:BZY261001 BQC260912:BQC261001 BGG260912:BGG261001 AWK260912:AWK261001 AMO260912:AMO261001 ACS260912:ACS261001 SW260912:SW261001 JA260912:JA261001 E260923:E261012 WVM195376:WVM195465 WLQ195376:WLQ195465 WBU195376:WBU195465 VRY195376:VRY195465 VIC195376:VIC195465 UYG195376:UYG195465 UOK195376:UOK195465 UEO195376:UEO195465 TUS195376:TUS195465 TKW195376:TKW195465 TBA195376:TBA195465 SRE195376:SRE195465 SHI195376:SHI195465 RXM195376:RXM195465 RNQ195376:RNQ195465 RDU195376:RDU195465 QTY195376:QTY195465 QKC195376:QKC195465 QAG195376:QAG195465 PQK195376:PQK195465 PGO195376:PGO195465 OWS195376:OWS195465 OMW195376:OMW195465 ODA195376:ODA195465 NTE195376:NTE195465 NJI195376:NJI195465 MZM195376:MZM195465 MPQ195376:MPQ195465 MFU195376:MFU195465 LVY195376:LVY195465 LMC195376:LMC195465 LCG195376:LCG195465 KSK195376:KSK195465 KIO195376:KIO195465 JYS195376:JYS195465 JOW195376:JOW195465 JFA195376:JFA195465 IVE195376:IVE195465 ILI195376:ILI195465 IBM195376:IBM195465 HRQ195376:HRQ195465 HHU195376:HHU195465 GXY195376:GXY195465 GOC195376:GOC195465 GEG195376:GEG195465 FUK195376:FUK195465 FKO195376:FKO195465 FAS195376:FAS195465 EQW195376:EQW195465 EHA195376:EHA195465 DXE195376:DXE195465 DNI195376:DNI195465 DDM195376:DDM195465 CTQ195376:CTQ195465 CJU195376:CJU195465 BZY195376:BZY195465 BQC195376:BQC195465 BGG195376:BGG195465 AWK195376:AWK195465 AMO195376:AMO195465 ACS195376:ACS195465 SW195376:SW195465 JA195376:JA195465 E195387:E195476 WVM129840:WVM129929 WLQ129840:WLQ129929 WBU129840:WBU129929 VRY129840:VRY129929 VIC129840:VIC129929 UYG129840:UYG129929 UOK129840:UOK129929 UEO129840:UEO129929 TUS129840:TUS129929 TKW129840:TKW129929 TBA129840:TBA129929 SRE129840:SRE129929 SHI129840:SHI129929 RXM129840:RXM129929 RNQ129840:RNQ129929 RDU129840:RDU129929 QTY129840:QTY129929 QKC129840:QKC129929 QAG129840:QAG129929 PQK129840:PQK129929 PGO129840:PGO129929 OWS129840:OWS129929 OMW129840:OMW129929 ODA129840:ODA129929 NTE129840:NTE129929 NJI129840:NJI129929 MZM129840:MZM129929 MPQ129840:MPQ129929 MFU129840:MFU129929 LVY129840:LVY129929 LMC129840:LMC129929 LCG129840:LCG129929 KSK129840:KSK129929 KIO129840:KIO129929 JYS129840:JYS129929 JOW129840:JOW129929 JFA129840:JFA129929 IVE129840:IVE129929 ILI129840:ILI129929 IBM129840:IBM129929 HRQ129840:HRQ129929 HHU129840:HHU129929 GXY129840:GXY129929 GOC129840:GOC129929 GEG129840:GEG129929 FUK129840:FUK129929 FKO129840:FKO129929 FAS129840:FAS129929 EQW129840:EQW129929 EHA129840:EHA129929 DXE129840:DXE129929 DNI129840:DNI129929 DDM129840:DDM129929 CTQ129840:CTQ129929 CJU129840:CJU129929 BZY129840:BZY129929 BQC129840:BQC129929 BGG129840:BGG129929 AWK129840:AWK129929 AMO129840:AMO129929 ACS129840:ACS129929 SW129840:SW129929 JA129840:JA129929 E129851:E129940 WVM64304:WVM64393 WLQ64304:WLQ64393 WBU64304:WBU64393 VRY64304:VRY64393 VIC64304:VIC64393 UYG64304:UYG64393 UOK64304:UOK64393 UEO64304:UEO64393 TUS64304:TUS64393 TKW64304:TKW64393 TBA64304:TBA64393 SRE64304:SRE64393 SHI64304:SHI64393 RXM64304:RXM64393 RNQ64304:RNQ64393 RDU64304:RDU64393 QTY64304:QTY64393 QKC64304:QKC64393 QAG64304:QAG64393 PQK64304:PQK64393 PGO64304:PGO64393 OWS64304:OWS64393 OMW64304:OMW64393 ODA64304:ODA64393 NTE64304:NTE64393 NJI64304:NJI64393 MZM64304:MZM64393 MPQ64304:MPQ64393 MFU64304:MFU64393 LVY64304:LVY64393 LMC64304:LMC64393 LCG64304:LCG64393 KSK64304:KSK64393 KIO64304:KIO64393 JYS64304:JYS64393 JOW64304:JOW64393 JFA64304:JFA64393 IVE64304:IVE64393 ILI64304:ILI64393 IBM64304:IBM64393 HRQ64304:HRQ64393 HHU64304:HHU64393 GXY64304:GXY64393 GOC64304:GOC64393 GEG64304:GEG64393 FUK64304:FUK64393 FKO64304:FKO64393 FAS64304:FAS64393 EQW64304:EQW64393 EHA64304:EHA64393 DXE64304:DXE64393 DNI64304:DNI64393 DDM64304:DDM64393 CTQ64304:CTQ64393 CJU64304:CJU64393 BZY64304:BZY64393 BQC64304:BQC64393 BGG64304:BGG64393 AWK64304:AWK64393 AMO64304:AMO64393 ACS64304:ACS64393 SW64304:SW64393 JA64304:JA64393 E64315:E64404 JA2:JA76 SW2:SW76 ACS2:ACS76 AMO2:AMO76 AWK2:AWK76 BGG2:BGG76 BQC2:BQC76 BZY2:BZY76 CJU2:CJU76 CTQ2:CTQ76 DDM2:DDM76 DNI2:DNI76 DXE2:DXE76 EHA2:EHA76 EQW2:EQW76 FAS2:FAS76 FKO2:FKO76 FUK2:FUK76 GEG2:GEG76 GOC2:GOC76 GXY2:GXY76 HHU2:HHU76 HRQ2:HRQ76 IBM2:IBM76 ILI2:ILI76 IVE2:IVE76 JFA2:JFA76 JOW2:JOW76 JYS2:JYS76 KIO2:KIO76 KSK2:KSK76 LCG2:LCG76 LMC2:LMC76 LVY2:LVY76 MFU2:MFU76 MPQ2:MPQ76 MZM2:MZM76 NJI2:NJI76 NTE2:NTE76 ODA2:ODA76 OMW2:OMW76 OWS2:OWS76 PGO2:PGO76 PQK2:PQK76 QAG2:QAG76 QKC2:QKC76 QTY2:QTY76 RDU2:RDU76 RNQ2:RNQ76 RXM2:RXM76 SHI2:SHI76 SRE2:SRE76 TBA2:TBA76 TKW2:TKW76 TUS2:TUS76 UEO2:UEO76 UOK2:UOK76 UYG2:UYG76 VIC2:VIC76 VRY2:VRY76 WBU2:WBU76 WLQ2:WLQ76 WVM2:WVM76" xr:uid="{21F6B7EF-F760-4F1D-9A39-9E13C0A62DAA}">
      <formula1>$AG$2:$AG$13</formula1>
    </dataValidation>
    <dataValidation type="list" allowBlank="1" showInputMessage="1" showErrorMessage="1" sqref="WWF981808:WWF981891 WMJ981808:WMJ981891 WCN981808:WCN981891 VSR981808:VSR981891 VIV981808:VIV981891 UYZ981808:UYZ981891 UPD981808:UPD981891 UFH981808:UFH981891 TVL981808:TVL981891 TLP981808:TLP981891 TBT981808:TBT981891 SRX981808:SRX981891 SIB981808:SIB981891 RYF981808:RYF981891 ROJ981808:ROJ981891 REN981808:REN981891 QUR981808:QUR981891 QKV981808:QKV981891 QAZ981808:QAZ981891 PRD981808:PRD981891 PHH981808:PHH981891 OXL981808:OXL981891 ONP981808:ONP981891 ODT981808:ODT981891 NTX981808:NTX981891 NKB981808:NKB981891 NAF981808:NAF981891 MQJ981808:MQJ981891 MGN981808:MGN981891 LWR981808:LWR981891 LMV981808:LMV981891 LCZ981808:LCZ981891 KTD981808:KTD981891 KJH981808:KJH981891 JZL981808:JZL981891 JPP981808:JPP981891 JFT981808:JFT981891 IVX981808:IVX981891 IMB981808:IMB981891 ICF981808:ICF981891 HSJ981808:HSJ981891 HIN981808:HIN981891 GYR981808:GYR981891 GOV981808:GOV981891 GEZ981808:GEZ981891 FVD981808:FVD981891 FLH981808:FLH981891 FBL981808:FBL981891 ERP981808:ERP981891 EHT981808:EHT981891 DXX981808:DXX981891 DOB981808:DOB981891 DEF981808:DEF981891 CUJ981808:CUJ981891 CKN981808:CKN981891 CAR981808:CAR981891 BQV981808:BQV981891 BGZ981808:BGZ981891 AXD981808:AXD981891 ANH981808:ANH981891 ADL981808:ADL981891 TP981808:TP981891 JT981808:JT981891 X981808:X981891 WWF916272:WWF916355 WMJ916272:WMJ916355 WCN916272:WCN916355 VSR916272:VSR916355 VIV916272:VIV916355 UYZ916272:UYZ916355 UPD916272:UPD916355 UFH916272:UFH916355 TVL916272:TVL916355 TLP916272:TLP916355 TBT916272:TBT916355 SRX916272:SRX916355 SIB916272:SIB916355 RYF916272:RYF916355 ROJ916272:ROJ916355 REN916272:REN916355 QUR916272:QUR916355 QKV916272:QKV916355 QAZ916272:QAZ916355 PRD916272:PRD916355 PHH916272:PHH916355 OXL916272:OXL916355 ONP916272:ONP916355 ODT916272:ODT916355 NTX916272:NTX916355 NKB916272:NKB916355 NAF916272:NAF916355 MQJ916272:MQJ916355 MGN916272:MGN916355 LWR916272:LWR916355 LMV916272:LMV916355 LCZ916272:LCZ916355 KTD916272:KTD916355 KJH916272:KJH916355 JZL916272:JZL916355 JPP916272:JPP916355 JFT916272:JFT916355 IVX916272:IVX916355 IMB916272:IMB916355 ICF916272:ICF916355 HSJ916272:HSJ916355 HIN916272:HIN916355 GYR916272:GYR916355 GOV916272:GOV916355 GEZ916272:GEZ916355 FVD916272:FVD916355 FLH916272:FLH916355 FBL916272:FBL916355 ERP916272:ERP916355 EHT916272:EHT916355 DXX916272:DXX916355 DOB916272:DOB916355 DEF916272:DEF916355 CUJ916272:CUJ916355 CKN916272:CKN916355 CAR916272:CAR916355 BQV916272:BQV916355 BGZ916272:BGZ916355 AXD916272:AXD916355 ANH916272:ANH916355 ADL916272:ADL916355 TP916272:TP916355 JT916272:JT916355 X916272:X916355 WWF850736:WWF850819 WMJ850736:WMJ850819 WCN850736:WCN850819 VSR850736:VSR850819 VIV850736:VIV850819 UYZ850736:UYZ850819 UPD850736:UPD850819 UFH850736:UFH850819 TVL850736:TVL850819 TLP850736:TLP850819 TBT850736:TBT850819 SRX850736:SRX850819 SIB850736:SIB850819 RYF850736:RYF850819 ROJ850736:ROJ850819 REN850736:REN850819 QUR850736:QUR850819 QKV850736:QKV850819 QAZ850736:QAZ850819 PRD850736:PRD850819 PHH850736:PHH850819 OXL850736:OXL850819 ONP850736:ONP850819 ODT850736:ODT850819 NTX850736:NTX850819 NKB850736:NKB850819 NAF850736:NAF850819 MQJ850736:MQJ850819 MGN850736:MGN850819 LWR850736:LWR850819 LMV850736:LMV850819 LCZ850736:LCZ850819 KTD850736:KTD850819 KJH850736:KJH850819 JZL850736:JZL850819 JPP850736:JPP850819 JFT850736:JFT850819 IVX850736:IVX850819 IMB850736:IMB850819 ICF850736:ICF850819 HSJ850736:HSJ850819 HIN850736:HIN850819 GYR850736:GYR850819 GOV850736:GOV850819 GEZ850736:GEZ850819 FVD850736:FVD850819 FLH850736:FLH850819 FBL850736:FBL850819 ERP850736:ERP850819 EHT850736:EHT850819 DXX850736:DXX850819 DOB850736:DOB850819 DEF850736:DEF850819 CUJ850736:CUJ850819 CKN850736:CKN850819 CAR850736:CAR850819 BQV850736:BQV850819 BGZ850736:BGZ850819 AXD850736:AXD850819 ANH850736:ANH850819 ADL850736:ADL850819 TP850736:TP850819 JT850736:JT850819 X850736:X850819 WWF785200:WWF785283 WMJ785200:WMJ785283 WCN785200:WCN785283 VSR785200:VSR785283 VIV785200:VIV785283 UYZ785200:UYZ785283 UPD785200:UPD785283 UFH785200:UFH785283 TVL785200:TVL785283 TLP785200:TLP785283 TBT785200:TBT785283 SRX785200:SRX785283 SIB785200:SIB785283 RYF785200:RYF785283 ROJ785200:ROJ785283 REN785200:REN785283 QUR785200:QUR785283 QKV785200:QKV785283 QAZ785200:QAZ785283 PRD785200:PRD785283 PHH785200:PHH785283 OXL785200:OXL785283 ONP785200:ONP785283 ODT785200:ODT785283 NTX785200:NTX785283 NKB785200:NKB785283 NAF785200:NAF785283 MQJ785200:MQJ785283 MGN785200:MGN785283 LWR785200:LWR785283 LMV785200:LMV785283 LCZ785200:LCZ785283 KTD785200:KTD785283 KJH785200:KJH785283 JZL785200:JZL785283 JPP785200:JPP785283 JFT785200:JFT785283 IVX785200:IVX785283 IMB785200:IMB785283 ICF785200:ICF785283 HSJ785200:HSJ785283 HIN785200:HIN785283 GYR785200:GYR785283 GOV785200:GOV785283 GEZ785200:GEZ785283 FVD785200:FVD785283 FLH785200:FLH785283 FBL785200:FBL785283 ERP785200:ERP785283 EHT785200:EHT785283 DXX785200:DXX785283 DOB785200:DOB785283 DEF785200:DEF785283 CUJ785200:CUJ785283 CKN785200:CKN785283 CAR785200:CAR785283 BQV785200:BQV785283 BGZ785200:BGZ785283 AXD785200:AXD785283 ANH785200:ANH785283 ADL785200:ADL785283 TP785200:TP785283 JT785200:JT785283 X785200:X785283 WWF719664:WWF719747 WMJ719664:WMJ719747 WCN719664:WCN719747 VSR719664:VSR719747 VIV719664:VIV719747 UYZ719664:UYZ719747 UPD719664:UPD719747 UFH719664:UFH719747 TVL719664:TVL719747 TLP719664:TLP719747 TBT719664:TBT719747 SRX719664:SRX719747 SIB719664:SIB719747 RYF719664:RYF719747 ROJ719664:ROJ719747 REN719664:REN719747 QUR719664:QUR719747 QKV719664:QKV719747 QAZ719664:QAZ719747 PRD719664:PRD719747 PHH719664:PHH719747 OXL719664:OXL719747 ONP719664:ONP719747 ODT719664:ODT719747 NTX719664:NTX719747 NKB719664:NKB719747 NAF719664:NAF719747 MQJ719664:MQJ719747 MGN719664:MGN719747 LWR719664:LWR719747 LMV719664:LMV719747 LCZ719664:LCZ719747 KTD719664:KTD719747 KJH719664:KJH719747 JZL719664:JZL719747 JPP719664:JPP719747 JFT719664:JFT719747 IVX719664:IVX719747 IMB719664:IMB719747 ICF719664:ICF719747 HSJ719664:HSJ719747 HIN719664:HIN719747 GYR719664:GYR719747 GOV719664:GOV719747 GEZ719664:GEZ719747 FVD719664:FVD719747 FLH719664:FLH719747 FBL719664:FBL719747 ERP719664:ERP719747 EHT719664:EHT719747 DXX719664:DXX719747 DOB719664:DOB719747 DEF719664:DEF719747 CUJ719664:CUJ719747 CKN719664:CKN719747 CAR719664:CAR719747 BQV719664:BQV719747 BGZ719664:BGZ719747 AXD719664:AXD719747 ANH719664:ANH719747 ADL719664:ADL719747 TP719664:TP719747 JT719664:JT719747 X719664:X719747 WWF654128:WWF654211 WMJ654128:WMJ654211 WCN654128:WCN654211 VSR654128:VSR654211 VIV654128:VIV654211 UYZ654128:UYZ654211 UPD654128:UPD654211 UFH654128:UFH654211 TVL654128:TVL654211 TLP654128:TLP654211 TBT654128:TBT654211 SRX654128:SRX654211 SIB654128:SIB654211 RYF654128:RYF654211 ROJ654128:ROJ654211 REN654128:REN654211 QUR654128:QUR654211 QKV654128:QKV654211 QAZ654128:QAZ654211 PRD654128:PRD654211 PHH654128:PHH654211 OXL654128:OXL654211 ONP654128:ONP654211 ODT654128:ODT654211 NTX654128:NTX654211 NKB654128:NKB654211 NAF654128:NAF654211 MQJ654128:MQJ654211 MGN654128:MGN654211 LWR654128:LWR654211 LMV654128:LMV654211 LCZ654128:LCZ654211 KTD654128:KTD654211 KJH654128:KJH654211 JZL654128:JZL654211 JPP654128:JPP654211 JFT654128:JFT654211 IVX654128:IVX654211 IMB654128:IMB654211 ICF654128:ICF654211 HSJ654128:HSJ654211 HIN654128:HIN654211 GYR654128:GYR654211 GOV654128:GOV654211 GEZ654128:GEZ654211 FVD654128:FVD654211 FLH654128:FLH654211 FBL654128:FBL654211 ERP654128:ERP654211 EHT654128:EHT654211 DXX654128:DXX654211 DOB654128:DOB654211 DEF654128:DEF654211 CUJ654128:CUJ654211 CKN654128:CKN654211 CAR654128:CAR654211 BQV654128:BQV654211 BGZ654128:BGZ654211 AXD654128:AXD654211 ANH654128:ANH654211 ADL654128:ADL654211 TP654128:TP654211 JT654128:JT654211 X654128:X654211 WWF588592:WWF588675 WMJ588592:WMJ588675 WCN588592:WCN588675 VSR588592:VSR588675 VIV588592:VIV588675 UYZ588592:UYZ588675 UPD588592:UPD588675 UFH588592:UFH588675 TVL588592:TVL588675 TLP588592:TLP588675 TBT588592:TBT588675 SRX588592:SRX588675 SIB588592:SIB588675 RYF588592:RYF588675 ROJ588592:ROJ588675 REN588592:REN588675 QUR588592:QUR588675 QKV588592:QKV588675 QAZ588592:QAZ588675 PRD588592:PRD588675 PHH588592:PHH588675 OXL588592:OXL588675 ONP588592:ONP588675 ODT588592:ODT588675 NTX588592:NTX588675 NKB588592:NKB588675 NAF588592:NAF588675 MQJ588592:MQJ588675 MGN588592:MGN588675 LWR588592:LWR588675 LMV588592:LMV588675 LCZ588592:LCZ588675 KTD588592:KTD588675 KJH588592:KJH588675 JZL588592:JZL588675 JPP588592:JPP588675 JFT588592:JFT588675 IVX588592:IVX588675 IMB588592:IMB588675 ICF588592:ICF588675 HSJ588592:HSJ588675 HIN588592:HIN588675 GYR588592:GYR588675 GOV588592:GOV588675 GEZ588592:GEZ588675 FVD588592:FVD588675 FLH588592:FLH588675 FBL588592:FBL588675 ERP588592:ERP588675 EHT588592:EHT588675 DXX588592:DXX588675 DOB588592:DOB588675 DEF588592:DEF588675 CUJ588592:CUJ588675 CKN588592:CKN588675 CAR588592:CAR588675 BQV588592:BQV588675 BGZ588592:BGZ588675 AXD588592:AXD588675 ANH588592:ANH588675 ADL588592:ADL588675 TP588592:TP588675 JT588592:JT588675 X588592:X588675 WWF523056:WWF523139 WMJ523056:WMJ523139 WCN523056:WCN523139 VSR523056:VSR523139 VIV523056:VIV523139 UYZ523056:UYZ523139 UPD523056:UPD523139 UFH523056:UFH523139 TVL523056:TVL523139 TLP523056:TLP523139 TBT523056:TBT523139 SRX523056:SRX523139 SIB523056:SIB523139 RYF523056:RYF523139 ROJ523056:ROJ523139 REN523056:REN523139 QUR523056:QUR523139 QKV523056:QKV523139 QAZ523056:QAZ523139 PRD523056:PRD523139 PHH523056:PHH523139 OXL523056:OXL523139 ONP523056:ONP523139 ODT523056:ODT523139 NTX523056:NTX523139 NKB523056:NKB523139 NAF523056:NAF523139 MQJ523056:MQJ523139 MGN523056:MGN523139 LWR523056:LWR523139 LMV523056:LMV523139 LCZ523056:LCZ523139 KTD523056:KTD523139 KJH523056:KJH523139 JZL523056:JZL523139 JPP523056:JPP523139 JFT523056:JFT523139 IVX523056:IVX523139 IMB523056:IMB523139 ICF523056:ICF523139 HSJ523056:HSJ523139 HIN523056:HIN523139 GYR523056:GYR523139 GOV523056:GOV523139 GEZ523056:GEZ523139 FVD523056:FVD523139 FLH523056:FLH523139 FBL523056:FBL523139 ERP523056:ERP523139 EHT523056:EHT523139 DXX523056:DXX523139 DOB523056:DOB523139 DEF523056:DEF523139 CUJ523056:CUJ523139 CKN523056:CKN523139 CAR523056:CAR523139 BQV523056:BQV523139 BGZ523056:BGZ523139 AXD523056:AXD523139 ANH523056:ANH523139 ADL523056:ADL523139 TP523056:TP523139 JT523056:JT523139 X523056:X523139 WWF457520:WWF457603 WMJ457520:WMJ457603 WCN457520:WCN457603 VSR457520:VSR457603 VIV457520:VIV457603 UYZ457520:UYZ457603 UPD457520:UPD457603 UFH457520:UFH457603 TVL457520:TVL457603 TLP457520:TLP457603 TBT457520:TBT457603 SRX457520:SRX457603 SIB457520:SIB457603 RYF457520:RYF457603 ROJ457520:ROJ457603 REN457520:REN457603 QUR457520:QUR457603 QKV457520:QKV457603 QAZ457520:QAZ457603 PRD457520:PRD457603 PHH457520:PHH457603 OXL457520:OXL457603 ONP457520:ONP457603 ODT457520:ODT457603 NTX457520:NTX457603 NKB457520:NKB457603 NAF457520:NAF457603 MQJ457520:MQJ457603 MGN457520:MGN457603 LWR457520:LWR457603 LMV457520:LMV457603 LCZ457520:LCZ457603 KTD457520:KTD457603 KJH457520:KJH457603 JZL457520:JZL457603 JPP457520:JPP457603 JFT457520:JFT457603 IVX457520:IVX457603 IMB457520:IMB457603 ICF457520:ICF457603 HSJ457520:HSJ457603 HIN457520:HIN457603 GYR457520:GYR457603 GOV457520:GOV457603 GEZ457520:GEZ457603 FVD457520:FVD457603 FLH457520:FLH457603 FBL457520:FBL457603 ERP457520:ERP457603 EHT457520:EHT457603 DXX457520:DXX457603 DOB457520:DOB457603 DEF457520:DEF457603 CUJ457520:CUJ457603 CKN457520:CKN457603 CAR457520:CAR457603 BQV457520:BQV457603 BGZ457520:BGZ457603 AXD457520:AXD457603 ANH457520:ANH457603 ADL457520:ADL457603 TP457520:TP457603 JT457520:JT457603 X457520:X457603 WWF391984:WWF392067 WMJ391984:WMJ392067 WCN391984:WCN392067 VSR391984:VSR392067 VIV391984:VIV392067 UYZ391984:UYZ392067 UPD391984:UPD392067 UFH391984:UFH392067 TVL391984:TVL392067 TLP391984:TLP392067 TBT391984:TBT392067 SRX391984:SRX392067 SIB391984:SIB392067 RYF391984:RYF392067 ROJ391984:ROJ392067 REN391984:REN392067 QUR391984:QUR392067 QKV391984:QKV392067 QAZ391984:QAZ392067 PRD391984:PRD392067 PHH391984:PHH392067 OXL391984:OXL392067 ONP391984:ONP392067 ODT391984:ODT392067 NTX391984:NTX392067 NKB391984:NKB392067 NAF391984:NAF392067 MQJ391984:MQJ392067 MGN391984:MGN392067 LWR391984:LWR392067 LMV391984:LMV392067 LCZ391984:LCZ392067 KTD391984:KTD392067 KJH391984:KJH392067 JZL391984:JZL392067 JPP391984:JPP392067 JFT391984:JFT392067 IVX391984:IVX392067 IMB391984:IMB392067 ICF391984:ICF392067 HSJ391984:HSJ392067 HIN391984:HIN392067 GYR391984:GYR392067 GOV391984:GOV392067 GEZ391984:GEZ392067 FVD391984:FVD392067 FLH391984:FLH392067 FBL391984:FBL392067 ERP391984:ERP392067 EHT391984:EHT392067 DXX391984:DXX392067 DOB391984:DOB392067 DEF391984:DEF392067 CUJ391984:CUJ392067 CKN391984:CKN392067 CAR391984:CAR392067 BQV391984:BQV392067 BGZ391984:BGZ392067 AXD391984:AXD392067 ANH391984:ANH392067 ADL391984:ADL392067 TP391984:TP392067 JT391984:JT392067 X391984:X392067 WWF326448:WWF326531 WMJ326448:WMJ326531 WCN326448:WCN326531 VSR326448:VSR326531 VIV326448:VIV326531 UYZ326448:UYZ326531 UPD326448:UPD326531 UFH326448:UFH326531 TVL326448:TVL326531 TLP326448:TLP326531 TBT326448:TBT326531 SRX326448:SRX326531 SIB326448:SIB326531 RYF326448:RYF326531 ROJ326448:ROJ326531 REN326448:REN326531 QUR326448:QUR326531 QKV326448:QKV326531 QAZ326448:QAZ326531 PRD326448:PRD326531 PHH326448:PHH326531 OXL326448:OXL326531 ONP326448:ONP326531 ODT326448:ODT326531 NTX326448:NTX326531 NKB326448:NKB326531 NAF326448:NAF326531 MQJ326448:MQJ326531 MGN326448:MGN326531 LWR326448:LWR326531 LMV326448:LMV326531 LCZ326448:LCZ326531 KTD326448:KTD326531 KJH326448:KJH326531 JZL326448:JZL326531 JPP326448:JPP326531 JFT326448:JFT326531 IVX326448:IVX326531 IMB326448:IMB326531 ICF326448:ICF326531 HSJ326448:HSJ326531 HIN326448:HIN326531 GYR326448:GYR326531 GOV326448:GOV326531 GEZ326448:GEZ326531 FVD326448:FVD326531 FLH326448:FLH326531 FBL326448:FBL326531 ERP326448:ERP326531 EHT326448:EHT326531 DXX326448:DXX326531 DOB326448:DOB326531 DEF326448:DEF326531 CUJ326448:CUJ326531 CKN326448:CKN326531 CAR326448:CAR326531 BQV326448:BQV326531 BGZ326448:BGZ326531 AXD326448:AXD326531 ANH326448:ANH326531 ADL326448:ADL326531 TP326448:TP326531 JT326448:JT326531 X326448:X326531 WWF260912:WWF260995 WMJ260912:WMJ260995 WCN260912:WCN260995 VSR260912:VSR260995 VIV260912:VIV260995 UYZ260912:UYZ260995 UPD260912:UPD260995 UFH260912:UFH260995 TVL260912:TVL260995 TLP260912:TLP260995 TBT260912:TBT260995 SRX260912:SRX260995 SIB260912:SIB260995 RYF260912:RYF260995 ROJ260912:ROJ260995 REN260912:REN260995 QUR260912:QUR260995 QKV260912:QKV260995 QAZ260912:QAZ260995 PRD260912:PRD260995 PHH260912:PHH260995 OXL260912:OXL260995 ONP260912:ONP260995 ODT260912:ODT260995 NTX260912:NTX260995 NKB260912:NKB260995 NAF260912:NAF260995 MQJ260912:MQJ260995 MGN260912:MGN260995 LWR260912:LWR260995 LMV260912:LMV260995 LCZ260912:LCZ260995 KTD260912:KTD260995 KJH260912:KJH260995 JZL260912:JZL260995 JPP260912:JPP260995 JFT260912:JFT260995 IVX260912:IVX260995 IMB260912:IMB260995 ICF260912:ICF260995 HSJ260912:HSJ260995 HIN260912:HIN260995 GYR260912:GYR260995 GOV260912:GOV260995 GEZ260912:GEZ260995 FVD260912:FVD260995 FLH260912:FLH260995 FBL260912:FBL260995 ERP260912:ERP260995 EHT260912:EHT260995 DXX260912:DXX260995 DOB260912:DOB260995 DEF260912:DEF260995 CUJ260912:CUJ260995 CKN260912:CKN260995 CAR260912:CAR260995 BQV260912:BQV260995 BGZ260912:BGZ260995 AXD260912:AXD260995 ANH260912:ANH260995 ADL260912:ADL260995 TP260912:TP260995 JT260912:JT260995 X260912:X260995 WWF195376:WWF195459 WMJ195376:WMJ195459 WCN195376:WCN195459 VSR195376:VSR195459 VIV195376:VIV195459 UYZ195376:UYZ195459 UPD195376:UPD195459 UFH195376:UFH195459 TVL195376:TVL195459 TLP195376:TLP195459 TBT195376:TBT195459 SRX195376:SRX195459 SIB195376:SIB195459 RYF195376:RYF195459 ROJ195376:ROJ195459 REN195376:REN195459 QUR195376:QUR195459 QKV195376:QKV195459 QAZ195376:QAZ195459 PRD195376:PRD195459 PHH195376:PHH195459 OXL195376:OXL195459 ONP195376:ONP195459 ODT195376:ODT195459 NTX195376:NTX195459 NKB195376:NKB195459 NAF195376:NAF195459 MQJ195376:MQJ195459 MGN195376:MGN195459 LWR195376:LWR195459 LMV195376:LMV195459 LCZ195376:LCZ195459 KTD195376:KTD195459 KJH195376:KJH195459 JZL195376:JZL195459 JPP195376:JPP195459 JFT195376:JFT195459 IVX195376:IVX195459 IMB195376:IMB195459 ICF195376:ICF195459 HSJ195376:HSJ195459 HIN195376:HIN195459 GYR195376:GYR195459 GOV195376:GOV195459 GEZ195376:GEZ195459 FVD195376:FVD195459 FLH195376:FLH195459 FBL195376:FBL195459 ERP195376:ERP195459 EHT195376:EHT195459 DXX195376:DXX195459 DOB195376:DOB195459 DEF195376:DEF195459 CUJ195376:CUJ195459 CKN195376:CKN195459 CAR195376:CAR195459 BQV195376:BQV195459 BGZ195376:BGZ195459 AXD195376:AXD195459 ANH195376:ANH195459 ADL195376:ADL195459 TP195376:TP195459 JT195376:JT195459 X195376:X195459 WWF129840:WWF129923 WMJ129840:WMJ129923 WCN129840:WCN129923 VSR129840:VSR129923 VIV129840:VIV129923 UYZ129840:UYZ129923 UPD129840:UPD129923 UFH129840:UFH129923 TVL129840:TVL129923 TLP129840:TLP129923 TBT129840:TBT129923 SRX129840:SRX129923 SIB129840:SIB129923 RYF129840:RYF129923 ROJ129840:ROJ129923 REN129840:REN129923 QUR129840:QUR129923 QKV129840:QKV129923 QAZ129840:QAZ129923 PRD129840:PRD129923 PHH129840:PHH129923 OXL129840:OXL129923 ONP129840:ONP129923 ODT129840:ODT129923 NTX129840:NTX129923 NKB129840:NKB129923 NAF129840:NAF129923 MQJ129840:MQJ129923 MGN129840:MGN129923 LWR129840:LWR129923 LMV129840:LMV129923 LCZ129840:LCZ129923 KTD129840:KTD129923 KJH129840:KJH129923 JZL129840:JZL129923 JPP129840:JPP129923 JFT129840:JFT129923 IVX129840:IVX129923 IMB129840:IMB129923 ICF129840:ICF129923 HSJ129840:HSJ129923 HIN129840:HIN129923 GYR129840:GYR129923 GOV129840:GOV129923 GEZ129840:GEZ129923 FVD129840:FVD129923 FLH129840:FLH129923 FBL129840:FBL129923 ERP129840:ERP129923 EHT129840:EHT129923 DXX129840:DXX129923 DOB129840:DOB129923 DEF129840:DEF129923 CUJ129840:CUJ129923 CKN129840:CKN129923 CAR129840:CAR129923 BQV129840:BQV129923 BGZ129840:BGZ129923 AXD129840:AXD129923 ANH129840:ANH129923 ADL129840:ADL129923 TP129840:TP129923 JT129840:JT129923 X129840:X129923 WWF64304:WWF64387 WMJ64304:WMJ64387 WCN64304:WCN64387 VSR64304:VSR64387 VIV64304:VIV64387 UYZ64304:UYZ64387 UPD64304:UPD64387 UFH64304:UFH64387 TVL64304:TVL64387 TLP64304:TLP64387 TBT64304:TBT64387 SRX64304:SRX64387 SIB64304:SIB64387 RYF64304:RYF64387 ROJ64304:ROJ64387 REN64304:REN64387 QUR64304:QUR64387 QKV64304:QKV64387 QAZ64304:QAZ64387 PRD64304:PRD64387 PHH64304:PHH64387 OXL64304:OXL64387 ONP64304:ONP64387 ODT64304:ODT64387 NTX64304:NTX64387 NKB64304:NKB64387 NAF64304:NAF64387 MQJ64304:MQJ64387 MGN64304:MGN64387 LWR64304:LWR64387 LMV64304:LMV64387 LCZ64304:LCZ64387 KTD64304:KTD64387 KJH64304:KJH64387 JZL64304:JZL64387 JPP64304:JPP64387 JFT64304:JFT64387 IVX64304:IVX64387 IMB64304:IMB64387 ICF64304:ICF64387 HSJ64304:HSJ64387 HIN64304:HIN64387 GYR64304:GYR64387 GOV64304:GOV64387 GEZ64304:GEZ64387 FVD64304:FVD64387 FLH64304:FLH64387 FBL64304:FBL64387 ERP64304:ERP64387 EHT64304:EHT64387 DXX64304:DXX64387 DOB64304:DOB64387 DEF64304:DEF64387 CUJ64304:CUJ64387 CKN64304:CKN64387 CAR64304:CAR64387 BQV64304:BQV64387 BGZ64304:BGZ64387 AXD64304:AXD64387 ANH64304:ANH64387 ADL64304:ADL64387 TP64304:TP64387 JT64304:JT64387 X64304:X64387 X99:X503 X2:X97 TP2:TP76 ADL2:ADL76 ANH2:ANH76 AXD2:AXD76 BGZ2:BGZ76 BQV2:BQV76 CAR2:CAR76 CKN2:CKN76 CUJ2:CUJ76 DEF2:DEF76 DOB2:DOB76 DXX2:DXX76 EHT2:EHT76 ERP2:ERP76 FBL2:FBL76 FLH2:FLH76 FVD2:FVD76 GEZ2:GEZ76 GOV2:GOV76 GYR2:GYR76 HIN2:HIN76 HSJ2:HSJ76 ICF2:ICF76 IMB2:IMB76 IVX2:IVX76 JFT2:JFT76 JPP2:JPP76 JZL2:JZL76 KJH2:KJH76 KTD2:KTD76 LCZ2:LCZ76 LMV2:LMV76 LWR2:LWR76 MGN2:MGN76 MQJ2:MQJ76 NAF2:NAF76 NKB2:NKB76 NTX2:NTX76 ODT2:ODT76 ONP2:ONP76 OXL2:OXL76 PHH2:PHH76 PRD2:PRD76 QAZ2:QAZ76 QKV2:QKV76 QUR2:QUR76 REN2:REN76 ROJ2:ROJ76 RYF2:RYF76 SIB2:SIB76 SRX2:SRX76 TBT2:TBT76 TLP2:TLP76 TVL2:TVL76 UFH2:UFH76 UPD2:UPD76 UYZ2:UYZ76 VIV2:VIV76 VSR2:VSR76 WCN2:WCN76 WMJ2:WMJ76 WWF2:WWF76 JT2:JT76" xr:uid="{56868133-139C-442D-87B0-CA21897C56C4}">
      <formula1>$AT$2:$AT$3</formula1>
    </dataValidation>
    <dataValidation operator="equal" allowBlank="1" showInputMessage="1" showErrorMessage="1" sqref="WVJ981808:WVJ981897 WLN981808:WLN981897 WBR981808:WBR981897 VRV981808:VRV981897 VHZ981808:VHZ981897 UYD981808:UYD981897 UOH981808:UOH981897 UEL981808:UEL981897 TUP981808:TUP981897 TKT981808:TKT981897 TAX981808:TAX981897 SRB981808:SRB981897 SHF981808:SHF981897 RXJ981808:RXJ981897 RNN981808:RNN981897 RDR981808:RDR981897 QTV981808:QTV981897 QJZ981808:QJZ981897 QAD981808:QAD981897 PQH981808:PQH981897 PGL981808:PGL981897 OWP981808:OWP981897 OMT981808:OMT981897 OCX981808:OCX981897 NTB981808:NTB981897 NJF981808:NJF981897 MZJ981808:MZJ981897 MPN981808:MPN981897 MFR981808:MFR981897 LVV981808:LVV981897 LLZ981808:LLZ981897 LCD981808:LCD981897 KSH981808:KSH981897 KIL981808:KIL981897 JYP981808:JYP981897 JOT981808:JOT981897 JEX981808:JEX981897 IVB981808:IVB981897 ILF981808:ILF981897 IBJ981808:IBJ981897 HRN981808:HRN981897 HHR981808:HHR981897 GXV981808:GXV981897 GNZ981808:GNZ981897 GED981808:GED981897 FUH981808:FUH981897 FKL981808:FKL981897 FAP981808:FAP981897 EQT981808:EQT981897 EGX981808:EGX981897 DXB981808:DXB981897 DNF981808:DNF981897 DDJ981808:DDJ981897 CTN981808:CTN981897 CJR981808:CJR981897 BZV981808:BZV981897 BPZ981808:BPZ981897 BGD981808:BGD981897 AWH981808:AWH981897 AML981808:AML981897 ACP981808:ACP981897 ST981808:ST981897 IX981808:IX981897 B981814:B981903 WVJ916272:WVJ916361 WLN916272:WLN916361 WBR916272:WBR916361 VRV916272:VRV916361 VHZ916272:VHZ916361 UYD916272:UYD916361 UOH916272:UOH916361 UEL916272:UEL916361 TUP916272:TUP916361 TKT916272:TKT916361 TAX916272:TAX916361 SRB916272:SRB916361 SHF916272:SHF916361 RXJ916272:RXJ916361 RNN916272:RNN916361 RDR916272:RDR916361 QTV916272:QTV916361 QJZ916272:QJZ916361 QAD916272:QAD916361 PQH916272:PQH916361 PGL916272:PGL916361 OWP916272:OWP916361 OMT916272:OMT916361 OCX916272:OCX916361 NTB916272:NTB916361 NJF916272:NJF916361 MZJ916272:MZJ916361 MPN916272:MPN916361 MFR916272:MFR916361 LVV916272:LVV916361 LLZ916272:LLZ916361 LCD916272:LCD916361 KSH916272:KSH916361 KIL916272:KIL916361 JYP916272:JYP916361 JOT916272:JOT916361 JEX916272:JEX916361 IVB916272:IVB916361 ILF916272:ILF916361 IBJ916272:IBJ916361 HRN916272:HRN916361 HHR916272:HHR916361 GXV916272:GXV916361 GNZ916272:GNZ916361 GED916272:GED916361 FUH916272:FUH916361 FKL916272:FKL916361 FAP916272:FAP916361 EQT916272:EQT916361 EGX916272:EGX916361 DXB916272:DXB916361 DNF916272:DNF916361 DDJ916272:DDJ916361 CTN916272:CTN916361 CJR916272:CJR916361 BZV916272:BZV916361 BPZ916272:BPZ916361 BGD916272:BGD916361 AWH916272:AWH916361 AML916272:AML916361 ACP916272:ACP916361 ST916272:ST916361 IX916272:IX916361 B916278:B916367 WVJ850736:WVJ850825 WLN850736:WLN850825 WBR850736:WBR850825 VRV850736:VRV850825 VHZ850736:VHZ850825 UYD850736:UYD850825 UOH850736:UOH850825 UEL850736:UEL850825 TUP850736:TUP850825 TKT850736:TKT850825 TAX850736:TAX850825 SRB850736:SRB850825 SHF850736:SHF850825 RXJ850736:RXJ850825 RNN850736:RNN850825 RDR850736:RDR850825 QTV850736:QTV850825 QJZ850736:QJZ850825 QAD850736:QAD850825 PQH850736:PQH850825 PGL850736:PGL850825 OWP850736:OWP850825 OMT850736:OMT850825 OCX850736:OCX850825 NTB850736:NTB850825 NJF850736:NJF850825 MZJ850736:MZJ850825 MPN850736:MPN850825 MFR850736:MFR850825 LVV850736:LVV850825 LLZ850736:LLZ850825 LCD850736:LCD850825 KSH850736:KSH850825 KIL850736:KIL850825 JYP850736:JYP850825 JOT850736:JOT850825 JEX850736:JEX850825 IVB850736:IVB850825 ILF850736:ILF850825 IBJ850736:IBJ850825 HRN850736:HRN850825 HHR850736:HHR850825 GXV850736:GXV850825 GNZ850736:GNZ850825 GED850736:GED850825 FUH850736:FUH850825 FKL850736:FKL850825 FAP850736:FAP850825 EQT850736:EQT850825 EGX850736:EGX850825 DXB850736:DXB850825 DNF850736:DNF850825 DDJ850736:DDJ850825 CTN850736:CTN850825 CJR850736:CJR850825 BZV850736:BZV850825 BPZ850736:BPZ850825 BGD850736:BGD850825 AWH850736:AWH850825 AML850736:AML850825 ACP850736:ACP850825 ST850736:ST850825 IX850736:IX850825 B850742:B850831 WVJ785200:WVJ785289 WLN785200:WLN785289 WBR785200:WBR785289 VRV785200:VRV785289 VHZ785200:VHZ785289 UYD785200:UYD785289 UOH785200:UOH785289 UEL785200:UEL785289 TUP785200:TUP785289 TKT785200:TKT785289 TAX785200:TAX785289 SRB785200:SRB785289 SHF785200:SHF785289 RXJ785200:RXJ785289 RNN785200:RNN785289 RDR785200:RDR785289 QTV785200:QTV785289 QJZ785200:QJZ785289 QAD785200:QAD785289 PQH785200:PQH785289 PGL785200:PGL785289 OWP785200:OWP785289 OMT785200:OMT785289 OCX785200:OCX785289 NTB785200:NTB785289 NJF785200:NJF785289 MZJ785200:MZJ785289 MPN785200:MPN785289 MFR785200:MFR785289 LVV785200:LVV785289 LLZ785200:LLZ785289 LCD785200:LCD785289 KSH785200:KSH785289 KIL785200:KIL785289 JYP785200:JYP785289 JOT785200:JOT785289 JEX785200:JEX785289 IVB785200:IVB785289 ILF785200:ILF785289 IBJ785200:IBJ785289 HRN785200:HRN785289 HHR785200:HHR785289 GXV785200:GXV785289 GNZ785200:GNZ785289 GED785200:GED785289 FUH785200:FUH785289 FKL785200:FKL785289 FAP785200:FAP785289 EQT785200:EQT785289 EGX785200:EGX785289 DXB785200:DXB785289 DNF785200:DNF785289 DDJ785200:DDJ785289 CTN785200:CTN785289 CJR785200:CJR785289 BZV785200:BZV785289 BPZ785200:BPZ785289 BGD785200:BGD785289 AWH785200:AWH785289 AML785200:AML785289 ACP785200:ACP785289 ST785200:ST785289 IX785200:IX785289 B785206:B785295 WVJ719664:WVJ719753 WLN719664:WLN719753 WBR719664:WBR719753 VRV719664:VRV719753 VHZ719664:VHZ719753 UYD719664:UYD719753 UOH719664:UOH719753 UEL719664:UEL719753 TUP719664:TUP719753 TKT719664:TKT719753 TAX719664:TAX719753 SRB719664:SRB719753 SHF719664:SHF719753 RXJ719664:RXJ719753 RNN719664:RNN719753 RDR719664:RDR719753 QTV719664:QTV719753 QJZ719664:QJZ719753 QAD719664:QAD719753 PQH719664:PQH719753 PGL719664:PGL719753 OWP719664:OWP719753 OMT719664:OMT719753 OCX719664:OCX719753 NTB719664:NTB719753 NJF719664:NJF719753 MZJ719664:MZJ719753 MPN719664:MPN719753 MFR719664:MFR719753 LVV719664:LVV719753 LLZ719664:LLZ719753 LCD719664:LCD719753 KSH719664:KSH719753 KIL719664:KIL719753 JYP719664:JYP719753 JOT719664:JOT719753 JEX719664:JEX719753 IVB719664:IVB719753 ILF719664:ILF719753 IBJ719664:IBJ719753 HRN719664:HRN719753 HHR719664:HHR719753 GXV719664:GXV719753 GNZ719664:GNZ719753 GED719664:GED719753 FUH719664:FUH719753 FKL719664:FKL719753 FAP719664:FAP719753 EQT719664:EQT719753 EGX719664:EGX719753 DXB719664:DXB719753 DNF719664:DNF719753 DDJ719664:DDJ719753 CTN719664:CTN719753 CJR719664:CJR719753 BZV719664:BZV719753 BPZ719664:BPZ719753 BGD719664:BGD719753 AWH719664:AWH719753 AML719664:AML719753 ACP719664:ACP719753 ST719664:ST719753 IX719664:IX719753 B719670:B719759 WVJ654128:WVJ654217 WLN654128:WLN654217 WBR654128:WBR654217 VRV654128:VRV654217 VHZ654128:VHZ654217 UYD654128:UYD654217 UOH654128:UOH654217 UEL654128:UEL654217 TUP654128:TUP654217 TKT654128:TKT654217 TAX654128:TAX654217 SRB654128:SRB654217 SHF654128:SHF654217 RXJ654128:RXJ654217 RNN654128:RNN654217 RDR654128:RDR654217 QTV654128:QTV654217 QJZ654128:QJZ654217 QAD654128:QAD654217 PQH654128:PQH654217 PGL654128:PGL654217 OWP654128:OWP654217 OMT654128:OMT654217 OCX654128:OCX654217 NTB654128:NTB654217 NJF654128:NJF654217 MZJ654128:MZJ654217 MPN654128:MPN654217 MFR654128:MFR654217 LVV654128:LVV654217 LLZ654128:LLZ654217 LCD654128:LCD654217 KSH654128:KSH654217 KIL654128:KIL654217 JYP654128:JYP654217 JOT654128:JOT654217 JEX654128:JEX654217 IVB654128:IVB654217 ILF654128:ILF654217 IBJ654128:IBJ654217 HRN654128:HRN654217 HHR654128:HHR654217 GXV654128:GXV654217 GNZ654128:GNZ654217 GED654128:GED654217 FUH654128:FUH654217 FKL654128:FKL654217 FAP654128:FAP654217 EQT654128:EQT654217 EGX654128:EGX654217 DXB654128:DXB654217 DNF654128:DNF654217 DDJ654128:DDJ654217 CTN654128:CTN654217 CJR654128:CJR654217 BZV654128:BZV654217 BPZ654128:BPZ654217 BGD654128:BGD654217 AWH654128:AWH654217 AML654128:AML654217 ACP654128:ACP654217 ST654128:ST654217 IX654128:IX654217 B654134:B654223 WVJ588592:WVJ588681 WLN588592:WLN588681 WBR588592:WBR588681 VRV588592:VRV588681 VHZ588592:VHZ588681 UYD588592:UYD588681 UOH588592:UOH588681 UEL588592:UEL588681 TUP588592:TUP588681 TKT588592:TKT588681 TAX588592:TAX588681 SRB588592:SRB588681 SHF588592:SHF588681 RXJ588592:RXJ588681 RNN588592:RNN588681 RDR588592:RDR588681 QTV588592:QTV588681 QJZ588592:QJZ588681 QAD588592:QAD588681 PQH588592:PQH588681 PGL588592:PGL588681 OWP588592:OWP588681 OMT588592:OMT588681 OCX588592:OCX588681 NTB588592:NTB588681 NJF588592:NJF588681 MZJ588592:MZJ588681 MPN588592:MPN588681 MFR588592:MFR588681 LVV588592:LVV588681 LLZ588592:LLZ588681 LCD588592:LCD588681 KSH588592:KSH588681 KIL588592:KIL588681 JYP588592:JYP588681 JOT588592:JOT588681 JEX588592:JEX588681 IVB588592:IVB588681 ILF588592:ILF588681 IBJ588592:IBJ588681 HRN588592:HRN588681 HHR588592:HHR588681 GXV588592:GXV588681 GNZ588592:GNZ588681 GED588592:GED588681 FUH588592:FUH588681 FKL588592:FKL588681 FAP588592:FAP588681 EQT588592:EQT588681 EGX588592:EGX588681 DXB588592:DXB588681 DNF588592:DNF588681 DDJ588592:DDJ588681 CTN588592:CTN588681 CJR588592:CJR588681 BZV588592:BZV588681 BPZ588592:BPZ588681 BGD588592:BGD588681 AWH588592:AWH588681 AML588592:AML588681 ACP588592:ACP588681 ST588592:ST588681 IX588592:IX588681 B588598:B588687 WVJ523056:WVJ523145 WLN523056:WLN523145 WBR523056:WBR523145 VRV523056:VRV523145 VHZ523056:VHZ523145 UYD523056:UYD523145 UOH523056:UOH523145 UEL523056:UEL523145 TUP523056:TUP523145 TKT523056:TKT523145 TAX523056:TAX523145 SRB523056:SRB523145 SHF523056:SHF523145 RXJ523056:RXJ523145 RNN523056:RNN523145 RDR523056:RDR523145 QTV523056:QTV523145 QJZ523056:QJZ523145 QAD523056:QAD523145 PQH523056:PQH523145 PGL523056:PGL523145 OWP523056:OWP523145 OMT523056:OMT523145 OCX523056:OCX523145 NTB523056:NTB523145 NJF523056:NJF523145 MZJ523056:MZJ523145 MPN523056:MPN523145 MFR523056:MFR523145 LVV523056:LVV523145 LLZ523056:LLZ523145 LCD523056:LCD523145 KSH523056:KSH523145 KIL523056:KIL523145 JYP523056:JYP523145 JOT523056:JOT523145 JEX523056:JEX523145 IVB523056:IVB523145 ILF523056:ILF523145 IBJ523056:IBJ523145 HRN523056:HRN523145 HHR523056:HHR523145 GXV523056:GXV523145 GNZ523056:GNZ523145 GED523056:GED523145 FUH523056:FUH523145 FKL523056:FKL523145 FAP523056:FAP523145 EQT523056:EQT523145 EGX523056:EGX523145 DXB523056:DXB523145 DNF523056:DNF523145 DDJ523056:DDJ523145 CTN523056:CTN523145 CJR523056:CJR523145 BZV523056:BZV523145 BPZ523056:BPZ523145 BGD523056:BGD523145 AWH523056:AWH523145 AML523056:AML523145 ACP523056:ACP523145 ST523056:ST523145 IX523056:IX523145 B523062:B523151 WVJ457520:WVJ457609 WLN457520:WLN457609 WBR457520:WBR457609 VRV457520:VRV457609 VHZ457520:VHZ457609 UYD457520:UYD457609 UOH457520:UOH457609 UEL457520:UEL457609 TUP457520:TUP457609 TKT457520:TKT457609 TAX457520:TAX457609 SRB457520:SRB457609 SHF457520:SHF457609 RXJ457520:RXJ457609 RNN457520:RNN457609 RDR457520:RDR457609 QTV457520:QTV457609 QJZ457520:QJZ457609 QAD457520:QAD457609 PQH457520:PQH457609 PGL457520:PGL457609 OWP457520:OWP457609 OMT457520:OMT457609 OCX457520:OCX457609 NTB457520:NTB457609 NJF457520:NJF457609 MZJ457520:MZJ457609 MPN457520:MPN457609 MFR457520:MFR457609 LVV457520:LVV457609 LLZ457520:LLZ457609 LCD457520:LCD457609 KSH457520:KSH457609 KIL457520:KIL457609 JYP457520:JYP457609 JOT457520:JOT457609 JEX457520:JEX457609 IVB457520:IVB457609 ILF457520:ILF457609 IBJ457520:IBJ457609 HRN457520:HRN457609 HHR457520:HHR457609 GXV457520:GXV457609 GNZ457520:GNZ457609 GED457520:GED457609 FUH457520:FUH457609 FKL457520:FKL457609 FAP457520:FAP457609 EQT457520:EQT457609 EGX457520:EGX457609 DXB457520:DXB457609 DNF457520:DNF457609 DDJ457520:DDJ457609 CTN457520:CTN457609 CJR457520:CJR457609 BZV457520:BZV457609 BPZ457520:BPZ457609 BGD457520:BGD457609 AWH457520:AWH457609 AML457520:AML457609 ACP457520:ACP457609 ST457520:ST457609 IX457520:IX457609 B457526:B457615 WVJ391984:WVJ392073 WLN391984:WLN392073 WBR391984:WBR392073 VRV391984:VRV392073 VHZ391984:VHZ392073 UYD391984:UYD392073 UOH391984:UOH392073 UEL391984:UEL392073 TUP391984:TUP392073 TKT391984:TKT392073 TAX391984:TAX392073 SRB391984:SRB392073 SHF391984:SHF392073 RXJ391984:RXJ392073 RNN391984:RNN392073 RDR391984:RDR392073 QTV391984:QTV392073 QJZ391984:QJZ392073 QAD391984:QAD392073 PQH391984:PQH392073 PGL391984:PGL392073 OWP391984:OWP392073 OMT391984:OMT392073 OCX391984:OCX392073 NTB391984:NTB392073 NJF391984:NJF392073 MZJ391984:MZJ392073 MPN391984:MPN392073 MFR391984:MFR392073 LVV391984:LVV392073 LLZ391984:LLZ392073 LCD391984:LCD392073 KSH391984:KSH392073 KIL391984:KIL392073 JYP391984:JYP392073 JOT391984:JOT392073 JEX391984:JEX392073 IVB391984:IVB392073 ILF391984:ILF392073 IBJ391984:IBJ392073 HRN391984:HRN392073 HHR391984:HHR392073 GXV391984:GXV392073 GNZ391984:GNZ392073 GED391984:GED392073 FUH391984:FUH392073 FKL391984:FKL392073 FAP391984:FAP392073 EQT391984:EQT392073 EGX391984:EGX392073 DXB391984:DXB392073 DNF391984:DNF392073 DDJ391984:DDJ392073 CTN391984:CTN392073 CJR391984:CJR392073 BZV391984:BZV392073 BPZ391984:BPZ392073 BGD391984:BGD392073 AWH391984:AWH392073 AML391984:AML392073 ACP391984:ACP392073 ST391984:ST392073 IX391984:IX392073 B391990:B392079 WVJ326448:WVJ326537 WLN326448:WLN326537 WBR326448:WBR326537 VRV326448:VRV326537 VHZ326448:VHZ326537 UYD326448:UYD326537 UOH326448:UOH326537 UEL326448:UEL326537 TUP326448:TUP326537 TKT326448:TKT326537 TAX326448:TAX326537 SRB326448:SRB326537 SHF326448:SHF326537 RXJ326448:RXJ326537 RNN326448:RNN326537 RDR326448:RDR326537 QTV326448:QTV326537 QJZ326448:QJZ326537 QAD326448:QAD326537 PQH326448:PQH326537 PGL326448:PGL326537 OWP326448:OWP326537 OMT326448:OMT326537 OCX326448:OCX326537 NTB326448:NTB326537 NJF326448:NJF326537 MZJ326448:MZJ326537 MPN326448:MPN326537 MFR326448:MFR326537 LVV326448:LVV326537 LLZ326448:LLZ326537 LCD326448:LCD326537 KSH326448:KSH326537 KIL326448:KIL326537 JYP326448:JYP326537 JOT326448:JOT326537 JEX326448:JEX326537 IVB326448:IVB326537 ILF326448:ILF326537 IBJ326448:IBJ326537 HRN326448:HRN326537 HHR326448:HHR326537 GXV326448:GXV326537 GNZ326448:GNZ326537 GED326448:GED326537 FUH326448:FUH326537 FKL326448:FKL326537 FAP326448:FAP326537 EQT326448:EQT326537 EGX326448:EGX326537 DXB326448:DXB326537 DNF326448:DNF326537 DDJ326448:DDJ326537 CTN326448:CTN326537 CJR326448:CJR326537 BZV326448:BZV326537 BPZ326448:BPZ326537 BGD326448:BGD326537 AWH326448:AWH326537 AML326448:AML326537 ACP326448:ACP326537 ST326448:ST326537 IX326448:IX326537 B326454:B326543 WVJ260912:WVJ261001 WLN260912:WLN261001 WBR260912:WBR261001 VRV260912:VRV261001 VHZ260912:VHZ261001 UYD260912:UYD261001 UOH260912:UOH261001 UEL260912:UEL261001 TUP260912:TUP261001 TKT260912:TKT261001 TAX260912:TAX261001 SRB260912:SRB261001 SHF260912:SHF261001 RXJ260912:RXJ261001 RNN260912:RNN261001 RDR260912:RDR261001 QTV260912:QTV261001 QJZ260912:QJZ261001 QAD260912:QAD261001 PQH260912:PQH261001 PGL260912:PGL261001 OWP260912:OWP261001 OMT260912:OMT261001 OCX260912:OCX261001 NTB260912:NTB261001 NJF260912:NJF261001 MZJ260912:MZJ261001 MPN260912:MPN261001 MFR260912:MFR261001 LVV260912:LVV261001 LLZ260912:LLZ261001 LCD260912:LCD261001 KSH260912:KSH261001 KIL260912:KIL261001 JYP260912:JYP261001 JOT260912:JOT261001 JEX260912:JEX261001 IVB260912:IVB261001 ILF260912:ILF261001 IBJ260912:IBJ261001 HRN260912:HRN261001 HHR260912:HHR261001 GXV260912:GXV261001 GNZ260912:GNZ261001 GED260912:GED261001 FUH260912:FUH261001 FKL260912:FKL261001 FAP260912:FAP261001 EQT260912:EQT261001 EGX260912:EGX261001 DXB260912:DXB261001 DNF260912:DNF261001 DDJ260912:DDJ261001 CTN260912:CTN261001 CJR260912:CJR261001 BZV260912:BZV261001 BPZ260912:BPZ261001 BGD260912:BGD261001 AWH260912:AWH261001 AML260912:AML261001 ACP260912:ACP261001 ST260912:ST261001 IX260912:IX261001 B260918:B261007 WVJ195376:WVJ195465 WLN195376:WLN195465 WBR195376:WBR195465 VRV195376:VRV195465 VHZ195376:VHZ195465 UYD195376:UYD195465 UOH195376:UOH195465 UEL195376:UEL195465 TUP195376:TUP195465 TKT195376:TKT195465 TAX195376:TAX195465 SRB195376:SRB195465 SHF195376:SHF195465 RXJ195376:RXJ195465 RNN195376:RNN195465 RDR195376:RDR195465 QTV195376:QTV195465 QJZ195376:QJZ195465 QAD195376:QAD195465 PQH195376:PQH195465 PGL195376:PGL195465 OWP195376:OWP195465 OMT195376:OMT195465 OCX195376:OCX195465 NTB195376:NTB195465 NJF195376:NJF195465 MZJ195376:MZJ195465 MPN195376:MPN195465 MFR195376:MFR195465 LVV195376:LVV195465 LLZ195376:LLZ195465 LCD195376:LCD195465 KSH195376:KSH195465 KIL195376:KIL195465 JYP195376:JYP195465 JOT195376:JOT195465 JEX195376:JEX195465 IVB195376:IVB195465 ILF195376:ILF195465 IBJ195376:IBJ195465 HRN195376:HRN195465 HHR195376:HHR195465 GXV195376:GXV195465 GNZ195376:GNZ195465 GED195376:GED195465 FUH195376:FUH195465 FKL195376:FKL195465 FAP195376:FAP195465 EQT195376:EQT195465 EGX195376:EGX195465 DXB195376:DXB195465 DNF195376:DNF195465 DDJ195376:DDJ195465 CTN195376:CTN195465 CJR195376:CJR195465 BZV195376:BZV195465 BPZ195376:BPZ195465 BGD195376:BGD195465 AWH195376:AWH195465 AML195376:AML195465 ACP195376:ACP195465 ST195376:ST195465 IX195376:IX195465 B195382:B195471 WVJ129840:WVJ129929 WLN129840:WLN129929 WBR129840:WBR129929 VRV129840:VRV129929 VHZ129840:VHZ129929 UYD129840:UYD129929 UOH129840:UOH129929 UEL129840:UEL129929 TUP129840:TUP129929 TKT129840:TKT129929 TAX129840:TAX129929 SRB129840:SRB129929 SHF129840:SHF129929 RXJ129840:RXJ129929 RNN129840:RNN129929 RDR129840:RDR129929 QTV129840:QTV129929 QJZ129840:QJZ129929 QAD129840:QAD129929 PQH129840:PQH129929 PGL129840:PGL129929 OWP129840:OWP129929 OMT129840:OMT129929 OCX129840:OCX129929 NTB129840:NTB129929 NJF129840:NJF129929 MZJ129840:MZJ129929 MPN129840:MPN129929 MFR129840:MFR129929 LVV129840:LVV129929 LLZ129840:LLZ129929 LCD129840:LCD129929 KSH129840:KSH129929 KIL129840:KIL129929 JYP129840:JYP129929 JOT129840:JOT129929 JEX129840:JEX129929 IVB129840:IVB129929 ILF129840:ILF129929 IBJ129840:IBJ129929 HRN129840:HRN129929 HHR129840:HHR129929 GXV129840:GXV129929 GNZ129840:GNZ129929 GED129840:GED129929 FUH129840:FUH129929 FKL129840:FKL129929 FAP129840:FAP129929 EQT129840:EQT129929 EGX129840:EGX129929 DXB129840:DXB129929 DNF129840:DNF129929 DDJ129840:DDJ129929 CTN129840:CTN129929 CJR129840:CJR129929 BZV129840:BZV129929 BPZ129840:BPZ129929 BGD129840:BGD129929 AWH129840:AWH129929 AML129840:AML129929 ACP129840:ACP129929 ST129840:ST129929 IX129840:IX129929 B129846:B129935 WVJ64304:WVJ64393 WLN64304:WLN64393 WBR64304:WBR64393 VRV64304:VRV64393 VHZ64304:VHZ64393 UYD64304:UYD64393 UOH64304:UOH64393 UEL64304:UEL64393 TUP64304:TUP64393 TKT64304:TKT64393 TAX64304:TAX64393 SRB64304:SRB64393 SHF64304:SHF64393 RXJ64304:RXJ64393 RNN64304:RNN64393 RDR64304:RDR64393 QTV64304:QTV64393 QJZ64304:QJZ64393 QAD64304:QAD64393 PQH64304:PQH64393 PGL64304:PGL64393 OWP64304:OWP64393 OMT64304:OMT64393 OCX64304:OCX64393 NTB64304:NTB64393 NJF64304:NJF64393 MZJ64304:MZJ64393 MPN64304:MPN64393 MFR64304:MFR64393 LVV64304:LVV64393 LLZ64304:LLZ64393 LCD64304:LCD64393 KSH64304:KSH64393 KIL64304:KIL64393 JYP64304:JYP64393 JOT64304:JOT64393 JEX64304:JEX64393 IVB64304:IVB64393 ILF64304:ILF64393 IBJ64304:IBJ64393 HRN64304:HRN64393 HHR64304:HHR64393 GXV64304:GXV64393 GNZ64304:GNZ64393 GED64304:GED64393 FUH64304:FUH64393 FKL64304:FKL64393 FAP64304:FAP64393 EQT64304:EQT64393 EGX64304:EGX64393 DXB64304:DXB64393 DNF64304:DNF64393 DDJ64304:DDJ64393 CTN64304:CTN64393 CJR64304:CJR64393 BZV64304:BZV64393 BPZ64304:BPZ64393 BGD64304:BGD64393 AWH64304:AWH64393 AML64304:AML64393 ACP64304:ACP64393 ST64304:ST64393 IX64304:IX64393 B64310:B64399 B99:B115 B2:B97 ST2:ST76 ACP2:ACP76 AML2:AML76 AWH2:AWH76 BGD2:BGD76 BPZ2:BPZ76 BZV2:BZV76 CJR2:CJR76 CTN2:CTN76 DDJ2:DDJ76 DNF2:DNF76 DXB2:DXB76 EGX2:EGX76 EQT2:EQT76 FAP2:FAP76 FKL2:FKL76 FUH2:FUH76 GED2:GED76 GNZ2:GNZ76 GXV2:GXV76 HHR2:HHR76 HRN2:HRN76 IBJ2:IBJ76 ILF2:ILF76 IVB2:IVB76 JEX2:JEX76 JOT2:JOT76 JYP2:JYP76 KIL2:KIL76 KSH2:KSH76 LCD2:LCD76 LLZ2:LLZ76 LVV2:LVV76 MFR2:MFR76 MPN2:MPN76 MZJ2:MZJ76 NJF2:NJF76 NTB2:NTB76 OCX2:OCX76 OMT2:OMT76 OWP2:OWP76 PGL2:PGL76 PQH2:PQH76 QAD2:QAD76 QJZ2:QJZ76 QTV2:QTV76 RDR2:RDR76 RNN2:RNN76 RXJ2:RXJ76 SHF2:SHF76 SRB2:SRB76 TAX2:TAX76 TKT2:TKT76 TUP2:TUP76 UEL2:UEL76 UOH2:UOH76 UYD2:UYD76 VHZ2:VHZ76 VRV2:VRV76 WBR2:WBR76 WLN2:WLN76 WVJ2:WVJ76 IX2:IX76" xr:uid="{2CA04DFB-B7B0-4DB7-BA5F-559ED247D93C}"/>
    <dataValidation type="list" allowBlank="1" showInputMessage="1" showErrorMessage="1" sqref="WVI981808:WVI981897 WLM981808:WLM981897 WBQ981808:WBQ981897 VRU981808:VRU981897 VHY981808:VHY981897 UYC981808:UYC981897 UOG981808:UOG981897 UEK981808:UEK981897 TUO981808:TUO981897 TKS981808:TKS981897 TAW981808:TAW981897 SRA981808:SRA981897 SHE981808:SHE981897 RXI981808:RXI981897 RNM981808:RNM981897 RDQ981808:RDQ981897 QTU981808:QTU981897 QJY981808:QJY981897 QAC981808:QAC981897 PQG981808:PQG981897 PGK981808:PGK981897 OWO981808:OWO981897 OMS981808:OMS981897 OCW981808:OCW981897 NTA981808:NTA981897 NJE981808:NJE981897 MZI981808:MZI981897 MPM981808:MPM981897 MFQ981808:MFQ981897 LVU981808:LVU981897 LLY981808:LLY981897 LCC981808:LCC981897 KSG981808:KSG981897 KIK981808:KIK981897 JYO981808:JYO981897 JOS981808:JOS981897 JEW981808:JEW981897 IVA981808:IVA981897 ILE981808:ILE981897 IBI981808:IBI981897 HRM981808:HRM981897 HHQ981808:HHQ981897 GXU981808:GXU981897 GNY981808:GNY981897 GEC981808:GEC981897 FUG981808:FUG981897 FKK981808:FKK981897 FAO981808:FAO981897 EQS981808:EQS981897 EGW981808:EGW981897 DXA981808:DXA981897 DNE981808:DNE981897 DDI981808:DDI981897 CTM981808:CTM981897 CJQ981808:CJQ981897 BZU981808:BZU981897 BPY981808:BPY981897 BGC981808:BGC981897 AWG981808:AWG981897 AMK981808:AMK981897 ACO981808:ACO981897 SS981808:SS981897 IW981808:IW981897 A981814:A981903 WVI916272:WVI916361 WLM916272:WLM916361 WBQ916272:WBQ916361 VRU916272:VRU916361 VHY916272:VHY916361 UYC916272:UYC916361 UOG916272:UOG916361 UEK916272:UEK916361 TUO916272:TUO916361 TKS916272:TKS916361 TAW916272:TAW916361 SRA916272:SRA916361 SHE916272:SHE916361 RXI916272:RXI916361 RNM916272:RNM916361 RDQ916272:RDQ916361 QTU916272:QTU916361 QJY916272:QJY916361 QAC916272:QAC916361 PQG916272:PQG916361 PGK916272:PGK916361 OWO916272:OWO916361 OMS916272:OMS916361 OCW916272:OCW916361 NTA916272:NTA916361 NJE916272:NJE916361 MZI916272:MZI916361 MPM916272:MPM916361 MFQ916272:MFQ916361 LVU916272:LVU916361 LLY916272:LLY916361 LCC916272:LCC916361 KSG916272:KSG916361 KIK916272:KIK916361 JYO916272:JYO916361 JOS916272:JOS916361 JEW916272:JEW916361 IVA916272:IVA916361 ILE916272:ILE916361 IBI916272:IBI916361 HRM916272:HRM916361 HHQ916272:HHQ916361 GXU916272:GXU916361 GNY916272:GNY916361 GEC916272:GEC916361 FUG916272:FUG916361 FKK916272:FKK916361 FAO916272:FAO916361 EQS916272:EQS916361 EGW916272:EGW916361 DXA916272:DXA916361 DNE916272:DNE916361 DDI916272:DDI916361 CTM916272:CTM916361 CJQ916272:CJQ916361 BZU916272:BZU916361 BPY916272:BPY916361 BGC916272:BGC916361 AWG916272:AWG916361 AMK916272:AMK916361 ACO916272:ACO916361 SS916272:SS916361 IW916272:IW916361 A916278:A916367 WVI850736:WVI850825 WLM850736:WLM850825 WBQ850736:WBQ850825 VRU850736:VRU850825 VHY850736:VHY850825 UYC850736:UYC850825 UOG850736:UOG850825 UEK850736:UEK850825 TUO850736:TUO850825 TKS850736:TKS850825 TAW850736:TAW850825 SRA850736:SRA850825 SHE850736:SHE850825 RXI850736:RXI850825 RNM850736:RNM850825 RDQ850736:RDQ850825 QTU850736:QTU850825 QJY850736:QJY850825 QAC850736:QAC850825 PQG850736:PQG850825 PGK850736:PGK850825 OWO850736:OWO850825 OMS850736:OMS850825 OCW850736:OCW850825 NTA850736:NTA850825 NJE850736:NJE850825 MZI850736:MZI850825 MPM850736:MPM850825 MFQ850736:MFQ850825 LVU850736:LVU850825 LLY850736:LLY850825 LCC850736:LCC850825 KSG850736:KSG850825 KIK850736:KIK850825 JYO850736:JYO850825 JOS850736:JOS850825 JEW850736:JEW850825 IVA850736:IVA850825 ILE850736:ILE850825 IBI850736:IBI850825 HRM850736:HRM850825 HHQ850736:HHQ850825 GXU850736:GXU850825 GNY850736:GNY850825 GEC850736:GEC850825 FUG850736:FUG850825 FKK850736:FKK850825 FAO850736:FAO850825 EQS850736:EQS850825 EGW850736:EGW850825 DXA850736:DXA850825 DNE850736:DNE850825 DDI850736:DDI850825 CTM850736:CTM850825 CJQ850736:CJQ850825 BZU850736:BZU850825 BPY850736:BPY850825 BGC850736:BGC850825 AWG850736:AWG850825 AMK850736:AMK850825 ACO850736:ACO850825 SS850736:SS850825 IW850736:IW850825 A850742:A850831 WVI785200:WVI785289 WLM785200:WLM785289 WBQ785200:WBQ785289 VRU785200:VRU785289 VHY785200:VHY785289 UYC785200:UYC785289 UOG785200:UOG785289 UEK785200:UEK785289 TUO785200:TUO785289 TKS785200:TKS785289 TAW785200:TAW785289 SRA785200:SRA785289 SHE785200:SHE785289 RXI785200:RXI785289 RNM785200:RNM785289 RDQ785200:RDQ785289 QTU785200:QTU785289 QJY785200:QJY785289 QAC785200:QAC785289 PQG785200:PQG785289 PGK785200:PGK785289 OWO785200:OWO785289 OMS785200:OMS785289 OCW785200:OCW785289 NTA785200:NTA785289 NJE785200:NJE785289 MZI785200:MZI785289 MPM785200:MPM785289 MFQ785200:MFQ785289 LVU785200:LVU785289 LLY785200:LLY785289 LCC785200:LCC785289 KSG785200:KSG785289 KIK785200:KIK785289 JYO785200:JYO785289 JOS785200:JOS785289 JEW785200:JEW785289 IVA785200:IVA785289 ILE785200:ILE785289 IBI785200:IBI785289 HRM785200:HRM785289 HHQ785200:HHQ785289 GXU785200:GXU785289 GNY785200:GNY785289 GEC785200:GEC785289 FUG785200:FUG785289 FKK785200:FKK785289 FAO785200:FAO785289 EQS785200:EQS785289 EGW785200:EGW785289 DXA785200:DXA785289 DNE785200:DNE785289 DDI785200:DDI785289 CTM785200:CTM785289 CJQ785200:CJQ785289 BZU785200:BZU785289 BPY785200:BPY785289 BGC785200:BGC785289 AWG785200:AWG785289 AMK785200:AMK785289 ACO785200:ACO785289 SS785200:SS785289 IW785200:IW785289 A785206:A785295 WVI719664:WVI719753 WLM719664:WLM719753 WBQ719664:WBQ719753 VRU719664:VRU719753 VHY719664:VHY719753 UYC719664:UYC719753 UOG719664:UOG719753 UEK719664:UEK719753 TUO719664:TUO719753 TKS719664:TKS719753 TAW719664:TAW719753 SRA719664:SRA719753 SHE719664:SHE719753 RXI719664:RXI719753 RNM719664:RNM719753 RDQ719664:RDQ719753 QTU719664:QTU719753 QJY719664:QJY719753 QAC719664:QAC719753 PQG719664:PQG719753 PGK719664:PGK719753 OWO719664:OWO719753 OMS719664:OMS719753 OCW719664:OCW719753 NTA719664:NTA719753 NJE719664:NJE719753 MZI719664:MZI719753 MPM719664:MPM719753 MFQ719664:MFQ719753 LVU719664:LVU719753 LLY719664:LLY719753 LCC719664:LCC719753 KSG719664:KSG719753 KIK719664:KIK719753 JYO719664:JYO719753 JOS719664:JOS719753 JEW719664:JEW719753 IVA719664:IVA719753 ILE719664:ILE719753 IBI719664:IBI719753 HRM719664:HRM719753 HHQ719664:HHQ719753 GXU719664:GXU719753 GNY719664:GNY719753 GEC719664:GEC719753 FUG719664:FUG719753 FKK719664:FKK719753 FAO719664:FAO719753 EQS719664:EQS719753 EGW719664:EGW719753 DXA719664:DXA719753 DNE719664:DNE719753 DDI719664:DDI719753 CTM719664:CTM719753 CJQ719664:CJQ719753 BZU719664:BZU719753 BPY719664:BPY719753 BGC719664:BGC719753 AWG719664:AWG719753 AMK719664:AMK719753 ACO719664:ACO719753 SS719664:SS719753 IW719664:IW719753 A719670:A719759 WVI654128:WVI654217 WLM654128:WLM654217 WBQ654128:WBQ654217 VRU654128:VRU654217 VHY654128:VHY654217 UYC654128:UYC654217 UOG654128:UOG654217 UEK654128:UEK654217 TUO654128:TUO654217 TKS654128:TKS654217 TAW654128:TAW654217 SRA654128:SRA654217 SHE654128:SHE654217 RXI654128:RXI654217 RNM654128:RNM654217 RDQ654128:RDQ654217 QTU654128:QTU654217 QJY654128:QJY654217 QAC654128:QAC654217 PQG654128:PQG654217 PGK654128:PGK654217 OWO654128:OWO654217 OMS654128:OMS654217 OCW654128:OCW654217 NTA654128:NTA654217 NJE654128:NJE654217 MZI654128:MZI654217 MPM654128:MPM654217 MFQ654128:MFQ654217 LVU654128:LVU654217 LLY654128:LLY654217 LCC654128:LCC654217 KSG654128:KSG654217 KIK654128:KIK654217 JYO654128:JYO654217 JOS654128:JOS654217 JEW654128:JEW654217 IVA654128:IVA654217 ILE654128:ILE654217 IBI654128:IBI654217 HRM654128:HRM654217 HHQ654128:HHQ654217 GXU654128:GXU654217 GNY654128:GNY654217 GEC654128:GEC654217 FUG654128:FUG654217 FKK654128:FKK654217 FAO654128:FAO654217 EQS654128:EQS654217 EGW654128:EGW654217 DXA654128:DXA654217 DNE654128:DNE654217 DDI654128:DDI654217 CTM654128:CTM654217 CJQ654128:CJQ654217 BZU654128:BZU654217 BPY654128:BPY654217 BGC654128:BGC654217 AWG654128:AWG654217 AMK654128:AMK654217 ACO654128:ACO654217 SS654128:SS654217 IW654128:IW654217 A654134:A654223 WVI588592:WVI588681 WLM588592:WLM588681 WBQ588592:WBQ588681 VRU588592:VRU588681 VHY588592:VHY588681 UYC588592:UYC588681 UOG588592:UOG588681 UEK588592:UEK588681 TUO588592:TUO588681 TKS588592:TKS588681 TAW588592:TAW588681 SRA588592:SRA588681 SHE588592:SHE588681 RXI588592:RXI588681 RNM588592:RNM588681 RDQ588592:RDQ588681 QTU588592:QTU588681 QJY588592:QJY588681 QAC588592:QAC588681 PQG588592:PQG588681 PGK588592:PGK588681 OWO588592:OWO588681 OMS588592:OMS588681 OCW588592:OCW588681 NTA588592:NTA588681 NJE588592:NJE588681 MZI588592:MZI588681 MPM588592:MPM588681 MFQ588592:MFQ588681 LVU588592:LVU588681 LLY588592:LLY588681 LCC588592:LCC588681 KSG588592:KSG588681 KIK588592:KIK588681 JYO588592:JYO588681 JOS588592:JOS588681 JEW588592:JEW588681 IVA588592:IVA588681 ILE588592:ILE588681 IBI588592:IBI588681 HRM588592:HRM588681 HHQ588592:HHQ588681 GXU588592:GXU588681 GNY588592:GNY588681 GEC588592:GEC588681 FUG588592:FUG588681 FKK588592:FKK588681 FAO588592:FAO588681 EQS588592:EQS588681 EGW588592:EGW588681 DXA588592:DXA588681 DNE588592:DNE588681 DDI588592:DDI588681 CTM588592:CTM588681 CJQ588592:CJQ588681 BZU588592:BZU588681 BPY588592:BPY588681 BGC588592:BGC588681 AWG588592:AWG588681 AMK588592:AMK588681 ACO588592:ACO588681 SS588592:SS588681 IW588592:IW588681 A588598:A588687 WVI523056:WVI523145 WLM523056:WLM523145 WBQ523056:WBQ523145 VRU523056:VRU523145 VHY523056:VHY523145 UYC523056:UYC523145 UOG523056:UOG523145 UEK523056:UEK523145 TUO523056:TUO523145 TKS523056:TKS523145 TAW523056:TAW523145 SRA523056:SRA523145 SHE523056:SHE523145 RXI523056:RXI523145 RNM523056:RNM523145 RDQ523056:RDQ523145 QTU523056:QTU523145 QJY523056:QJY523145 QAC523056:QAC523145 PQG523056:PQG523145 PGK523056:PGK523145 OWO523056:OWO523145 OMS523056:OMS523145 OCW523056:OCW523145 NTA523056:NTA523145 NJE523056:NJE523145 MZI523056:MZI523145 MPM523056:MPM523145 MFQ523056:MFQ523145 LVU523056:LVU523145 LLY523056:LLY523145 LCC523056:LCC523145 KSG523056:KSG523145 KIK523056:KIK523145 JYO523056:JYO523145 JOS523056:JOS523145 JEW523056:JEW523145 IVA523056:IVA523145 ILE523056:ILE523145 IBI523056:IBI523145 HRM523056:HRM523145 HHQ523056:HHQ523145 GXU523056:GXU523145 GNY523056:GNY523145 GEC523056:GEC523145 FUG523056:FUG523145 FKK523056:FKK523145 FAO523056:FAO523145 EQS523056:EQS523145 EGW523056:EGW523145 DXA523056:DXA523145 DNE523056:DNE523145 DDI523056:DDI523145 CTM523056:CTM523145 CJQ523056:CJQ523145 BZU523056:BZU523145 BPY523056:BPY523145 BGC523056:BGC523145 AWG523056:AWG523145 AMK523056:AMK523145 ACO523056:ACO523145 SS523056:SS523145 IW523056:IW523145 A523062:A523151 WVI457520:WVI457609 WLM457520:WLM457609 WBQ457520:WBQ457609 VRU457520:VRU457609 VHY457520:VHY457609 UYC457520:UYC457609 UOG457520:UOG457609 UEK457520:UEK457609 TUO457520:TUO457609 TKS457520:TKS457609 TAW457520:TAW457609 SRA457520:SRA457609 SHE457520:SHE457609 RXI457520:RXI457609 RNM457520:RNM457609 RDQ457520:RDQ457609 QTU457520:QTU457609 QJY457520:QJY457609 QAC457520:QAC457609 PQG457520:PQG457609 PGK457520:PGK457609 OWO457520:OWO457609 OMS457520:OMS457609 OCW457520:OCW457609 NTA457520:NTA457609 NJE457520:NJE457609 MZI457520:MZI457609 MPM457520:MPM457609 MFQ457520:MFQ457609 LVU457520:LVU457609 LLY457520:LLY457609 LCC457520:LCC457609 KSG457520:KSG457609 KIK457520:KIK457609 JYO457520:JYO457609 JOS457520:JOS457609 JEW457520:JEW457609 IVA457520:IVA457609 ILE457520:ILE457609 IBI457520:IBI457609 HRM457520:HRM457609 HHQ457520:HHQ457609 GXU457520:GXU457609 GNY457520:GNY457609 GEC457520:GEC457609 FUG457520:FUG457609 FKK457520:FKK457609 FAO457520:FAO457609 EQS457520:EQS457609 EGW457520:EGW457609 DXA457520:DXA457609 DNE457520:DNE457609 DDI457520:DDI457609 CTM457520:CTM457609 CJQ457520:CJQ457609 BZU457520:BZU457609 BPY457520:BPY457609 BGC457520:BGC457609 AWG457520:AWG457609 AMK457520:AMK457609 ACO457520:ACO457609 SS457520:SS457609 IW457520:IW457609 A457526:A457615 WVI391984:WVI392073 WLM391984:WLM392073 WBQ391984:WBQ392073 VRU391984:VRU392073 VHY391984:VHY392073 UYC391984:UYC392073 UOG391984:UOG392073 UEK391984:UEK392073 TUO391984:TUO392073 TKS391984:TKS392073 TAW391984:TAW392073 SRA391984:SRA392073 SHE391984:SHE392073 RXI391984:RXI392073 RNM391984:RNM392073 RDQ391984:RDQ392073 QTU391984:QTU392073 QJY391984:QJY392073 QAC391984:QAC392073 PQG391984:PQG392073 PGK391984:PGK392073 OWO391984:OWO392073 OMS391984:OMS392073 OCW391984:OCW392073 NTA391984:NTA392073 NJE391984:NJE392073 MZI391984:MZI392073 MPM391984:MPM392073 MFQ391984:MFQ392073 LVU391984:LVU392073 LLY391984:LLY392073 LCC391984:LCC392073 KSG391984:KSG392073 KIK391984:KIK392073 JYO391984:JYO392073 JOS391984:JOS392073 JEW391984:JEW392073 IVA391984:IVA392073 ILE391984:ILE392073 IBI391984:IBI392073 HRM391984:HRM392073 HHQ391984:HHQ392073 GXU391984:GXU392073 GNY391984:GNY392073 GEC391984:GEC392073 FUG391984:FUG392073 FKK391984:FKK392073 FAO391984:FAO392073 EQS391984:EQS392073 EGW391984:EGW392073 DXA391984:DXA392073 DNE391984:DNE392073 DDI391984:DDI392073 CTM391984:CTM392073 CJQ391984:CJQ392073 BZU391984:BZU392073 BPY391984:BPY392073 BGC391984:BGC392073 AWG391984:AWG392073 AMK391984:AMK392073 ACO391984:ACO392073 SS391984:SS392073 IW391984:IW392073 A391990:A392079 WVI326448:WVI326537 WLM326448:WLM326537 WBQ326448:WBQ326537 VRU326448:VRU326537 VHY326448:VHY326537 UYC326448:UYC326537 UOG326448:UOG326537 UEK326448:UEK326537 TUO326448:TUO326537 TKS326448:TKS326537 TAW326448:TAW326537 SRA326448:SRA326537 SHE326448:SHE326537 RXI326448:RXI326537 RNM326448:RNM326537 RDQ326448:RDQ326537 QTU326448:QTU326537 QJY326448:QJY326537 QAC326448:QAC326537 PQG326448:PQG326537 PGK326448:PGK326537 OWO326448:OWO326537 OMS326448:OMS326537 OCW326448:OCW326537 NTA326448:NTA326537 NJE326448:NJE326537 MZI326448:MZI326537 MPM326448:MPM326537 MFQ326448:MFQ326537 LVU326448:LVU326537 LLY326448:LLY326537 LCC326448:LCC326537 KSG326448:KSG326537 KIK326448:KIK326537 JYO326448:JYO326537 JOS326448:JOS326537 JEW326448:JEW326537 IVA326448:IVA326537 ILE326448:ILE326537 IBI326448:IBI326537 HRM326448:HRM326537 HHQ326448:HHQ326537 GXU326448:GXU326537 GNY326448:GNY326537 GEC326448:GEC326537 FUG326448:FUG326537 FKK326448:FKK326537 FAO326448:FAO326537 EQS326448:EQS326537 EGW326448:EGW326537 DXA326448:DXA326537 DNE326448:DNE326537 DDI326448:DDI326537 CTM326448:CTM326537 CJQ326448:CJQ326537 BZU326448:BZU326537 BPY326448:BPY326537 BGC326448:BGC326537 AWG326448:AWG326537 AMK326448:AMK326537 ACO326448:ACO326537 SS326448:SS326537 IW326448:IW326537 A326454:A326543 WVI260912:WVI261001 WLM260912:WLM261001 WBQ260912:WBQ261001 VRU260912:VRU261001 VHY260912:VHY261001 UYC260912:UYC261001 UOG260912:UOG261001 UEK260912:UEK261001 TUO260912:TUO261001 TKS260912:TKS261001 TAW260912:TAW261001 SRA260912:SRA261001 SHE260912:SHE261001 RXI260912:RXI261001 RNM260912:RNM261001 RDQ260912:RDQ261001 QTU260912:QTU261001 QJY260912:QJY261001 QAC260912:QAC261001 PQG260912:PQG261001 PGK260912:PGK261001 OWO260912:OWO261001 OMS260912:OMS261001 OCW260912:OCW261001 NTA260912:NTA261001 NJE260912:NJE261001 MZI260912:MZI261001 MPM260912:MPM261001 MFQ260912:MFQ261001 LVU260912:LVU261001 LLY260912:LLY261001 LCC260912:LCC261001 KSG260912:KSG261001 KIK260912:KIK261001 JYO260912:JYO261001 JOS260912:JOS261001 JEW260912:JEW261001 IVA260912:IVA261001 ILE260912:ILE261001 IBI260912:IBI261001 HRM260912:HRM261001 HHQ260912:HHQ261001 GXU260912:GXU261001 GNY260912:GNY261001 GEC260912:GEC261001 FUG260912:FUG261001 FKK260912:FKK261001 FAO260912:FAO261001 EQS260912:EQS261001 EGW260912:EGW261001 DXA260912:DXA261001 DNE260912:DNE261001 DDI260912:DDI261001 CTM260912:CTM261001 CJQ260912:CJQ261001 BZU260912:BZU261001 BPY260912:BPY261001 BGC260912:BGC261001 AWG260912:AWG261001 AMK260912:AMK261001 ACO260912:ACO261001 SS260912:SS261001 IW260912:IW261001 A260918:A261007 WVI195376:WVI195465 WLM195376:WLM195465 WBQ195376:WBQ195465 VRU195376:VRU195465 VHY195376:VHY195465 UYC195376:UYC195465 UOG195376:UOG195465 UEK195376:UEK195465 TUO195376:TUO195465 TKS195376:TKS195465 TAW195376:TAW195465 SRA195376:SRA195465 SHE195376:SHE195465 RXI195376:RXI195465 RNM195376:RNM195465 RDQ195376:RDQ195465 QTU195376:QTU195465 QJY195376:QJY195465 QAC195376:QAC195465 PQG195376:PQG195465 PGK195376:PGK195465 OWO195376:OWO195465 OMS195376:OMS195465 OCW195376:OCW195465 NTA195376:NTA195465 NJE195376:NJE195465 MZI195376:MZI195465 MPM195376:MPM195465 MFQ195376:MFQ195465 LVU195376:LVU195465 LLY195376:LLY195465 LCC195376:LCC195465 KSG195376:KSG195465 KIK195376:KIK195465 JYO195376:JYO195465 JOS195376:JOS195465 JEW195376:JEW195465 IVA195376:IVA195465 ILE195376:ILE195465 IBI195376:IBI195465 HRM195376:HRM195465 HHQ195376:HHQ195465 GXU195376:GXU195465 GNY195376:GNY195465 GEC195376:GEC195465 FUG195376:FUG195465 FKK195376:FKK195465 FAO195376:FAO195465 EQS195376:EQS195465 EGW195376:EGW195465 DXA195376:DXA195465 DNE195376:DNE195465 DDI195376:DDI195465 CTM195376:CTM195465 CJQ195376:CJQ195465 BZU195376:BZU195465 BPY195376:BPY195465 BGC195376:BGC195465 AWG195376:AWG195465 AMK195376:AMK195465 ACO195376:ACO195465 SS195376:SS195465 IW195376:IW195465 A195382:A195471 WVI129840:WVI129929 WLM129840:WLM129929 WBQ129840:WBQ129929 VRU129840:VRU129929 VHY129840:VHY129929 UYC129840:UYC129929 UOG129840:UOG129929 UEK129840:UEK129929 TUO129840:TUO129929 TKS129840:TKS129929 TAW129840:TAW129929 SRA129840:SRA129929 SHE129840:SHE129929 RXI129840:RXI129929 RNM129840:RNM129929 RDQ129840:RDQ129929 QTU129840:QTU129929 QJY129840:QJY129929 QAC129840:QAC129929 PQG129840:PQG129929 PGK129840:PGK129929 OWO129840:OWO129929 OMS129840:OMS129929 OCW129840:OCW129929 NTA129840:NTA129929 NJE129840:NJE129929 MZI129840:MZI129929 MPM129840:MPM129929 MFQ129840:MFQ129929 LVU129840:LVU129929 LLY129840:LLY129929 LCC129840:LCC129929 KSG129840:KSG129929 KIK129840:KIK129929 JYO129840:JYO129929 JOS129840:JOS129929 JEW129840:JEW129929 IVA129840:IVA129929 ILE129840:ILE129929 IBI129840:IBI129929 HRM129840:HRM129929 HHQ129840:HHQ129929 GXU129840:GXU129929 GNY129840:GNY129929 GEC129840:GEC129929 FUG129840:FUG129929 FKK129840:FKK129929 FAO129840:FAO129929 EQS129840:EQS129929 EGW129840:EGW129929 DXA129840:DXA129929 DNE129840:DNE129929 DDI129840:DDI129929 CTM129840:CTM129929 CJQ129840:CJQ129929 BZU129840:BZU129929 BPY129840:BPY129929 BGC129840:BGC129929 AWG129840:AWG129929 AMK129840:AMK129929 ACO129840:ACO129929 SS129840:SS129929 IW129840:IW129929 A129846:A129935 WVI64304:WVI64393 WLM64304:WLM64393 WBQ64304:WBQ64393 VRU64304:VRU64393 VHY64304:VHY64393 UYC64304:UYC64393 UOG64304:UOG64393 UEK64304:UEK64393 TUO64304:TUO64393 TKS64304:TKS64393 TAW64304:TAW64393 SRA64304:SRA64393 SHE64304:SHE64393 RXI64304:RXI64393 RNM64304:RNM64393 RDQ64304:RDQ64393 QTU64304:QTU64393 QJY64304:QJY64393 QAC64304:QAC64393 PQG64304:PQG64393 PGK64304:PGK64393 OWO64304:OWO64393 OMS64304:OMS64393 OCW64304:OCW64393 NTA64304:NTA64393 NJE64304:NJE64393 MZI64304:MZI64393 MPM64304:MPM64393 MFQ64304:MFQ64393 LVU64304:LVU64393 LLY64304:LLY64393 LCC64304:LCC64393 KSG64304:KSG64393 KIK64304:KIK64393 JYO64304:JYO64393 JOS64304:JOS64393 JEW64304:JEW64393 IVA64304:IVA64393 ILE64304:ILE64393 IBI64304:IBI64393 HRM64304:HRM64393 HHQ64304:HHQ64393 GXU64304:GXU64393 GNY64304:GNY64393 GEC64304:GEC64393 FUG64304:FUG64393 FKK64304:FKK64393 FAO64304:FAO64393 EQS64304:EQS64393 EGW64304:EGW64393 DXA64304:DXA64393 DNE64304:DNE64393 DDI64304:DDI64393 CTM64304:CTM64393 CJQ64304:CJQ64393 BZU64304:BZU64393 BPY64304:BPY64393 BGC64304:BGC64393 AWG64304:AWG64393 AMK64304:AMK64393 ACO64304:ACO64393 SS64304:SS64393 IW64304:IW64393 A64310:A64399 WVI2:WVI76 WLM2:WLM76 WBQ2:WBQ76 VRU2:VRU76 VHY2:VHY76 UYC2:UYC76 UOG2:UOG76 UEK2:UEK76 TUO2:TUO76 TKS2:TKS76 TAW2:TAW76 SRA2:SRA76 SHE2:SHE76 RXI2:RXI76 RNM2:RNM76 RDQ2:RDQ76 QTU2:QTU76 QJY2:QJY76 QAC2:QAC76 PQG2:PQG76 PGK2:PGK76 OWO2:OWO76 OMS2:OMS76 OCW2:OCW76 NTA2:NTA76 NJE2:NJE76 MZI2:MZI76 MPM2:MPM76 MFQ2:MFQ76 LVU2:LVU76 LLY2:LLY76 LCC2:LCC76 KSG2:KSG76 KIK2:KIK76 JYO2:JYO76 JOS2:JOS76 JEW2:JEW76 IVA2:IVA76 ILE2:ILE76 IBI2:IBI76 HRM2:HRM76 HHQ2:HHQ76 GXU2:GXU76 GNY2:GNY76 GEC2:GEC76 FUG2:FUG76 FKK2:FKK76 FAO2:FAO76 EQS2:EQS76 EGW2:EGW76 DXA2:DXA76 DNE2:DNE76 DDI2:DDI76 CTM2:CTM76 CJQ2:CJQ76 BZU2:BZU76 BPY2:BPY76 BGC2:BGC76 AWG2:AWG76 AMK2:AMK76 ACO2:ACO76 SS2:SS76 IW2:IW76" xr:uid="{196C7372-B94D-4FC0-8114-AE3B6A22C1DF}">
      <formula1>$AE$2:$AE$22</formula1>
    </dataValidation>
    <dataValidation type="list" allowBlank="1" showInputMessage="1" showErrorMessage="1" sqref="WVO981808:WVO981897 WLS981808:WLS981897 WBW981808:WBW981897 VSA981808:VSA981897 VIE981808:VIE981897 UYI981808:UYI981897 UOM981808:UOM981897 UEQ981808:UEQ981897 TUU981808:TUU981897 TKY981808:TKY981897 TBC981808:TBC981897 SRG981808:SRG981897 SHK981808:SHK981897 RXO981808:RXO981897 RNS981808:RNS981897 RDW981808:RDW981897 QUA981808:QUA981897 QKE981808:QKE981897 QAI981808:QAI981897 PQM981808:PQM981897 PGQ981808:PGQ981897 OWU981808:OWU981897 OMY981808:OMY981897 ODC981808:ODC981897 NTG981808:NTG981897 NJK981808:NJK981897 MZO981808:MZO981897 MPS981808:MPS981897 MFW981808:MFW981897 LWA981808:LWA981897 LME981808:LME981897 LCI981808:LCI981897 KSM981808:KSM981897 KIQ981808:KIQ981897 JYU981808:JYU981897 JOY981808:JOY981897 JFC981808:JFC981897 IVG981808:IVG981897 ILK981808:ILK981897 IBO981808:IBO981897 HRS981808:HRS981897 HHW981808:HHW981897 GYA981808:GYA981897 GOE981808:GOE981897 GEI981808:GEI981897 FUM981808:FUM981897 FKQ981808:FKQ981897 FAU981808:FAU981897 EQY981808:EQY981897 EHC981808:EHC981897 DXG981808:DXG981897 DNK981808:DNK981897 DDO981808:DDO981897 CTS981808:CTS981897 CJW981808:CJW981897 CAA981808:CAA981897 BQE981808:BQE981897 BGI981808:BGI981897 AWM981808:AWM981897 AMQ981808:AMQ981897 ACU981808:ACU981897 SY981808:SY981897 JC981808:JC981897 G981817:G981906 WVO916272:WVO916361 WLS916272:WLS916361 WBW916272:WBW916361 VSA916272:VSA916361 VIE916272:VIE916361 UYI916272:UYI916361 UOM916272:UOM916361 UEQ916272:UEQ916361 TUU916272:TUU916361 TKY916272:TKY916361 TBC916272:TBC916361 SRG916272:SRG916361 SHK916272:SHK916361 RXO916272:RXO916361 RNS916272:RNS916361 RDW916272:RDW916361 QUA916272:QUA916361 QKE916272:QKE916361 QAI916272:QAI916361 PQM916272:PQM916361 PGQ916272:PGQ916361 OWU916272:OWU916361 OMY916272:OMY916361 ODC916272:ODC916361 NTG916272:NTG916361 NJK916272:NJK916361 MZO916272:MZO916361 MPS916272:MPS916361 MFW916272:MFW916361 LWA916272:LWA916361 LME916272:LME916361 LCI916272:LCI916361 KSM916272:KSM916361 KIQ916272:KIQ916361 JYU916272:JYU916361 JOY916272:JOY916361 JFC916272:JFC916361 IVG916272:IVG916361 ILK916272:ILK916361 IBO916272:IBO916361 HRS916272:HRS916361 HHW916272:HHW916361 GYA916272:GYA916361 GOE916272:GOE916361 GEI916272:GEI916361 FUM916272:FUM916361 FKQ916272:FKQ916361 FAU916272:FAU916361 EQY916272:EQY916361 EHC916272:EHC916361 DXG916272:DXG916361 DNK916272:DNK916361 DDO916272:DDO916361 CTS916272:CTS916361 CJW916272:CJW916361 CAA916272:CAA916361 BQE916272:BQE916361 BGI916272:BGI916361 AWM916272:AWM916361 AMQ916272:AMQ916361 ACU916272:ACU916361 SY916272:SY916361 JC916272:JC916361 G916281:G916370 WVO850736:WVO850825 WLS850736:WLS850825 WBW850736:WBW850825 VSA850736:VSA850825 VIE850736:VIE850825 UYI850736:UYI850825 UOM850736:UOM850825 UEQ850736:UEQ850825 TUU850736:TUU850825 TKY850736:TKY850825 TBC850736:TBC850825 SRG850736:SRG850825 SHK850736:SHK850825 RXO850736:RXO850825 RNS850736:RNS850825 RDW850736:RDW850825 QUA850736:QUA850825 QKE850736:QKE850825 QAI850736:QAI850825 PQM850736:PQM850825 PGQ850736:PGQ850825 OWU850736:OWU850825 OMY850736:OMY850825 ODC850736:ODC850825 NTG850736:NTG850825 NJK850736:NJK850825 MZO850736:MZO850825 MPS850736:MPS850825 MFW850736:MFW850825 LWA850736:LWA850825 LME850736:LME850825 LCI850736:LCI850825 KSM850736:KSM850825 KIQ850736:KIQ850825 JYU850736:JYU850825 JOY850736:JOY850825 JFC850736:JFC850825 IVG850736:IVG850825 ILK850736:ILK850825 IBO850736:IBO850825 HRS850736:HRS850825 HHW850736:HHW850825 GYA850736:GYA850825 GOE850736:GOE850825 GEI850736:GEI850825 FUM850736:FUM850825 FKQ850736:FKQ850825 FAU850736:FAU850825 EQY850736:EQY850825 EHC850736:EHC850825 DXG850736:DXG850825 DNK850736:DNK850825 DDO850736:DDO850825 CTS850736:CTS850825 CJW850736:CJW850825 CAA850736:CAA850825 BQE850736:BQE850825 BGI850736:BGI850825 AWM850736:AWM850825 AMQ850736:AMQ850825 ACU850736:ACU850825 SY850736:SY850825 JC850736:JC850825 G850745:G850834 WVO785200:WVO785289 WLS785200:WLS785289 WBW785200:WBW785289 VSA785200:VSA785289 VIE785200:VIE785289 UYI785200:UYI785289 UOM785200:UOM785289 UEQ785200:UEQ785289 TUU785200:TUU785289 TKY785200:TKY785289 TBC785200:TBC785289 SRG785200:SRG785289 SHK785200:SHK785289 RXO785200:RXO785289 RNS785200:RNS785289 RDW785200:RDW785289 QUA785200:QUA785289 QKE785200:QKE785289 QAI785200:QAI785289 PQM785200:PQM785289 PGQ785200:PGQ785289 OWU785200:OWU785289 OMY785200:OMY785289 ODC785200:ODC785289 NTG785200:NTG785289 NJK785200:NJK785289 MZO785200:MZO785289 MPS785200:MPS785289 MFW785200:MFW785289 LWA785200:LWA785289 LME785200:LME785289 LCI785200:LCI785289 KSM785200:KSM785289 KIQ785200:KIQ785289 JYU785200:JYU785289 JOY785200:JOY785289 JFC785200:JFC785289 IVG785200:IVG785289 ILK785200:ILK785289 IBO785200:IBO785289 HRS785200:HRS785289 HHW785200:HHW785289 GYA785200:GYA785289 GOE785200:GOE785289 GEI785200:GEI785289 FUM785200:FUM785289 FKQ785200:FKQ785289 FAU785200:FAU785289 EQY785200:EQY785289 EHC785200:EHC785289 DXG785200:DXG785289 DNK785200:DNK785289 DDO785200:DDO785289 CTS785200:CTS785289 CJW785200:CJW785289 CAA785200:CAA785289 BQE785200:BQE785289 BGI785200:BGI785289 AWM785200:AWM785289 AMQ785200:AMQ785289 ACU785200:ACU785289 SY785200:SY785289 JC785200:JC785289 G785209:G785298 WVO719664:WVO719753 WLS719664:WLS719753 WBW719664:WBW719753 VSA719664:VSA719753 VIE719664:VIE719753 UYI719664:UYI719753 UOM719664:UOM719753 UEQ719664:UEQ719753 TUU719664:TUU719753 TKY719664:TKY719753 TBC719664:TBC719753 SRG719664:SRG719753 SHK719664:SHK719753 RXO719664:RXO719753 RNS719664:RNS719753 RDW719664:RDW719753 QUA719664:QUA719753 QKE719664:QKE719753 QAI719664:QAI719753 PQM719664:PQM719753 PGQ719664:PGQ719753 OWU719664:OWU719753 OMY719664:OMY719753 ODC719664:ODC719753 NTG719664:NTG719753 NJK719664:NJK719753 MZO719664:MZO719753 MPS719664:MPS719753 MFW719664:MFW719753 LWA719664:LWA719753 LME719664:LME719753 LCI719664:LCI719753 KSM719664:KSM719753 KIQ719664:KIQ719753 JYU719664:JYU719753 JOY719664:JOY719753 JFC719664:JFC719753 IVG719664:IVG719753 ILK719664:ILK719753 IBO719664:IBO719753 HRS719664:HRS719753 HHW719664:HHW719753 GYA719664:GYA719753 GOE719664:GOE719753 GEI719664:GEI719753 FUM719664:FUM719753 FKQ719664:FKQ719753 FAU719664:FAU719753 EQY719664:EQY719753 EHC719664:EHC719753 DXG719664:DXG719753 DNK719664:DNK719753 DDO719664:DDO719753 CTS719664:CTS719753 CJW719664:CJW719753 CAA719664:CAA719753 BQE719664:BQE719753 BGI719664:BGI719753 AWM719664:AWM719753 AMQ719664:AMQ719753 ACU719664:ACU719753 SY719664:SY719753 JC719664:JC719753 G719673:G719762 WVO654128:WVO654217 WLS654128:WLS654217 WBW654128:WBW654217 VSA654128:VSA654217 VIE654128:VIE654217 UYI654128:UYI654217 UOM654128:UOM654217 UEQ654128:UEQ654217 TUU654128:TUU654217 TKY654128:TKY654217 TBC654128:TBC654217 SRG654128:SRG654217 SHK654128:SHK654217 RXO654128:RXO654217 RNS654128:RNS654217 RDW654128:RDW654217 QUA654128:QUA654217 QKE654128:QKE654217 QAI654128:QAI654217 PQM654128:PQM654217 PGQ654128:PGQ654217 OWU654128:OWU654217 OMY654128:OMY654217 ODC654128:ODC654217 NTG654128:NTG654217 NJK654128:NJK654217 MZO654128:MZO654217 MPS654128:MPS654217 MFW654128:MFW654217 LWA654128:LWA654217 LME654128:LME654217 LCI654128:LCI654217 KSM654128:KSM654217 KIQ654128:KIQ654217 JYU654128:JYU654217 JOY654128:JOY654217 JFC654128:JFC654217 IVG654128:IVG654217 ILK654128:ILK654217 IBO654128:IBO654217 HRS654128:HRS654217 HHW654128:HHW654217 GYA654128:GYA654217 GOE654128:GOE654217 GEI654128:GEI654217 FUM654128:FUM654217 FKQ654128:FKQ654217 FAU654128:FAU654217 EQY654128:EQY654217 EHC654128:EHC654217 DXG654128:DXG654217 DNK654128:DNK654217 DDO654128:DDO654217 CTS654128:CTS654217 CJW654128:CJW654217 CAA654128:CAA654217 BQE654128:BQE654217 BGI654128:BGI654217 AWM654128:AWM654217 AMQ654128:AMQ654217 ACU654128:ACU654217 SY654128:SY654217 JC654128:JC654217 G654137:G654226 WVO588592:WVO588681 WLS588592:WLS588681 WBW588592:WBW588681 VSA588592:VSA588681 VIE588592:VIE588681 UYI588592:UYI588681 UOM588592:UOM588681 UEQ588592:UEQ588681 TUU588592:TUU588681 TKY588592:TKY588681 TBC588592:TBC588681 SRG588592:SRG588681 SHK588592:SHK588681 RXO588592:RXO588681 RNS588592:RNS588681 RDW588592:RDW588681 QUA588592:QUA588681 QKE588592:QKE588681 QAI588592:QAI588681 PQM588592:PQM588681 PGQ588592:PGQ588681 OWU588592:OWU588681 OMY588592:OMY588681 ODC588592:ODC588681 NTG588592:NTG588681 NJK588592:NJK588681 MZO588592:MZO588681 MPS588592:MPS588681 MFW588592:MFW588681 LWA588592:LWA588681 LME588592:LME588681 LCI588592:LCI588681 KSM588592:KSM588681 KIQ588592:KIQ588681 JYU588592:JYU588681 JOY588592:JOY588681 JFC588592:JFC588681 IVG588592:IVG588681 ILK588592:ILK588681 IBO588592:IBO588681 HRS588592:HRS588681 HHW588592:HHW588681 GYA588592:GYA588681 GOE588592:GOE588681 GEI588592:GEI588681 FUM588592:FUM588681 FKQ588592:FKQ588681 FAU588592:FAU588681 EQY588592:EQY588681 EHC588592:EHC588681 DXG588592:DXG588681 DNK588592:DNK588681 DDO588592:DDO588681 CTS588592:CTS588681 CJW588592:CJW588681 CAA588592:CAA588681 BQE588592:BQE588681 BGI588592:BGI588681 AWM588592:AWM588681 AMQ588592:AMQ588681 ACU588592:ACU588681 SY588592:SY588681 JC588592:JC588681 G588601:G588690 WVO523056:WVO523145 WLS523056:WLS523145 WBW523056:WBW523145 VSA523056:VSA523145 VIE523056:VIE523145 UYI523056:UYI523145 UOM523056:UOM523145 UEQ523056:UEQ523145 TUU523056:TUU523145 TKY523056:TKY523145 TBC523056:TBC523145 SRG523056:SRG523145 SHK523056:SHK523145 RXO523056:RXO523145 RNS523056:RNS523145 RDW523056:RDW523145 QUA523056:QUA523145 QKE523056:QKE523145 QAI523056:QAI523145 PQM523056:PQM523145 PGQ523056:PGQ523145 OWU523056:OWU523145 OMY523056:OMY523145 ODC523056:ODC523145 NTG523056:NTG523145 NJK523056:NJK523145 MZO523056:MZO523145 MPS523056:MPS523145 MFW523056:MFW523145 LWA523056:LWA523145 LME523056:LME523145 LCI523056:LCI523145 KSM523056:KSM523145 KIQ523056:KIQ523145 JYU523056:JYU523145 JOY523056:JOY523145 JFC523056:JFC523145 IVG523056:IVG523145 ILK523056:ILK523145 IBO523056:IBO523145 HRS523056:HRS523145 HHW523056:HHW523145 GYA523056:GYA523145 GOE523056:GOE523145 GEI523056:GEI523145 FUM523056:FUM523145 FKQ523056:FKQ523145 FAU523056:FAU523145 EQY523056:EQY523145 EHC523056:EHC523145 DXG523056:DXG523145 DNK523056:DNK523145 DDO523056:DDO523145 CTS523056:CTS523145 CJW523056:CJW523145 CAA523056:CAA523145 BQE523056:BQE523145 BGI523056:BGI523145 AWM523056:AWM523145 AMQ523056:AMQ523145 ACU523056:ACU523145 SY523056:SY523145 JC523056:JC523145 G523065:G523154 WVO457520:WVO457609 WLS457520:WLS457609 WBW457520:WBW457609 VSA457520:VSA457609 VIE457520:VIE457609 UYI457520:UYI457609 UOM457520:UOM457609 UEQ457520:UEQ457609 TUU457520:TUU457609 TKY457520:TKY457609 TBC457520:TBC457609 SRG457520:SRG457609 SHK457520:SHK457609 RXO457520:RXO457609 RNS457520:RNS457609 RDW457520:RDW457609 QUA457520:QUA457609 QKE457520:QKE457609 QAI457520:QAI457609 PQM457520:PQM457609 PGQ457520:PGQ457609 OWU457520:OWU457609 OMY457520:OMY457609 ODC457520:ODC457609 NTG457520:NTG457609 NJK457520:NJK457609 MZO457520:MZO457609 MPS457520:MPS457609 MFW457520:MFW457609 LWA457520:LWA457609 LME457520:LME457609 LCI457520:LCI457609 KSM457520:KSM457609 KIQ457520:KIQ457609 JYU457520:JYU457609 JOY457520:JOY457609 JFC457520:JFC457609 IVG457520:IVG457609 ILK457520:ILK457609 IBO457520:IBO457609 HRS457520:HRS457609 HHW457520:HHW457609 GYA457520:GYA457609 GOE457520:GOE457609 GEI457520:GEI457609 FUM457520:FUM457609 FKQ457520:FKQ457609 FAU457520:FAU457609 EQY457520:EQY457609 EHC457520:EHC457609 DXG457520:DXG457609 DNK457520:DNK457609 DDO457520:DDO457609 CTS457520:CTS457609 CJW457520:CJW457609 CAA457520:CAA457609 BQE457520:BQE457609 BGI457520:BGI457609 AWM457520:AWM457609 AMQ457520:AMQ457609 ACU457520:ACU457609 SY457520:SY457609 JC457520:JC457609 G457529:G457618 WVO391984:WVO392073 WLS391984:WLS392073 WBW391984:WBW392073 VSA391984:VSA392073 VIE391984:VIE392073 UYI391984:UYI392073 UOM391984:UOM392073 UEQ391984:UEQ392073 TUU391984:TUU392073 TKY391984:TKY392073 TBC391984:TBC392073 SRG391984:SRG392073 SHK391984:SHK392073 RXO391984:RXO392073 RNS391984:RNS392073 RDW391984:RDW392073 QUA391984:QUA392073 QKE391984:QKE392073 QAI391984:QAI392073 PQM391984:PQM392073 PGQ391984:PGQ392073 OWU391984:OWU392073 OMY391984:OMY392073 ODC391984:ODC392073 NTG391984:NTG392073 NJK391984:NJK392073 MZO391984:MZO392073 MPS391984:MPS392073 MFW391984:MFW392073 LWA391984:LWA392073 LME391984:LME392073 LCI391984:LCI392073 KSM391984:KSM392073 KIQ391984:KIQ392073 JYU391984:JYU392073 JOY391984:JOY392073 JFC391984:JFC392073 IVG391984:IVG392073 ILK391984:ILK392073 IBO391984:IBO392073 HRS391984:HRS392073 HHW391984:HHW392073 GYA391984:GYA392073 GOE391984:GOE392073 GEI391984:GEI392073 FUM391984:FUM392073 FKQ391984:FKQ392073 FAU391984:FAU392073 EQY391984:EQY392073 EHC391984:EHC392073 DXG391984:DXG392073 DNK391984:DNK392073 DDO391984:DDO392073 CTS391984:CTS392073 CJW391984:CJW392073 CAA391984:CAA392073 BQE391984:BQE392073 BGI391984:BGI392073 AWM391984:AWM392073 AMQ391984:AMQ392073 ACU391984:ACU392073 SY391984:SY392073 JC391984:JC392073 G391993:G392082 WVO326448:WVO326537 WLS326448:WLS326537 WBW326448:WBW326537 VSA326448:VSA326537 VIE326448:VIE326537 UYI326448:UYI326537 UOM326448:UOM326537 UEQ326448:UEQ326537 TUU326448:TUU326537 TKY326448:TKY326537 TBC326448:TBC326537 SRG326448:SRG326537 SHK326448:SHK326537 RXO326448:RXO326537 RNS326448:RNS326537 RDW326448:RDW326537 QUA326448:QUA326537 QKE326448:QKE326537 QAI326448:QAI326537 PQM326448:PQM326537 PGQ326448:PGQ326537 OWU326448:OWU326537 OMY326448:OMY326537 ODC326448:ODC326537 NTG326448:NTG326537 NJK326448:NJK326537 MZO326448:MZO326537 MPS326448:MPS326537 MFW326448:MFW326537 LWA326448:LWA326537 LME326448:LME326537 LCI326448:LCI326537 KSM326448:KSM326537 KIQ326448:KIQ326537 JYU326448:JYU326537 JOY326448:JOY326537 JFC326448:JFC326537 IVG326448:IVG326537 ILK326448:ILK326537 IBO326448:IBO326537 HRS326448:HRS326537 HHW326448:HHW326537 GYA326448:GYA326537 GOE326448:GOE326537 GEI326448:GEI326537 FUM326448:FUM326537 FKQ326448:FKQ326537 FAU326448:FAU326537 EQY326448:EQY326537 EHC326448:EHC326537 DXG326448:DXG326537 DNK326448:DNK326537 DDO326448:DDO326537 CTS326448:CTS326537 CJW326448:CJW326537 CAA326448:CAA326537 BQE326448:BQE326537 BGI326448:BGI326537 AWM326448:AWM326537 AMQ326448:AMQ326537 ACU326448:ACU326537 SY326448:SY326537 JC326448:JC326537 G326457:G326546 WVO260912:WVO261001 WLS260912:WLS261001 WBW260912:WBW261001 VSA260912:VSA261001 VIE260912:VIE261001 UYI260912:UYI261001 UOM260912:UOM261001 UEQ260912:UEQ261001 TUU260912:TUU261001 TKY260912:TKY261001 TBC260912:TBC261001 SRG260912:SRG261001 SHK260912:SHK261001 RXO260912:RXO261001 RNS260912:RNS261001 RDW260912:RDW261001 QUA260912:QUA261001 QKE260912:QKE261001 QAI260912:QAI261001 PQM260912:PQM261001 PGQ260912:PGQ261001 OWU260912:OWU261001 OMY260912:OMY261001 ODC260912:ODC261001 NTG260912:NTG261001 NJK260912:NJK261001 MZO260912:MZO261001 MPS260912:MPS261001 MFW260912:MFW261001 LWA260912:LWA261001 LME260912:LME261001 LCI260912:LCI261001 KSM260912:KSM261001 KIQ260912:KIQ261001 JYU260912:JYU261001 JOY260912:JOY261001 JFC260912:JFC261001 IVG260912:IVG261001 ILK260912:ILK261001 IBO260912:IBO261001 HRS260912:HRS261001 HHW260912:HHW261001 GYA260912:GYA261001 GOE260912:GOE261001 GEI260912:GEI261001 FUM260912:FUM261001 FKQ260912:FKQ261001 FAU260912:FAU261001 EQY260912:EQY261001 EHC260912:EHC261001 DXG260912:DXG261001 DNK260912:DNK261001 DDO260912:DDO261001 CTS260912:CTS261001 CJW260912:CJW261001 CAA260912:CAA261001 BQE260912:BQE261001 BGI260912:BGI261001 AWM260912:AWM261001 AMQ260912:AMQ261001 ACU260912:ACU261001 SY260912:SY261001 JC260912:JC261001 G260921:G261010 WVO195376:WVO195465 WLS195376:WLS195465 WBW195376:WBW195465 VSA195376:VSA195465 VIE195376:VIE195465 UYI195376:UYI195465 UOM195376:UOM195465 UEQ195376:UEQ195465 TUU195376:TUU195465 TKY195376:TKY195465 TBC195376:TBC195465 SRG195376:SRG195465 SHK195376:SHK195465 RXO195376:RXO195465 RNS195376:RNS195465 RDW195376:RDW195465 QUA195376:QUA195465 QKE195376:QKE195465 QAI195376:QAI195465 PQM195376:PQM195465 PGQ195376:PGQ195465 OWU195376:OWU195465 OMY195376:OMY195465 ODC195376:ODC195465 NTG195376:NTG195465 NJK195376:NJK195465 MZO195376:MZO195465 MPS195376:MPS195465 MFW195376:MFW195465 LWA195376:LWA195465 LME195376:LME195465 LCI195376:LCI195465 KSM195376:KSM195465 KIQ195376:KIQ195465 JYU195376:JYU195465 JOY195376:JOY195465 JFC195376:JFC195465 IVG195376:IVG195465 ILK195376:ILK195465 IBO195376:IBO195465 HRS195376:HRS195465 HHW195376:HHW195465 GYA195376:GYA195465 GOE195376:GOE195465 GEI195376:GEI195465 FUM195376:FUM195465 FKQ195376:FKQ195465 FAU195376:FAU195465 EQY195376:EQY195465 EHC195376:EHC195465 DXG195376:DXG195465 DNK195376:DNK195465 DDO195376:DDO195465 CTS195376:CTS195465 CJW195376:CJW195465 CAA195376:CAA195465 BQE195376:BQE195465 BGI195376:BGI195465 AWM195376:AWM195465 AMQ195376:AMQ195465 ACU195376:ACU195465 SY195376:SY195465 JC195376:JC195465 G195385:G195474 WVO129840:WVO129929 WLS129840:WLS129929 WBW129840:WBW129929 VSA129840:VSA129929 VIE129840:VIE129929 UYI129840:UYI129929 UOM129840:UOM129929 UEQ129840:UEQ129929 TUU129840:TUU129929 TKY129840:TKY129929 TBC129840:TBC129929 SRG129840:SRG129929 SHK129840:SHK129929 RXO129840:RXO129929 RNS129840:RNS129929 RDW129840:RDW129929 QUA129840:QUA129929 QKE129840:QKE129929 QAI129840:QAI129929 PQM129840:PQM129929 PGQ129840:PGQ129929 OWU129840:OWU129929 OMY129840:OMY129929 ODC129840:ODC129929 NTG129840:NTG129929 NJK129840:NJK129929 MZO129840:MZO129929 MPS129840:MPS129929 MFW129840:MFW129929 LWA129840:LWA129929 LME129840:LME129929 LCI129840:LCI129929 KSM129840:KSM129929 KIQ129840:KIQ129929 JYU129840:JYU129929 JOY129840:JOY129929 JFC129840:JFC129929 IVG129840:IVG129929 ILK129840:ILK129929 IBO129840:IBO129929 HRS129840:HRS129929 HHW129840:HHW129929 GYA129840:GYA129929 GOE129840:GOE129929 GEI129840:GEI129929 FUM129840:FUM129929 FKQ129840:FKQ129929 FAU129840:FAU129929 EQY129840:EQY129929 EHC129840:EHC129929 DXG129840:DXG129929 DNK129840:DNK129929 DDO129840:DDO129929 CTS129840:CTS129929 CJW129840:CJW129929 CAA129840:CAA129929 BQE129840:BQE129929 BGI129840:BGI129929 AWM129840:AWM129929 AMQ129840:AMQ129929 ACU129840:ACU129929 SY129840:SY129929 JC129840:JC129929 G129849:G129938 WVO64304:WVO64393 WLS64304:WLS64393 WBW64304:WBW64393 VSA64304:VSA64393 VIE64304:VIE64393 UYI64304:UYI64393 UOM64304:UOM64393 UEQ64304:UEQ64393 TUU64304:TUU64393 TKY64304:TKY64393 TBC64304:TBC64393 SRG64304:SRG64393 SHK64304:SHK64393 RXO64304:RXO64393 RNS64304:RNS64393 RDW64304:RDW64393 QUA64304:QUA64393 QKE64304:QKE64393 QAI64304:QAI64393 PQM64304:PQM64393 PGQ64304:PGQ64393 OWU64304:OWU64393 OMY64304:OMY64393 ODC64304:ODC64393 NTG64304:NTG64393 NJK64304:NJK64393 MZO64304:MZO64393 MPS64304:MPS64393 MFW64304:MFW64393 LWA64304:LWA64393 LME64304:LME64393 LCI64304:LCI64393 KSM64304:KSM64393 KIQ64304:KIQ64393 JYU64304:JYU64393 JOY64304:JOY64393 JFC64304:JFC64393 IVG64304:IVG64393 ILK64304:ILK64393 IBO64304:IBO64393 HRS64304:HRS64393 HHW64304:HHW64393 GYA64304:GYA64393 GOE64304:GOE64393 GEI64304:GEI64393 FUM64304:FUM64393 FKQ64304:FKQ64393 FAU64304:FAU64393 EQY64304:EQY64393 EHC64304:EHC64393 DXG64304:DXG64393 DNK64304:DNK64393 DDO64304:DDO64393 CTS64304:CTS64393 CJW64304:CJW64393 CAA64304:CAA64393 BQE64304:BQE64393 BGI64304:BGI64393 AWM64304:AWM64393 AMQ64304:AMQ64393 ACU64304:ACU64393 SY64304:SY64393 JC64304:JC64393 G64313:G64402 G99:G503 G2:G97 SY2:SY76 ACU2:ACU76 AMQ2:AMQ76 AWM2:AWM76 BGI2:BGI76 BQE2:BQE76 CAA2:CAA76 CJW2:CJW76 CTS2:CTS76 DDO2:DDO76 DNK2:DNK76 DXG2:DXG76 EHC2:EHC76 EQY2:EQY76 FAU2:FAU76 FKQ2:FKQ76 FUM2:FUM76 GEI2:GEI76 GOE2:GOE76 GYA2:GYA76 HHW2:HHW76 HRS2:HRS76 IBO2:IBO76 ILK2:ILK76 IVG2:IVG76 JFC2:JFC76 JOY2:JOY76 JYU2:JYU76 KIQ2:KIQ76 KSM2:KSM76 LCI2:LCI76 LME2:LME76 LWA2:LWA76 MFW2:MFW76 MPS2:MPS76 MZO2:MZO76 NJK2:NJK76 NTG2:NTG76 ODC2:ODC76 OMY2:OMY76 OWU2:OWU76 PGQ2:PGQ76 PQM2:PQM76 QAI2:QAI76 QKE2:QKE76 QUA2:QUA76 RDW2:RDW76 RNS2:RNS76 RXO2:RXO76 SHK2:SHK76 SRG2:SRG76 TBC2:TBC76 TKY2:TKY76 TUU2:TUU76 UEQ2:UEQ76 UOM2:UOM76 UYI2:UYI76 VIE2:VIE76 VSA2:VSA76 WBW2:WBW76 WLS2:WLS76 WVO2:WVO76 JC2:JC76" xr:uid="{66491E0B-5F6D-40B8-AD1A-4117BA8A00EE}">
      <formula1>$AJ$2:$AJ$4</formula1>
    </dataValidation>
    <dataValidation type="list" allowBlank="1" showInputMessage="1" showErrorMessage="1" sqref="WVP981808:WVP981897 WLT981808:WLT981897 WBX981808:WBX981897 VSB981808:VSB981897 VIF981808:VIF981897 UYJ981808:UYJ981897 UON981808:UON981897 UER981808:UER981897 TUV981808:TUV981897 TKZ981808:TKZ981897 TBD981808:TBD981897 SRH981808:SRH981897 SHL981808:SHL981897 RXP981808:RXP981897 RNT981808:RNT981897 RDX981808:RDX981897 QUB981808:QUB981897 QKF981808:QKF981897 QAJ981808:QAJ981897 PQN981808:PQN981897 PGR981808:PGR981897 OWV981808:OWV981897 OMZ981808:OMZ981897 ODD981808:ODD981897 NTH981808:NTH981897 NJL981808:NJL981897 MZP981808:MZP981897 MPT981808:MPT981897 MFX981808:MFX981897 LWB981808:LWB981897 LMF981808:LMF981897 LCJ981808:LCJ981897 KSN981808:KSN981897 KIR981808:KIR981897 JYV981808:JYV981897 JOZ981808:JOZ981897 JFD981808:JFD981897 IVH981808:IVH981897 ILL981808:ILL981897 IBP981808:IBP981897 HRT981808:HRT981897 HHX981808:HHX981897 GYB981808:GYB981897 GOF981808:GOF981897 GEJ981808:GEJ981897 FUN981808:FUN981897 FKR981808:FKR981897 FAV981808:FAV981897 EQZ981808:EQZ981897 EHD981808:EHD981897 DXH981808:DXH981897 DNL981808:DNL981897 DDP981808:DDP981897 CTT981808:CTT981897 CJX981808:CJX981897 CAB981808:CAB981897 BQF981808:BQF981897 BGJ981808:BGJ981897 AWN981808:AWN981897 AMR981808:AMR981897 ACV981808:ACV981897 SZ981808:SZ981897 JD981808:JD981897 H981829:H981918 WVP916272:WVP916361 WLT916272:WLT916361 WBX916272:WBX916361 VSB916272:VSB916361 VIF916272:VIF916361 UYJ916272:UYJ916361 UON916272:UON916361 UER916272:UER916361 TUV916272:TUV916361 TKZ916272:TKZ916361 TBD916272:TBD916361 SRH916272:SRH916361 SHL916272:SHL916361 RXP916272:RXP916361 RNT916272:RNT916361 RDX916272:RDX916361 QUB916272:QUB916361 QKF916272:QKF916361 QAJ916272:QAJ916361 PQN916272:PQN916361 PGR916272:PGR916361 OWV916272:OWV916361 OMZ916272:OMZ916361 ODD916272:ODD916361 NTH916272:NTH916361 NJL916272:NJL916361 MZP916272:MZP916361 MPT916272:MPT916361 MFX916272:MFX916361 LWB916272:LWB916361 LMF916272:LMF916361 LCJ916272:LCJ916361 KSN916272:KSN916361 KIR916272:KIR916361 JYV916272:JYV916361 JOZ916272:JOZ916361 JFD916272:JFD916361 IVH916272:IVH916361 ILL916272:ILL916361 IBP916272:IBP916361 HRT916272:HRT916361 HHX916272:HHX916361 GYB916272:GYB916361 GOF916272:GOF916361 GEJ916272:GEJ916361 FUN916272:FUN916361 FKR916272:FKR916361 FAV916272:FAV916361 EQZ916272:EQZ916361 EHD916272:EHD916361 DXH916272:DXH916361 DNL916272:DNL916361 DDP916272:DDP916361 CTT916272:CTT916361 CJX916272:CJX916361 CAB916272:CAB916361 BQF916272:BQF916361 BGJ916272:BGJ916361 AWN916272:AWN916361 AMR916272:AMR916361 ACV916272:ACV916361 SZ916272:SZ916361 JD916272:JD916361 H916293:H916382 WVP850736:WVP850825 WLT850736:WLT850825 WBX850736:WBX850825 VSB850736:VSB850825 VIF850736:VIF850825 UYJ850736:UYJ850825 UON850736:UON850825 UER850736:UER850825 TUV850736:TUV850825 TKZ850736:TKZ850825 TBD850736:TBD850825 SRH850736:SRH850825 SHL850736:SHL850825 RXP850736:RXP850825 RNT850736:RNT850825 RDX850736:RDX850825 QUB850736:QUB850825 QKF850736:QKF850825 QAJ850736:QAJ850825 PQN850736:PQN850825 PGR850736:PGR850825 OWV850736:OWV850825 OMZ850736:OMZ850825 ODD850736:ODD850825 NTH850736:NTH850825 NJL850736:NJL850825 MZP850736:MZP850825 MPT850736:MPT850825 MFX850736:MFX850825 LWB850736:LWB850825 LMF850736:LMF850825 LCJ850736:LCJ850825 KSN850736:KSN850825 KIR850736:KIR850825 JYV850736:JYV850825 JOZ850736:JOZ850825 JFD850736:JFD850825 IVH850736:IVH850825 ILL850736:ILL850825 IBP850736:IBP850825 HRT850736:HRT850825 HHX850736:HHX850825 GYB850736:GYB850825 GOF850736:GOF850825 GEJ850736:GEJ850825 FUN850736:FUN850825 FKR850736:FKR850825 FAV850736:FAV850825 EQZ850736:EQZ850825 EHD850736:EHD850825 DXH850736:DXH850825 DNL850736:DNL850825 DDP850736:DDP850825 CTT850736:CTT850825 CJX850736:CJX850825 CAB850736:CAB850825 BQF850736:BQF850825 BGJ850736:BGJ850825 AWN850736:AWN850825 AMR850736:AMR850825 ACV850736:ACV850825 SZ850736:SZ850825 JD850736:JD850825 H850757:H850846 WVP785200:WVP785289 WLT785200:WLT785289 WBX785200:WBX785289 VSB785200:VSB785289 VIF785200:VIF785289 UYJ785200:UYJ785289 UON785200:UON785289 UER785200:UER785289 TUV785200:TUV785289 TKZ785200:TKZ785289 TBD785200:TBD785289 SRH785200:SRH785289 SHL785200:SHL785289 RXP785200:RXP785289 RNT785200:RNT785289 RDX785200:RDX785289 QUB785200:QUB785289 QKF785200:QKF785289 QAJ785200:QAJ785289 PQN785200:PQN785289 PGR785200:PGR785289 OWV785200:OWV785289 OMZ785200:OMZ785289 ODD785200:ODD785289 NTH785200:NTH785289 NJL785200:NJL785289 MZP785200:MZP785289 MPT785200:MPT785289 MFX785200:MFX785289 LWB785200:LWB785289 LMF785200:LMF785289 LCJ785200:LCJ785289 KSN785200:KSN785289 KIR785200:KIR785289 JYV785200:JYV785289 JOZ785200:JOZ785289 JFD785200:JFD785289 IVH785200:IVH785289 ILL785200:ILL785289 IBP785200:IBP785289 HRT785200:HRT785289 HHX785200:HHX785289 GYB785200:GYB785289 GOF785200:GOF785289 GEJ785200:GEJ785289 FUN785200:FUN785289 FKR785200:FKR785289 FAV785200:FAV785289 EQZ785200:EQZ785289 EHD785200:EHD785289 DXH785200:DXH785289 DNL785200:DNL785289 DDP785200:DDP785289 CTT785200:CTT785289 CJX785200:CJX785289 CAB785200:CAB785289 BQF785200:BQF785289 BGJ785200:BGJ785289 AWN785200:AWN785289 AMR785200:AMR785289 ACV785200:ACV785289 SZ785200:SZ785289 JD785200:JD785289 H785221:H785310 WVP719664:WVP719753 WLT719664:WLT719753 WBX719664:WBX719753 VSB719664:VSB719753 VIF719664:VIF719753 UYJ719664:UYJ719753 UON719664:UON719753 UER719664:UER719753 TUV719664:TUV719753 TKZ719664:TKZ719753 TBD719664:TBD719753 SRH719664:SRH719753 SHL719664:SHL719753 RXP719664:RXP719753 RNT719664:RNT719753 RDX719664:RDX719753 QUB719664:QUB719753 QKF719664:QKF719753 QAJ719664:QAJ719753 PQN719664:PQN719753 PGR719664:PGR719753 OWV719664:OWV719753 OMZ719664:OMZ719753 ODD719664:ODD719753 NTH719664:NTH719753 NJL719664:NJL719753 MZP719664:MZP719753 MPT719664:MPT719753 MFX719664:MFX719753 LWB719664:LWB719753 LMF719664:LMF719753 LCJ719664:LCJ719753 KSN719664:KSN719753 KIR719664:KIR719753 JYV719664:JYV719753 JOZ719664:JOZ719753 JFD719664:JFD719753 IVH719664:IVH719753 ILL719664:ILL719753 IBP719664:IBP719753 HRT719664:HRT719753 HHX719664:HHX719753 GYB719664:GYB719753 GOF719664:GOF719753 GEJ719664:GEJ719753 FUN719664:FUN719753 FKR719664:FKR719753 FAV719664:FAV719753 EQZ719664:EQZ719753 EHD719664:EHD719753 DXH719664:DXH719753 DNL719664:DNL719753 DDP719664:DDP719753 CTT719664:CTT719753 CJX719664:CJX719753 CAB719664:CAB719753 BQF719664:BQF719753 BGJ719664:BGJ719753 AWN719664:AWN719753 AMR719664:AMR719753 ACV719664:ACV719753 SZ719664:SZ719753 JD719664:JD719753 H719685:H719774 WVP654128:WVP654217 WLT654128:WLT654217 WBX654128:WBX654217 VSB654128:VSB654217 VIF654128:VIF654217 UYJ654128:UYJ654217 UON654128:UON654217 UER654128:UER654217 TUV654128:TUV654217 TKZ654128:TKZ654217 TBD654128:TBD654217 SRH654128:SRH654217 SHL654128:SHL654217 RXP654128:RXP654217 RNT654128:RNT654217 RDX654128:RDX654217 QUB654128:QUB654217 QKF654128:QKF654217 QAJ654128:QAJ654217 PQN654128:PQN654217 PGR654128:PGR654217 OWV654128:OWV654217 OMZ654128:OMZ654217 ODD654128:ODD654217 NTH654128:NTH654217 NJL654128:NJL654217 MZP654128:MZP654217 MPT654128:MPT654217 MFX654128:MFX654217 LWB654128:LWB654217 LMF654128:LMF654217 LCJ654128:LCJ654217 KSN654128:KSN654217 KIR654128:KIR654217 JYV654128:JYV654217 JOZ654128:JOZ654217 JFD654128:JFD654217 IVH654128:IVH654217 ILL654128:ILL654217 IBP654128:IBP654217 HRT654128:HRT654217 HHX654128:HHX654217 GYB654128:GYB654217 GOF654128:GOF654217 GEJ654128:GEJ654217 FUN654128:FUN654217 FKR654128:FKR654217 FAV654128:FAV654217 EQZ654128:EQZ654217 EHD654128:EHD654217 DXH654128:DXH654217 DNL654128:DNL654217 DDP654128:DDP654217 CTT654128:CTT654217 CJX654128:CJX654217 CAB654128:CAB654217 BQF654128:BQF654217 BGJ654128:BGJ654217 AWN654128:AWN654217 AMR654128:AMR654217 ACV654128:ACV654217 SZ654128:SZ654217 JD654128:JD654217 H654149:H654238 WVP588592:WVP588681 WLT588592:WLT588681 WBX588592:WBX588681 VSB588592:VSB588681 VIF588592:VIF588681 UYJ588592:UYJ588681 UON588592:UON588681 UER588592:UER588681 TUV588592:TUV588681 TKZ588592:TKZ588681 TBD588592:TBD588681 SRH588592:SRH588681 SHL588592:SHL588681 RXP588592:RXP588681 RNT588592:RNT588681 RDX588592:RDX588681 QUB588592:QUB588681 QKF588592:QKF588681 QAJ588592:QAJ588681 PQN588592:PQN588681 PGR588592:PGR588681 OWV588592:OWV588681 OMZ588592:OMZ588681 ODD588592:ODD588681 NTH588592:NTH588681 NJL588592:NJL588681 MZP588592:MZP588681 MPT588592:MPT588681 MFX588592:MFX588681 LWB588592:LWB588681 LMF588592:LMF588681 LCJ588592:LCJ588681 KSN588592:KSN588681 KIR588592:KIR588681 JYV588592:JYV588681 JOZ588592:JOZ588681 JFD588592:JFD588681 IVH588592:IVH588681 ILL588592:ILL588681 IBP588592:IBP588681 HRT588592:HRT588681 HHX588592:HHX588681 GYB588592:GYB588681 GOF588592:GOF588681 GEJ588592:GEJ588681 FUN588592:FUN588681 FKR588592:FKR588681 FAV588592:FAV588681 EQZ588592:EQZ588681 EHD588592:EHD588681 DXH588592:DXH588681 DNL588592:DNL588681 DDP588592:DDP588681 CTT588592:CTT588681 CJX588592:CJX588681 CAB588592:CAB588681 BQF588592:BQF588681 BGJ588592:BGJ588681 AWN588592:AWN588681 AMR588592:AMR588681 ACV588592:ACV588681 SZ588592:SZ588681 JD588592:JD588681 H588613:H588702 WVP523056:WVP523145 WLT523056:WLT523145 WBX523056:WBX523145 VSB523056:VSB523145 VIF523056:VIF523145 UYJ523056:UYJ523145 UON523056:UON523145 UER523056:UER523145 TUV523056:TUV523145 TKZ523056:TKZ523145 TBD523056:TBD523145 SRH523056:SRH523145 SHL523056:SHL523145 RXP523056:RXP523145 RNT523056:RNT523145 RDX523056:RDX523145 QUB523056:QUB523145 QKF523056:QKF523145 QAJ523056:QAJ523145 PQN523056:PQN523145 PGR523056:PGR523145 OWV523056:OWV523145 OMZ523056:OMZ523145 ODD523056:ODD523145 NTH523056:NTH523145 NJL523056:NJL523145 MZP523056:MZP523145 MPT523056:MPT523145 MFX523056:MFX523145 LWB523056:LWB523145 LMF523056:LMF523145 LCJ523056:LCJ523145 KSN523056:KSN523145 KIR523056:KIR523145 JYV523056:JYV523145 JOZ523056:JOZ523145 JFD523056:JFD523145 IVH523056:IVH523145 ILL523056:ILL523145 IBP523056:IBP523145 HRT523056:HRT523145 HHX523056:HHX523145 GYB523056:GYB523145 GOF523056:GOF523145 GEJ523056:GEJ523145 FUN523056:FUN523145 FKR523056:FKR523145 FAV523056:FAV523145 EQZ523056:EQZ523145 EHD523056:EHD523145 DXH523056:DXH523145 DNL523056:DNL523145 DDP523056:DDP523145 CTT523056:CTT523145 CJX523056:CJX523145 CAB523056:CAB523145 BQF523056:BQF523145 BGJ523056:BGJ523145 AWN523056:AWN523145 AMR523056:AMR523145 ACV523056:ACV523145 SZ523056:SZ523145 JD523056:JD523145 H523077:H523166 WVP457520:WVP457609 WLT457520:WLT457609 WBX457520:WBX457609 VSB457520:VSB457609 VIF457520:VIF457609 UYJ457520:UYJ457609 UON457520:UON457609 UER457520:UER457609 TUV457520:TUV457609 TKZ457520:TKZ457609 TBD457520:TBD457609 SRH457520:SRH457609 SHL457520:SHL457609 RXP457520:RXP457609 RNT457520:RNT457609 RDX457520:RDX457609 QUB457520:QUB457609 QKF457520:QKF457609 QAJ457520:QAJ457609 PQN457520:PQN457609 PGR457520:PGR457609 OWV457520:OWV457609 OMZ457520:OMZ457609 ODD457520:ODD457609 NTH457520:NTH457609 NJL457520:NJL457609 MZP457520:MZP457609 MPT457520:MPT457609 MFX457520:MFX457609 LWB457520:LWB457609 LMF457520:LMF457609 LCJ457520:LCJ457609 KSN457520:KSN457609 KIR457520:KIR457609 JYV457520:JYV457609 JOZ457520:JOZ457609 JFD457520:JFD457609 IVH457520:IVH457609 ILL457520:ILL457609 IBP457520:IBP457609 HRT457520:HRT457609 HHX457520:HHX457609 GYB457520:GYB457609 GOF457520:GOF457609 GEJ457520:GEJ457609 FUN457520:FUN457609 FKR457520:FKR457609 FAV457520:FAV457609 EQZ457520:EQZ457609 EHD457520:EHD457609 DXH457520:DXH457609 DNL457520:DNL457609 DDP457520:DDP457609 CTT457520:CTT457609 CJX457520:CJX457609 CAB457520:CAB457609 BQF457520:BQF457609 BGJ457520:BGJ457609 AWN457520:AWN457609 AMR457520:AMR457609 ACV457520:ACV457609 SZ457520:SZ457609 JD457520:JD457609 H457541:H457630 WVP391984:WVP392073 WLT391984:WLT392073 WBX391984:WBX392073 VSB391984:VSB392073 VIF391984:VIF392073 UYJ391984:UYJ392073 UON391984:UON392073 UER391984:UER392073 TUV391984:TUV392073 TKZ391984:TKZ392073 TBD391984:TBD392073 SRH391984:SRH392073 SHL391984:SHL392073 RXP391984:RXP392073 RNT391984:RNT392073 RDX391984:RDX392073 QUB391984:QUB392073 QKF391984:QKF392073 QAJ391984:QAJ392073 PQN391984:PQN392073 PGR391984:PGR392073 OWV391984:OWV392073 OMZ391984:OMZ392073 ODD391984:ODD392073 NTH391984:NTH392073 NJL391984:NJL392073 MZP391984:MZP392073 MPT391984:MPT392073 MFX391984:MFX392073 LWB391984:LWB392073 LMF391984:LMF392073 LCJ391984:LCJ392073 KSN391984:KSN392073 KIR391984:KIR392073 JYV391984:JYV392073 JOZ391984:JOZ392073 JFD391984:JFD392073 IVH391984:IVH392073 ILL391984:ILL392073 IBP391984:IBP392073 HRT391984:HRT392073 HHX391984:HHX392073 GYB391984:GYB392073 GOF391984:GOF392073 GEJ391984:GEJ392073 FUN391984:FUN392073 FKR391984:FKR392073 FAV391984:FAV392073 EQZ391984:EQZ392073 EHD391984:EHD392073 DXH391984:DXH392073 DNL391984:DNL392073 DDP391984:DDP392073 CTT391984:CTT392073 CJX391984:CJX392073 CAB391984:CAB392073 BQF391984:BQF392073 BGJ391984:BGJ392073 AWN391984:AWN392073 AMR391984:AMR392073 ACV391984:ACV392073 SZ391984:SZ392073 JD391984:JD392073 H392005:H392094 WVP326448:WVP326537 WLT326448:WLT326537 WBX326448:WBX326537 VSB326448:VSB326537 VIF326448:VIF326537 UYJ326448:UYJ326537 UON326448:UON326537 UER326448:UER326537 TUV326448:TUV326537 TKZ326448:TKZ326537 TBD326448:TBD326537 SRH326448:SRH326537 SHL326448:SHL326537 RXP326448:RXP326537 RNT326448:RNT326537 RDX326448:RDX326537 QUB326448:QUB326537 QKF326448:QKF326537 QAJ326448:QAJ326537 PQN326448:PQN326537 PGR326448:PGR326537 OWV326448:OWV326537 OMZ326448:OMZ326537 ODD326448:ODD326537 NTH326448:NTH326537 NJL326448:NJL326537 MZP326448:MZP326537 MPT326448:MPT326537 MFX326448:MFX326537 LWB326448:LWB326537 LMF326448:LMF326537 LCJ326448:LCJ326537 KSN326448:KSN326537 KIR326448:KIR326537 JYV326448:JYV326537 JOZ326448:JOZ326537 JFD326448:JFD326537 IVH326448:IVH326537 ILL326448:ILL326537 IBP326448:IBP326537 HRT326448:HRT326537 HHX326448:HHX326537 GYB326448:GYB326537 GOF326448:GOF326537 GEJ326448:GEJ326537 FUN326448:FUN326537 FKR326448:FKR326537 FAV326448:FAV326537 EQZ326448:EQZ326537 EHD326448:EHD326537 DXH326448:DXH326537 DNL326448:DNL326537 DDP326448:DDP326537 CTT326448:CTT326537 CJX326448:CJX326537 CAB326448:CAB326537 BQF326448:BQF326537 BGJ326448:BGJ326537 AWN326448:AWN326537 AMR326448:AMR326537 ACV326448:ACV326537 SZ326448:SZ326537 JD326448:JD326537 H326469:H326558 WVP260912:WVP261001 WLT260912:WLT261001 WBX260912:WBX261001 VSB260912:VSB261001 VIF260912:VIF261001 UYJ260912:UYJ261001 UON260912:UON261001 UER260912:UER261001 TUV260912:TUV261001 TKZ260912:TKZ261001 TBD260912:TBD261001 SRH260912:SRH261001 SHL260912:SHL261001 RXP260912:RXP261001 RNT260912:RNT261001 RDX260912:RDX261001 QUB260912:QUB261001 QKF260912:QKF261001 QAJ260912:QAJ261001 PQN260912:PQN261001 PGR260912:PGR261001 OWV260912:OWV261001 OMZ260912:OMZ261001 ODD260912:ODD261001 NTH260912:NTH261001 NJL260912:NJL261001 MZP260912:MZP261001 MPT260912:MPT261001 MFX260912:MFX261001 LWB260912:LWB261001 LMF260912:LMF261001 LCJ260912:LCJ261001 KSN260912:KSN261001 KIR260912:KIR261001 JYV260912:JYV261001 JOZ260912:JOZ261001 JFD260912:JFD261001 IVH260912:IVH261001 ILL260912:ILL261001 IBP260912:IBP261001 HRT260912:HRT261001 HHX260912:HHX261001 GYB260912:GYB261001 GOF260912:GOF261001 GEJ260912:GEJ261001 FUN260912:FUN261001 FKR260912:FKR261001 FAV260912:FAV261001 EQZ260912:EQZ261001 EHD260912:EHD261001 DXH260912:DXH261001 DNL260912:DNL261001 DDP260912:DDP261001 CTT260912:CTT261001 CJX260912:CJX261001 CAB260912:CAB261001 BQF260912:BQF261001 BGJ260912:BGJ261001 AWN260912:AWN261001 AMR260912:AMR261001 ACV260912:ACV261001 SZ260912:SZ261001 JD260912:JD261001 H260933:H261022 WVP195376:WVP195465 WLT195376:WLT195465 WBX195376:WBX195465 VSB195376:VSB195465 VIF195376:VIF195465 UYJ195376:UYJ195465 UON195376:UON195465 UER195376:UER195465 TUV195376:TUV195465 TKZ195376:TKZ195465 TBD195376:TBD195465 SRH195376:SRH195465 SHL195376:SHL195465 RXP195376:RXP195465 RNT195376:RNT195465 RDX195376:RDX195465 QUB195376:QUB195465 QKF195376:QKF195465 QAJ195376:QAJ195465 PQN195376:PQN195465 PGR195376:PGR195465 OWV195376:OWV195465 OMZ195376:OMZ195465 ODD195376:ODD195465 NTH195376:NTH195465 NJL195376:NJL195465 MZP195376:MZP195465 MPT195376:MPT195465 MFX195376:MFX195465 LWB195376:LWB195465 LMF195376:LMF195465 LCJ195376:LCJ195465 KSN195376:KSN195465 KIR195376:KIR195465 JYV195376:JYV195465 JOZ195376:JOZ195465 JFD195376:JFD195465 IVH195376:IVH195465 ILL195376:ILL195465 IBP195376:IBP195465 HRT195376:HRT195465 HHX195376:HHX195465 GYB195376:GYB195465 GOF195376:GOF195465 GEJ195376:GEJ195465 FUN195376:FUN195465 FKR195376:FKR195465 FAV195376:FAV195465 EQZ195376:EQZ195465 EHD195376:EHD195465 DXH195376:DXH195465 DNL195376:DNL195465 DDP195376:DDP195465 CTT195376:CTT195465 CJX195376:CJX195465 CAB195376:CAB195465 BQF195376:BQF195465 BGJ195376:BGJ195465 AWN195376:AWN195465 AMR195376:AMR195465 ACV195376:ACV195465 SZ195376:SZ195465 JD195376:JD195465 H195397:H195486 WVP129840:WVP129929 WLT129840:WLT129929 WBX129840:WBX129929 VSB129840:VSB129929 VIF129840:VIF129929 UYJ129840:UYJ129929 UON129840:UON129929 UER129840:UER129929 TUV129840:TUV129929 TKZ129840:TKZ129929 TBD129840:TBD129929 SRH129840:SRH129929 SHL129840:SHL129929 RXP129840:RXP129929 RNT129840:RNT129929 RDX129840:RDX129929 QUB129840:QUB129929 QKF129840:QKF129929 QAJ129840:QAJ129929 PQN129840:PQN129929 PGR129840:PGR129929 OWV129840:OWV129929 OMZ129840:OMZ129929 ODD129840:ODD129929 NTH129840:NTH129929 NJL129840:NJL129929 MZP129840:MZP129929 MPT129840:MPT129929 MFX129840:MFX129929 LWB129840:LWB129929 LMF129840:LMF129929 LCJ129840:LCJ129929 KSN129840:KSN129929 KIR129840:KIR129929 JYV129840:JYV129929 JOZ129840:JOZ129929 JFD129840:JFD129929 IVH129840:IVH129929 ILL129840:ILL129929 IBP129840:IBP129929 HRT129840:HRT129929 HHX129840:HHX129929 GYB129840:GYB129929 GOF129840:GOF129929 GEJ129840:GEJ129929 FUN129840:FUN129929 FKR129840:FKR129929 FAV129840:FAV129929 EQZ129840:EQZ129929 EHD129840:EHD129929 DXH129840:DXH129929 DNL129840:DNL129929 DDP129840:DDP129929 CTT129840:CTT129929 CJX129840:CJX129929 CAB129840:CAB129929 BQF129840:BQF129929 BGJ129840:BGJ129929 AWN129840:AWN129929 AMR129840:AMR129929 ACV129840:ACV129929 SZ129840:SZ129929 JD129840:JD129929 H129861:H129950 WVP64304:WVP64393 WLT64304:WLT64393 WBX64304:WBX64393 VSB64304:VSB64393 VIF64304:VIF64393 UYJ64304:UYJ64393 UON64304:UON64393 UER64304:UER64393 TUV64304:TUV64393 TKZ64304:TKZ64393 TBD64304:TBD64393 SRH64304:SRH64393 SHL64304:SHL64393 RXP64304:RXP64393 RNT64304:RNT64393 RDX64304:RDX64393 QUB64304:QUB64393 QKF64304:QKF64393 QAJ64304:QAJ64393 PQN64304:PQN64393 PGR64304:PGR64393 OWV64304:OWV64393 OMZ64304:OMZ64393 ODD64304:ODD64393 NTH64304:NTH64393 NJL64304:NJL64393 MZP64304:MZP64393 MPT64304:MPT64393 MFX64304:MFX64393 LWB64304:LWB64393 LMF64304:LMF64393 LCJ64304:LCJ64393 KSN64304:KSN64393 KIR64304:KIR64393 JYV64304:JYV64393 JOZ64304:JOZ64393 JFD64304:JFD64393 IVH64304:IVH64393 ILL64304:ILL64393 IBP64304:IBP64393 HRT64304:HRT64393 HHX64304:HHX64393 GYB64304:GYB64393 GOF64304:GOF64393 GEJ64304:GEJ64393 FUN64304:FUN64393 FKR64304:FKR64393 FAV64304:FAV64393 EQZ64304:EQZ64393 EHD64304:EHD64393 DXH64304:DXH64393 DNL64304:DNL64393 DDP64304:DDP64393 CTT64304:CTT64393 CJX64304:CJX64393 CAB64304:CAB64393 BQF64304:BQF64393 BGJ64304:BGJ64393 AWN64304:AWN64393 AMR64304:AMR64393 ACV64304:ACV64393 SZ64304:SZ64393 JD64304:JD64393 H64325:H64414 JD2:JD76 SZ2:SZ76 ACV2:ACV76 AMR2:AMR76 AWN2:AWN76 BGJ2:BGJ76 BQF2:BQF76 CAB2:CAB76 CJX2:CJX76 CTT2:CTT76 DDP2:DDP76 DNL2:DNL76 DXH2:DXH76 EHD2:EHD76 EQZ2:EQZ76 FAV2:FAV76 FKR2:FKR76 FUN2:FUN76 GEJ2:GEJ76 GOF2:GOF76 GYB2:GYB76 HHX2:HHX76 HRT2:HRT76 IBP2:IBP76 ILL2:ILL76 IVH2:IVH76 JFD2:JFD76 JOZ2:JOZ76 JYV2:JYV76 KIR2:KIR76 KSN2:KSN76 LCJ2:LCJ76 LMF2:LMF76 LWB2:LWB76 MFX2:MFX76 MPT2:MPT76 MZP2:MZP76 NJL2:NJL76 NTH2:NTH76 ODD2:ODD76 OMZ2:OMZ76 OWV2:OWV76 PGR2:PGR76 PQN2:PQN76 QAJ2:QAJ76 QKF2:QKF76 QUB2:QUB76 RDX2:RDX76 RNT2:RNT76 RXP2:RXP76 SHL2:SHL76 SRH2:SRH76 TBD2:TBD76 TKZ2:TKZ76 TUV2:TUV76 UER2:UER76 UON2:UON76 UYJ2:UYJ76 VIF2:VIF76 VSB2:VSB76 WBX2:WBX76 WLT2:WLT76 WVP2:WVP76" xr:uid="{9F2A5D7A-3644-4768-BE9A-2F435E1E84FD}">
      <formula1>$AL$8:$AL$13</formula1>
    </dataValidation>
    <dataValidation type="list" allowBlank="1" showInputMessage="1" showErrorMessage="1" sqref="WVQ981808:WVQ981891 WLU981808:WLU981891 WBY981808:WBY981891 VSC981808:VSC981891 VIG981808:VIG981891 UYK981808:UYK981891 UOO981808:UOO981891 UES981808:UES981891 TUW981808:TUW981891 TLA981808:TLA981891 TBE981808:TBE981891 SRI981808:SRI981891 SHM981808:SHM981891 RXQ981808:RXQ981891 RNU981808:RNU981891 RDY981808:RDY981891 QUC981808:QUC981891 QKG981808:QKG981891 QAK981808:QAK981891 PQO981808:PQO981891 PGS981808:PGS981891 OWW981808:OWW981891 ONA981808:ONA981891 ODE981808:ODE981891 NTI981808:NTI981891 NJM981808:NJM981891 MZQ981808:MZQ981891 MPU981808:MPU981891 MFY981808:MFY981891 LWC981808:LWC981891 LMG981808:LMG981891 LCK981808:LCK981891 KSO981808:KSO981891 KIS981808:KIS981891 JYW981808:JYW981891 JPA981808:JPA981891 JFE981808:JFE981891 IVI981808:IVI981891 ILM981808:ILM981891 IBQ981808:IBQ981891 HRU981808:HRU981891 HHY981808:HHY981891 GYC981808:GYC981891 GOG981808:GOG981891 GEK981808:GEK981891 FUO981808:FUO981891 FKS981808:FKS981891 FAW981808:FAW981891 ERA981808:ERA981891 EHE981808:EHE981891 DXI981808:DXI981891 DNM981808:DNM981891 DDQ981808:DDQ981891 CTU981808:CTU981891 CJY981808:CJY981891 CAC981808:CAC981891 BQG981808:BQG981891 BGK981808:BGK981891 AWO981808:AWO981891 AMS981808:AMS981891 ACW981808:ACW981891 TA981808:TA981891 JE981808:JE981891 I981829:I981912 WVQ916272:WVQ916355 WLU916272:WLU916355 WBY916272:WBY916355 VSC916272:VSC916355 VIG916272:VIG916355 UYK916272:UYK916355 UOO916272:UOO916355 UES916272:UES916355 TUW916272:TUW916355 TLA916272:TLA916355 TBE916272:TBE916355 SRI916272:SRI916355 SHM916272:SHM916355 RXQ916272:RXQ916355 RNU916272:RNU916355 RDY916272:RDY916355 QUC916272:QUC916355 QKG916272:QKG916355 QAK916272:QAK916355 PQO916272:PQO916355 PGS916272:PGS916355 OWW916272:OWW916355 ONA916272:ONA916355 ODE916272:ODE916355 NTI916272:NTI916355 NJM916272:NJM916355 MZQ916272:MZQ916355 MPU916272:MPU916355 MFY916272:MFY916355 LWC916272:LWC916355 LMG916272:LMG916355 LCK916272:LCK916355 KSO916272:KSO916355 KIS916272:KIS916355 JYW916272:JYW916355 JPA916272:JPA916355 JFE916272:JFE916355 IVI916272:IVI916355 ILM916272:ILM916355 IBQ916272:IBQ916355 HRU916272:HRU916355 HHY916272:HHY916355 GYC916272:GYC916355 GOG916272:GOG916355 GEK916272:GEK916355 FUO916272:FUO916355 FKS916272:FKS916355 FAW916272:FAW916355 ERA916272:ERA916355 EHE916272:EHE916355 DXI916272:DXI916355 DNM916272:DNM916355 DDQ916272:DDQ916355 CTU916272:CTU916355 CJY916272:CJY916355 CAC916272:CAC916355 BQG916272:BQG916355 BGK916272:BGK916355 AWO916272:AWO916355 AMS916272:AMS916355 ACW916272:ACW916355 TA916272:TA916355 JE916272:JE916355 I916293:I916376 WVQ850736:WVQ850819 WLU850736:WLU850819 WBY850736:WBY850819 VSC850736:VSC850819 VIG850736:VIG850819 UYK850736:UYK850819 UOO850736:UOO850819 UES850736:UES850819 TUW850736:TUW850819 TLA850736:TLA850819 TBE850736:TBE850819 SRI850736:SRI850819 SHM850736:SHM850819 RXQ850736:RXQ850819 RNU850736:RNU850819 RDY850736:RDY850819 QUC850736:QUC850819 QKG850736:QKG850819 QAK850736:QAK850819 PQO850736:PQO850819 PGS850736:PGS850819 OWW850736:OWW850819 ONA850736:ONA850819 ODE850736:ODE850819 NTI850736:NTI850819 NJM850736:NJM850819 MZQ850736:MZQ850819 MPU850736:MPU850819 MFY850736:MFY850819 LWC850736:LWC850819 LMG850736:LMG850819 LCK850736:LCK850819 KSO850736:KSO850819 KIS850736:KIS850819 JYW850736:JYW850819 JPA850736:JPA850819 JFE850736:JFE850819 IVI850736:IVI850819 ILM850736:ILM850819 IBQ850736:IBQ850819 HRU850736:HRU850819 HHY850736:HHY850819 GYC850736:GYC850819 GOG850736:GOG850819 GEK850736:GEK850819 FUO850736:FUO850819 FKS850736:FKS850819 FAW850736:FAW850819 ERA850736:ERA850819 EHE850736:EHE850819 DXI850736:DXI850819 DNM850736:DNM850819 DDQ850736:DDQ850819 CTU850736:CTU850819 CJY850736:CJY850819 CAC850736:CAC850819 BQG850736:BQG850819 BGK850736:BGK850819 AWO850736:AWO850819 AMS850736:AMS850819 ACW850736:ACW850819 TA850736:TA850819 JE850736:JE850819 I850757:I850840 WVQ785200:WVQ785283 WLU785200:WLU785283 WBY785200:WBY785283 VSC785200:VSC785283 VIG785200:VIG785283 UYK785200:UYK785283 UOO785200:UOO785283 UES785200:UES785283 TUW785200:TUW785283 TLA785200:TLA785283 TBE785200:TBE785283 SRI785200:SRI785283 SHM785200:SHM785283 RXQ785200:RXQ785283 RNU785200:RNU785283 RDY785200:RDY785283 QUC785200:QUC785283 QKG785200:QKG785283 QAK785200:QAK785283 PQO785200:PQO785283 PGS785200:PGS785283 OWW785200:OWW785283 ONA785200:ONA785283 ODE785200:ODE785283 NTI785200:NTI785283 NJM785200:NJM785283 MZQ785200:MZQ785283 MPU785200:MPU785283 MFY785200:MFY785283 LWC785200:LWC785283 LMG785200:LMG785283 LCK785200:LCK785283 KSO785200:KSO785283 KIS785200:KIS785283 JYW785200:JYW785283 JPA785200:JPA785283 JFE785200:JFE785283 IVI785200:IVI785283 ILM785200:ILM785283 IBQ785200:IBQ785283 HRU785200:HRU785283 HHY785200:HHY785283 GYC785200:GYC785283 GOG785200:GOG785283 GEK785200:GEK785283 FUO785200:FUO785283 FKS785200:FKS785283 FAW785200:FAW785283 ERA785200:ERA785283 EHE785200:EHE785283 DXI785200:DXI785283 DNM785200:DNM785283 DDQ785200:DDQ785283 CTU785200:CTU785283 CJY785200:CJY785283 CAC785200:CAC785283 BQG785200:BQG785283 BGK785200:BGK785283 AWO785200:AWO785283 AMS785200:AMS785283 ACW785200:ACW785283 TA785200:TA785283 JE785200:JE785283 I785221:I785304 WVQ719664:WVQ719747 WLU719664:WLU719747 WBY719664:WBY719747 VSC719664:VSC719747 VIG719664:VIG719747 UYK719664:UYK719747 UOO719664:UOO719747 UES719664:UES719747 TUW719664:TUW719747 TLA719664:TLA719747 TBE719664:TBE719747 SRI719664:SRI719747 SHM719664:SHM719747 RXQ719664:RXQ719747 RNU719664:RNU719747 RDY719664:RDY719747 QUC719664:QUC719747 QKG719664:QKG719747 QAK719664:QAK719747 PQO719664:PQO719747 PGS719664:PGS719747 OWW719664:OWW719747 ONA719664:ONA719747 ODE719664:ODE719747 NTI719664:NTI719747 NJM719664:NJM719747 MZQ719664:MZQ719747 MPU719664:MPU719747 MFY719664:MFY719747 LWC719664:LWC719747 LMG719664:LMG719747 LCK719664:LCK719747 KSO719664:KSO719747 KIS719664:KIS719747 JYW719664:JYW719747 JPA719664:JPA719747 JFE719664:JFE719747 IVI719664:IVI719747 ILM719664:ILM719747 IBQ719664:IBQ719747 HRU719664:HRU719747 HHY719664:HHY719747 GYC719664:GYC719747 GOG719664:GOG719747 GEK719664:GEK719747 FUO719664:FUO719747 FKS719664:FKS719747 FAW719664:FAW719747 ERA719664:ERA719747 EHE719664:EHE719747 DXI719664:DXI719747 DNM719664:DNM719747 DDQ719664:DDQ719747 CTU719664:CTU719747 CJY719664:CJY719747 CAC719664:CAC719747 BQG719664:BQG719747 BGK719664:BGK719747 AWO719664:AWO719747 AMS719664:AMS719747 ACW719664:ACW719747 TA719664:TA719747 JE719664:JE719747 I719685:I719768 WVQ654128:WVQ654211 WLU654128:WLU654211 WBY654128:WBY654211 VSC654128:VSC654211 VIG654128:VIG654211 UYK654128:UYK654211 UOO654128:UOO654211 UES654128:UES654211 TUW654128:TUW654211 TLA654128:TLA654211 TBE654128:TBE654211 SRI654128:SRI654211 SHM654128:SHM654211 RXQ654128:RXQ654211 RNU654128:RNU654211 RDY654128:RDY654211 QUC654128:QUC654211 QKG654128:QKG654211 QAK654128:QAK654211 PQO654128:PQO654211 PGS654128:PGS654211 OWW654128:OWW654211 ONA654128:ONA654211 ODE654128:ODE654211 NTI654128:NTI654211 NJM654128:NJM654211 MZQ654128:MZQ654211 MPU654128:MPU654211 MFY654128:MFY654211 LWC654128:LWC654211 LMG654128:LMG654211 LCK654128:LCK654211 KSO654128:KSO654211 KIS654128:KIS654211 JYW654128:JYW654211 JPA654128:JPA654211 JFE654128:JFE654211 IVI654128:IVI654211 ILM654128:ILM654211 IBQ654128:IBQ654211 HRU654128:HRU654211 HHY654128:HHY654211 GYC654128:GYC654211 GOG654128:GOG654211 GEK654128:GEK654211 FUO654128:FUO654211 FKS654128:FKS654211 FAW654128:FAW654211 ERA654128:ERA654211 EHE654128:EHE654211 DXI654128:DXI654211 DNM654128:DNM654211 DDQ654128:DDQ654211 CTU654128:CTU654211 CJY654128:CJY654211 CAC654128:CAC654211 BQG654128:BQG654211 BGK654128:BGK654211 AWO654128:AWO654211 AMS654128:AMS654211 ACW654128:ACW654211 TA654128:TA654211 JE654128:JE654211 I654149:I654232 WVQ588592:WVQ588675 WLU588592:WLU588675 WBY588592:WBY588675 VSC588592:VSC588675 VIG588592:VIG588675 UYK588592:UYK588675 UOO588592:UOO588675 UES588592:UES588675 TUW588592:TUW588675 TLA588592:TLA588675 TBE588592:TBE588675 SRI588592:SRI588675 SHM588592:SHM588675 RXQ588592:RXQ588675 RNU588592:RNU588675 RDY588592:RDY588675 QUC588592:QUC588675 QKG588592:QKG588675 QAK588592:QAK588675 PQO588592:PQO588675 PGS588592:PGS588675 OWW588592:OWW588675 ONA588592:ONA588675 ODE588592:ODE588675 NTI588592:NTI588675 NJM588592:NJM588675 MZQ588592:MZQ588675 MPU588592:MPU588675 MFY588592:MFY588675 LWC588592:LWC588675 LMG588592:LMG588675 LCK588592:LCK588675 KSO588592:KSO588675 KIS588592:KIS588675 JYW588592:JYW588675 JPA588592:JPA588675 JFE588592:JFE588675 IVI588592:IVI588675 ILM588592:ILM588675 IBQ588592:IBQ588675 HRU588592:HRU588675 HHY588592:HHY588675 GYC588592:GYC588675 GOG588592:GOG588675 GEK588592:GEK588675 FUO588592:FUO588675 FKS588592:FKS588675 FAW588592:FAW588675 ERA588592:ERA588675 EHE588592:EHE588675 DXI588592:DXI588675 DNM588592:DNM588675 DDQ588592:DDQ588675 CTU588592:CTU588675 CJY588592:CJY588675 CAC588592:CAC588675 BQG588592:BQG588675 BGK588592:BGK588675 AWO588592:AWO588675 AMS588592:AMS588675 ACW588592:ACW588675 TA588592:TA588675 JE588592:JE588675 I588613:I588696 WVQ523056:WVQ523139 WLU523056:WLU523139 WBY523056:WBY523139 VSC523056:VSC523139 VIG523056:VIG523139 UYK523056:UYK523139 UOO523056:UOO523139 UES523056:UES523139 TUW523056:TUW523139 TLA523056:TLA523139 TBE523056:TBE523139 SRI523056:SRI523139 SHM523056:SHM523139 RXQ523056:RXQ523139 RNU523056:RNU523139 RDY523056:RDY523139 QUC523056:QUC523139 QKG523056:QKG523139 QAK523056:QAK523139 PQO523056:PQO523139 PGS523056:PGS523139 OWW523056:OWW523139 ONA523056:ONA523139 ODE523056:ODE523139 NTI523056:NTI523139 NJM523056:NJM523139 MZQ523056:MZQ523139 MPU523056:MPU523139 MFY523056:MFY523139 LWC523056:LWC523139 LMG523056:LMG523139 LCK523056:LCK523139 KSO523056:KSO523139 KIS523056:KIS523139 JYW523056:JYW523139 JPA523056:JPA523139 JFE523056:JFE523139 IVI523056:IVI523139 ILM523056:ILM523139 IBQ523056:IBQ523139 HRU523056:HRU523139 HHY523056:HHY523139 GYC523056:GYC523139 GOG523056:GOG523139 GEK523056:GEK523139 FUO523056:FUO523139 FKS523056:FKS523139 FAW523056:FAW523139 ERA523056:ERA523139 EHE523056:EHE523139 DXI523056:DXI523139 DNM523056:DNM523139 DDQ523056:DDQ523139 CTU523056:CTU523139 CJY523056:CJY523139 CAC523056:CAC523139 BQG523056:BQG523139 BGK523056:BGK523139 AWO523056:AWO523139 AMS523056:AMS523139 ACW523056:ACW523139 TA523056:TA523139 JE523056:JE523139 I523077:I523160 WVQ457520:WVQ457603 WLU457520:WLU457603 WBY457520:WBY457603 VSC457520:VSC457603 VIG457520:VIG457603 UYK457520:UYK457603 UOO457520:UOO457603 UES457520:UES457603 TUW457520:TUW457603 TLA457520:TLA457603 TBE457520:TBE457603 SRI457520:SRI457603 SHM457520:SHM457603 RXQ457520:RXQ457603 RNU457520:RNU457603 RDY457520:RDY457603 QUC457520:QUC457603 QKG457520:QKG457603 QAK457520:QAK457603 PQO457520:PQO457603 PGS457520:PGS457603 OWW457520:OWW457603 ONA457520:ONA457603 ODE457520:ODE457603 NTI457520:NTI457603 NJM457520:NJM457603 MZQ457520:MZQ457603 MPU457520:MPU457603 MFY457520:MFY457603 LWC457520:LWC457603 LMG457520:LMG457603 LCK457520:LCK457603 KSO457520:KSO457603 KIS457520:KIS457603 JYW457520:JYW457603 JPA457520:JPA457603 JFE457520:JFE457603 IVI457520:IVI457603 ILM457520:ILM457603 IBQ457520:IBQ457603 HRU457520:HRU457603 HHY457520:HHY457603 GYC457520:GYC457603 GOG457520:GOG457603 GEK457520:GEK457603 FUO457520:FUO457603 FKS457520:FKS457603 FAW457520:FAW457603 ERA457520:ERA457603 EHE457520:EHE457603 DXI457520:DXI457603 DNM457520:DNM457603 DDQ457520:DDQ457603 CTU457520:CTU457603 CJY457520:CJY457603 CAC457520:CAC457603 BQG457520:BQG457603 BGK457520:BGK457603 AWO457520:AWO457603 AMS457520:AMS457603 ACW457520:ACW457603 TA457520:TA457603 JE457520:JE457603 I457541:I457624 WVQ391984:WVQ392067 WLU391984:WLU392067 WBY391984:WBY392067 VSC391984:VSC392067 VIG391984:VIG392067 UYK391984:UYK392067 UOO391984:UOO392067 UES391984:UES392067 TUW391984:TUW392067 TLA391984:TLA392067 TBE391984:TBE392067 SRI391984:SRI392067 SHM391984:SHM392067 RXQ391984:RXQ392067 RNU391984:RNU392067 RDY391984:RDY392067 QUC391984:QUC392067 QKG391984:QKG392067 QAK391984:QAK392067 PQO391984:PQO392067 PGS391984:PGS392067 OWW391984:OWW392067 ONA391984:ONA392067 ODE391984:ODE392067 NTI391984:NTI392067 NJM391984:NJM392067 MZQ391984:MZQ392067 MPU391984:MPU392067 MFY391984:MFY392067 LWC391984:LWC392067 LMG391984:LMG392067 LCK391984:LCK392067 KSO391984:KSO392067 KIS391984:KIS392067 JYW391984:JYW392067 JPA391984:JPA392067 JFE391984:JFE392067 IVI391984:IVI392067 ILM391984:ILM392067 IBQ391984:IBQ392067 HRU391984:HRU392067 HHY391984:HHY392067 GYC391984:GYC392067 GOG391984:GOG392067 GEK391984:GEK392067 FUO391984:FUO392067 FKS391984:FKS392067 FAW391984:FAW392067 ERA391984:ERA392067 EHE391984:EHE392067 DXI391984:DXI392067 DNM391984:DNM392067 DDQ391984:DDQ392067 CTU391984:CTU392067 CJY391984:CJY392067 CAC391984:CAC392067 BQG391984:BQG392067 BGK391984:BGK392067 AWO391984:AWO392067 AMS391984:AMS392067 ACW391984:ACW392067 TA391984:TA392067 JE391984:JE392067 I392005:I392088 WVQ326448:WVQ326531 WLU326448:WLU326531 WBY326448:WBY326531 VSC326448:VSC326531 VIG326448:VIG326531 UYK326448:UYK326531 UOO326448:UOO326531 UES326448:UES326531 TUW326448:TUW326531 TLA326448:TLA326531 TBE326448:TBE326531 SRI326448:SRI326531 SHM326448:SHM326531 RXQ326448:RXQ326531 RNU326448:RNU326531 RDY326448:RDY326531 QUC326448:QUC326531 QKG326448:QKG326531 QAK326448:QAK326531 PQO326448:PQO326531 PGS326448:PGS326531 OWW326448:OWW326531 ONA326448:ONA326531 ODE326448:ODE326531 NTI326448:NTI326531 NJM326448:NJM326531 MZQ326448:MZQ326531 MPU326448:MPU326531 MFY326448:MFY326531 LWC326448:LWC326531 LMG326448:LMG326531 LCK326448:LCK326531 KSO326448:KSO326531 KIS326448:KIS326531 JYW326448:JYW326531 JPA326448:JPA326531 JFE326448:JFE326531 IVI326448:IVI326531 ILM326448:ILM326531 IBQ326448:IBQ326531 HRU326448:HRU326531 HHY326448:HHY326531 GYC326448:GYC326531 GOG326448:GOG326531 GEK326448:GEK326531 FUO326448:FUO326531 FKS326448:FKS326531 FAW326448:FAW326531 ERA326448:ERA326531 EHE326448:EHE326531 DXI326448:DXI326531 DNM326448:DNM326531 DDQ326448:DDQ326531 CTU326448:CTU326531 CJY326448:CJY326531 CAC326448:CAC326531 BQG326448:BQG326531 BGK326448:BGK326531 AWO326448:AWO326531 AMS326448:AMS326531 ACW326448:ACW326531 TA326448:TA326531 JE326448:JE326531 I326469:I326552 WVQ260912:WVQ260995 WLU260912:WLU260995 WBY260912:WBY260995 VSC260912:VSC260995 VIG260912:VIG260995 UYK260912:UYK260995 UOO260912:UOO260995 UES260912:UES260995 TUW260912:TUW260995 TLA260912:TLA260995 TBE260912:TBE260995 SRI260912:SRI260995 SHM260912:SHM260995 RXQ260912:RXQ260995 RNU260912:RNU260995 RDY260912:RDY260995 QUC260912:QUC260995 QKG260912:QKG260995 QAK260912:QAK260995 PQO260912:PQO260995 PGS260912:PGS260995 OWW260912:OWW260995 ONA260912:ONA260995 ODE260912:ODE260995 NTI260912:NTI260995 NJM260912:NJM260995 MZQ260912:MZQ260995 MPU260912:MPU260995 MFY260912:MFY260995 LWC260912:LWC260995 LMG260912:LMG260995 LCK260912:LCK260995 KSO260912:KSO260995 KIS260912:KIS260995 JYW260912:JYW260995 JPA260912:JPA260995 JFE260912:JFE260995 IVI260912:IVI260995 ILM260912:ILM260995 IBQ260912:IBQ260995 HRU260912:HRU260995 HHY260912:HHY260995 GYC260912:GYC260995 GOG260912:GOG260995 GEK260912:GEK260995 FUO260912:FUO260995 FKS260912:FKS260995 FAW260912:FAW260995 ERA260912:ERA260995 EHE260912:EHE260995 DXI260912:DXI260995 DNM260912:DNM260995 DDQ260912:DDQ260995 CTU260912:CTU260995 CJY260912:CJY260995 CAC260912:CAC260995 BQG260912:BQG260995 BGK260912:BGK260995 AWO260912:AWO260995 AMS260912:AMS260995 ACW260912:ACW260995 TA260912:TA260995 JE260912:JE260995 I260933:I261016 WVQ195376:WVQ195459 WLU195376:WLU195459 WBY195376:WBY195459 VSC195376:VSC195459 VIG195376:VIG195459 UYK195376:UYK195459 UOO195376:UOO195459 UES195376:UES195459 TUW195376:TUW195459 TLA195376:TLA195459 TBE195376:TBE195459 SRI195376:SRI195459 SHM195376:SHM195459 RXQ195376:RXQ195459 RNU195376:RNU195459 RDY195376:RDY195459 QUC195376:QUC195459 QKG195376:QKG195459 QAK195376:QAK195459 PQO195376:PQO195459 PGS195376:PGS195459 OWW195376:OWW195459 ONA195376:ONA195459 ODE195376:ODE195459 NTI195376:NTI195459 NJM195376:NJM195459 MZQ195376:MZQ195459 MPU195376:MPU195459 MFY195376:MFY195459 LWC195376:LWC195459 LMG195376:LMG195459 LCK195376:LCK195459 KSO195376:KSO195459 KIS195376:KIS195459 JYW195376:JYW195459 JPA195376:JPA195459 JFE195376:JFE195459 IVI195376:IVI195459 ILM195376:ILM195459 IBQ195376:IBQ195459 HRU195376:HRU195459 HHY195376:HHY195459 GYC195376:GYC195459 GOG195376:GOG195459 GEK195376:GEK195459 FUO195376:FUO195459 FKS195376:FKS195459 FAW195376:FAW195459 ERA195376:ERA195459 EHE195376:EHE195459 DXI195376:DXI195459 DNM195376:DNM195459 DDQ195376:DDQ195459 CTU195376:CTU195459 CJY195376:CJY195459 CAC195376:CAC195459 BQG195376:BQG195459 BGK195376:BGK195459 AWO195376:AWO195459 AMS195376:AMS195459 ACW195376:ACW195459 TA195376:TA195459 JE195376:JE195459 I195397:I195480 WVQ129840:WVQ129923 WLU129840:WLU129923 WBY129840:WBY129923 VSC129840:VSC129923 VIG129840:VIG129923 UYK129840:UYK129923 UOO129840:UOO129923 UES129840:UES129923 TUW129840:TUW129923 TLA129840:TLA129923 TBE129840:TBE129923 SRI129840:SRI129923 SHM129840:SHM129923 RXQ129840:RXQ129923 RNU129840:RNU129923 RDY129840:RDY129923 QUC129840:QUC129923 QKG129840:QKG129923 QAK129840:QAK129923 PQO129840:PQO129923 PGS129840:PGS129923 OWW129840:OWW129923 ONA129840:ONA129923 ODE129840:ODE129923 NTI129840:NTI129923 NJM129840:NJM129923 MZQ129840:MZQ129923 MPU129840:MPU129923 MFY129840:MFY129923 LWC129840:LWC129923 LMG129840:LMG129923 LCK129840:LCK129923 KSO129840:KSO129923 KIS129840:KIS129923 JYW129840:JYW129923 JPA129840:JPA129923 JFE129840:JFE129923 IVI129840:IVI129923 ILM129840:ILM129923 IBQ129840:IBQ129923 HRU129840:HRU129923 HHY129840:HHY129923 GYC129840:GYC129923 GOG129840:GOG129923 GEK129840:GEK129923 FUO129840:FUO129923 FKS129840:FKS129923 FAW129840:FAW129923 ERA129840:ERA129923 EHE129840:EHE129923 DXI129840:DXI129923 DNM129840:DNM129923 DDQ129840:DDQ129923 CTU129840:CTU129923 CJY129840:CJY129923 CAC129840:CAC129923 BQG129840:BQG129923 BGK129840:BGK129923 AWO129840:AWO129923 AMS129840:AMS129923 ACW129840:ACW129923 TA129840:TA129923 JE129840:JE129923 I129861:I129944 WVQ64304:WVQ64387 WLU64304:WLU64387 WBY64304:WBY64387 VSC64304:VSC64387 VIG64304:VIG64387 UYK64304:UYK64387 UOO64304:UOO64387 UES64304:UES64387 TUW64304:TUW64387 TLA64304:TLA64387 TBE64304:TBE64387 SRI64304:SRI64387 SHM64304:SHM64387 RXQ64304:RXQ64387 RNU64304:RNU64387 RDY64304:RDY64387 QUC64304:QUC64387 QKG64304:QKG64387 QAK64304:QAK64387 PQO64304:PQO64387 PGS64304:PGS64387 OWW64304:OWW64387 ONA64304:ONA64387 ODE64304:ODE64387 NTI64304:NTI64387 NJM64304:NJM64387 MZQ64304:MZQ64387 MPU64304:MPU64387 MFY64304:MFY64387 LWC64304:LWC64387 LMG64304:LMG64387 LCK64304:LCK64387 KSO64304:KSO64387 KIS64304:KIS64387 JYW64304:JYW64387 JPA64304:JPA64387 JFE64304:JFE64387 IVI64304:IVI64387 ILM64304:ILM64387 IBQ64304:IBQ64387 HRU64304:HRU64387 HHY64304:HHY64387 GYC64304:GYC64387 GOG64304:GOG64387 GEK64304:GEK64387 FUO64304:FUO64387 FKS64304:FKS64387 FAW64304:FAW64387 ERA64304:ERA64387 EHE64304:EHE64387 DXI64304:DXI64387 DNM64304:DNM64387 DDQ64304:DDQ64387 CTU64304:CTU64387 CJY64304:CJY64387 CAC64304:CAC64387 BQG64304:BQG64387 BGK64304:BGK64387 AWO64304:AWO64387 AMS64304:AMS64387 ACW64304:ACW64387 TA64304:TA64387 JE64304:JE64387 I64325:I64408 I99:I503 I2:I97 TA2:TA76 ACW2:ACW76 AMS2:AMS76 AWO2:AWO76 BGK2:BGK76 BQG2:BQG76 CAC2:CAC76 CJY2:CJY76 CTU2:CTU76 DDQ2:DDQ76 DNM2:DNM76 DXI2:DXI76 EHE2:EHE76 ERA2:ERA76 FAW2:FAW76 FKS2:FKS76 FUO2:FUO76 GEK2:GEK76 GOG2:GOG76 GYC2:GYC76 HHY2:HHY76 HRU2:HRU76 IBQ2:IBQ76 ILM2:ILM76 IVI2:IVI76 JFE2:JFE76 JPA2:JPA76 JYW2:JYW76 KIS2:KIS76 KSO2:KSO76 LCK2:LCK76 LMG2:LMG76 LWC2:LWC76 MFY2:MFY76 MPU2:MPU76 MZQ2:MZQ76 NJM2:NJM76 NTI2:NTI76 ODE2:ODE76 ONA2:ONA76 OWW2:OWW76 PGS2:PGS76 PQO2:PQO76 QAK2:QAK76 QKG2:QKG76 QUC2:QUC76 RDY2:RDY76 RNU2:RNU76 RXQ2:RXQ76 SHM2:SHM76 SRI2:SRI76 TBE2:TBE76 TLA2:TLA76 TUW2:TUW76 UES2:UES76 UOO2:UOO76 UYK2:UYK76 VIG2:VIG76 VSC2:VSC76 WBY2:WBY76 WLU2:WLU76 WVQ2:WVQ76 JE2:JE76" xr:uid="{7F5279A1-362E-4E66-8804-FE33465F3FA1}">
      <formula1>$AN$5:$AN$6</formula1>
    </dataValidation>
    <dataValidation type="list" allowBlank="1" showInputMessage="1" showErrorMessage="1" sqref="WWG981808:WWI981891 WCO981808:WCQ981891 WMK981808:WMM981891 Y64304:AA64387 JU64304:JW64387 TQ64304:TS64387 ADM64304:ADO64387 ANI64304:ANK64387 AXE64304:AXG64387 BHA64304:BHC64387 BQW64304:BQY64387 CAS64304:CAU64387 CKO64304:CKQ64387 CUK64304:CUM64387 DEG64304:DEI64387 DOC64304:DOE64387 DXY64304:DYA64387 EHU64304:EHW64387 ERQ64304:ERS64387 FBM64304:FBO64387 FLI64304:FLK64387 FVE64304:FVG64387 GFA64304:GFC64387 GOW64304:GOY64387 GYS64304:GYU64387 HIO64304:HIQ64387 HSK64304:HSM64387 ICG64304:ICI64387 IMC64304:IME64387 IVY64304:IWA64387 JFU64304:JFW64387 JPQ64304:JPS64387 JZM64304:JZO64387 KJI64304:KJK64387 KTE64304:KTG64387 LDA64304:LDC64387 LMW64304:LMY64387 LWS64304:LWU64387 MGO64304:MGQ64387 MQK64304:MQM64387 NAG64304:NAI64387 NKC64304:NKE64387 NTY64304:NUA64387 ODU64304:ODW64387 ONQ64304:ONS64387 OXM64304:OXO64387 PHI64304:PHK64387 PRE64304:PRG64387 QBA64304:QBC64387 QKW64304:QKY64387 QUS64304:QUU64387 REO64304:REQ64387 ROK64304:ROM64387 RYG64304:RYI64387 SIC64304:SIE64387 SRY64304:SSA64387 TBU64304:TBW64387 TLQ64304:TLS64387 TVM64304:TVO64387 UFI64304:UFK64387 UPE64304:UPG64387 UZA64304:UZC64387 VIW64304:VIY64387 VSS64304:VSU64387 WCO64304:WCQ64387 WMK64304:WMM64387 WWG64304:WWI64387 Y129840:AA129923 JU129840:JW129923 TQ129840:TS129923 ADM129840:ADO129923 ANI129840:ANK129923 AXE129840:AXG129923 BHA129840:BHC129923 BQW129840:BQY129923 CAS129840:CAU129923 CKO129840:CKQ129923 CUK129840:CUM129923 DEG129840:DEI129923 DOC129840:DOE129923 DXY129840:DYA129923 EHU129840:EHW129923 ERQ129840:ERS129923 FBM129840:FBO129923 FLI129840:FLK129923 FVE129840:FVG129923 GFA129840:GFC129923 GOW129840:GOY129923 GYS129840:GYU129923 HIO129840:HIQ129923 HSK129840:HSM129923 ICG129840:ICI129923 IMC129840:IME129923 IVY129840:IWA129923 JFU129840:JFW129923 JPQ129840:JPS129923 JZM129840:JZO129923 KJI129840:KJK129923 KTE129840:KTG129923 LDA129840:LDC129923 LMW129840:LMY129923 LWS129840:LWU129923 MGO129840:MGQ129923 MQK129840:MQM129923 NAG129840:NAI129923 NKC129840:NKE129923 NTY129840:NUA129923 ODU129840:ODW129923 ONQ129840:ONS129923 OXM129840:OXO129923 PHI129840:PHK129923 PRE129840:PRG129923 QBA129840:QBC129923 QKW129840:QKY129923 QUS129840:QUU129923 REO129840:REQ129923 ROK129840:ROM129923 RYG129840:RYI129923 SIC129840:SIE129923 SRY129840:SSA129923 TBU129840:TBW129923 TLQ129840:TLS129923 TVM129840:TVO129923 UFI129840:UFK129923 UPE129840:UPG129923 UZA129840:UZC129923 VIW129840:VIY129923 VSS129840:VSU129923 WCO129840:WCQ129923 WMK129840:WMM129923 WWG129840:WWI129923 Y195376:AA195459 JU195376:JW195459 TQ195376:TS195459 ADM195376:ADO195459 ANI195376:ANK195459 AXE195376:AXG195459 BHA195376:BHC195459 BQW195376:BQY195459 CAS195376:CAU195459 CKO195376:CKQ195459 CUK195376:CUM195459 DEG195376:DEI195459 DOC195376:DOE195459 DXY195376:DYA195459 EHU195376:EHW195459 ERQ195376:ERS195459 FBM195376:FBO195459 FLI195376:FLK195459 FVE195376:FVG195459 GFA195376:GFC195459 GOW195376:GOY195459 GYS195376:GYU195459 HIO195376:HIQ195459 HSK195376:HSM195459 ICG195376:ICI195459 IMC195376:IME195459 IVY195376:IWA195459 JFU195376:JFW195459 JPQ195376:JPS195459 JZM195376:JZO195459 KJI195376:KJK195459 KTE195376:KTG195459 LDA195376:LDC195459 LMW195376:LMY195459 LWS195376:LWU195459 MGO195376:MGQ195459 MQK195376:MQM195459 NAG195376:NAI195459 NKC195376:NKE195459 NTY195376:NUA195459 ODU195376:ODW195459 ONQ195376:ONS195459 OXM195376:OXO195459 PHI195376:PHK195459 PRE195376:PRG195459 QBA195376:QBC195459 QKW195376:QKY195459 QUS195376:QUU195459 REO195376:REQ195459 ROK195376:ROM195459 RYG195376:RYI195459 SIC195376:SIE195459 SRY195376:SSA195459 TBU195376:TBW195459 TLQ195376:TLS195459 TVM195376:TVO195459 UFI195376:UFK195459 UPE195376:UPG195459 UZA195376:UZC195459 VIW195376:VIY195459 VSS195376:VSU195459 WCO195376:WCQ195459 WMK195376:WMM195459 WWG195376:WWI195459 Y260912:AA260995 JU260912:JW260995 TQ260912:TS260995 ADM260912:ADO260995 ANI260912:ANK260995 AXE260912:AXG260995 BHA260912:BHC260995 BQW260912:BQY260995 CAS260912:CAU260995 CKO260912:CKQ260995 CUK260912:CUM260995 DEG260912:DEI260995 DOC260912:DOE260995 DXY260912:DYA260995 EHU260912:EHW260995 ERQ260912:ERS260995 FBM260912:FBO260995 FLI260912:FLK260995 FVE260912:FVG260995 GFA260912:GFC260995 GOW260912:GOY260995 GYS260912:GYU260995 HIO260912:HIQ260995 HSK260912:HSM260995 ICG260912:ICI260995 IMC260912:IME260995 IVY260912:IWA260995 JFU260912:JFW260995 JPQ260912:JPS260995 JZM260912:JZO260995 KJI260912:KJK260995 KTE260912:KTG260995 LDA260912:LDC260995 LMW260912:LMY260995 LWS260912:LWU260995 MGO260912:MGQ260995 MQK260912:MQM260995 NAG260912:NAI260995 NKC260912:NKE260995 NTY260912:NUA260995 ODU260912:ODW260995 ONQ260912:ONS260995 OXM260912:OXO260995 PHI260912:PHK260995 PRE260912:PRG260995 QBA260912:QBC260995 QKW260912:QKY260995 QUS260912:QUU260995 REO260912:REQ260995 ROK260912:ROM260995 RYG260912:RYI260995 SIC260912:SIE260995 SRY260912:SSA260995 TBU260912:TBW260995 TLQ260912:TLS260995 TVM260912:TVO260995 UFI260912:UFK260995 UPE260912:UPG260995 UZA260912:UZC260995 VIW260912:VIY260995 VSS260912:VSU260995 WCO260912:WCQ260995 WMK260912:WMM260995 WWG260912:WWI260995 Y326448:AA326531 JU326448:JW326531 TQ326448:TS326531 ADM326448:ADO326531 ANI326448:ANK326531 AXE326448:AXG326531 BHA326448:BHC326531 BQW326448:BQY326531 CAS326448:CAU326531 CKO326448:CKQ326531 CUK326448:CUM326531 DEG326448:DEI326531 DOC326448:DOE326531 DXY326448:DYA326531 EHU326448:EHW326531 ERQ326448:ERS326531 FBM326448:FBO326531 FLI326448:FLK326531 FVE326448:FVG326531 GFA326448:GFC326531 GOW326448:GOY326531 GYS326448:GYU326531 HIO326448:HIQ326531 HSK326448:HSM326531 ICG326448:ICI326531 IMC326448:IME326531 IVY326448:IWA326531 JFU326448:JFW326531 JPQ326448:JPS326531 JZM326448:JZO326531 KJI326448:KJK326531 KTE326448:KTG326531 LDA326448:LDC326531 LMW326448:LMY326531 LWS326448:LWU326531 MGO326448:MGQ326531 MQK326448:MQM326531 NAG326448:NAI326531 NKC326448:NKE326531 NTY326448:NUA326531 ODU326448:ODW326531 ONQ326448:ONS326531 OXM326448:OXO326531 PHI326448:PHK326531 PRE326448:PRG326531 QBA326448:QBC326531 QKW326448:QKY326531 QUS326448:QUU326531 REO326448:REQ326531 ROK326448:ROM326531 RYG326448:RYI326531 SIC326448:SIE326531 SRY326448:SSA326531 TBU326448:TBW326531 TLQ326448:TLS326531 TVM326448:TVO326531 UFI326448:UFK326531 UPE326448:UPG326531 UZA326448:UZC326531 VIW326448:VIY326531 VSS326448:VSU326531 WCO326448:WCQ326531 WMK326448:WMM326531 WWG326448:WWI326531 Y391984:AA392067 JU391984:JW392067 TQ391984:TS392067 ADM391984:ADO392067 ANI391984:ANK392067 AXE391984:AXG392067 BHA391984:BHC392067 BQW391984:BQY392067 CAS391984:CAU392067 CKO391984:CKQ392067 CUK391984:CUM392067 DEG391984:DEI392067 DOC391984:DOE392067 DXY391984:DYA392067 EHU391984:EHW392067 ERQ391984:ERS392067 FBM391984:FBO392067 FLI391984:FLK392067 FVE391984:FVG392067 GFA391984:GFC392067 GOW391984:GOY392067 GYS391984:GYU392067 HIO391984:HIQ392067 HSK391984:HSM392067 ICG391984:ICI392067 IMC391984:IME392067 IVY391984:IWA392067 JFU391984:JFW392067 JPQ391984:JPS392067 JZM391984:JZO392067 KJI391984:KJK392067 KTE391984:KTG392067 LDA391984:LDC392067 LMW391984:LMY392067 LWS391984:LWU392067 MGO391984:MGQ392067 MQK391984:MQM392067 NAG391984:NAI392067 NKC391984:NKE392067 NTY391984:NUA392067 ODU391984:ODW392067 ONQ391984:ONS392067 OXM391984:OXO392067 PHI391984:PHK392067 PRE391984:PRG392067 QBA391984:QBC392067 QKW391984:QKY392067 QUS391984:QUU392067 REO391984:REQ392067 ROK391984:ROM392067 RYG391984:RYI392067 SIC391984:SIE392067 SRY391984:SSA392067 TBU391984:TBW392067 TLQ391984:TLS392067 TVM391984:TVO392067 UFI391984:UFK392067 UPE391984:UPG392067 UZA391984:UZC392067 VIW391984:VIY392067 VSS391984:VSU392067 WCO391984:WCQ392067 WMK391984:WMM392067 WWG391984:WWI392067 Y457520:AA457603 JU457520:JW457603 TQ457520:TS457603 ADM457520:ADO457603 ANI457520:ANK457603 AXE457520:AXG457603 BHA457520:BHC457603 BQW457520:BQY457603 CAS457520:CAU457603 CKO457520:CKQ457603 CUK457520:CUM457603 DEG457520:DEI457603 DOC457520:DOE457603 DXY457520:DYA457603 EHU457520:EHW457603 ERQ457520:ERS457603 FBM457520:FBO457603 FLI457520:FLK457603 FVE457520:FVG457603 GFA457520:GFC457603 GOW457520:GOY457603 GYS457520:GYU457603 HIO457520:HIQ457603 HSK457520:HSM457603 ICG457520:ICI457603 IMC457520:IME457603 IVY457520:IWA457603 JFU457520:JFW457603 JPQ457520:JPS457603 JZM457520:JZO457603 KJI457520:KJK457603 KTE457520:KTG457603 LDA457520:LDC457603 LMW457520:LMY457603 LWS457520:LWU457603 MGO457520:MGQ457603 MQK457520:MQM457603 NAG457520:NAI457603 NKC457520:NKE457603 NTY457520:NUA457603 ODU457520:ODW457603 ONQ457520:ONS457603 OXM457520:OXO457603 PHI457520:PHK457603 PRE457520:PRG457603 QBA457520:QBC457603 QKW457520:QKY457603 QUS457520:QUU457603 REO457520:REQ457603 ROK457520:ROM457603 RYG457520:RYI457603 SIC457520:SIE457603 SRY457520:SSA457603 TBU457520:TBW457603 TLQ457520:TLS457603 TVM457520:TVO457603 UFI457520:UFK457603 UPE457520:UPG457603 UZA457520:UZC457603 VIW457520:VIY457603 VSS457520:VSU457603 WCO457520:WCQ457603 WMK457520:WMM457603 WWG457520:WWI457603 Y523056:AA523139 JU523056:JW523139 TQ523056:TS523139 ADM523056:ADO523139 ANI523056:ANK523139 AXE523056:AXG523139 BHA523056:BHC523139 BQW523056:BQY523139 CAS523056:CAU523139 CKO523056:CKQ523139 CUK523056:CUM523139 DEG523056:DEI523139 DOC523056:DOE523139 DXY523056:DYA523139 EHU523056:EHW523139 ERQ523056:ERS523139 FBM523056:FBO523139 FLI523056:FLK523139 FVE523056:FVG523139 GFA523056:GFC523139 GOW523056:GOY523139 GYS523056:GYU523139 HIO523056:HIQ523139 HSK523056:HSM523139 ICG523056:ICI523139 IMC523056:IME523139 IVY523056:IWA523139 JFU523056:JFW523139 JPQ523056:JPS523139 JZM523056:JZO523139 KJI523056:KJK523139 KTE523056:KTG523139 LDA523056:LDC523139 LMW523056:LMY523139 LWS523056:LWU523139 MGO523056:MGQ523139 MQK523056:MQM523139 NAG523056:NAI523139 NKC523056:NKE523139 NTY523056:NUA523139 ODU523056:ODW523139 ONQ523056:ONS523139 OXM523056:OXO523139 PHI523056:PHK523139 PRE523056:PRG523139 QBA523056:QBC523139 QKW523056:QKY523139 QUS523056:QUU523139 REO523056:REQ523139 ROK523056:ROM523139 RYG523056:RYI523139 SIC523056:SIE523139 SRY523056:SSA523139 TBU523056:TBW523139 TLQ523056:TLS523139 TVM523056:TVO523139 UFI523056:UFK523139 UPE523056:UPG523139 UZA523056:UZC523139 VIW523056:VIY523139 VSS523056:VSU523139 WCO523056:WCQ523139 WMK523056:WMM523139 WWG523056:WWI523139 Y588592:AA588675 JU588592:JW588675 TQ588592:TS588675 ADM588592:ADO588675 ANI588592:ANK588675 AXE588592:AXG588675 BHA588592:BHC588675 BQW588592:BQY588675 CAS588592:CAU588675 CKO588592:CKQ588675 CUK588592:CUM588675 DEG588592:DEI588675 DOC588592:DOE588675 DXY588592:DYA588675 EHU588592:EHW588675 ERQ588592:ERS588675 FBM588592:FBO588675 FLI588592:FLK588675 FVE588592:FVG588675 GFA588592:GFC588675 GOW588592:GOY588675 GYS588592:GYU588675 HIO588592:HIQ588675 HSK588592:HSM588675 ICG588592:ICI588675 IMC588592:IME588675 IVY588592:IWA588675 JFU588592:JFW588675 JPQ588592:JPS588675 JZM588592:JZO588675 KJI588592:KJK588675 KTE588592:KTG588675 LDA588592:LDC588675 LMW588592:LMY588675 LWS588592:LWU588675 MGO588592:MGQ588675 MQK588592:MQM588675 NAG588592:NAI588675 NKC588592:NKE588675 NTY588592:NUA588675 ODU588592:ODW588675 ONQ588592:ONS588675 OXM588592:OXO588675 PHI588592:PHK588675 PRE588592:PRG588675 QBA588592:QBC588675 QKW588592:QKY588675 QUS588592:QUU588675 REO588592:REQ588675 ROK588592:ROM588675 RYG588592:RYI588675 SIC588592:SIE588675 SRY588592:SSA588675 TBU588592:TBW588675 TLQ588592:TLS588675 TVM588592:TVO588675 UFI588592:UFK588675 UPE588592:UPG588675 UZA588592:UZC588675 VIW588592:VIY588675 VSS588592:VSU588675 WCO588592:WCQ588675 WMK588592:WMM588675 WWG588592:WWI588675 Y654128:AA654211 JU654128:JW654211 TQ654128:TS654211 ADM654128:ADO654211 ANI654128:ANK654211 AXE654128:AXG654211 BHA654128:BHC654211 BQW654128:BQY654211 CAS654128:CAU654211 CKO654128:CKQ654211 CUK654128:CUM654211 DEG654128:DEI654211 DOC654128:DOE654211 DXY654128:DYA654211 EHU654128:EHW654211 ERQ654128:ERS654211 FBM654128:FBO654211 FLI654128:FLK654211 FVE654128:FVG654211 GFA654128:GFC654211 GOW654128:GOY654211 GYS654128:GYU654211 HIO654128:HIQ654211 HSK654128:HSM654211 ICG654128:ICI654211 IMC654128:IME654211 IVY654128:IWA654211 JFU654128:JFW654211 JPQ654128:JPS654211 JZM654128:JZO654211 KJI654128:KJK654211 KTE654128:KTG654211 LDA654128:LDC654211 LMW654128:LMY654211 LWS654128:LWU654211 MGO654128:MGQ654211 MQK654128:MQM654211 NAG654128:NAI654211 NKC654128:NKE654211 NTY654128:NUA654211 ODU654128:ODW654211 ONQ654128:ONS654211 OXM654128:OXO654211 PHI654128:PHK654211 PRE654128:PRG654211 QBA654128:QBC654211 QKW654128:QKY654211 QUS654128:QUU654211 REO654128:REQ654211 ROK654128:ROM654211 RYG654128:RYI654211 SIC654128:SIE654211 SRY654128:SSA654211 TBU654128:TBW654211 TLQ654128:TLS654211 TVM654128:TVO654211 UFI654128:UFK654211 UPE654128:UPG654211 UZA654128:UZC654211 VIW654128:VIY654211 VSS654128:VSU654211 WCO654128:WCQ654211 WMK654128:WMM654211 WWG654128:WWI654211 Y719664:AA719747 JU719664:JW719747 TQ719664:TS719747 ADM719664:ADO719747 ANI719664:ANK719747 AXE719664:AXG719747 BHA719664:BHC719747 BQW719664:BQY719747 CAS719664:CAU719747 CKO719664:CKQ719747 CUK719664:CUM719747 DEG719664:DEI719747 DOC719664:DOE719747 DXY719664:DYA719747 EHU719664:EHW719747 ERQ719664:ERS719747 FBM719664:FBO719747 FLI719664:FLK719747 FVE719664:FVG719747 GFA719664:GFC719747 GOW719664:GOY719747 GYS719664:GYU719747 HIO719664:HIQ719747 HSK719664:HSM719747 ICG719664:ICI719747 IMC719664:IME719747 IVY719664:IWA719747 JFU719664:JFW719747 JPQ719664:JPS719747 JZM719664:JZO719747 KJI719664:KJK719747 KTE719664:KTG719747 LDA719664:LDC719747 LMW719664:LMY719747 LWS719664:LWU719747 MGO719664:MGQ719747 MQK719664:MQM719747 NAG719664:NAI719747 NKC719664:NKE719747 NTY719664:NUA719747 ODU719664:ODW719747 ONQ719664:ONS719747 OXM719664:OXO719747 PHI719664:PHK719747 PRE719664:PRG719747 QBA719664:QBC719747 QKW719664:QKY719747 QUS719664:QUU719747 REO719664:REQ719747 ROK719664:ROM719747 RYG719664:RYI719747 SIC719664:SIE719747 SRY719664:SSA719747 TBU719664:TBW719747 TLQ719664:TLS719747 TVM719664:TVO719747 UFI719664:UFK719747 UPE719664:UPG719747 UZA719664:UZC719747 VIW719664:VIY719747 VSS719664:VSU719747 WCO719664:WCQ719747 WMK719664:WMM719747 WWG719664:WWI719747 Y785200:AA785283 JU785200:JW785283 TQ785200:TS785283 ADM785200:ADO785283 ANI785200:ANK785283 AXE785200:AXG785283 BHA785200:BHC785283 BQW785200:BQY785283 CAS785200:CAU785283 CKO785200:CKQ785283 CUK785200:CUM785283 DEG785200:DEI785283 DOC785200:DOE785283 DXY785200:DYA785283 EHU785200:EHW785283 ERQ785200:ERS785283 FBM785200:FBO785283 FLI785200:FLK785283 FVE785200:FVG785283 GFA785200:GFC785283 GOW785200:GOY785283 GYS785200:GYU785283 HIO785200:HIQ785283 HSK785200:HSM785283 ICG785200:ICI785283 IMC785200:IME785283 IVY785200:IWA785283 JFU785200:JFW785283 JPQ785200:JPS785283 JZM785200:JZO785283 KJI785200:KJK785283 KTE785200:KTG785283 LDA785200:LDC785283 LMW785200:LMY785283 LWS785200:LWU785283 MGO785200:MGQ785283 MQK785200:MQM785283 NAG785200:NAI785283 NKC785200:NKE785283 NTY785200:NUA785283 ODU785200:ODW785283 ONQ785200:ONS785283 OXM785200:OXO785283 PHI785200:PHK785283 PRE785200:PRG785283 QBA785200:QBC785283 QKW785200:QKY785283 QUS785200:QUU785283 REO785200:REQ785283 ROK785200:ROM785283 RYG785200:RYI785283 SIC785200:SIE785283 SRY785200:SSA785283 TBU785200:TBW785283 TLQ785200:TLS785283 TVM785200:TVO785283 UFI785200:UFK785283 UPE785200:UPG785283 UZA785200:UZC785283 VIW785200:VIY785283 VSS785200:VSU785283 WCO785200:WCQ785283 WMK785200:WMM785283 WWG785200:WWI785283 Y850736:AA850819 JU850736:JW850819 TQ850736:TS850819 ADM850736:ADO850819 ANI850736:ANK850819 AXE850736:AXG850819 BHA850736:BHC850819 BQW850736:BQY850819 CAS850736:CAU850819 CKO850736:CKQ850819 CUK850736:CUM850819 DEG850736:DEI850819 DOC850736:DOE850819 DXY850736:DYA850819 EHU850736:EHW850819 ERQ850736:ERS850819 FBM850736:FBO850819 FLI850736:FLK850819 FVE850736:FVG850819 GFA850736:GFC850819 GOW850736:GOY850819 GYS850736:GYU850819 HIO850736:HIQ850819 HSK850736:HSM850819 ICG850736:ICI850819 IMC850736:IME850819 IVY850736:IWA850819 JFU850736:JFW850819 JPQ850736:JPS850819 JZM850736:JZO850819 KJI850736:KJK850819 KTE850736:KTG850819 LDA850736:LDC850819 LMW850736:LMY850819 LWS850736:LWU850819 MGO850736:MGQ850819 MQK850736:MQM850819 NAG850736:NAI850819 NKC850736:NKE850819 NTY850736:NUA850819 ODU850736:ODW850819 ONQ850736:ONS850819 OXM850736:OXO850819 PHI850736:PHK850819 PRE850736:PRG850819 QBA850736:QBC850819 QKW850736:QKY850819 QUS850736:QUU850819 REO850736:REQ850819 ROK850736:ROM850819 RYG850736:RYI850819 SIC850736:SIE850819 SRY850736:SSA850819 TBU850736:TBW850819 TLQ850736:TLS850819 TVM850736:TVO850819 UFI850736:UFK850819 UPE850736:UPG850819 UZA850736:UZC850819 VIW850736:VIY850819 VSS850736:VSU850819 WCO850736:WCQ850819 WMK850736:WMM850819 WWG850736:WWI850819 Y916272:AA916355 JU916272:JW916355 TQ916272:TS916355 ADM916272:ADO916355 ANI916272:ANK916355 AXE916272:AXG916355 BHA916272:BHC916355 BQW916272:BQY916355 CAS916272:CAU916355 CKO916272:CKQ916355 CUK916272:CUM916355 DEG916272:DEI916355 DOC916272:DOE916355 DXY916272:DYA916355 EHU916272:EHW916355 ERQ916272:ERS916355 FBM916272:FBO916355 FLI916272:FLK916355 FVE916272:FVG916355 GFA916272:GFC916355 GOW916272:GOY916355 GYS916272:GYU916355 HIO916272:HIQ916355 HSK916272:HSM916355 ICG916272:ICI916355 IMC916272:IME916355 IVY916272:IWA916355 JFU916272:JFW916355 JPQ916272:JPS916355 JZM916272:JZO916355 KJI916272:KJK916355 KTE916272:KTG916355 LDA916272:LDC916355 LMW916272:LMY916355 LWS916272:LWU916355 MGO916272:MGQ916355 MQK916272:MQM916355 NAG916272:NAI916355 NKC916272:NKE916355 NTY916272:NUA916355 ODU916272:ODW916355 ONQ916272:ONS916355 OXM916272:OXO916355 PHI916272:PHK916355 PRE916272:PRG916355 QBA916272:QBC916355 QKW916272:QKY916355 QUS916272:QUU916355 REO916272:REQ916355 ROK916272:ROM916355 RYG916272:RYI916355 SIC916272:SIE916355 SRY916272:SSA916355 TBU916272:TBW916355 TLQ916272:TLS916355 TVM916272:TVO916355 UFI916272:UFK916355 UPE916272:UPG916355 UZA916272:UZC916355 VIW916272:VIY916355 VSS916272:VSU916355 WCO916272:WCQ916355 WMK916272:WMM916355 WWG916272:WWI916355 Y981808:AA981891 JU981808:JW981891 TQ981808:TS981891 ADM981808:ADO981891 ANI981808:ANK981891 AXE981808:AXG981891 BHA981808:BHC981891 BQW981808:BQY981891 CAS981808:CAU981891 CKO981808:CKQ981891 CUK981808:CUM981891 DEG981808:DEI981891 DOC981808:DOE981891 DXY981808:DYA981891 EHU981808:EHW981891 ERQ981808:ERS981891 FBM981808:FBO981891 FLI981808:FLK981891 FVE981808:FVG981891 GFA981808:GFC981891 GOW981808:GOY981891 GYS981808:GYU981891 HIO981808:HIQ981891 HSK981808:HSM981891 ICG981808:ICI981891 IMC981808:IME981891 IVY981808:IWA981891 JFU981808:JFW981891 JPQ981808:JPS981891 JZM981808:JZO981891 KJI981808:KJK981891 KTE981808:KTG981891 LDA981808:LDC981891 LMW981808:LMY981891 LWS981808:LWU981891 MGO981808:MGQ981891 MQK981808:MQM981891 NAG981808:NAI981891 NKC981808:NKE981891 NTY981808:NUA981891 ODU981808:ODW981891 ONQ981808:ONS981891 OXM981808:OXO981891 PHI981808:PHK981891 PRE981808:PRG981891 QBA981808:QBC981891 QKW981808:QKY981891 QUS981808:QUU981891 REO981808:REQ981891 ROK981808:ROM981891 RYG981808:RYI981891 SIC981808:SIE981891 SRY981808:SSA981891 TBU981808:TBW981891 TLQ981808:TLS981891 TVM981808:TVO981891 UFI981808:UFK981891 UPE981808:UPG981891 UZA981808:UZC981891 VIW981808:VIY981891 VSS981808:VSU981891 JU2:JW76 TQ2:TS76 ADM2:ADO76 ANI2:ANK76 AXE2:AXG76 BHA2:BHC76 BQW2:BQY76 CAS2:CAU76 CKO2:CKQ76 CUK2:CUM76 DEG2:DEI76 DOC2:DOE76 DXY2:DYA76 EHU2:EHW76 ERQ2:ERS76 FBM2:FBO76 FLI2:FLK76 FVE2:FVG76 GFA2:GFC76 GOW2:GOY76 GYS2:GYU76 HIO2:HIQ76 HSK2:HSM76 ICG2:ICI76 IMC2:IME76 IVY2:IWA76 JFU2:JFW76 JPQ2:JPS76 JZM2:JZO76 KJI2:KJK76 KTE2:KTG76 LDA2:LDC76 LMW2:LMY76 LWS2:LWU76 MGO2:MGQ76 MQK2:MQM76 NAG2:NAI76 NKC2:NKE76 NTY2:NUA76 ODU2:ODW76 ONQ2:ONS76 OXM2:OXO76 PHI2:PHK76 PRE2:PRG76 QBA2:QBC76 QKW2:QKY76 QUS2:QUU76 REO2:REQ76 ROK2:ROM76 RYG2:RYI76 SIC2:SIE76 SRY2:SSA76 TBU2:TBW76 TLQ2:TLS76 TVM2:TVO76 UFI2:UFK76 UPE2:UPG76 UZA2:UZC76 VIW2:VIY76 VSS2:VSU76 WCO2:WCQ76 WMK2:WMM76 WWG2:WWI76" xr:uid="{D2DEF90D-E542-4F84-8A56-8FFB2AF2BBAC}">
      <formula1>$AV$2:$AV$22</formula1>
    </dataValidation>
    <dataValidation type="list" allowBlank="1" showInputMessage="1" showErrorMessage="1" sqref="K124:K503" xr:uid="{AA8D339B-D89B-41FA-81CC-301749343874}">
      <formula1>$AR$2:$AR$28</formula1>
    </dataValidation>
    <dataValidation type="list" allowBlank="1" showInputMessage="1" showErrorMessage="1" sqref="J99:J503 J2:J97" xr:uid="{B0FDD211-1256-4BBA-A110-7487175C6D8E}">
      <formula1>$AP$2:$AP$30</formula1>
    </dataValidation>
    <dataValidation type="list" allowBlank="1" showInputMessage="1" showErrorMessage="1" sqref="F101:F505 F2:F99" xr:uid="{9EAE38A4-7C1D-4AFF-847C-3A8721CAA239}">
      <formula1>$AH$2:$AH$10</formula1>
    </dataValidation>
    <dataValidation type="list" allowBlank="1" showInputMessage="1" showErrorMessage="1" sqref="E101:E505 E2:E99" xr:uid="{5F859091-B77F-461D-A88F-1E9ED84B2805}">
      <formula1>$AG$2:$AG$11</formula1>
    </dataValidation>
    <dataValidation type="list" allowBlank="1" showInputMessage="1" showErrorMessage="1" sqref="A99:A503 A2:A97" xr:uid="{358ED4B9-ABA0-4901-B0B6-877D0D82E8A6}">
      <formula1>$AE$2:$AE$19</formula1>
    </dataValidation>
    <dataValidation type="list" allowBlank="1" showInputMessage="1" showErrorMessage="1" sqref="H99:H503 H2:H97" xr:uid="{C0E17921-D5BE-409E-8003-28C18C1C42E1}">
      <formula1>$AL$2:$AL$8</formula1>
    </dataValidation>
    <dataValidation type="list" allowBlank="1" showInputMessage="1" showErrorMessage="1" sqref="Y99:AA503 Y2:AA97" xr:uid="{6214ABE3-31CB-43AA-B1DA-2B137A240498}">
      <formula1>$AV$2:$AV$21</formula1>
    </dataValidation>
    <dataValidation type="decimal" allowBlank="1" showInputMessage="1" showErrorMessage="1" error="硬度を正しく入力して下さい。" sqref="O99:P503 O18:P19 P15 P13 O26:P49 O71:P97" xr:uid="{C875F660-33C8-479B-9248-385D31CA92A8}">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5C172-3481-40D0-B202-9587ADA32BA1}">
  <dimension ref="A1:BA145"/>
  <sheetViews>
    <sheetView zoomScale="70" zoomScaleNormal="70" workbookViewId="0">
      <selection activeCell="AE31" sqref="AE31"/>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311</v>
      </c>
      <c r="O1" s="56" t="s">
        <v>14</v>
      </c>
      <c r="P1" s="56" t="s">
        <v>15</v>
      </c>
      <c r="Q1" s="3" t="s">
        <v>16</v>
      </c>
      <c r="R1" s="56" t="s">
        <v>17</v>
      </c>
      <c r="S1" s="56" t="s">
        <v>18</v>
      </c>
      <c r="T1" s="3" t="s">
        <v>19</v>
      </c>
      <c r="U1" s="58" t="s">
        <v>312</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232</v>
      </c>
      <c r="C2" s="62">
        <v>2019</v>
      </c>
      <c r="D2" s="137" t="s">
        <v>313</v>
      </c>
      <c r="E2" s="53" t="s">
        <v>314</v>
      </c>
      <c r="F2" s="53" t="s">
        <v>315</v>
      </c>
      <c r="G2" s="53" t="s">
        <v>36</v>
      </c>
      <c r="H2" s="53" t="s">
        <v>160</v>
      </c>
      <c r="I2" s="53" t="s">
        <v>159</v>
      </c>
      <c r="J2" s="53" t="s">
        <v>38</v>
      </c>
      <c r="K2" s="53" t="s">
        <v>161</v>
      </c>
      <c r="L2" s="53">
        <v>1</v>
      </c>
      <c r="N2" s="53">
        <v>4</v>
      </c>
      <c r="O2" s="53">
        <v>0.59</v>
      </c>
      <c r="P2" s="53">
        <v>0.44</v>
      </c>
      <c r="Q2" s="74">
        <f>IF(OR(O2="",P2=""),"",AVERAGE(O2,P2))</f>
        <v>0.51500000000000001</v>
      </c>
      <c r="R2" s="53">
        <v>15.9</v>
      </c>
      <c r="S2" s="53">
        <v>100</v>
      </c>
      <c r="T2" s="16">
        <f t="shared" ref="T2:T65" si="0">IF(H2="","",IF(OR(H2="GREEN",H2="GK"),IF(S2&gt;=$AX$2,VLOOKUP(S2,$AX$2:$AY$12,2,1),""),IF(S2&gt;=$AZ$2,VLOOKUP(S2,$AZ$2:$BA$12,2,1),"")))</f>
        <v>33</v>
      </c>
      <c r="U2" s="53">
        <v>398</v>
      </c>
      <c r="V2" s="16">
        <f t="shared" ref="V2:V65" si="1">IF(J2="","",IF(OR(J2="GREEN",J2="GK"),IF(U2&gt;=$AX$2,VLOOKUP(U2,$AX$2:$AY$12,2,1),""),IF(U2&gt;=$AZ$2,VLOOKUP(U2,$AZ$2:$BA$12,2,1),"")))</f>
        <v>16</v>
      </c>
      <c r="W2" s="53">
        <v>2</v>
      </c>
      <c r="X2" s="53" t="s">
        <v>46</v>
      </c>
      <c r="Y2" s="53" t="s">
        <v>316</v>
      </c>
      <c r="Z2" s="53" t="s">
        <v>78</v>
      </c>
      <c r="AA2" s="53" t="s">
        <v>97</v>
      </c>
      <c r="AB2" s="53" t="s">
        <v>317</v>
      </c>
      <c r="AE2" s="64" t="s">
        <v>35</v>
      </c>
      <c r="AG2" s="138" t="s">
        <v>318</v>
      </c>
      <c r="AH2" s="139" t="s">
        <v>319</v>
      </c>
      <c r="AJ2" s="67" t="s">
        <v>36</v>
      </c>
      <c r="AL2" s="67" t="s">
        <v>127</v>
      </c>
      <c r="AN2" s="67" t="s">
        <v>320</v>
      </c>
      <c r="AP2" s="67" t="s">
        <v>38</v>
      </c>
      <c r="AR2" s="67" t="s">
        <v>120</v>
      </c>
      <c r="AT2" s="67" t="s">
        <v>39</v>
      </c>
      <c r="AV2" s="23" t="s">
        <v>55</v>
      </c>
      <c r="AX2" s="68">
        <v>1</v>
      </c>
      <c r="AY2" s="69">
        <v>50</v>
      </c>
      <c r="AZ2" s="69">
        <v>1</v>
      </c>
      <c r="BA2" s="70">
        <v>50</v>
      </c>
    </row>
    <row r="3" spans="1:53" x14ac:dyDescent="0.15">
      <c r="A3" s="53" t="s">
        <v>59</v>
      </c>
      <c r="B3" s="53" t="s">
        <v>232</v>
      </c>
      <c r="C3" s="62">
        <v>2019</v>
      </c>
      <c r="D3" s="137" t="s">
        <v>313</v>
      </c>
      <c r="E3" s="53" t="s">
        <v>314</v>
      </c>
      <c r="F3" s="53" t="s">
        <v>315</v>
      </c>
      <c r="G3" s="53" t="s">
        <v>36</v>
      </c>
      <c r="H3" s="53" t="s">
        <v>160</v>
      </c>
      <c r="I3" s="53" t="s">
        <v>159</v>
      </c>
      <c r="J3" s="53" t="s">
        <v>38</v>
      </c>
      <c r="K3" s="53" t="s">
        <v>161</v>
      </c>
      <c r="L3" s="53">
        <v>2</v>
      </c>
      <c r="N3" s="53">
        <v>4</v>
      </c>
      <c r="O3" s="53">
        <v>0.42</v>
      </c>
      <c r="P3" s="53">
        <v>0.44</v>
      </c>
      <c r="Q3" s="74">
        <f t="shared" ref="Q3:Q66" si="2">IF(OR(O3="",P3=""),"",AVERAGE(O3,P3))</f>
        <v>0.43</v>
      </c>
      <c r="R3" s="53">
        <v>17.5</v>
      </c>
      <c r="S3" s="53">
        <v>100</v>
      </c>
      <c r="T3" s="16">
        <f t="shared" si="0"/>
        <v>33</v>
      </c>
      <c r="U3" s="53">
        <v>398</v>
      </c>
      <c r="V3" s="16">
        <f t="shared" si="1"/>
        <v>16</v>
      </c>
      <c r="W3" s="53">
        <v>2</v>
      </c>
      <c r="X3" s="53" t="s">
        <v>46</v>
      </c>
      <c r="Y3" s="53" t="s">
        <v>316</v>
      </c>
      <c r="Z3" s="53" t="s">
        <v>78</v>
      </c>
      <c r="AA3" s="53" t="s">
        <v>97</v>
      </c>
      <c r="AB3" s="53" t="s">
        <v>317</v>
      </c>
      <c r="AE3" s="22" t="s">
        <v>41</v>
      </c>
      <c r="AG3" s="138" t="s">
        <v>321</v>
      </c>
      <c r="AH3" s="139" t="s">
        <v>315</v>
      </c>
      <c r="AJ3" s="23" t="s">
        <v>42</v>
      </c>
      <c r="AL3" s="23" t="s">
        <v>128</v>
      </c>
      <c r="AN3" s="23" t="s">
        <v>43</v>
      </c>
      <c r="AP3" s="23" t="s">
        <v>44</v>
      </c>
      <c r="AR3" s="23" t="s">
        <v>45</v>
      </c>
      <c r="AT3" s="23" t="s">
        <v>46</v>
      </c>
      <c r="AV3" s="23" t="s">
        <v>307</v>
      </c>
      <c r="AX3" s="24">
        <v>72</v>
      </c>
      <c r="AY3" s="25">
        <v>46</v>
      </c>
      <c r="AZ3" s="25">
        <v>71</v>
      </c>
      <c r="BA3" s="26">
        <v>42</v>
      </c>
    </row>
    <row r="4" spans="1:53" x14ac:dyDescent="0.15">
      <c r="A4" s="53" t="s">
        <v>59</v>
      </c>
      <c r="B4" s="53" t="s">
        <v>232</v>
      </c>
      <c r="C4" s="62">
        <v>2019</v>
      </c>
      <c r="D4" s="137" t="s">
        <v>313</v>
      </c>
      <c r="E4" s="53" t="s">
        <v>314</v>
      </c>
      <c r="F4" s="53" t="s">
        <v>315</v>
      </c>
      <c r="G4" s="53" t="s">
        <v>36</v>
      </c>
      <c r="H4" s="53" t="s">
        <v>160</v>
      </c>
      <c r="I4" s="53" t="s">
        <v>322</v>
      </c>
      <c r="J4" s="53" t="s">
        <v>38</v>
      </c>
      <c r="K4" s="53" t="s">
        <v>161</v>
      </c>
      <c r="L4" s="53">
        <v>3</v>
      </c>
      <c r="N4" s="53">
        <v>4</v>
      </c>
      <c r="O4" s="53">
        <v>0.45</v>
      </c>
      <c r="P4" s="53">
        <v>0.51</v>
      </c>
      <c r="Q4" s="74">
        <f t="shared" si="2"/>
        <v>0.48</v>
      </c>
      <c r="R4" s="53">
        <v>16.8</v>
      </c>
      <c r="S4" s="53">
        <v>104</v>
      </c>
      <c r="T4" s="16">
        <f t="shared" si="0"/>
        <v>33</v>
      </c>
      <c r="U4" s="53">
        <v>398</v>
      </c>
      <c r="V4" s="16">
        <f t="shared" si="1"/>
        <v>16</v>
      </c>
      <c r="W4" s="53">
        <v>2</v>
      </c>
      <c r="X4" s="53" t="s">
        <v>46</v>
      </c>
      <c r="Y4" s="53" t="s">
        <v>316</v>
      </c>
      <c r="Z4" s="53" t="s">
        <v>78</v>
      </c>
      <c r="AA4" s="53" t="s">
        <v>97</v>
      </c>
      <c r="AB4" s="53" t="s">
        <v>317</v>
      </c>
      <c r="AE4" s="22" t="s">
        <v>34</v>
      </c>
      <c r="AG4" s="138" t="s">
        <v>323</v>
      </c>
      <c r="AH4" s="139" t="s">
        <v>324</v>
      </c>
      <c r="AJ4" s="27" t="s">
        <v>48</v>
      </c>
      <c r="AL4" s="27" t="s">
        <v>129</v>
      </c>
      <c r="AN4" s="28" t="s">
        <v>49</v>
      </c>
      <c r="AP4" s="23" t="s">
        <v>93</v>
      </c>
      <c r="AR4" s="23" t="s">
        <v>325</v>
      </c>
      <c r="AT4" s="28"/>
      <c r="AV4" s="23" t="s">
        <v>316</v>
      </c>
      <c r="AX4" s="24">
        <v>75</v>
      </c>
      <c r="AY4" s="25">
        <v>42</v>
      </c>
      <c r="AZ4" s="25">
        <v>76</v>
      </c>
      <c r="BA4" s="26">
        <v>39</v>
      </c>
    </row>
    <row r="5" spans="1:53" x14ac:dyDescent="0.15">
      <c r="A5" s="53" t="s">
        <v>59</v>
      </c>
      <c r="B5" s="53" t="s">
        <v>232</v>
      </c>
      <c r="C5" s="62">
        <v>2019</v>
      </c>
      <c r="D5" s="137" t="s">
        <v>313</v>
      </c>
      <c r="E5" s="53" t="s">
        <v>314</v>
      </c>
      <c r="F5" s="53" t="s">
        <v>315</v>
      </c>
      <c r="G5" s="53" t="s">
        <v>36</v>
      </c>
      <c r="H5" s="53" t="s">
        <v>164</v>
      </c>
      <c r="I5" s="53" t="s">
        <v>159</v>
      </c>
      <c r="J5" s="53" t="s">
        <v>38</v>
      </c>
      <c r="K5" s="53" t="s">
        <v>161</v>
      </c>
      <c r="L5" s="53">
        <v>1</v>
      </c>
      <c r="N5" s="53">
        <v>5</v>
      </c>
      <c r="O5" s="53">
        <v>0.63</v>
      </c>
      <c r="P5" s="53">
        <v>0.68</v>
      </c>
      <c r="Q5" s="74">
        <f t="shared" si="2"/>
        <v>0.65500000000000003</v>
      </c>
      <c r="R5" s="53">
        <v>15.1</v>
      </c>
      <c r="S5" s="53">
        <v>94</v>
      </c>
      <c r="T5" s="16">
        <f t="shared" si="0"/>
        <v>36</v>
      </c>
      <c r="U5" s="53">
        <v>348</v>
      </c>
      <c r="V5" s="16">
        <f t="shared" si="1"/>
        <v>16</v>
      </c>
      <c r="W5" s="53">
        <v>2</v>
      </c>
      <c r="X5" s="53" t="s">
        <v>46</v>
      </c>
      <c r="Y5" s="53" t="s">
        <v>316</v>
      </c>
      <c r="Z5" s="53" t="s">
        <v>78</v>
      </c>
      <c r="AA5" s="53" t="s">
        <v>97</v>
      </c>
      <c r="AB5" s="53" t="s">
        <v>317</v>
      </c>
      <c r="AE5" s="22" t="s">
        <v>51</v>
      </c>
      <c r="AG5" s="138" t="s">
        <v>326</v>
      </c>
      <c r="AH5" s="139" t="s">
        <v>327</v>
      </c>
      <c r="AJ5" s="28"/>
      <c r="AL5" s="72" t="s">
        <v>66</v>
      </c>
      <c r="AN5" s="72" t="s">
        <v>52</v>
      </c>
      <c r="AP5" s="23" t="s">
        <v>244</v>
      </c>
      <c r="AR5" s="23" t="s">
        <v>54</v>
      </c>
      <c r="AV5" s="23" t="s">
        <v>328</v>
      </c>
      <c r="AX5" s="24">
        <v>84</v>
      </c>
      <c r="AY5" s="25">
        <v>39</v>
      </c>
      <c r="AZ5" s="25">
        <v>84</v>
      </c>
      <c r="BA5" s="26">
        <v>36</v>
      </c>
    </row>
    <row r="6" spans="1:53" x14ac:dyDescent="0.15">
      <c r="A6" s="53" t="s">
        <v>59</v>
      </c>
      <c r="B6" s="53" t="s">
        <v>232</v>
      </c>
      <c r="C6" s="62">
        <v>2019</v>
      </c>
      <c r="D6" s="137" t="s">
        <v>313</v>
      </c>
      <c r="E6" s="53" t="s">
        <v>314</v>
      </c>
      <c r="F6" s="53" t="s">
        <v>315</v>
      </c>
      <c r="G6" s="53" t="s">
        <v>36</v>
      </c>
      <c r="H6" s="53" t="s">
        <v>164</v>
      </c>
      <c r="I6" s="53" t="s">
        <v>159</v>
      </c>
      <c r="J6" s="53" t="s">
        <v>38</v>
      </c>
      <c r="K6" s="53" t="s">
        <v>161</v>
      </c>
      <c r="L6" s="53">
        <v>2</v>
      </c>
      <c r="N6" s="53">
        <v>5</v>
      </c>
      <c r="O6" s="53">
        <v>0.56999999999999995</v>
      </c>
      <c r="P6" s="53">
        <v>0.69</v>
      </c>
      <c r="Q6" s="74">
        <f t="shared" si="2"/>
        <v>0.62999999999999989</v>
      </c>
      <c r="R6" s="53">
        <v>14.1</v>
      </c>
      <c r="S6" s="53">
        <v>99</v>
      </c>
      <c r="T6" s="16">
        <f t="shared" si="0"/>
        <v>33</v>
      </c>
      <c r="U6" s="53">
        <v>348</v>
      </c>
      <c r="V6" s="16">
        <f t="shared" si="1"/>
        <v>16</v>
      </c>
      <c r="W6" s="53">
        <v>2</v>
      </c>
      <c r="X6" s="53" t="s">
        <v>46</v>
      </c>
      <c r="Y6" s="53" t="s">
        <v>316</v>
      </c>
      <c r="Z6" s="53" t="s">
        <v>78</v>
      </c>
      <c r="AA6" s="53" t="s">
        <v>97</v>
      </c>
      <c r="AB6" s="53" t="s">
        <v>317</v>
      </c>
      <c r="AE6" s="22" t="s">
        <v>56</v>
      </c>
      <c r="AG6" s="138" t="s">
        <v>329</v>
      </c>
      <c r="AH6" s="139" t="s">
        <v>330</v>
      </c>
      <c r="AL6" s="72" t="s">
        <v>99</v>
      </c>
      <c r="AN6" s="72" t="s">
        <v>57</v>
      </c>
      <c r="AP6" s="23" t="s">
        <v>53</v>
      </c>
      <c r="AR6" s="23" t="s">
        <v>331</v>
      </c>
      <c r="AV6" s="23" t="s">
        <v>60</v>
      </c>
      <c r="AX6" s="24">
        <v>97</v>
      </c>
      <c r="AY6" s="25">
        <v>36</v>
      </c>
      <c r="AZ6" s="25">
        <v>99</v>
      </c>
      <c r="BA6" s="26">
        <v>33</v>
      </c>
    </row>
    <row r="7" spans="1:53" x14ac:dyDescent="0.15">
      <c r="A7" s="53" t="s">
        <v>59</v>
      </c>
      <c r="B7" s="53" t="s">
        <v>232</v>
      </c>
      <c r="C7" s="62">
        <v>2019</v>
      </c>
      <c r="D7" s="137" t="s">
        <v>313</v>
      </c>
      <c r="E7" s="53" t="s">
        <v>314</v>
      </c>
      <c r="F7" s="53" t="s">
        <v>315</v>
      </c>
      <c r="G7" s="53" t="s">
        <v>36</v>
      </c>
      <c r="H7" s="53" t="s">
        <v>164</v>
      </c>
      <c r="I7" s="53" t="s">
        <v>159</v>
      </c>
      <c r="J7" s="53" t="s">
        <v>38</v>
      </c>
      <c r="K7" s="53" t="s">
        <v>161</v>
      </c>
      <c r="L7" s="53">
        <v>3</v>
      </c>
      <c r="N7" s="53">
        <v>5</v>
      </c>
      <c r="O7" s="53">
        <v>0.64</v>
      </c>
      <c r="P7" s="53">
        <v>0.66</v>
      </c>
      <c r="Q7" s="74">
        <f t="shared" si="2"/>
        <v>0.65</v>
      </c>
      <c r="R7" s="53">
        <v>14</v>
      </c>
      <c r="S7" s="53">
        <v>82</v>
      </c>
      <c r="T7" s="16">
        <f t="shared" si="0"/>
        <v>39</v>
      </c>
      <c r="U7" s="53">
        <v>348</v>
      </c>
      <c r="V7" s="16">
        <f t="shared" si="1"/>
        <v>16</v>
      </c>
      <c r="W7" s="53">
        <v>2</v>
      </c>
      <c r="X7" s="53" t="s">
        <v>46</v>
      </c>
      <c r="Y7" s="53" t="s">
        <v>316</v>
      </c>
      <c r="Z7" s="53" t="s">
        <v>78</v>
      </c>
      <c r="AA7" s="53" t="s">
        <v>97</v>
      </c>
      <c r="AB7" s="53" t="s">
        <v>317</v>
      </c>
      <c r="AE7" s="22" t="s">
        <v>61</v>
      </c>
      <c r="AG7" s="138" t="s">
        <v>332</v>
      </c>
      <c r="AH7" s="139" t="s">
        <v>333</v>
      </c>
      <c r="AL7" s="34" t="s">
        <v>109</v>
      </c>
      <c r="AP7" s="23" t="s">
        <v>58</v>
      </c>
      <c r="AR7" s="23" t="s">
        <v>334</v>
      </c>
      <c r="AV7" s="23" t="s">
        <v>64</v>
      </c>
      <c r="AX7" s="24">
        <v>109</v>
      </c>
      <c r="AY7" s="25">
        <v>33</v>
      </c>
      <c r="AZ7" s="25">
        <v>113</v>
      </c>
      <c r="BA7" s="26">
        <v>30</v>
      </c>
    </row>
    <row r="8" spans="1:53" x14ac:dyDescent="0.15">
      <c r="A8" s="53" t="s">
        <v>59</v>
      </c>
      <c r="B8" s="53" t="s">
        <v>232</v>
      </c>
      <c r="C8" s="62">
        <v>2019</v>
      </c>
      <c r="D8" s="137" t="s">
        <v>313</v>
      </c>
      <c r="E8" s="53" t="s">
        <v>318</v>
      </c>
      <c r="F8" s="53" t="s">
        <v>319</v>
      </c>
      <c r="G8" s="53" t="s">
        <v>36</v>
      </c>
      <c r="H8" s="53" t="s">
        <v>160</v>
      </c>
      <c r="I8" s="53" t="s">
        <v>159</v>
      </c>
      <c r="J8" s="53" t="s">
        <v>38</v>
      </c>
      <c r="K8" s="53" t="s">
        <v>161</v>
      </c>
      <c r="L8" s="53">
        <v>1</v>
      </c>
      <c r="N8" s="53">
        <v>4</v>
      </c>
      <c r="O8" s="53">
        <v>0.35</v>
      </c>
      <c r="P8" s="53">
        <v>0.44</v>
      </c>
      <c r="Q8" s="74">
        <f t="shared" si="2"/>
        <v>0.39500000000000002</v>
      </c>
      <c r="R8" s="53">
        <v>14.9</v>
      </c>
      <c r="S8" s="53">
        <v>89</v>
      </c>
      <c r="T8" s="16">
        <f t="shared" si="0"/>
        <v>36</v>
      </c>
      <c r="U8" s="53">
        <v>297</v>
      </c>
      <c r="V8" s="16">
        <f t="shared" si="1"/>
        <v>16</v>
      </c>
      <c r="W8" s="53">
        <v>10</v>
      </c>
      <c r="X8" s="53" t="s">
        <v>39</v>
      </c>
      <c r="Y8" s="53" t="s">
        <v>97</v>
      </c>
      <c r="Z8" s="53" t="s">
        <v>316</v>
      </c>
      <c r="AA8" s="53" t="s">
        <v>55</v>
      </c>
      <c r="AB8" s="53" t="s">
        <v>317</v>
      </c>
      <c r="AE8" s="22" t="s">
        <v>59</v>
      </c>
      <c r="AG8" s="140" t="s">
        <v>162</v>
      </c>
      <c r="AH8" s="139" t="s">
        <v>335</v>
      </c>
      <c r="AL8" s="34" t="s">
        <v>134</v>
      </c>
      <c r="AP8" s="23" t="s">
        <v>62</v>
      </c>
      <c r="AR8" s="23" t="s">
        <v>81</v>
      </c>
      <c r="AV8" s="23" t="s">
        <v>97</v>
      </c>
      <c r="AX8" s="24">
        <v>119</v>
      </c>
      <c r="AY8" s="25">
        <v>30</v>
      </c>
      <c r="AZ8" s="25">
        <v>121</v>
      </c>
      <c r="BA8" s="26">
        <v>27</v>
      </c>
    </row>
    <row r="9" spans="1:53" x14ac:dyDescent="0.15">
      <c r="A9" s="53" t="s">
        <v>59</v>
      </c>
      <c r="B9" s="53" t="s">
        <v>232</v>
      </c>
      <c r="C9" s="62">
        <v>2019</v>
      </c>
      <c r="D9" s="137" t="s">
        <v>313</v>
      </c>
      <c r="E9" s="53" t="s">
        <v>318</v>
      </c>
      <c r="F9" s="53" t="s">
        <v>319</v>
      </c>
      <c r="G9" s="53" t="s">
        <v>36</v>
      </c>
      <c r="H9" s="53" t="s">
        <v>160</v>
      </c>
      <c r="I9" s="53" t="s">
        <v>159</v>
      </c>
      <c r="J9" s="53" t="s">
        <v>38</v>
      </c>
      <c r="K9" s="53" t="s">
        <v>161</v>
      </c>
      <c r="L9" s="53">
        <v>2</v>
      </c>
      <c r="N9" s="53">
        <v>4</v>
      </c>
      <c r="O9" s="53">
        <v>0.44</v>
      </c>
      <c r="P9" s="53">
        <v>0.5</v>
      </c>
      <c r="Q9" s="74">
        <f t="shared" si="2"/>
        <v>0.47</v>
      </c>
      <c r="R9" s="53">
        <v>14.5</v>
      </c>
      <c r="S9" s="53">
        <v>95</v>
      </c>
      <c r="T9" s="16">
        <f t="shared" si="0"/>
        <v>36</v>
      </c>
      <c r="U9" s="53">
        <v>297</v>
      </c>
      <c r="V9" s="16">
        <f t="shared" si="1"/>
        <v>16</v>
      </c>
      <c r="W9" s="53">
        <v>10</v>
      </c>
      <c r="X9" s="53" t="s">
        <v>39</v>
      </c>
      <c r="Y9" s="53" t="s">
        <v>97</v>
      </c>
      <c r="Z9" s="53" t="s">
        <v>316</v>
      </c>
      <c r="AA9" s="53" t="s">
        <v>55</v>
      </c>
      <c r="AB9" s="53" t="s">
        <v>317</v>
      </c>
      <c r="AE9" s="22" t="s">
        <v>98</v>
      </c>
      <c r="AG9" s="140" t="s">
        <v>336</v>
      </c>
      <c r="AH9" s="139" t="s">
        <v>335</v>
      </c>
      <c r="AL9" s="72"/>
      <c r="AP9" s="23" t="s">
        <v>337</v>
      </c>
      <c r="AR9" s="23" t="s">
        <v>89</v>
      </c>
      <c r="AV9" s="23" t="s">
        <v>102</v>
      </c>
      <c r="AX9" s="24">
        <v>128</v>
      </c>
      <c r="AY9" s="25">
        <v>27</v>
      </c>
      <c r="AZ9" s="25">
        <v>129</v>
      </c>
      <c r="BA9" s="26">
        <v>25</v>
      </c>
    </row>
    <row r="10" spans="1:53" x14ac:dyDescent="0.15">
      <c r="A10" s="53" t="s">
        <v>59</v>
      </c>
      <c r="B10" s="53" t="s">
        <v>232</v>
      </c>
      <c r="C10" s="62">
        <v>2019</v>
      </c>
      <c r="D10" s="137" t="s">
        <v>313</v>
      </c>
      <c r="E10" s="53" t="s">
        <v>318</v>
      </c>
      <c r="F10" s="53" t="s">
        <v>319</v>
      </c>
      <c r="G10" s="53" t="s">
        <v>36</v>
      </c>
      <c r="H10" s="53" t="s">
        <v>160</v>
      </c>
      <c r="I10" s="53" t="s">
        <v>159</v>
      </c>
      <c r="J10" s="53" t="s">
        <v>38</v>
      </c>
      <c r="K10" s="53" t="s">
        <v>161</v>
      </c>
      <c r="L10" s="53">
        <v>3</v>
      </c>
      <c r="N10" s="53">
        <v>4</v>
      </c>
      <c r="O10" s="53">
        <v>0.39</v>
      </c>
      <c r="P10" s="53">
        <v>0.47</v>
      </c>
      <c r="Q10" s="74">
        <f t="shared" si="2"/>
        <v>0.43</v>
      </c>
      <c r="R10" s="53">
        <v>15.1</v>
      </c>
      <c r="S10" s="53">
        <v>109</v>
      </c>
      <c r="T10" s="16">
        <f t="shared" si="0"/>
        <v>33</v>
      </c>
      <c r="U10" s="53">
        <v>297</v>
      </c>
      <c r="V10" s="16">
        <f t="shared" si="1"/>
        <v>16</v>
      </c>
      <c r="W10" s="53">
        <v>10</v>
      </c>
      <c r="X10" s="53" t="s">
        <v>39</v>
      </c>
      <c r="Y10" s="53" t="s">
        <v>97</v>
      </c>
      <c r="Z10" s="53" t="s">
        <v>316</v>
      </c>
      <c r="AA10" s="53" t="s">
        <v>55</v>
      </c>
      <c r="AB10" s="53" t="s">
        <v>317</v>
      </c>
      <c r="AE10" s="22" t="s">
        <v>103</v>
      </c>
      <c r="AG10" s="138" t="s">
        <v>338</v>
      </c>
      <c r="AH10" s="139" t="s">
        <v>327</v>
      </c>
      <c r="AL10" s="83"/>
      <c r="AP10" s="23" t="s">
        <v>100</v>
      </c>
      <c r="AR10" s="23" t="s">
        <v>123</v>
      </c>
      <c r="AV10" s="23" t="s">
        <v>106</v>
      </c>
      <c r="AX10" s="24">
        <v>138</v>
      </c>
      <c r="AY10" s="25">
        <v>25</v>
      </c>
      <c r="AZ10" s="25">
        <v>138</v>
      </c>
      <c r="BA10" s="26">
        <v>22</v>
      </c>
    </row>
    <row r="11" spans="1:53" x14ac:dyDescent="0.15">
      <c r="A11" s="53" t="s">
        <v>59</v>
      </c>
      <c r="B11" s="53" t="s">
        <v>232</v>
      </c>
      <c r="C11" s="62">
        <v>2019</v>
      </c>
      <c r="D11" s="137" t="s">
        <v>313</v>
      </c>
      <c r="E11" s="53" t="s">
        <v>318</v>
      </c>
      <c r="F11" s="53" t="s">
        <v>319</v>
      </c>
      <c r="G11" s="53" t="s">
        <v>36</v>
      </c>
      <c r="H11" s="53" t="s">
        <v>164</v>
      </c>
      <c r="I11" s="53" t="s">
        <v>159</v>
      </c>
      <c r="J11" s="53" t="s">
        <v>38</v>
      </c>
      <c r="K11" s="53" t="s">
        <v>161</v>
      </c>
      <c r="L11" s="53">
        <v>1</v>
      </c>
      <c r="N11" s="53">
        <v>4</v>
      </c>
      <c r="O11" s="53">
        <v>0.4</v>
      </c>
      <c r="P11" s="53">
        <v>0.45</v>
      </c>
      <c r="Q11" s="74">
        <f t="shared" si="2"/>
        <v>0.42500000000000004</v>
      </c>
      <c r="R11" s="53">
        <v>15.4</v>
      </c>
      <c r="S11" s="53">
        <v>96</v>
      </c>
      <c r="T11" s="16">
        <f t="shared" si="0"/>
        <v>36</v>
      </c>
      <c r="U11" s="53">
        <v>297</v>
      </c>
      <c r="V11" s="16">
        <f t="shared" si="1"/>
        <v>16</v>
      </c>
      <c r="W11" s="53">
        <v>6</v>
      </c>
      <c r="X11" s="53" t="s">
        <v>39</v>
      </c>
      <c r="Y11" s="53" t="s">
        <v>97</v>
      </c>
      <c r="Z11" s="53" t="s">
        <v>316</v>
      </c>
      <c r="AA11" s="53" t="s">
        <v>55</v>
      </c>
      <c r="AB11" s="53" t="s">
        <v>317</v>
      </c>
      <c r="AE11" s="22" t="s">
        <v>65</v>
      </c>
      <c r="AG11" s="140" t="s">
        <v>339</v>
      </c>
      <c r="AH11" s="139" t="s">
        <v>340</v>
      </c>
      <c r="AL11" s="83"/>
      <c r="AP11" s="23" t="s">
        <v>341</v>
      </c>
      <c r="AR11" s="23" t="s">
        <v>342</v>
      </c>
      <c r="AV11" s="23" t="s">
        <v>343</v>
      </c>
      <c r="AX11" s="24">
        <v>151</v>
      </c>
      <c r="AY11" s="25">
        <v>22</v>
      </c>
      <c r="AZ11" s="25">
        <v>152</v>
      </c>
      <c r="BA11" s="26">
        <v>18</v>
      </c>
    </row>
    <row r="12" spans="1:53" x14ac:dyDescent="0.15">
      <c r="A12" s="53" t="s">
        <v>59</v>
      </c>
      <c r="B12" s="53" t="s">
        <v>232</v>
      </c>
      <c r="C12" s="62">
        <v>2019</v>
      </c>
      <c r="D12" s="137" t="s">
        <v>313</v>
      </c>
      <c r="E12" s="53" t="s">
        <v>318</v>
      </c>
      <c r="F12" s="53" t="s">
        <v>319</v>
      </c>
      <c r="G12" s="53" t="s">
        <v>36</v>
      </c>
      <c r="H12" s="53" t="s">
        <v>164</v>
      </c>
      <c r="I12" s="53" t="s">
        <v>159</v>
      </c>
      <c r="J12" s="53" t="s">
        <v>38</v>
      </c>
      <c r="K12" s="53" t="s">
        <v>161</v>
      </c>
      <c r="L12" s="53">
        <v>2</v>
      </c>
      <c r="N12" s="53">
        <v>4</v>
      </c>
      <c r="O12" s="53">
        <v>0.6</v>
      </c>
      <c r="P12" s="53">
        <v>0.63</v>
      </c>
      <c r="Q12" s="74">
        <f t="shared" si="2"/>
        <v>0.61499999999999999</v>
      </c>
      <c r="R12" s="53">
        <v>15.4</v>
      </c>
      <c r="S12" s="53">
        <v>101</v>
      </c>
      <c r="T12" s="16">
        <f t="shared" si="0"/>
        <v>33</v>
      </c>
      <c r="U12" s="53">
        <v>297</v>
      </c>
      <c r="V12" s="16">
        <f t="shared" si="1"/>
        <v>16</v>
      </c>
      <c r="W12" s="53">
        <v>6</v>
      </c>
      <c r="X12" s="53" t="s">
        <v>39</v>
      </c>
      <c r="Y12" s="53" t="s">
        <v>97</v>
      </c>
      <c r="Z12" s="53" t="s">
        <v>316</v>
      </c>
      <c r="AA12" s="53" t="s">
        <v>55</v>
      </c>
      <c r="AB12" s="53" t="s">
        <v>317</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232</v>
      </c>
      <c r="C13" s="62">
        <v>2019</v>
      </c>
      <c r="D13" s="137" t="s">
        <v>313</v>
      </c>
      <c r="E13" s="53" t="s">
        <v>318</v>
      </c>
      <c r="F13" s="53" t="s">
        <v>319</v>
      </c>
      <c r="G13" s="53" t="s">
        <v>36</v>
      </c>
      <c r="H13" s="53" t="s">
        <v>164</v>
      </c>
      <c r="I13" s="53" t="s">
        <v>159</v>
      </c>
      <c r="J13" s="53" t="s">
        <v>38</v>
      </c>
      <c r="K13" s="53" t="s">
        <v>161</v>
      </c>
      <c r="L13" s="53">
        <v>3</v>
      </c>
      <c r="N13" s="53">
        <v>4</v>
      </c>
      <c r="O13" s="53">
        <v>0.43</v>
      </c>
      <c r="P13" s="53">
        <v>0.52</v>
      </c>
      <c r="Q13" s="74">
        <f t="shared" si="2"/>
        <v>0.47499999999999998</v>
      </c>
      <c r="R13" s="53">
        <v>15.2</v>
      </c>
      <c r="S13" s="53">
        <v>106</v>
      </c>
      <c r="T13" s="16">
        <f t="shared" si="0"/>
        <v>33</v>
      </c>
      <c r="U13" s="53">
        <v>297</v>
      </c>
      <c r="V13" s="16">
        <f t="shared" si="1"/>
        <v>16</v>
      </c>
      <c r="W13" s="53">
        <v>6</v>
      </c>
      <c r="X13" s="53" t="s">
        <v>39</v>
      </c>
      <c r="Y13" s="53" t="s">
        <v>97</v>
      </c>
      <c r="Z13" s="53" t="s">
        <v>316</v>
      </c>
      <c r="AA13" s="53" t="s">
        <v>55</v>
      </c>
      <c r="AB13" s="53" t="s">
        <v>317</v>
      </c>
      <c r="AE13" s="22" t="s">
        <v>73</v>
      </c>
      <c r="AG13" s="23"/>
      <c r="AH13" s="23"/>
      <c r="AP13" s="23" t="s">
        <v>71</v>
      </c>
      <c r="AR13" s="23" t="s">
        <v>103</v>
      </c>
      <c r="AV13" s="23" t="s">
        <v>75</v>
      </c>
    </row>
    <row r="14" spans="1:53" x14ac:dyDescent="0.15">
      <c r="A14" s="53" t="s">
        <v>59</v>
      </c>
      <c r="B14" s="53" t="s">
        <v>232</v>
      </c>
      <c r="C14" s="62">
        <v>2019</v>
      </c>
      <c r="D14" s="137" t="s">
        <v>313</v>
      </c>
      <c r="E14" s="53" t="s">
        <v>326</v>
      </c>
      <c r="F14" s="53" t="s">
        <v>327</v>
      </c>
      <c r="G14" s="53" t="s">
        <v>36</v>
      </c>
      <c r="H14" s="53" t="s">
        <v>160</v>
      </c>
      <c r="I14" s="53" t="s">
        <v>159</v>
      </c>
      <c r="J14" s="53" t="s">
        <v>38</v>
      </c>
      <c r="K14" s="53" t="s">
        <v>161</v>
      </c>
      <c r="L14" s="53">
        <v>1</v>
      </c>
      <c r="N14" s="53">
        <v>2</v>
      </c>
      <c r="O14" s="53">
        <v>0.38</v>
      </c>
      <c r="P14" s="53">
        <v>0.41</v>
      </c>
      <c r="Q14" s="74">
        <f t="shared" si="2"/>
        <v>0.39500000000000002</v>
      </c>
      <c r="R14" s="53">
        <v>16.7</v>
      </c>
      <c r="S14" s="53">
        <v>150</v>
      </c>
      <c r="T14" s="16">
        <f t="shared" si="0"/>
        <v>22</v>
      </c>
      <c r="U14" s="53">
        <v>380</v>
      </c>
      <c r="V14" s="16">
        <f t="shared" si="1"/>
        <v>16</v>
      </c>
      <c r="W14" s="53">
        <v>6</v>
      </c>
      <c r="X14" s="53" t="s">
        <v>46</v>
      </c>
      <c r="Y14" s="53" t="s">
        <v>90</v>
      </c>
      <c r="Z14" s="53" t="s">
        <v>55</v>
      </c>
      <c r="AA14" s="53" t="s">
        <v>97</v>
      </c>
      <c r="AB14" s="53" t="s">
        <v>317</v>
      </c>
      <c r="AE14" s="22" t="s">
        <v>76</v>
      </c>
      <c r="AG14" s="23"/>
      <c r="AH14" s="23"/>
      <c r="AP14" s="23" t="s">
        <v>344</v>
      </c>
      <c r="AR14" s="23" t="s">
        <v>125</v>
      </c>
      <c r="AV14" s="23" t="s">
        <v>78</v>
      </c>
    </row>
    <row r="15" spans="1:53" x14ac:dyDescent="0.15">
      <c r="A15" s="53" t="s">
        <v>59</v>
      </c>
      <c r="B15" s="53" t="s">
        <v>232</v>
      </c>
      <c r="C15" s="62">
        <v>2019</v>
      </c>
      <c r="D15" s="137" t="s">
        <v>313</v>
      </c>
      <c r="E15" s="53" t="s">
        <v>326</v>
      </c>
      <c r="F15" s="53" t="s">
        <v>327</v>
      </c>
      <c r="G15" s="53" t="s">
        <v>36</v>
      </c>
      <c r="H15" s="53" t="s">
        <v>160</v>
      </c>
      <c r="I15" s="53" t="s">
        <v>159</v>
      </c>
      <c r="J15" s="53" t="s">
        <v>38</v>
      </c>
      <c r="K15" s="53" t="s">
        <v>161</v>
      </c>
      <c r="L15" s="53">
        <v>2</v>
      </c>
      <c r="N15" s="53">
        <v>2</v>
      </c>
      <c r="O15" s="53">
        <v>0.4</v>
      </c>
      <c r="P15" s="53">
        <v>0.45</v>
      </c>
      <c r="Q15" s="74">
        <f t="shared" si="2"/>
        <v>0.42500000000000004</v>
      </c>
      <c r="R15" s="53">
        <v>17.399999999999999</v>
      </c>
      <c r="S15" s="53">
        <v>168</v>
      </c>
      <c r="T15" s="16">
        <f t="shared" si="0"/>
        <v>18</v>
      </c>
      <c r="U15" s="53">
        <v>380</v>
      </c>
      <c r="V15" s="16">
        <f t="shared" si="1"/>
        <v>16</v>
      </c>
      <c r="W15" s="53">
        <v>6</v>
      </c>
      <c r="X15" s="53" t="s">
        <v>46</v>
      </c>
      <c r="Y15" s="53" t="s">
        <v>90</v>
      </c>
      <c r="Z15" s="53" t="s">
        <v>55</v>
      </c>
      <c r="AA15" s="53" t="s">
        <v>97</v>
      </c>
      <c r="AB15" s="53" t="s">
        <v>317</v>
      </c>
      <c r="AE15" s="22" t="s">
        <v>79</v>
      </c>
      <c r="AG15" s="23"/>
      <c r="AH15" s="23"/>
      <c r="AP15" s="23" t="s">
        <v>345</v>
      </c>
      <c r="AR15" s="23" t="s">
        <v>94</v>
      </c>
      <c r="AV15" s="23" t="s">
        <v>107</v>
      </c>
    </row>
    <row r="16" spans="1:53" x14ac:dyDescent="0.15">
      <c r="A16" s="53" t="s">
        <v>59</v>
      </c>
      <c r="B16" s="53" t="s">
        <v>232</v>
      </c>
      <c r="C16" s="62">
        <v>2019</v>
      </c>
      <c r="D16" s="137" t="s">
        <v>313</v>
      </c>
      <c r="E16" s="53" t="s">
        <v>326</v>
      </c>
      <c r="F16" s="53" t="s">
        <v>327</v>
      </c>
      <c r="G16" s="53" t="s">
        <v>36</v>
      </c>
      <c r="H16" s="53" t="s">
        <v>160</v>
      </c>
      <c r="I16" s="53" t="s">
        <v>159</v>
      </c>
      <c r="J16" s="53" t="s">
        <v>38</v>
      </c>
      <c r="K16" s="53" t="s">
        <v>161</v>
      </c>
      <c r="L16" s="53">
        <v>3</v>
      </c>
      <c r="N16" s="53">
        <v>2</v>
      </c>
      <c r="O16" s="53">
        <v>0.42</v>
      </c>
      <c r="P16" s="53">
        <v>0.46</v>
      </c>
      <c r="Q16" s="74">
        <f t="shared" si="2"/>
        <v>0.44</v>
      </c>
      <c r="R16" s="53">
        <v>16.399999999999999</v>
      </c>
      <c r="S16" s="53">
        <v>160</v>
      </c>
      <c r="T16" s="16">
        <f t="shared" si="0"/>
        <v>18</v>
      </c>
      <c r="U16" s="53">
        <v>380</v>
      </c>
      <c r="V16" s="16">
        <f t="shared" si="1"/>
        <v>16</v>
      </c>
      <c r="W16" s="53">
        <v>6</v>
      </c>
      <c r="X16" s="53" t="s">
        <v>46</v>
      </c>
      <c r="Y16" s="53" t="s">
        <v>90</v>
      </c>
      <c r="Z16" s="53" t="s">
        <v>55</v>
      </c>
      <c r="AA16" s="53" t="s">
        <v>97</v>
      </c>
      <c r="AB16" s="53" t="s">
        <v>317</v>
      </c>
      <c r="AE16" s="22" t="s">
        <v>82</v>
      </c>
      <c r="AG16" s="28"/>
      <c r="AH16" s="28"/>
      <c r="AP16" s="23" t="s">
        <v>80</v>
      </c>
      <c r="AR16" s="23" t="s">
        <v>63</v>
      </c>
      <c r="AV16" s="23" t="s">
        <v>84</v>
      </c>
    </row>
    <row r="17" spans="1:48" x14ac:dyDescent="0.15">
      <c r="A17" s="53" t="s">
        <v>59</v>
      </c>
      <c r="B17" s="53" t="s">
        <v>232</v>
      </c>
      <c r="C17" s="62">
        <v>2019</v>
      </c>
      <c r="D17" s="137" t="s">
        <v>313</v>
      </c>
      <c r="E17" s="53" t="s">
        <v>326</v>
      </c>
      <c r="F17" s="53" t="s">
        <v>327</v>
      </c>
      <c r="G17" s="53" t="s">
        <v>36</v>
      </c>
      <c r="H17" s="53" t="s">
        <v>164</v>
      </c>
      <c r="I17" s="53" t="s">
        <v>159</v>
      </c>
      <c r="J17" s="53" t="s">
        <v>38</v>
      </c>
      <c r="K17" s="53" t="s">
        <v>161</v>
      </c>
      <c r="L17" s="53">
        <v>1</v>
      </c>
      <c r="N17" s="53">
        <v>2</v>
      </c>
      <c r="O17" s="53">
        <v>0.48</v>
      </c>
      <c r="P17" s="53">
        <v>0.44</v>
      </c>
      <c r="Q17" s="74">
        <f t="shared" si="2"/>
        <v>0.45999999999999996</v>
      </c>
      <c r="R17" s="53">
        <v>16.3</v>
      </c>
      <c r="S17" s="53">
        <v>151</v>
      </c>
      <c r="T17" s="16">
        <f t="shared" si="0"/>
        <v>22</v>
      </c>
      <c r="U17" s="53">
        <v>299</v>
      </c>
      <c r="V17" s="16">
        <f t="shared" si="1"/>
        <v>16</v>
      </c>
      <c r="W17" s="53">
        <v>6</v>
      </c>
      <c r="X17" s="53" t="s">
        <v>46</v>
      </c>
      <c r="Y17" s="53" t="s">
        <v>90</v>
      </c>
      <c r="Z17" s="53" t="s">
        <v>55</v>
      </c>
      <c r="AA17" s="53" t="s">
        <v>97</v>
      </c>
      <c r="AB17" s="53" t="s">
        <v>317</v>
      </c>
      <c r="AE17" s="22" t="s">
        <v>85</v>
      </c>
      <c r="AP17" s="27" t="s">
        <v>110</v>
      </c>
      <c r="AR17" s="23" t="s">
        <v>96</v>
      </c>
      <c r="AV17" s="23" t="s">
        <v>86</v>
      </c>
    </row>
    <row r="18" spans="1:48" x14ac:dyDescent="0.15">
      <c r="A18" s="53" t="s">
        <v>59</v>
      </c>
      <c r="B18" s="53" t="s">
        <v>232</v>
      </c>
      <c r="C18" s="62">
        <v>2019</v>
      </c>
      <c r="D18" s="137" t="s">
        <v>313</v>
      </c>
      <c r="E18" s="53" t="s">
        <v>326</v>
      </c>
      <c r="F18" s="53" t="s">
        <v>327</v>
      </c>
      <c r="G18" s="53" t="s">
        <v>36</v>
      </c>
      <c r="H18" s="53" t="s">
        <v>164</v>
      </c>
      <c r="I18" s="53" t="s">
        <v>159</v>
      </c>
      <c r="J18" s="53" t="s">
        <v>38</v>
      </c>
      <c r="K18" s="53" t="s">
        <v>161</v>
      </c>
      <c r="L18" s="53">
        <v>2</v>
      </c>
      <c r="N18" s="53">
        <v>2</v>
      </c>
      <c r="O18" s="53">
        <v>0.47</v>
      </c>
      <c r="P18" s="53">
        <v>0.46</v>
      </c>
      <c r="Q18" s="74">
        <f t="shared" si="2"/>
        <v>0.46499999999999997</v>
      </c>
      <c r="R18" s="53">
        <v>16</v>
      </c>
      <c r="S18" s="53">
        <v>154</v>
      </c>
      <c r="T18" s="16">
        <f t="shared" si="0"/>
        <v>18</v>
      </c>
      <c r="U18" s="53">
        <v>299</v>
      </c>
      <c r="V18" s="16">
        <f t="shared" si="1"/>
        <v>16</v>
      </c>
      <c r="W18" s="53">
        <v>6</v>
      </c>
      <c r="X18" s="53" t="s">
        <v>46</v>
      </c>
      <c r="Y18" s="53" t="s">
        <v>90</v>
      </c>
      <c r="Z18" s="53" t="s">
        <v>55</v>
      </c>
      <c r="AA18" s="53" t="s">
        <v>97</v>
      </c>
      <c r="AB18" s="53" t="s">
        <v>317</v>
      </c>
      <c r="AE18" s="22" t="s">
        <v>87</v>
      </c>
      <c r="AP18" s="27" t="s">
        <v>346</v>
      </c>
      <c r="AR18" s="23" t="s">
        <v>101</v>
      </c>
      <c r="AV18" s="23" t="s">
        <v>88</v>
      </c>
    </row>
    <row r="19" spans="1:48" x14ac:dyDescent="0.15">
      <c r="A19" s="53" t="s">
        <v>59</v>
      </c>
      <c r="B19" s="53" t="s">
        <v>232</v>
      </c>
      <c r="C19" s="62">
        <v>2019</v>
      </c>
      <c r="D19" s="137" t="s">
        <v>313</v>
      </c>
      <c r="E19" s="53" t="s">
        <v>326</v>
      </c>
      <c r="F19" s="53" t="s">
        <v>327</v>
      </c>
      <c r="G19" s="53" t="s">
        <v>36</v>
      </c>
      <c r="H19" s="53" t="s">
        <v>164</v>
      </c>
      <c r="I19" s="53" t="s">
        <v>159</v>
      </c>
      <c r="J19" s="53" t="s">
        <v>38</v>
      </c>
      <c r="K19" s="53" t="s">
        <v>161</v>
      </c>
      <c r="L19" s="53">
        <v>3</v>
      </c>
      <c r="N19" s="53">
        <v>2</v>
      </c>
      <c r="O19" s="53">
        <v>0.45</v>
      </c>
      <c r="P19" s="53">
        <v>0.5</v>
      </c>
      <c r="Q19" s="74">
        <f t="shared" si="2"/>
        <v>0.47499999999999998</v>
      </c>
      <c r="R19" s="53">
        <v>15.8</v>
      </c>
      <c r="S19" s="53">
        <v>155</v>
      </c>
      <c r="T19" s="16">
        <f t="shared" si="0"/>
        <v>18</v>
      </c>
      <c r="U19" s="53">
        <v>299</v>
      </c>
      <c r="V19" s="16">
        <f t="shared" si="1"/>
        <v>16</v>
      </c>
      <c r="W19" s="53">
        <v>6</v>
      </c>
      <c r="X19" s="53" t="s">
        <v>46</v>
      </c>
      <c r="Y19" s="53" t="s">
        <v>90</v>
      </c>
      <c r="Z19" s="53" t="s">
        <v>55</v>
      </c>
      <c r="AA19" s="53" t="s">
        <v>97</v>
      </c>
      <c r="AB19" s="53" t="s">
        <v>317</v>
      </c>
      <c r="AE19" s="35" t="s">
        <v>89</v>
      </c>
      <c r="AP19" s="27" t="s">
        <v>112</v>
      </c>
      <c r="AR19" s="23" t="s">
        <v>126</v>
      </c>
      <c r="AV19" s="23" t="s">
        <v>347</v>
      </c>
    </row>
    <row r="20" spans="1:48" x14ac:dyDescent="0.15">
      <c r="A20" s="53" t="s">
        <v>59</v>
      </c>
      <c r="B20" s="53" t="s">
        <v>232</v>
      </c>
      <c r="C20" s="62">
        <v>2019</v>
      </c>
      <c r="D20" s="137" t="s">
        <v>313</v>
      </c>
      <c r="E20" s="53" t="s">
        <v>326</v>
      </c>
      <c r="F20" s="53" t="s">
        <v>327</v>
      </c>
      <c r="G20" s="53" t="s">
        <v>36</v>
      </c>
      <c r="H20" s="53" t="s">
        <v>199</v>
      </c>
      <c r="I20" s="53" t="s">
        <v>159</v>
      </c>
      <c r="J20" s="53" t="s">
        <v>38</v>
      </c>
      <c r="K20" s="53" t="s">
        <v>161</v>
      </c>
      <c r="L20" s="53">
        <v>1</v>
      </c>
      <c r="N20" s="53">
        <v>4</v>
      </c>
      <c r="O20" s="53">
        <v>0.34</v>
      </c>
      <c r="P20" s="53">
        <v>0.36</v>
      </c>
      <c r="Q20" s="74">
        <f t="shared" si="2"/>
        <v>0.35</v>
      </c>
      <c r="R20" s="53">
        <v>17.100000000000001</v>
      </c>
      <c r="S20" s="53">
        <v>85</v>
      </c>
      <c r="T20" s="16">
        <f t="shared" si="0"/>
        <v>36</v>
      </c>
      <c r="U20" s="53">
        <v>399</v>
      </c>
      <c r="V20" s="16">
        <f t="shared" si="1"/>
        <v>16</v>
      </c>
      <c r="W20" s="53">
        <v>2</v>
      </c>
      <c r="X20" s="53" t="s">
        <v>46</v>
      </c>
      <c r="Y20" s="53" t="s">
        <v>90</v>
      </c>
      <c r="Z20" s="53" t="s">
        <v>55</v>
      </c>
      <c r="AA20" s="53" t="s">
        <v>97</v>
      </c>
      <c r="AB20" s="53" t="s">
        <v>317</v>
      </c>
      <c r="AE20" s="35"/>
      <c r="AP20" s="27" t="s">
        <v>113</v>
      </c>
      <c r="AR20" s="23" t="s">
        <v>105</v>
      </c>
      <c r="AV20" s="27" t="s">
        <v>135</v>
      </c>
    </row>
    <row r="21" spans="1:48" x14ac:dyDescent="0.15">
      <c r="A21" s="53" t="s">
        <v>59</v>
      </c>
      <c r="B21" s="53" t="s">
        <v>232</v>
      </c>
      <c r="C21" s="62">
        <v>2019</v>
      </c>
      <c r="D21" s="137" t="s">
        <v>313</v>
      </c>
      <c r="E21" s="53" t="s">
        <v>326</v>
      </c>
      <c r="F21" s="53" t="s">
        <v>327</v>
      </c>
      <c r="G21" s="53" t="s">
        <v>36</v>
      </c>
      <c r="H21" s="53" t="s">
        <v>199</v>
      </c>
      <c r="I21" s="53" t="s">
        <v>159</v>
      </c>
      <c r="J21" s="53" t="s">
        <v>38</v>
      </c>
      <c r="K21" s="53" t="s">
        <v>161</v>
      </c>
      <c r="L21" s="53">
        <v>2</v>
      </c>
      <c r="N21" s="53">
        <v>4</v>
      </c>
      <c r="O21" s="53">
        <v>0.28000000000000003</v>
      </c>
      <c r="P21" s="53">
        <v>0.31</v>
      </c>
      <c r="Q21" s="74">
        <f t="shared" si="2"/>
        <v>0.29500000000000004</v>
      </c>
      <c r="R21" s="53">
        <v>17.2</v>
      </c>
      <c r="S21" s="53">
        <v>80</v>
      </c>
      <c r="T21" s="16">
        <f t="shared" si="0"/>
        <v>39</v>
      </c>
      <c r="U21" s="53">
        <v>399</v>
      </c>
      <c r="V21" s="16">
        <f t="shared" si="1"/>
        <v>16</v>
      </c>
      <c r="W21" s="53">
        <v>2</v>
      </c>
      <c r="X21" s="53" t="s">
        <v>46</v>
      </c>
      <c r="Y21" s="53" t="s">
        <v>90</v>
      </c>
      <c r="Z21" s="53" t="s">
        <v>55</v>
      </c>
      <c r="AA21" s="53" t="s">
        <v>97</v>
      </c>
      <c r="AB21" s="53" t="s">
        <v>317</v>
      </c>
      <c r="AE21" s="28"/>
      <c r="AP21" s="27" t="s">
        <v>348</v>
      </c>
      <c r="AR21" s="23" t="s">
        <v>68</v>
      </c>
      <c r="AV21" s="27" t="s">
        <v>136</v>
      </c>
    </row>
    <row r="22" spans="1:48" x14ac:dyDescent="0.15">
      <c r="A22" s="53" t="s">
        <v>59</v>
      </c>
      <c r="B22" s="53" t="s">
        <v>232</v>
      </c>
      <c r="C22" s="62">
        <v>2019</v>
      </c>
      <c r="D22" s="137" t="s">
        <v>313</v>
      </c>
      <c r="E22" s="53" t="s">
        <v>326</v>
      </c>
      <c r="F22" s="53" t="s">
        <v>327</v>
      </c>
      <c r="G22" s="53" t="s">
        <v>36</v>
      </c>
      <c r="H22" s="53" t="s">
        <v>199</v>
      </c>
      <c r="I22" s="53" t="s">
        <v>159</v>
      </c>
      <c r="J22" s="53" t="s">
        <v>38</v>
      </c>
      <c r="K22" s="53" t="s">
        <v>161</v>
      </c>
      <c r="L22" s="53">
        <v>3</v>
      </c>
      <c r="N22" s="53">
        <v>4</v>
      </c>
      <c r="O22" s="53">
        <v>0.33</v>
      </c>
      <c r="P22" s="53">
        <v>0.36</v>
      </c>
      <c r="Q22" s="74">
        <f t="shared" si="2"/>
        <v>0.34499999999999997</v>
      </c>
      <c r="R22" s="53">
        <v>17.100000000000001</v>
      </c>
      <c r="S22" s="53">
        <v>85</v>
      </c>
      <c r="T22" s="16">
        <f t="shared" si="0"/>
        <v>36</v>
      </c>
      <c r="U22" s="53">
        <v>399</v>
      </c>
      <c r="V22" s="16">
        <f t="shared" si="1"/>
        <v>16</v>
      </c>
      <c r="W22" s="53">
        <v>2</v>
      </c>
      <c r="X22" s="53" t="s">
        <v>46</v>
      </c>
      <c r="Y22" s="53" t="s">
        <v>90</v>
      </c>
      <c r="Z22" s="53" t="s">
        <v>55</v>
      </c>
      <c r="AA22" s="53" t="s">
        <v>97</v>
      </c>
      <c r="AB22" s="53" t="s">
        <v>317</v>
      </c>
      <c r="AP22" s="27" t="s">
        <v>349</v>
      </c>
      <c r="AR22" s="23" t="s">
        <v>83</v>
      </c>
      <c r="AV22" s="27" t="s">
        <v>350</v>
      </c>
    </row>
    <row r="23" spans="1:48" x14ac:dyDescent="0.15">
      <c r="A23" s="53" t="s">
        <v>59</v>
      </c>
      <c r="B23" s="53" t="s">
        <v>232</v>
      </c>
      <c r="C23" s="62">
        <v>2019</v>
      </c>
      <c r="D23" s="137" t="s">
        <v>313</v>
      </c>
      <c r="E23" s="53" t="s">
        <v>338</v>
      </c>
      <c r="F23" s="53" t="s">
        <v>327</v>
      </c>
      <c r="G23" s="53" t="s">
        <v>36</v>
      </c>
      <c r="H23" s="53" t="s">
        <v>160</v>
      </c>
      <c r="I23" s="53" t="s">
        <v>159</v>
      </c>
      <c r="J23" s="53" t="s">
        <v>38</v>
      </c>
      <c r="K23" s="53" t="s">
        <v>161</v>
      </c>
      <c r="L23" s="53">
        <v>1</v>
      </c>
      <c r="N23" s="53">
        <v>2</v>
      </c>
      <c r="O23" s="53">
        <v>0.34</v>
      </c>
      <c r="P23" s="53">
        <v>0.36</v>
      </c>
      <c r="Q23" s="74">
        <f t="shared" si="2"/>
        <v>0.35</v>
      </c>
      <c r="R23" s="53">
        <v>20.100000000000001</v>
      </c>
      <c r="S23" s="53">
        <v>159</v>
      </c>
      <c r="T23" s="16">
        <f t="shared" si="0"/>
        <v>18</v>
      </c>
      <c r="U23" s="53">
        <v>429</v>
      </c>
      <c r="V23" s="16">
        <f t="shared" si="1"/>
        <v>16</v>
      </c>
      <c r="W23" s="53">
        <v>4</v>
      </c>
      <c r="X23" s="53" t="s">
        <v>46</v>
      </c>
      <c r="Y23" s="53" t="s">
        <v>90</v>
      </c>
      <c r="Z23" s="53" t="s">
        <v>69</v>
      </c>
      <c r="AA23" s="53" t="s">
        <v>55</v>
      </c>
      <c r="AB23" s="53" t="s">
        <v>317</v>
      </c>
      <c r="AP23" s="27" t="s">
        <v>137</v>
      </c>
      <c r="AR23" s="23" t="s">
        <v>61</v>
      </c>
      <c r="AV23" s="27" t="s">
        <v>351</v>
      </c>
    </row>
    <row r="24" spans="1:48" x14ac:dyDescent="0.15">
      <c r="A24" s="53" t="s">
        <v>59</v>
      </c>
      <c r="B24" s="53" t="s">
        <v>232</v>
      </c>
      <c r="C24" s="62">
        <v>2019</v>
      </c>
      <c r="D24" s="137" t="s">
        <v>313</v>
      </c>
      <c r="E24" s="53" t="s">
        <v>338</v>
      </c>
      <c r="F24" s="53" t="s">
        <v>327</v>
      </c>
      <c r="G24" s="53" t="s">
        <v>36</v>
      </c>
      <c r="H24" s="53" t="s">
        <v>160</v>
      </c>
      <c r="I24" s="53" t="s">
        <v>159</v>
      </c>
      <c r="J24" s="53" t="s">
        <v>38</v>
      </c>
      <c r="K24" s="53" t="s">
        <v>161</v>
      </c>
      <c r="L24" s="53">
        <v>2</v>
      </c>
      <c r="N24" s="53">
        <v>2</v>
      </c>
      <c r="O24" s="53">
        <v>0.42</v>
      </c>
      <c r="P24" s="53">
        <v>0.44</v>
      </c>
      <c r="Q24" s="74">
        <f t="shared" si="2"/>
        <v>0.43</v>
      </c>
      <c r="R24" s="53">
        <v>17.3</v>
      </c>
      <c r="S24" s="53">
        <v>156</v>
      </c>
      <c r="T24" s="16">
        <f t="shared" si="0"/>
        <v>18</v>
      </c>
      <c r="U24" s="53">
        <v>429</v>
      </c>
      <c r="V24" s="16">
        <f t="shared" si="1"/>
        <v>16</v>
      </c>
      <c r="W24" s="53">
        <v>4</v>
      </c>
      <c r="X24" s="53" t="s">
        <v>46</v>
      </c>
      <c r="Y24" s="53" t="s">
        <v>90</v>
      </c>
      <c r="Z24" s="53" t="s">
        <v>69</v>
      </c>
      <c r="AA24" s="53" t="s">
        <v>55</v>
      </c>
      <c r="AB24" s="53" t="s">
        <v>317</v>
      </c>
      <c r="AP24" s="27" t="s">
        <v>138</v>
      </c>
      <c r="AR24" s="23" t="s">
        <v>91</v>
      </c>
      <c r="AV24" s="27" t="s">
        <v>352</v>
      </c>
    </row>
    <row r="25" spans="1:48" x14ac:dyDescent="0.15">
      <c r="A25" s="53" t="s">
        <v>59</v>
      </c>
      <c r="B25" s="53" t="s">
        <v>232</v>
      </c>
      <c r="C25" s="62">
        <v>2019</v>
      </c>
      <c r="D25" s="137" t="s">
        <v>313</v>
      </c>
      <c r="E25" s="53" t="s">
        <v>338</v>
      </c>
      <c r="F25" s="53" t="s">
        <v>327</v>
      </c>
      <c r="G25" s="53" t="s">
        <v>36</v>
      </c>
      <c r="H25" s="53" t="s">
        <v>160</v>
      </c>
      <c r="I25" s="53" t="s">
        <v>159</v>
      </c>
      <c r="J25" s="53" t="s">
        <v>38</v>
      </c>
      <c r="K25" s="53" t="s">
        <v>161</v>
      </c>
      <c r="L25" s="53">
        <v>3</v>
      </c>
      <c r="N25" s="53">
        <v>2</v>
      </c>
      <c r="O25" s="53">
        <v>0.41</v>
      </c>
      <c r="P25" s="53">
        <v>0.44</v>
      </c>
      <c r="Q25" s="74">
        <f t="shared" si="2"/>
        <v>0.42499999999999999</v>
      </c>
      <c r="R25" s="53">
        <v>18.399999999999999</v>
      </c>
      <c r="S25" s="53">
        <v>153</v>
      </c>
      <c r="T25" s="16">
        <f t="shared" si="0"/>
        <v>18</v>
      </c>
      <c r="U25" s="53">
        <v>429</v>
      </c>
      <c r="V25" s="16">
        <f t="shared" si="1"/>
        <v>16</v>
      </c>
      <c r="W25" s="53">
        <v>4</v>
      </c>
      <c r="X25" s="53" t="s">
        <v>46</v>
      </c>
      <c r="Y25" s="53" t="s">
        <v>90</v>
      </c>
      <c r="Z25" s="53" t="s">
        <v>69</v>
      </c>
      <c r="AA25" s="53" t="s">
        <v>55</v>
      </c>
      <c r="AB25" s="53" t="s">
        <v>317</v>
      </c>
      <c r="AP25" s="27" t="s">
        <v>116</v>
      </c>
      <c r="AR25" s="27" t="s">
        <v>92</v>
      </c>
      <c r="AV25" s="27" t="s">
        <v>353</v>
      </c>
    </row>
    <row r="26" spans="1:48" x14ac:dyDescent="0.15">
      <c r="A26" s="53" t="s">
        <v>59</v>
      </c>
      <c r="B26" s="53" t="s">
        <v>232</v>
      </c>
      <c r="C26" s="62">
        <v>2019</v>
      </c>
      <c r="D26" s="137" t="s">
        <v>313</v>
      </c>
      <c r="E26" s="53" t="s">
        <v>338</v>
      </c>
      <c r="F26" s="53" t="s">
        <v>327</v>
      </c>
      <c r="G26" s="53" t="s">
        <v>36</v>
      </c>
      <c r="H26" s="53" t="s">
        <v>164</v>
      </c>
      <c r="I26" s="53" t="s">
        <v>159</v>
      </c>
      <c r="J26" s="53" t="s">
        <v>38</v>
      </c>
      <c r="K26" s="53" t="s">
        <v>161</v>
      </c>
      <c r="L26" s="53">
        <v>1</v>
      </c>
      <c r="N26" s="53">
        <v>1</v>
      </c>
      <c r="O26" s="53">
        <v>0.6</v>
      </c>
      <c r="P26" s="53">
        <v>0.5</v>
      </c>
      <c r="Q26" s="74">
        <f t="shared" si="2"/>
        <v>0.55000000000000004</v>
      </c>
      <c r="R26" s="53">
        <v>15.4</v>
      </c>
      <c r="S26" s="53">
        <v>150</v>
      </c>
      <c r="T26" s="16">
        <f t="shared" si="0"/>
        <v>22</v>
      </c>
      <c r="U26" s="53">
        <v>170</v>
      </c>
      <c r="V26" s="16">
        <f t="shared" si="1"/>
        <v>18</v>
      </c>
      <c r="W26" s="53">
        <v>3</v>
      </c>
      <c r="X26" s="53" t="s">
        <v>46</v>
      </c>
      <c r="Y26" s="53" t="s">
        <v>90</v>
      </c>
      <c r="Z26" s="53" t="s">
        <v>69</v>
      </c>
      <c r="AA26" s="53" t="s">
        <v>55</v>
      </c>
      <c r="AB26" s="53" t="s">
        <v>317</v>
      </c>
      <c r="AP26" s="27" t="s">
        <v>117</v>
      </c>
      <c r="AR26" s="27" t="s">
        <v>354</v>
      </c>
      <c r="AV26" s="27"/>
    </row>
    <row r="27" spans="1:48" x14ac:dyDescent="0.15">
      <c r="A27" s="53" t="s">
        <v>59</v>
      </c>
      <c r="B27" s="53" t="s">
        <v>232</v>
      </c>
      <c r="C27" s="62">
        <v>2019</v>
      </c>
      <c r="D27" s="137" t="s">
        <v>313</v>
      </c>
      <c r="E27" s="53" t="s">
        <v>338</v>
      </c>
      <c r="F27" s="53" t="s">
        <v>327</v>
      </c>
      <c r="G27" s="53" t="s">
        <v>36</v>
      </c>
      <c r="H27" s="53" t="s">
        <v>164</v>
      </c>
      <c r="I27" s="53" t="s">
        <v>159</v>
      </c>
      <c r="J27" s="53" t="s">
        <v>38</v>
      </c>
      <c r="K27" s="53" t="s">
        <v>161</v>
      </c>
      <c r="L27" s="53">
        <v>2</v>
      </c>
      <c r="N27" s="53">
        <v>1</v>
      </c>
      <c r="O27" s="53">
        <v>0.55000000000000004</v>
      </c>
      <c r="P27" s="53">
        <v>0.56000000000000005</v>
      </c>
      <c r="Q27" s="74">
        <f t="shared" si="2"/>
        <v>0.55500000000000005</v>
      </c>
      <c r="R27" s="53">
        <v>16.100000000000001</v>
      </c>
      <c r="S27" s="53">
        <v>146</v>
      </c>
      <c r="T27" s="16">
        <f t="shared" si="0"/>
        <v>22</v>
      </c>
      <c r="U27" s="53">
        <v>170</v>
      </c>
      <c r="V27" s="16">
        <f t="shared" si="1"/>
        <v>18</v>
      </c>
      <c r="W27" s="53">
        <v>3</v>
      </c>
      <c r="X27" s="53" t="s">
        <v>46</v>
      </c>
      <c r="Y27" s="53" t="s">
        <v>90</v>
      </c>
      <c r="Z27" s="53" t="s">
        <v>69</v>
      </c>
      <c r="AA27" s="53" t="s">
        <v>55</v>
      </c>
      <c r="AB27" s="53" t="s">
        <v>317</v>
      </c>
      <c r="AP27" s="27" t="s">
        <v>118</v>
      </c>
      <c r="AR27" s="28" t="s">
        <v>153</v>
      </c>
      <c r="AV27" s="27"/>
    </row>
    <row r="28" spans="1:48" x14ac:dyDescent="0.15">
      <c r="A28" s="53" t="s">
        <v>59</v>
      </c>
      <c r="B28" s="53" t="s">
        <v>232</v>
      </c>
      <c r="C28" s="62">
        <v>2019</v>
      </c>
      <c r="D28" s="137" t="s">
        <v>313</v>
      </c>
      <c r="E28" s="53" t="s">
        <v>338</v>
      </c>
      <c r="F28" s="53" t="s">
        <v>327</v>
      </c>
      <c r="G28" s="53" t="s">
        <v>36</v>
      </c>
      <c r="H28" s="53" t="s">
        <v>164</v>
      </c>
      <c r="I28" s="53" t="s">
        <v>159</v>
      </c>
      <c r="J28" s="53" t="s">
        <v>38</v>
      </c>
      <c r="K28" s="53" t="s">
        <v>161</v>
      </c>
      <c r="L28" s="53">
        <v>3</v>
      </c>
      <c r="N28" s="53">
        <v>1</v>
      </c>
      <c r="O28" s="53">
        <v>0.56999999999999995</v>
      </c>
      <c r="P28" s="53">
        <v>0.59</v>
      </c>
      <c r="Q28" s="74">
        <f t="shared" si="2"/>
        <v>0.57999999999999996</v>
      </c>
      <c r="R28" s="53">
        <v>15.7</v>
      </c>
      <c r="S28" s="53">
        <v>141</v>
      </c>
      <c r="T28" s="16">
        <f t="shared" si="0"/>
        <v>22</v>
      </c>
      <c r="U28" s="53">
        <v>170</v>
      </c>
      <c r="V28" s="16">
        <f t="shared" si="1"/>
        <v>18</v>
      </c>
      <c r="W28" s="53">
        <v>3</v>
      </c>
      <c r="X28" s="53" t="s">
        <v>46</v>
      </c>
      <c r="Y28" s="53" t="s">
        <v>90</v>
      </c>
      <c r="Z28" s="53" t="s">
        <v>69</v>
      </c>
      <c r="AA28" s="53" t="s">
        <v>55</v>
      </c>
      <c r="AB28" s="53" t="s">
        <v>317</v>
      </c>
      <c r="AV28" s="27"/>
    </row>
    <row r="29" spans="1:48" x14ac:dyDescent="0.15">
      <c r="A29" s="53" t="s">
        <v>59</v>
      </c>
      <c r="B29" s="53" t="s">
        <v>232</v>
      </c>
      <c r="C29" s="62">
        <v>2019</v>
      </c>
      <c r="D29" s="137" t="s">
        <v>313</v>
      </c>
      <c r="E29" s="53" t="s">
        <v>338</v>
      </c>
      <c r="F29" s="53" t="s">
        <v>327</v>
      </c>
      <c r="G29" s="53" t="s">
        <v>36</v>
      </c>
      <c r="H29" s="53" t="s">
        <v>199</v>
      </c>
      <c r="I29" s="53" t="s">
        <v>159</v>
      </c>
      <c r="J29" s="53" t="s">
        <v>38</v>
      </c>
      <c r="K29" s="53" t="s">
        <v>161</v>
      </c>
      <c r="L29" s="53">
        <v>1</v>
      </c>
      <c r="N29" s="53">
        <v>5</v>
      </c>
      <c r="O29" s="53">
        <v>0.35</v>
      </c>
      <c r="P29" s="53">
        <v>0.4</v>
      </c>
      <c r="Q29" s="74">
        <f t="shared" si="2"/>
        <v>0.375</v>
      </c>
      <c r="R29" s="53">
        <v>18.8</v>
      </c>
      <c r="S29" s="53">
        <v>90</v>
      </c>
      <c r="T29" s="16">
        <f t="shared" si="0"/>
        <v>36</v>
      </c>
      <c r="U29" s="53">
        <v>429</v>
      </c>
      <c r="V29" s="16">
        <f t="shared" si="1"/>
        <v>16</v>
      </c>
      <c r="W29" s="53">
        <v>3</v>
      </c>
      <c r="X29" s="53" t="s">
        <v>46</v>
      </c>
      <c r="Y29" s="53" t="s">
        <v>90</v>
      </c>
      <c r="Z29" s="53" t="s">
        <v>69</v>
      </c>
      <c r="AA29" s="53" t="s">
        <v>55</v>
      </c>
      <c r="AB29" s="53" t="s">
        <v>317</v>
      </c>
      <c r="AV29" s="27"/>
    </row>
    <row r="30" spans="1:48" x14ac:dyDescent="0.15">
      <c r="A30" s="53" t="s">
        <v>59</v>
      </c>
      <c r="B30" s="53" t="s">
        <v>232</v>
      </c>
      <c r="C30" s="62">
        <v>2019</v>
      </c>
      <c r="D30" s="137" t="s">
        <v>313</v>
      </c>
      <c r="E30" s="53" t="s">
        <v>338</v>
      </c>
      <c r="F30" s="53" t="s">
        <v>327</v>
      </c>
      <c r="G30" s="53" t="s">
        <v>36</v>
      </c>
      <c r="H30" s="53" t="s">
        <v>199</v>
      </c>
      <c r="I30" s="53" t="s">
        <v>159</v>
      </c>
      <c r="J30" s="53" t="s">
        <v>38</v>
      </c>
      <c r="K30" s="53" t="s">
        <v>161</v>
      </c>
      <c r="L30" s="53">
        <v>2</v>
      </c>
      <c r="N30" s="53">
        <v>5</v>
      </c>
      <c r="O30" s="53">
        <v>0.28000000000000003</v>
      </c>
      <c r="P30" s="53">
        <v>0.35</v>
      </c>
      <c r="Q30" s="74">
        <f t="shared" si="2"/>
        <v>0.315</v>
      </c>
      <c r="R30" s="53">
        <v>18.3</v>
      </c>
      <c r="S30" s="53">
        <v>87</v>
      </c>
      <c r="T30" s="16">
        <f t="shared" si="0"/>
        <v>36</v>
      </c>
      <c r="U30" s="53">
        <v>429</v>
      </c>
      <c r="V30" s="16">
        <f t="shared" si="1"/>
        <v>16</v>
      </c>
      <c r="W30" s="53">
        <v>3</v>
      </c>
      <c r="X30" s="53" t="s">
        <v>46</v>
      </c>
      <c r="Y30" s="53" t="s">
        <v>90</v>
      </c>
      <c r="Z30" s="53" t="s">
        <v>69</v>
      </c>
      <c r="AA30" s="53" t="s">
        <v>55</v>
      </c>
      <c r="AB30" s="53" t="s">
        <v>317</v>
      </c>
      <c r="AV30" s="27"/>
    </row>
    <row r="31" spans="1:48" x14ac:dyDescent="0.15">
      <c r="A31" s="53" t="s">
        <v>59</v>
      </c>
      <c r="B31" s="53" t="s">
        <v>232</v>
      </c>
      <c r="C31" s="62">
        <v>2019</v>
      </c>
      <c r="D31" s="137" t="s">
        <v>313</v>
      </c>
      <c r="E31" s="53" t="s">
        <v>338</v>
      </c>
      <c r="F31" s="53" t="s">
        <v>327</v>
      </c>
      <c r="G31" s="53" t="s">
        <v>36</v>
      </c>
      <c r="H31" s="53" t="s">
        <v>199</v>
      </c>
      <c r="I31" s="53" t="s">
        <v>159</v>
      </c>
      <c r="J31" s="53" t="s">
        <v>38</v>
      </c>
      <c r="K31" s="53" t="s">
        <v>161</v>
      </c>
      <c r="L31" s="53">
        <v>3</v>
      </c>
      <c r="N31" s="53">
        <v>5</v>
      </c>
      <c r="O31" s="53">
        <v>0.37</v>
      </c>
      <c r="P31" s="53">
        <v>0.31</v>
      </c>
      <c r="Q31" s="74">
        <f t="shared" si="2"/>
        <v>0.33999999999999997</v>
      </c>
      <c r="R31" s="53">
        <v>18.100000000000001</v>
      </c>
      <c r="S31" s="53">
        <v>80</v>
      </c>
      <c r="T31" s="16">
        <f t="shared" si="0"/>
        <v>39</v>
      </c>
      <c r="U31" s="53">
        <v>429</v>
      </c>
      <c r="V31" s="16">
        <f t="shared" si="1"/>
        <v>16</v>
      </c>
      <c r="W31" s="53">
        <v>3</v>
      </c>
      <c r="X31" s="53" t="s">
        <v>46</v>
      </c>
      <c r="Y31" s="53" t="s">
        <v>90</v>
      </c>
      <c r="Z31" s="53" t="s">
        <v>69</v>
      </c>
      <c r="AA31" s="53" t="s">
        <v>55</v>
      </c>
      <c r="AB31" s="53" t="s">
        <v>317</v>
      </c>
      <c r="AV31" s="27"/>
    </row>
    <row r="32" spans="1:48" x14ac:dyDescent="0.15">
      <c r="A32" s="53" t="s">
        <v>59</v>
      </c>
      <c r="B32" s="53" t="s">
        <v>232</v>
      </c>
      <c r="C32" s="62">
        <v>2019</v>
      </c>
      <c r="D32" s="137" t="s">
        <v>313</v>
      </c>
      <c r="E32" s="53" t="s">
        <v>336</v>
      </c>
      <c r="F32" s="53" t="s">
        <v>335</v>
      </c>
      <c r="G32" s="53" t="s">
        <v>36</v>
      </c>
      <c r="H32" s="53" t="s">
        <v>160</v>
      </c>
      <c r="I32" s="53" t="s">
        <v>159</v>
      </c>
      <c r="J32" s="53" t="s">
        <v>38</v>
      </c>
      <c r="K32" s="53" t="s">
        <v>161</v>
      </c>
      <c r="L32" s="53">
        <v>1</v>
      </c>
      <c r="N32" s="53">
        <v>4</v>
      </c>
      <c r="O32" s="53">
        <v>0.21</v>
      </c>
      <c r="P32" s="53">
        <v>0.24</v>
      </c>
      <c r="Q32" s="74">
        <f t="shared" si="2"/>
        <v>0.22499999999999998</v>
      </c>
      <c r="R32" s="53">
        <v>18.100000000000001</v>
      </c>
      <c r="S32" s="53">
        <v>110</v>
      </c>
      <c r="T32" s="16">
        <f t="shared" si="0"/>
        <v>33</v>
      </c>
      <c r="U32" s="53">
        <v>398</v>
      </c>
      <c r="V32" s="16">
        <f t="shared" si="1"/>
        <v>16</v>
      </c>
      <c r="W32" s="53">
        <v>6</v>
      </c>
      <c r="X32" s="53" t="s">
        <v>46</v>
      </c>
      <c r="Y32" s="53" t="s">
        <v>86</v>
      </c>
      <c r="Z32" s="53" t="s">
        <v>55</v>
      </c>
      <c r="AA32" s="53" t="s">
        <v>97</v>
      </c>
      <c r="AB32" s="53" t="s">
        <v>317</v>
      </c>
      <c r="AV32" s="27"/>
    </row>
    <row r="33" spans="1:48" x14ac:dyDescent="0.15">
      <c r="A33" s="53" t="s">
        <v>59</v>
      </c>
      <c r="B33" s="53" t="s">
        <v>232</v>
      </c>
      <c r="C33" s="62">
        <v>2019</v>
      </c>
      <c r="D33" s="137" t="s">
        <v>313</v>
      </c>
      <c r="E33" s="53" t="s">
        <v>336</v>
      </c>
      <c r="F33" s="53" t="s">
        <v>335</v>
      </c>
      <c r="G33" s="53" t="s">
        <v>36</v>
      </c>
      <c r="H33" s="53" t="s">
        <v>160</v>
      </c>
      <c r="I33" s="53" t="s">
        <v>159</v>
      </c>
      <c r="J33" s="53" t="s">
        <v>38</v>
      </c>
      <c r="K33" s="53" t="s">
        <v>161</v>
      </c>
      <c r="L33" s="53">
        <v>2</v>
      </c>
      <c r="N33" s="53">
        <v>4</v>
      </c>
      <c r="O33" s="53">
        <v>0.31</v>
      </c>
      <c r="P33" s="53">
        <v>0.3</v>
      </c>
      <c r="Q33" s="74">
        <f t="shared" si="2"/>
        <v>0.30499999999999999</v>
      </c>
      <c r="R33" s="53">
        <v>16.100000000000001</v>
      </c>
      <c r="S33" s="53">
        <v>110</v>
      </c>
      <c r="T33" s="16">
        <f t="shared" si="0"/>
        <v>33</v>
      </c>
      <c r="U33" s="53">
        <v>398</v>
      </c>
      <c r="V33" s="16">
        <f t="shared" si="1"/>
        <v>16</v>
      </c>
      <c r="W33" s="53">
        <v>6</v>
      </c>
      <c r="X33" s="53" t="s">
        <v>46</v>
      </c>
      <c r="Y33" s="53" t="s">
        <v>86</v>
      </c>
      <c r="Z33" s="53" t="s">
        <v>55</v>
      </c>
      <c r="AA33" s="53" t="s">
        <v>97</v>
      </c>
      <c r="AB33" s="53" t="s">
        <v>317</v>
      </c>
      <c r="AV33" s="27"/>
    </row>
    <row r="34" spans="1:48" x14ac:dyDescent="0.15">
      <c r="A34" s="53" t="s">
        <v>59</v>
      </c>
      <c r="B34" s="53" t="s">
        <v>232</v>
      </c>
      <c r="C34" s="62">
        <v>2019</v>
      </c>
      <c r="D34" s="137" t="s">
        <v>313</v>
      </c>
      <c r="E34" s="53" t="s">
        <v>336</v>
      </c>
      <c r="F34" s="53" t="s">
        <v>335</v>
      </c>
      <c r="G34" s="53" t="s">
        <v>36</v>
      </c>
      <c r="H34" s="53" t="s">
        <v>160</v>
      </c>
      <c r="I34" s="53" t="s">
        <v>159</v>
      </c>
      <c r="J34" s="53" t="s">
        <v>38</v>
      </c>
      <c r="K34" s="53" t="s">
        <v>161</v>
      </c>
      <c r="L34" s="53">
        <v>3</v>
      </c>
      <c r="N34" s="53">
        <v>4</v>
      </c>
      <c r="O34" s="53">
        <v>0.32</v>
      </c>
      <c r="P34" s="53">
        <v>0.31</v>
      </c>
      <c r="Q34" s="74">
        <f t="shared" si="2"/>
        <v>0.315</v>
      </c>
      <c r="R34" s="53">
        <v>16.600000000000001</v>
      </c>
      <c r="S34" s="53">
        <v>110</v>
      </c>
      <c r="T34" s="16">
        <f t="shared" si="0"/>
        <v>33</v>
      </c>
      <c r="U34" s="53">
        <v>398</v>
      </c>
      <c r="V34" s="16">
        <f t="shared" si="1"/>
        <v>16</v>
      </c>
      <c r="W34" s="53">
        <v>6</v>
      </c>
      <c r="X34" s="53" t="s">
        <v>46</v>
      </c>
      <c r="Y34" s="53" t="s">
        <v>86</v>
      </c>
      <c r="Z34" s="53" t="s">
        <v>55</v>
      </c>
      <c r="AA34" s="53" t="s">
        <v>97</v>
      </c>
      <c r="AB34" s="53" t="s">
        <v>317</v>
      </c>
      <c r="AV34" s="27"/>
    </row>
    <row r="35" spans="1:48" x14ac:dyDescent="0.15">
      <c r="A35" s="53" t="s">
        <v>59</v>
      </c>
      <c r="B35" s="53" t="s">
        <v>232</v>
      </c>
      <c r="C35" s="62">
        <v>2019</v>
      </c>
      <c r="D35" s="137" t="s">
        <v>313</v>
      </c>
      <c r="E35" s="53" t="s">
        <v>336</v>
      </c>
      <c r="F35" s="53" t="s">
        <v>335</v>
      </c>
      <c r="G35" s="53" t="s">
        <v>36</v>
      </c>
      <c r="H35" s="53" t="s">
        <v>164</v>
      </c>
      <c r="I35" s="53" t="s">
        <v>159</v>
      </c>
      <c r="J35" s="53" t="s">
        <v>38</v>
      </c>
      <c r="K35" s="53" t="s">
        <v>161</v>
      </c>
      <c r="L35" s="53">
        <v>1</v>
      </c>
      <c r="N35" s="53">
        <v>4</v>
      </c>
      <c r="O35" s="53">
        <v>0.28999999999999998</v>
      </c>
      <c r="P35" s="53">
        <v>0.26</v>
      </c>
      <c r="Q35" s="74">
        <f t="shared" si="2"/>
        <v>0.27500000000000002</v>
      </c>
      <c r="R35" s="53">
        <v>13.2</v>
      </c>
      <c r="S35" s="53">
        <v>90</v>
      </c>
      <c r="T35" s="16">
        <f t="shared" si="0"/>
        <v>36</v>
      </c>
      <c r="U35" s="53">
        <v>398</v>
      </c>
      <c r="V35" s="16">
        <f t="shared" si="1"/>
        <v>16</v>
      </c>
      <c r="W35" s="53">
        <v>6</v>
      </c>
      <c r="X35" s="53" t="s">
        <v>46</v>
      </c>
      <c r="Y35" s="53" t="s">
        <v>86</v>
      </c>
      <c r="Z35" s="53" t="s">
        <v>55</v>
      </c>
      <c r="AA35" s="53" t="s">
        <v>97</v>
      </c>
      <c r="AB35" s="53" t="s">
        <v>317</v>
      </c>
      <c r="AV35" s="27"/>
    </row>
    <row r="36" spans="1:48" x14ac:dyDescent="0.15">
      <c r="A36" s="53" t="s">
        <v>59</v>
      </c>
      <c r="B36" s="53" t="s">
        <v>232</v>
      </c>
      <c r="C36" s="62">
        <v>2019</v>
      </c>
      <c r="D36" s="137" t="s">
        <v>313</v>
      </c>
      <c r="E36" s="53" t="s">
        <v>336</v>
      </c>
      <c r="F36" s="53" t="s">
        <v>335</v>
      </c>
      <c r="G36" s="53" t="s">
        <v>36</v>
      </c>
      <c r="H36" s="53" t="s">
        <v>164</v>
      </c>
      <c r="I36" s="53" t="s">
        <v>159</v>
      </c>
      <c r="J36" s="53" t="s">
        <v>38</v>
      </c>
      <c r="K36" s="53" t="s">
        <v>161</v>
      </c>
      <c r="L36" s="53">
        <v>2</v>
      </c>
      <c r="N36" s="53">
        <v>4</v>
      </c>
      <c r="O36" s="53">
        <v>0.38</v>
      </c>
      <c r="P36" s="53">
        <v>0.42</v>
      </c>
      <c r="Q36" s="74">
        <f t="shared" si="2"/>
        <v>0.4</v>
      </c>
      <c r="R36" s="53">
        <v>14.1</v>
      </c>
      <c r="S36" s="53">
        <v>95</v>
      </c>
      <c r="T36" s="16">
        <f t="shared" si="0"/>
        <v>36</v>
      </c>
      <c r="U36" s="53">
        <v>398</v>
      </c>
      <c r="V36" s="16">
        <f t="shared" si="1"/>
        <v>16</v>
      </c>
      <c r="W36" s="53">
        <v>6</v>
      </c>
      <c r="X36" s="53" t="s">
        <v>46</v>
      </c>
      <c r="Y36" s="53" t="s">
        <v>86</v>
      </c>
      <c r="Z36" s="53" t="s">
        <v>55</v>
      </c>
      <c r="AA36" s="53" t="s">
        <v>97</v>
      </c>
      <c r="AB36" s="53" t="s">
        <v>317</v>
      </c>
      <c r="AV36" s="27"/>
    </row>
    <row r="37" spans="1:48" x14ac:dyDescent="0.15">
      <c r="A37" s="53" t="s">
        <v>59</v>
      </c>
      <c r="B37" s="53" t="s">
        <v>232</v>
      </c>
      <c r="C37" s="62">
        <v>2019</v>
      </c>
      <c r="D37" s="137" t="s">
        <v>313</v>
      </c>
      <c r="E37" s="53" t="s">
        <v>336</v>
      </c>
      <c r="F37" s="53" t="s">
        <v>335</v>
      </c>
      <c r="G37" s="53" t="s">
        <v>36</v>
      </c>
      <c r="H37" s="53" t="s">
        <v>164</v>
      </c>
      <c r="I37" s="53" t="s">
        <v>159</v>
      </c>
      <c r="J37" s="53" t="s">
        <v>38</v>
      </c>
      <c r="K37" s="53" t="s">
        <v>161</v>
      </c>
      <c r="L37" s="53">
        <v>3</v>
      </c>
      <c r="N37" s="53">
        <v>4</v>
      </c>
      <c r="O37" s="53">
        <v>0.34</v>
      </c>
      <c r="P37" s="53">
        <v>0.4</v>
      </c>
      <c r="Q37" s="74">
        <f t="shared" si="2"/>
        <v>0.37</v>
      </c>
      <c r="R37" s="53">
        <v>14.2</v>
      </c>
      <c r="S37" s="53">
        <v>88</v>
      </c>
      <c r="T37" s="16">
        <f t="shared" si="0"/>
        <v>36</v>
      </c>
      <c r="U37" s="53">
        <v>398</v>
      </c>
      <c r="V37" s="16">
        <f t="shared" si="1"/>
        <v>16</v>
      </c>
      <c r="W37" s="53">
        <v>6</v>
      </c>
      <c r="X37" s="53" t="s">
        <v>46</v>
      </c>
      <c r="Y37" s="53" t="s">
        <v>86</v>
      </c>
      <c r="Z37" s="53" t="s">
        <v>55</v>
      </c>
      <c r="AA37" s="53" t="s">
        <v>97</v>
      </c>
      <c r="AB37" s="53" t="s">
        <v>317</v>
      </c>
      <c r="AV37" s="27"/>
    </row>
    <row r="38" spans="1:48" x14ac:dyDescent="0.15">
      <c r="A38" s="53" t="s">
        <v>59</v>
      </c>
      <c r="B38" s="53" t="s">
        <v>232</v>
      </c>
      <c r="C38" s="62">
        <v>2019</v>
      </c>
      <c r="D38" s="137" t="s">
        <v>313</v>
      </c>
      <c r="E38" s="53" t="s">
        <v>162</v>
      </c>
      <c r="F38" s="53" t="s">
        <v>335</v>
      </c>
      <c r="G38" s="53" t="s">
        <v>36</v>
      </c>
      <c r="H38" s="53" t="s">
        <v>160</v>
      </c>
      <c r="I38" s="53" t="s">
        <v>159</v>
      </c>
      <c r="J38" s="53" t="s">
        <v>38</v>
      </c>
      <c r="K38" s="53" t="s">
        <v>161</v>
      </c>
      <c r="L38" s="53">
        <v>1</v>
      </c>
      <c r="N38" s="53">
        <v>4</v>
      </c>
      <c r="O38" s="53">
        <v>0.34</v>
      </c>
      <c r="P38" s="53">
        <v>0.39</v>
      </c>
      <c r="Q38" s="74">
        <f t="shared" si="2"/>
        <v>0.36499999999999999</v>
      </c>
      <c r="R38" s="53">
        <v>15.7</v>
      </c>
      <c r="S38" s="53">
        <v>102</v>
      </c>
      <c r="T38" s="16">
        <f t="shared" si="0"/>
        <v>33</v>
      </c>
      <c r="U38" s="53">
        <v>398</v>
      </c>
      <c r="V38" s="16">
        <f t="shared" si="1"/>
        <v>16</v>
      </c>
      <c r="W38" s="53">
        <v>4</v>
      </c>
      <c r="X38" s="53" t="s">
        <v>46</v>
      </c>
      <c r="Y38" s="53" t="s">
        <v>78</v>
      </c>
      <c r="Z38" s="53" t="s">
        <v>69</v>
      </c>
      <c r="AA38" s="53" t="s">
        <v>55</v>
      </c>
      <c r="AB38" s="53" t="s">
        <v>317</v>
      </c>
      <c r="AV38" s="27"/>
    </row>
    <row r="39" spans="1:48" x14ac:dyDescent="0.15">
      <c r="A39" s="53" t="s">
        <v>59</v>
      </c>
      <c r="B39" s="53" t="s">
        <v>232</v>
      </c>
      <c r="C39" s="62">
        <v>2019</v>
      </c>
      <c r="D39" s="137" t="s">
        <v>313</v>
      </c>
      <c r="E39" s="53" t="s">
        <v>162</v>
      </c>
      <c r="F39" s="53" t="s">
        <v>335</v>
      </c>
      <c r="G39" s="53" t="s">
        <v>36</v>
      </c>
      <c r="H39" s="53" t="s">
        <v>160</v>
      </c>
      <c r="I39" s="53" t="s">
        <v>159</v>
      </c>
      <c r="J39" s="53" t="s">
        <v>38</v>
      </c>
      <c r="K39" s="53" t="s">
        <v>161</v>
      </c>
      <c r="L39" s="53">
        <v>2</v>
      </c>
      <c r="N39" s="53">
        <v>4</v>
      </c>
      <c r="O39" s="53">
        <v>0.37</v>
      </c>
      <c r="P39" s="53">
        <v>0.42</v>
      </c>
      <c r="Q39" s="74">
        <f t="shared" si="2"/>
        <v>0.39500000000000002</v>
      </c>
      <c r="R39" s="53">
        <v>16</v>
      </c>
      <c r="S39" s="53">
        <v>92</v>
      </c>
      <c r="T39" s="16">
        <f t="shared" si="0"/>
        <v>36</v>
      </c>
      <c r="U39" s="53">
        <v>398</v>
      </c>
      <c r="V39" s="16">
        <f t="shared" si="1"/>
        <v>16</v>
      </c>
      <c r="W39" s="53">
        <v>4</v>
      </c>
      <c r="X39" s="53" t="s">
        <v>46</v>
      </c>
      <c r="Y39" s="53" t="s">
        <v>78</v>
      </c>
      <c r="Z39" s="53" t="s">
        <v>69</v>
      </c>
      <c r="AA39" s="53" t="s">
        <v>55</v>
      </c>
      <c r="AB39" s="53" t="s">
        <v>317</v>
      </c>
      <c r="AV39" s="27"/>
    </row>
    <row r="40" spans="1:48" x14ac:dyDescent="0.15">
      <c r="A40" s="53" t="s">
        <v>59</v>
      </c>
      <c r="B40" s="53" t="s">
        <v>232</v>
      </c>
      <c r="C40" s="62">
        <v>2019</v>
      </c>
      <c r="D40" s="137" t="s">
        <v>313</v>
      </c>
      <c r="E40" s="53" t="s">
        <v>162</v>
      </c>
      <c r="F40" s="53" t="s">
        <v>335</v>
      </c>
      <c r="G40" s="53" t="s">
        <v>36</v>
      </c>
      <c r="H40" s="53" t="s">
        <v>160</v>
      </c>
      <c r="I40" s="53" t="s">
        <v>159</v>
      </c>
      <c r="J40" s="53" t="s">
        <v>38</v>
      </c>
      <c r="K40" s="53" t="s">
        <v>161</v>
      </c>
      <c r="L40" s="53">
        <v>3</v>
      </c>
      <c r="N40" s="53">
        <v>4</v>
      </c>
      <c r="O40" s="53">
        <v>0.35</v>
      </c>
      <c r="P40" s="53">
        <v>0.39</v>
      </c>
      <c r="Q40" s="74">
        <f t="shared" si="2"/>
        <v>0.37</v>
      </c>
      <c r="R40" s="53">
        <v>16.2</v>
      </c>
      <c r="S40" s="53">
        <v>100</v>
      </c>
      <c r="T40" s="16">
        <f t="shared" si="0"/>
        <v>33</v>
      </c>
      <c r="U40" s="53">
        <v>398</v>
      </c>
      <c r="V40" s="16">
        <f t="shared" si="1"/>
        <v>16</v>
      </c>
      <c r="W40" s="53">
        <v>4</v>
      </c>
      <c r="X40" s="53" t="s">
        <v>46</v>
      </c>
      <c r="Y40" s="53" t="s">
        <v>78</v>
      </c>
      <c r="Z40" s="53" t="s">
        <v>69</v>
      </c>
      <c r="AA40" s="53" t="s">
        <v>55</v>
      </c>
      <c r="AB40" s="53" t="s">
        <v>317</v>
      </c>
      <c r="AV40" s="27"/>
    </row>
    <row r="41" spans="1:48" x14ac:dyDescent="0.15">
      <c r="A41" s="53" t="s">
        <v>59</v>
      </c>
      <c r="B41" s="53" t="s">
        <v>232</v>
      </c>
      <c r="C41" s="62">
        <v>2019</v>
      </c>
      <c r="D41" s="137" t="s">
        <v>313</v>
      </c>
      <c r="E41" s="53" t="s">
        <v>162</v>
      </c>
      <c r="F41" s="53" t="s">
        <v>335</v>
      </c>
      <c r="G41" s="53" t="s">
        <v>36</v>
      </c>
      <c r="H41" s="53" t="s">
        <v>164</v>
      </c>
      <c r="I41" s="53" t="s">
        <v>159</v>
      </c>
      <c r="J41" s="53" t="s">
        <v>38</v>
      </c>
      <c r="K41" s="53" t="s">
        <v>161</v>
      </c>
      <c r="L41" s="53">
        <v>1</v>
      </c>
      <c r="N41" s="53">
        <v>1</v>
      </c>
      <c r="O41" s="53">
        <v>0.7</v>
      </c>
      <c r="P41" s="53">
        <v>0.63</v>
      </c>
      <c r="Q41" s="74">
        <f t="shared" si="2"/>
        <v>0.66500000000000004</v>
      </c>
      <c r="R41" s="53">
        <v>15</v>
      </c>
      <c r="S41" s="53">
        <v>154</v>
      </c>
      <c r="T41" s="16">
        <f t="shared" si="0"/>
        <v>18</v>
      </c>
      <c r="U41" s="53">
        <v>158</v>
      </c>
      <c r="V41" s="16">
        <f t="shared" si="1"/>
        <v>18</v>
      </c>
      <c r="W41" s="53">
        <v>4</v>
      </c>
      <c r="X41" s="53" t="s">
        <v>46</v>
      </c>
      <c r="Y41" s="53" t="s">
        <v>78</v>
      </c>
      <c r="Z41" s="53" t="s">
        <v>69</v>
      </c>
      <c r="AA41" s="53" t="s">
        <v>55</v>
      </c>
      <c r="AB41" s="53" t="s">
        <v>317</v>
      </c>
      <c r="AV41" s="27"/>
    </row>
    <row r="42" spans="1:48" x14ac:dyDescent="0.15">
      <c r="A42" s="53" t="s">
        <v>59</v>
      </c>
      <c r="B42" s="53" t="s">
        <v>232</v>
      </c>
      <c r="C42" s="62">
        <v>2019</v>
      </c>
      <c r="D42" s="137" t="s">
        <v>313</v>
      </c>
      <c r="E42" s="53" t="s">
        <v>162</v>
      </c>
      <c r="F42" s="53" t="s">
        <v>335</v>
      </c>
      <c r="G42" s="53" t="s">
        <v>36</v>
      </c>
      <c r="H42" s="53" t="s">
        <v>164</v>
      </c>
      <c r="I42" s="53" t="s">
        <v>159</v>
      </c>
      <c r="J42" s="53" t="s">
        <v>38</v>
      </c>
      <c r="K42" s="53" t="s">
        <v>161</v>
      </c>
      <c r="L42" s="53">
        <v>2</v>
      </c>
      <c r="N42" s="53">
        <v>1</v>
      </c>
      <c r="O42" s="53">
        <v>0.63</v>
      </c>
      <c r="P42" s="53">
        <v>0.6</v>
      </c>
      <c r="Q42" s="74">
        <f t="shared" si="2"/>
        <v>0.61499999999999999</v>
      </c>
      <c r="R42" s="53">
        <v>14.9</v>
      </c>
      <c r="S42" s="53">
        <v>152</v>
      </c>
      <c r="T42" s="16">
        <f t="shared" si="0"/>
        <v>18</v>
      </c>
      <c r="U42" s="53">
        <v>158</v>
      </c>
      <c r="V42" s="16">
        <f t="shared" si="1"/>
        <v>18</v>
      </c>
      <c r="W42" s="53">
        <v>4</v>
      </c>
      <c r="X42" s="53" t="s">
        <v>46</v>
      </c>
      <c r="Y42" s="53" t="s">
        <v>78</v>
      </c>
      <c r="Z42" s="53" t="s">
        <v>69</v>
      </c>
      <c r="AA42" s="53" t="s">
        <v>55</v>
      </c>
      <c r="AB42" s="53" t="s">
        <v>317</v>
      </c>
      <c r="AV42" s="27"/>
    </row>
    <row r="43" spans="1:48" x14ac:dyDescent="0.15">
      <c r="A43" s="53" t="s">
        <v>59</v>
      </c>
      <c r="B43" s="53" t="s">
        <v>232</v>
      </c>
      <c r="C43" s="62">
        <v>2019</v>
      </c>
      <c r="D43" s="137" t="s">
        <v>313</v>
      </c>
      <c r="E43" s="53" t="s">
        <v>162</v>
      </c>
      <c r="F43" s="53" t="s">
        <v>335</v>
      </c>
      <c r="G43" s="53" t="s">
        <v>36</v>
      </c>
      <c r="H43" s="53" t="s">
        <v>164</v>
      </c>
      <c r="I43" s="53" t="s">
        <v>159</v>
      </c>
      <c r="J43" s="53" t="s">
        <v>38</v>
      </c>
      <c r="K43" s="53" t="s">
        <v>161</v>
      </c>
      <c r="L43" s="53">
        <v>3</v>
      </c>
      <c r="N43" s="53">
        <v>1</v>
      </c>
      <c r="O43" s="53">
        <v>0.66</v>
      </c>
      <c r="P43" s="53">
        <v>0.61</v>
      </c>
      <c r="Q43" s="74">
        <f t="shared" si="2"/>
        <v>0.63500000000000001</v>
      </c>
      <c r="R43" s="53">
        <v>14.5</v>
      </c>
      <c r="S43" s="53">
        <v>180</v>
      </c>
      <c r="T43" s="16">
        <f t="shared" si="0"/>
        <v>18</v>
      </c>
      <c r="U43" s="53">
        <v>158</v>
      </c>
      <c r="V43" s="16">
        <f t="shared" si="1"/>
        <v>18</v>
      </c>
      <c r="W43" s="53">
        <v>4</v>
      </c>
      <c r="X43" s="53" t="s">
        <v>46</v>
      </c>
      <c r="Y43" s="53" t="s">
        <v>78</v>
      </c>
      <c r="Z43" s="53" t="s">
        <v>69</v>
      </c>
      <c r="AA43" s="53" t="s">
        <v>55</v>
      </c>
      <c r="AB43" s="53" t="s">
        <v>317</v>
      </c>
      <c r="AV43" s="27"/>
    </row>
    <row r="44" spans="1:48" x14ac:dyDescent="0.15">
      <c r="A44" s="53" t="s">
        <v>59</v>
      </c>
      <c r="B44" s="53" t="s">
        <v>232</v>
      </c>
      <c r="C44" s="62">
        <v>2019</v>
      </c>
      <c r="D44" s="137" t="s">
        <v>313</v>
      </c>
      <c r="E44" s="53" t="s">
        <v>332</v>
      </c>
      <c r="F44" s="53" t="s">
        <v>333</v>
      </c>
      <c r="G44" s="53" t="s">
        <v>36</v>
      </c>
      <c r="H44" s="53" t="s">
        <v>160</v>
      </c>
      <c r="I44" s="53" t="s">
        <v>159</v>
      </c>
      <c r="J44" s="53" t="s">
        <v>38</v>
      </c>
      <c r="K44" s="53" t="s">
        <v>161</v>
      </c>
      <c r="L44" s="53">
        <v>1</v>
      </c>
      <c r="N44" s="53">
        <v>3</v>
      </c>
      <c r="O44" s="53">
        <v>0.77</v>
      </c>
      <c r="P44" s="53">
        <v>0.75</v>
      </c>
      <c r="Q44" s="74">
        <f t="shared" si="2"/>
        <v>0.76</v>
      </c>
      <c r="R44" s="53">
        <v>14.2</v>
      </c>
      <c r="S44" s="53">
        <v>135</v>
      </c>
      <c r="T44" s="16">
        <f t="shared" si="0"/>
        <v>25</v>
      </c>
      <c r="U44" s="53">
        <v>399</v>
      </c>
      <c r="V44" s="16">
        <f t="shared" si="1"/>
        <v>16</v>
      </c>
      <c r="W44" s="53">
        <v>10</v>
      </c>
      <c r="X44" s="53" t="s">
        <v>39</v>
      </c>
      <c r="Y44" s="53" t="s">
        <v>69</v>
      </c>
      <c r="Z44" s="53" t="s">
        <v>55</v>
      </c>
      <c r="AA44" s="53" t="s">
        <v>78</v>
      </c>
      <c r="AB44" s="53" t="s">
        <v>317</v>
      </c>
      <c r="AV44" s="27"/>
    </row>
    <row r="45" spans="1:48" x14ac:dyDescent="0.15">
      <c r="A45" s="53" t="s">
        <v>59</v>
      </c>
      <c r="B45" s="53" t="s">
        <v>232</v>
      </c>
      <c r="C45" s="62">
        <v>2019</v>
      </c>
      <c r="D45" s="137" t="s">
        <v>313</v>
      </c>
      <c r="E45" s="53" t="s">
        <v>332</v>
      </c>
      <c r="F45" s="53" t="s">
        <v>333</v>
      </c>
      <c r="G45" s="53" t="s">
        <v>36</v>
      </c>
      <c r="H45" s="53" t="s">
        <v>160</v>
      </c>
      <c r="I45" s="53" t="s">
        <v>159</v>
      </c>
      <c r="J45" s="53" t="s">
        <v>38</v>
      </c>
      <c r="K45" s="53" t="s">
        <v>161</v>
      </c>
      <c r="L45" s="53">
        <v>2</v>
      </c>
      <c r="N45" s="53">
        <v>3</v>
      </c>
      <c r="O45" s="53">
        <v>0.5</v>
      </c>
      <c r="P45" s="53">
        <v>0.55000000000000004</v>
      </c>
      <c r="Q45" s="74">
        <f t="shared" si="2"/>
        <v>0.52500000000000002</v>
      </c>
      <c r="R45" s="53">
        <v>15.3</v>
      </c>
      <c r="S45" s="53">
        <v>131</v>
      </c>
      <c r="T45" s="16">
        <f t="shared" si="0"/>
        <v>25</v>
      </c>
      <c r="U45" s="53">
        <v>399</v>
      </c>
      <c r="V45" s="16">
        <f t="shared" si="1"/>
        <v>16</v>
      </c>
      <c r="W45" s="53">
        <v>10</v>
      </c>
      <c r="X45" s="53" t="s">
        <v>39</v>
      </c>
      <c r="Y45" s="53" t="s">
        <v>69</v>
      </c>
      <c r="Z45" s="53" t="s">
        <v>55</v>
      </c>
      <c r="AA45" s="53" t="s">
        <v>78</v>
      </c>
      <c r="AB45" s="53" t="s">
        <v>317</v>
      </c>
      <c r="AV45" s="27"/>
    </row>
    <row r="46" spans="1:48" x14ac:dyDescent="0.15">
      <c r="A46" s="53" t="s">
        <v>59</v>
      </c>
      <c r="B46" s="53" t="s">
        <v>232</v>
      </c>
      <c r="C46" s="62">
        <v>2019</v>
      </c>
      <c r="D46" s="137" t="s">
        <v>313</v>
      </c>
      <c r="E46" s="53" t="s">
        <v>332</v>
      </c>
      <c r="F46" s="53" t="s">
        <v>333</v>
      </c>
      <c r="G46" s="53" t="s">
        <v>36</v>
      </c>
      <c r="H46" s="53" t="s">
        <v>160</v>
      </c>
      <c r="I46" s="53" t="s">
        <v>159</v>
      </c>
      <c r="J46" s="53" t="s">
        <v>38</v>
      </c>
      <c r="K46" s="53" t="s">
        <v>161</v>
      </c>
      <c r="L46" s="53">
        <v>3</v>
      </c>
      <c r="N46" s="53">
        <v>3</v>
      </c>
      <c r="O46" s="53">
        <v>0.71</v>
      </c>
      <c r="P46" s="53">
        <v>0.69</v>
      </c>
      <c r="Q46" s="74">
        <f t="shared" si="2"/>
        <v>0.7</v>
      </c>
      <c r="R46" s="53">
        <v>14.8</v>
      </c>
      <c r="S46" s="53">
        <v>136</v>
      </c>
      <c r="T46" s="16">
        <f t="shared" si="0"/>
        <v>25</v>
      </c>
      <c r="U46" s="53">
        <v>399</v>
      </c>
      <c r="V46" s="16">
        <f t="shared" si="1"/>
        <v>16</v>
      </c>
      <c r="W46" s="53">
        <v>10</v>
      </c>
      <c r="X46" s="53" t="s">
        <v>39</v>
      </c>
      <c r="Y46" s="53" t="s">
        <v>69</v>
      </c>
      <c r="Z46" s="53" t="s">
        <v>55</v>
      </c>
      <c r="AA46" s="53" t="s">
        <v>78</v>
      </c>
      <c r="AB46" s="53" t="s">
        <v>317</v>
      </c>
      <c r="AV46" s="27"/>
    </row>
    <row r="47" spans="1:48" x14ac:dyDescent="0.15">
      <c r="A47" s="53" t="s">
        <v>59</v>
      </c>
      <c r="B47" s="53" t="s">
        <v>232</v>
      </c>
      <c r="C47" s="62">
        <v>2019</v>
      </c>
      <c r="D47" s="137" t="s">
        <v>313</v>
      </c>
      <c r="E47" s="53" t="s">
        <v>332</v>
      </c>
      <c r="F47" s="53" t="s">
        <v>333</v>
      </c>
      <c r="G47" s="53" t="s">
        <v>36</v>
      </c>
      <c r="H47" s="53" t="s">
        <v>164</v>
      </c>
      <c r="I47" s="53" t="s">
        <v>159</v>
      </c>
      <c r="J47" s="53" t="s">
        <v>38</v>
      </c>
      <c r="K47" s="53" t="s">
        <v>161</v>
      </c>
      <c r="L47" s="53">
        <v>1</v>
      </c>
      <c r="N47" s="53">
        <v>3</v>
      </c>
      <c r="O47" s="53">
        <v>0.46</v>
      </c>
      <c r="P47" s="53">
        <v>0.43</v>
      </c>
      <c r="Q47" s="74">
        <f t="shared" si="2"/>
        <v>0.44500000000000001</v>
      </c>
      <c r="R47" s="53">
        <v>14.2</v>
      </c>
      <c r="S47" s="53">
        <v>133</v>
      </c>
      <c r="T47" s="16">
        <f t="shared" si="0"/>
        <v>25</v>
      </c>
      <c r="U47" s="53">
        <v>399</v>
      </c>
      <c r="V47" s="16">
        <f t="shared" si="1"/>
        <v>16</v>
      </c>
      <c r="W47" s="53">
        <v>9</v>
      </c>
      <c r="X47" s="53" t="s">
        <v>39</v>
      </c>
      <c r="Y47" s="53" t="s">
        <v>69</v>
      </c>
      <c r="Z47" s="53" t="s">
        <v>55</v>
      </c>
      <c r="AA47" s="53" t="s">
        <v>78</v>
      </c>
      <c r="AB47" s="53" t="s">
        <v>317</v>
      </c>
      <c r="AV47" s="27"/>
    </row>
    <row r="48" spans="1:48" x14ac:dyDescent="0.15">
      <c r="A48" s="53" t="s">
        <v>59</v>
      </c>
      <c r="B48" s="53" t="s">
        <v>232</v>
      </c>
      <c r="C48" s="62">
        <v>2019</v>
      </c>
      <c r="D48" s="137" t="s">
        <v>313</v>
      </c>
      <c r="E48" s="53" t="s">
        <v>332</v>
      </c>
      <c r="F48" s="53" t="s">
        <v>333</v>
      </c>
      <c r="G48" s="53" t="s">
        <v>36</v>
      </c>
      <c r="H48" s="53" t="s">
        <v>164</v>
      </c>
      <c r="I48" s="53" t="s">
        <v>159</v>
      </c>
      <c r="J48" s="53" t="s">
        <v>38</v>
      </c>
      <c r="K48" s="53" t="s">
        <v>161</v>
      </c>
      <c r="L48" s="53">
        <v>2</v>
      </c>
      <c r="N48" s="53">
        <v>3</v>
      </c>
      <c r="O48" s="53">
        <v>0.49</v>
      </c>
      <c r="P48" s="53">
        <v>0.48</v>
      </c>
      <c r="Q48" s="74">
        <f t="shared" si="2"/>
        <v>0.48499999999999999</v>
      </c>
      <c r="R48" s="53">
        <v>13.8</v>
      </c>
      <c r="S48" s="53">
        <v>138</v>
      </c>
      <c r="T48" s="16">
        <f t="shared" si="0"/>
        <v>22</v>
      </c>
      <c r="U48" s="53">
        <v>399</v>
      </c>
      <c r="V48" s="16">
        <f t="shared" si="1"/>
        <v>16</v>
      </c>
      <c r="W48" s="53">
        <v>9</v>
      </c>
      <c r="X48" s="53" t="s">
        <v>39</v>
      </c>
      <c r="Y48" s="53" t="s">
        <v>69</v>
      </c>
      <c r="Z48" s="53" t="s">
        <v>55</v>
      </c>
      <c r="AA48" s="53" t="s">
        <v>78</v>
      </c>
      <c r="AB48" s="53" t="s">
        <v>317</v>
      </c>
      <c r="AV48" s="27"/>
    </row>
    <row r="49" spans="1:48" x14ac:dyDescent="0.15">
      <c r="A49" s="53" t="s">
        <v>59</v>
      </c>
      <c r="B49" s="53" t="s">
        <v>232</v>
      </c>
      <c r="C49" s="62">
        <v>2019</v>
      </c>
      <c r="D49" s="137" t="s">
        <v>313</v>
      </c>
      <c r="E49" s="53" t="s">
        <v>332</v>
      </c>
      <c r="F49" s="53" t="s">
        <v>333</v>
      </c>
      <c r="G49" s="53" t="s">
        <v>36</v>
      </c>
      <c r="H49" s="53" t="s">
        <v>164</v>
      </c>
      <c r="I49" s="53" t="s">
        <v>159</v>
      </c>
      <c r="J49" s="53" t="s">
        <v>38</v>
      </c>
      <c r="K49" s="53" t="s">
        <v>161</v>
      </c>
      <c r="L49" s="53">
        <v>3</v>
      </c>
      <c r="N49" s="53">
        <v>3</v>
      </c>
      <c r="O49" s="53">
        <v>0.47</v>
      </c>
      <c r="P49" s="53">
        <v>0.42</v>
      </c>
      <c r="Q49" s="74">
        <f t="shared" si="2"/>
        <v>0.44499999999999995</v>
      </c>
      <c r="R49" s="53">
        <v>13.5</v>
      </c>
      <c r="S49" s="53">
        <v>134</v>
      </c>
      <c r="T49" s="16">
        <f t="shared" si="0"/>
        <v>25</v>
      </c>
      <c r="U49" s="53">
        <v>399</v>
      </c>
      <c r="V49" s="16">
        <f t="shared" si="1"/>
        <v>16</v>
      </c>
      <c r="W49" s="53">
        <v>9</v>
      </c>
      <c r="X49" s="53" t="s">
        <v>39</v>
      </c>
      <c r="Y49" s="53" t="s">
        <v>69</v>
      </c>
      <c r="Z49" s="53" t="s">
        <v>55</v>
      </c>
      <c r="AA49" s="53" t="s">
        <v>78</v>
      </c>
      <c r="AB49" s="53" t="s">
        <v>317</v>
      </c>
      <c r="AV49" s="27"/>
    </row>
    <row r="50" spans="1:48" x14ac:dyDescent="0.15">
      <c r="A50" s="53" t="s">
        <v>59</v>
      </c>
      <c r="B50" s="53" t="s">
        <v>232</v>
      </c>
      <c r="C50" s="62">
        <v>2019</v>
      </c>
      <c r="D50" s="137" t="s">
        <v>313</v>
      </c>
      <c r="E50" s="53" t="s">
        <v>332</v>
      </c>
      <c r="F50" s="53" t="s">
        <v>333</v>
      </c>
      <c r="G50" s="53" t="s">
        <v>36</v>
      </c>
      <c r="H50" s="53" t="s">
        <v>199</v>
      </c>
      <c r="I50" s="53" t="s">
        <v>159</v>
      </c>
      <c r="J50" s="53" t="s">
        <v>38</v>
      </c>
      <c r="K50" s="53" t="s">
        <v>161</v>
      </c>
      <c r="L50" s="53">
        <v>1</v>
      </c>
      <c r="N50" s="53">
        <v>6</v>
      </c>
      <c r="O50" s="53">
        <v>0.21</v>
      </c>
      <c r="P50" s="53">
        <v>0.25</v>
      </c>
      <c r="Q50" s="74">
        <f t="shared" si="2"/>
        <v>0.22999999999999998</v>
      </c>
      <c r="R50" s="53">
        <v>15</v>
      </c>
      <c r="S50" s="53">
        <v>92</v>
      </c>
      <c r="T50" s="16">
        <f t="shared" si="0"/>
        <v>36</v>
      </c>
      <c r="U50" s="53">
        <v>399</v>
      </c>
      <c r="V50" s="16">
        <f t="shared" si="1"/>
        <v>16</v>
      </c>
      <c r="W50" s="53">
        <v>3</v>
      </c>
      <c r="X50" s="53" t="s">
        <v>39</v>
      </c>
      <c r="Y50" s="53" t="s">
        <v>69</v>
      </c>
      <c r="Z50" s="53" t="s">
        <v>55</v>
      </c>
      <c r="AA50" s="53" t="s">
        <v>78</v>
      </c>
      <c r="AB50" s="53" t="s">
        <v>317</v>
      </c>
      <c r="AV50" s="27"/>
    </row>
    <row r="51" spans="1:48" x14ac:dyDescent="0.15">
      <c r="A51" s="53" t="s">
        <v>59</v>
      </c>
      <c r="B51" s="53" t="s">
        <v>232</v>
      </c>
      <c r="C51" s="62">
        <v>2019</v>
      </c>
      <c r="D51" s="137" t="s">
        <v>313</v>
      </c>
      <c r="E51" s="53" t="s">
        <v>332</v>
      </c>
      <c r="F51" s="53" t="s">
        <v>333</v>
      </c>
      <c r="G51" s="53" t="s">
        <v>36</v>
      </c>
      <c r="H51" s="53" t="s">
        <v>199</v>
      </c>
      <c r="I51" s="53" t="s">
        <v>159</v>
      </c>
      <c r="J51" s="53" t="s">
        <v>38</v>
      </c>
      <c r="K51" s="53" t="s">
        <v>161</v>
      </c>
      <c r="L51" s="53">
        <v>2</v>
      </c>
      <c r="N51" s="53">
        <v>6</v>
      </c>
      <c r="O51" s="53">
        <v>0.23</v>
      </c>
      <c r="P51" s="53">
        <v>0.22</v>
      </c>
      <c r="Q51" s="74">
        <f t="shared" si="2"/>
        <v>0.22500000000000001</v>
      </c>
      <c r="R51" s="53">
        <v>15</v>
      </c>
      <c r="S51" s="53">
        <v>91</v>
      </c>
      <c r="T51" s="16">
        <f t="shared" si="0"/>
        <v>36</v>
      </c>
      <c r="U51" s="53">
        <v>399</v>
      </c>
      <c r="V51" s="16">
        <f t="shared" si="1"/>
        <v>16</v>
      </c>
      <c r="W51" s="53">
        <v>3</v>
      </c>
      <c r="X51" s="53" t="s">
        <v>39</v>
      </c>
      <c r="Y51" s="53" t="s">
        <v>69</v>
      </c>
      <c r="Z51" s="53" t="s">
        <v>55</v>
      </c>
      <c r="AA51" s="53" t="s">
        <v>78</v>
      </c>
      <c r="AB51" s="53" t="s">
        <v>317</v>
      </c>
      <c r="AV51" s="27"/>
    </row>
    <row r="52" spans="1:48" x14ac:dyDescent="0.15">
      <c r="A52" s="53" t="s">
        <v>59</v>
      </c>
      <c r="B52" s="53" t="s">
        <v>232</v>
      </c>
      <c r="C52" s="62">
        <v>2019</v>
      </c>
      <c r="D52" s="137" t="s">
        <v>313</v>
      </c>
      <c r="E52" s="53" t="s">
        <v>332</v>
      </c>
      <c r="F52" s="53" t="s">
        <v>333</v>
      </c>
      <c r="G52" s="53" t="s">
        <v>36</v>
      </c>
      <c r="H52" s="53" t="s">
        <v>199</v>
      </c>
      <c r="I52" s="53" t="s">
        <v>159</v>
      </c>
      <c r="J52" s="53" t="s">
        <v>38</v>
      </c>
      <c r="K52" s="53" t="s">
        <v>161</v>
      </c>
      <c r="L52" s="53">
        <v>3</v>
      </c>
      <c r="N52" s="53">
        <v>6</v>
      </c>
      <c r="O52" s="53">
        <v>0.28000000000000003</v>
      </c>
      <c r="P52" s="53">
        <v>0.24</v>
      </c>
      <c r="Q52" s="74">
        <f t="shared" si="2"/>
        <v>0.26</v>
      </c>
      <c r="R52" s="53">
        <v>15.2</v>
      </c>
      <c r="S52" s="53">
        <v>96</v>
      </c>
      <c r="T52" s="16">
        <f t="shared" si="0"/>
        <v>36</v>
      </c>
      <c r="U52" s="53">
        <v>399</v>
      </c>
      <c r="V52" s="16">
        <f t="shared" si="1"/>
        <v>16</v>
      </c>
      <c r="W52" s="53">
        <v>3</v>
      </c>
      <c r="X52" s="53" t="s">
        <v>39</v>
      </c>
      <c r="Y52" s="53" t="s">
        <v>69</v>
      </c>
      <c r="Z52" s="53" t="s">
        <v>55</v>
      </c>
      <c r="AA52" s="53" t="s">
        <v>78</v>
      </c>
      <c r="AB52" s="53" t="s">
        <v>317</v>
      </c>
      <c r="AV52" s="27"/>
    </row>
    <row r="53" spans="1:48" x14ac:dyDescent="0.15">
      <c r="A53" s="53" t="s">
        <v>59</v>
      </c>
      <c r="B53" s="53" t="s">
        <v>232</v>
      </c>
      <c r="C53" s="62">
        <v>2019</v>
      </c>
      <c r="D53" s="137" t="s">
        <v>313</v>
      </c>
      <c r="E53" s="53" t="s">
        <v>323</v>
      </c>
      <c r="F53" s="53" t="s">
        <v>324</v>
      </c>
      <c r="G53" s="53" t="s">
        <v>36</v>
      </c>
      <c r="H53" s="53" t="s">
        <v>160</v>
      </c>
      <c r="I53" s="53" t="s">
        <v>159</v>
      </c>
      <c r="J53" s="53" t="s">
        <v>38</v>
      </c>
      <c r="K53" s="53" t="s">
        <v>161</v>
      </c>
      <c r="L53" s="53">
        <v>1</v>
      </c>
      <c r="N53" s="53">
        <v>4</v>
      </c>
      <c r="O53" s="53">
        <v>0.36</v>
      </c>
      <c r="P53" s="53">
        <v>0.34</v>
      </c>
      <c r="Q53" s="74">
        <f t="shared" si="2"/>
        <v>0.35</v>
      </c>
      <c r="R53" s="53">
        <v>15.7</v>
      </c>
      <c r="S53" s="53">
        <v>104</v>
      </c>
      <c r="T53" s="16">
        <f t="shared" si="0"/>
        <v>33</v>
      </c>
      <c r="U53" s="53">
        <v>486</v>
      </c>
      <c r="V53" s="16">
        <f t="shared" si="1"/>
        <v>16</v>
      </c>
      <c r="W53" s="53">
        <v>2</v>
      </c>
      <c r="X53" s="53" t="s">
        <v>39</v>
      </c>
      <c r="Y53" s="53" t="s">
        <v>69</v>
      </c>
      <c r="Z53" s="53" t="s">
        <v>78</v>
      </c>
      <c r="AA53" s="53" t="s">
        <v>97</v>
      </c>
      <c r="AB53" s="53" t="s">
        <v>317</v>
      </c>
      <c r="AV53" s="27"/>
    </row>
    <row r="54" spans="1:48" x14ac:dyDescent="0.15">
      <c r="A54" s="53" t="s">
        <v>59</v>
      </c>
      <c r="B54" s="53" t="s">
        <v>232</v>
      </c>
      <c r="C54" s="62">
        <v>2019</v>
      </c>
      <c r="D54" s="137" t="s">
        <v>313</v>
      </c>
      <c r="E54" s="53" t="s">
        <v>323</v>
      </c>
      <c r="F54" s="53" t="s">
        <v>324</v>
      </c>
      <c r="G54" s="53" t="s">
        <v>36</v>
      </c>
      <c r="H54" s="53" t="s">
        <v>160</v>
      </c>
      <c r="I54" s="53" t="s">
        <v>159</v>
      </c>
      <c r="J54" s="53" t="s">
        <v>38</v>
      </c>
      <c r="K54" s="53" t="s">
        <v>161</v>
      </c>
      <c r="L54" s="53">
        <v>2</v>
      </c>
      <c r="N54" s="53">
        <v>4</v>
      </c>
      <c r="O54" s="53">
        <v>0.35</v>
      </c>
      <c r="P54" s="53">
        <v>0.42</v>
      </c>
      <c r="Q54" s="74">
        <f t="shared" si="2"/>
        <v>0.38500000000000001</v>
      </c>
      <c r="R54" s="53">
        <v>14.4</v>
      </c>
      <c r="S54" s="53">
        <v>101</v>
      </c>
      <c r="T54" s="16">
        <f t="shared" si="0"/>
        <v>33</v>
      </c>
      <c r="U54" s="53">
        <v>486</v>
      </c>
      <c r="V54" s="16">
        <f t="shared" si="1"/>
        <v>16</v>
      </c>
      <c r="W54" s="53">
        <v>2</v>
      </c>
      <c r="X54" s="53" t="s">
        <v>39</v>
      </c>
      <c r="Y54" s="53" t="s">
        <v>69</v>
      </c>
      <c r="Z54" s="53" t="s">
        <v>78</v>
      </c>
      <c r="AA54" s="53" t="s">
        <v>97</v>
      </c>
      <c r="AB54" s="53" t="s">
        <v>317</v>
      </c>
      <c r="AV54" s="27"/>
    </row>
    <row r="55" spans="1:48" x14ac:dyDescent="0.15">
      <c r="A55" s="53" t="s">
        <v>59</v>
      </c>
      <c r="B55" s="53" t="s">
        <v>232</v>
      </c>
      <c r="C55" s="62">
        <v>2019</v>
      </c>
      <c r="D55" s="137" t="s">
        <v>313</v>
      </c>
      <c r="E55" s="53" t="s">
        <v>323</v>
      </c>
      <c r="F55" s="53" t="s">
        <v>324</v>
      </c>
      <c r="G55" s="53" t="s">
        <v>36</v>
      </c>
      <c r="H55" s="53" t="s">
        <v>160</v>
      </c>
      <c r="I55" s="53" t="s">
        <v>159</v>
      </c>
      <c r="J55" s="53" t="s">
        <v>38</v>
      </c>
      <c r="K55" s="53" t="s">
        <v>161</v>
      </c>
      <c r="L55" s="53">
        <v>3</v>
      </c>
      <c r="N55" s="53">
        <v>4</v>
      </c>
      <c r="O55" s="53">
        <v>0.39</v>
      </c>
      <c r="P55" s="53">
        <v>0.44</v>
      </c>
      <c r="Q55" s="74">
        <f t="shared" si="2"/>
        <v>0.41500000000000004</v>
      </c>
      <c r="R55" s="53">
        <v>15.1</v>
      </c>
      <c r="S55" s="53">
        <v>99</v>
      </c>
      <c r="T55" s="16">
        <f t="shared" si="0"/>
        <v>33</v>
      </c>
      <c r="U55" s="53">
        <v>486</v>
      </c>
      <c r="V55" s="16">
        <f t="shared" si="1"/>
        <v>16</v>
      </c>
      <c r="W55" s="53">
        <v>2</v>
      </c>
      <c r="X55" s="53" t="s">
        <v>39</v>
      </c>
      <c r="Y55" s="53" t="s">
        <v>69</v>
      </c>
      <c r="Z55" s="53" t="s">
        <v>78</v>
      </c>
      <c r="AA55" s="53" t="s">
        <v>97</v>
      </c>
      <c r="AB55" s="53" t="s">
        <v>317</v>
      </c>
      <c r="AV55" s="27"/>
    </row>
    <row r="56" spans="1:48" x14ac:dyDescent="0.15">
      <c r="A56" s="53" t="s">
        <v>59</v>
      </c>
      <c r="B56" s="53" t="s">
        <v>232</v>
      </c>
      <c r="C56" s="62">
        <v>2019</v>
      </c>
      <c r="D56" s="137" t="s">
        <v>313</v>
      </c>
      <c r="E56" s="53" t="s">
        <v>323</v>
      </c>
      <c r="F56" s="53" t="s">
        <v>324</v>
      </c>
      <c r="G56" s="53" t="s">
        <v>36</v>
      </c>
      <c r="H56" s="53" t="s">
        <v>164</v>
      </c>
      <c r="I56" s="53" t="s">
        <v>159</v>
      </c>
      <c r="J56" s="53" t="s">
        <v>38</v>
      </c>
      <c r="K56" s="53" t="s">
        <v>161</v>
      </c>
      <c r="L56" s="53">
        <v>1</v>
      </c>
      <c r="N56" s="53">
        <v>1</v>
      </c>
      <c r="O56" s="53">
        <v>0.36</v>
      </c>
      <c r="P56" s="53">
        <v>0.5</v>
      </c>
      <c r="Q56" s="74">
        <f t="shared" si="2"/>
        <v>0.43</v>
      </c>
      <c r="R56" s="53">
        <v>15.6</v>
      </c>
      <c r="S56" s="53">
        <v>125</v>
      </c>
      <c r="T56" s="16">
        <f t="shared" si="0"/>
        <v>27</v>
      </c>
      <c r="U56" s="53">
        <v>105</v>
      </c>
      <c r="V56" s="16">
        <f t="shared" si="1"/>
        <v>33</v>
      </c>
      <c r="W56" s="53">
        <v>1</v>
      </c>
      <c r="X56" s="53" t="s">
        <v>39</v>
      </c>
      <c r="Y56" s="53" t="s">
        <v>69</v>
      </c>
      <c r="Z56" s="53" t="s">
        <v>78</v>
      </c>
      <c r="AA56" s="53" t="s">
        <v>97</v>
      </c>
      <c r="AB56" s="53" t="s">
        <v>317</v>
      </c>
      <c r="AV56" s="27"/>
    </row>
    <row r="57" spans="1:48" x14ac:dyDescent="0.15">
      <c r="A57" s="53" t="s">
        <v>59</v>
      </c>
      <c r="B57" s="53" t="s">
        <v>232</v>
      </c>
      <c r="C57" s="62">
        <v>2019</v>
      </c>
      <c r="D57" s="137" t="s">
        <v>313</v>
      </c>
      <c r="E57" s="53" t="s">
        <v>323</v>
      </c>
      <c r="F57" s="53" t="s">
        <v>324</v>
      </c>
      <c r="G57" s="53" t="s">
        <v>36</v>
      </c>
      <c r="H57" s="53" t="s">
        <v>164</v>
      </c>
      <c r="I57" s="53" t="s">
        <v>159</v>
      </c>
      <c r="J57" s="53" t="s">
        <v>38</v>
      </c>
      <c r="K57" s="53" t="s">
        <v>161</v>
      </c>
      <c r="L57" s="53">
        <v>2</v>
      </c>
      <c r="N57" s="53">
        <v>1</v>
      </c>
      <c r="O57" s="53">
        <v>0.54</v>
      </c>
      <c r="P57" s="53">
        <v>0.65</v>
      </c>
      <c r="Q57" s="74">
        <f t="shared" si="2"/>
        <v>0.59499999999999997</v>
      </c>
      <c r="R57" s="53">
        <v>14.5</v>
      </c>
      <c r="S57" s="53">
        <v>125</v>
      </c>
      <c r="T57" s="16">
        <f t="shared" si="0"/>
        <v>27</v>
      </c>
      <c r="U57" s="53">
        <v>105</v>
      </c>
      <c r="V57" s="16">
        <f t="shared" si="1"/>
        <v>33</v>
      </c>
      <c r="W57" s="53">
        <v>1</v>
      </c>
      <c r="X57" s="53" t="s">
        <v>39</v>
      </c>
      <c r="Y57" s="53" t="s">
        <v>69</v>
      </c>
      <c r="Z57" s="53" t="s">
        <v>78</v>
      </c>
      <c r="AA57" s="53" t="s">
        <v>97</v>
      </c>
      <c r="AB57" s="53" t="s">
        <v>317</v>
      </c>
      <c r="AV57" s="27"/>
    </row>
    <row r="58" spans="1:48" x14ac:dyDescent="0.15">
      <c r="A58" s="53" t="s">
        <v>59</v>
      </c>
      <c r="B58" s="53" t="s">
        <v>232</v>
      </c>
      <c r="C58" s="62">
        <v>2019</v>
      </c>
      <c r="D58" s="137" t="s">
        <v>313</v>
      </c>
      <c r="E58" s="53" t="s">
        <v>323</v>
      </c>
      <c r="F58" s="53" t="s">
        <v>324</v>
      </c>
      <c r="G58" s="53" t="s">
        <v>36</v>
      </c>
      <c r="H58" s="53" t="s">
        <v>164</v>
      </c>
      <c r="I58" s="53" t="s">
        <v>159</v>
      </c>
      <c r="J58" s="53" t="s">
        <v>38</v>
      </c>
      <c r="K58" s="53" t="s">
        <v>161</v>
      </c>
      <c r="L58" s="53">
        <v>3</v>
      </c>
      <c r="N58" s="53">
        <v>1</v>
      </c>
      <c r="O58" s="53">
        <v>0.52</v>
      </c>
      <c r="P58" s="53">
        <v>0.61</v>
      </c>
      <c r="Q58" s="74">
        <f t="shared" si="2"/>
        <v>0.56499999999999995</v>
      </c>
      <c r="R58" s="53">
        <v>14.3</v>
      </c>
      <c r="S58" s="53">
        <v>129</v>
      </c>
      <c r="T58" s="16">
        <f t="shared" si="0"/>
        <v>25</v>
      </c>
      <c r="U58" s="53">
        <v>105</v>
      </c>
      <c r="V58" s="16">
        <f t="shared" si="1"/>
        <v>33</v>
      </c>
      <c r="W58" s="53">
        <v>1</v>
      </c>
      <c r="X58" s="53" t="s">
        <v>39</v>
      </c>
      <c r="Y58" s="53" t="s">
        <v>69</v>
      </c>
      <c r="Z58" s="53" t="s">
        <v>78</v>
      </c>
      <c r="AA58" s="53" t="s">
        <v>97</v>
      </c>
      <c r="AB58" s="53" t="s">
        <v>317</v>
      </c>
      <c r="AV58" s="27"/>
    </row>
    <row r="59" spans="1:48" x14ac:dyDescent="0.15">
      <c r="A59" s="53" t="s">
        <v>59</v>
      </c>
      <c r="B59" s="53" t="s">
        <v>232</v>
      </c>
      <c r="C59" s="62">
        <v>2019</v>
      </c>
      <c r="D59" s="137" t="s">
        <v>313</v>
      </c>
      <c r="E59" s="53" t="s">
        <v>339</v>
      </c>
      <c r="F59" s="53" t="s">
        <v>340</v>
      </c>
      <c r="G59" s="53" t="s">
        <v>36</v>
      </c>
      <c r="H59" s="53" t="s">
        <v>160</v>
      </c>
      <c r="I59" s="53" t="s">
        <v>159</v>
      </c>
      <c r="J59" s="53" t="s">
        <v>38</v>
      </c>
      <c r="K59" s="53" t="s">
        <v>161</v>
      </c>
      <c r="L59" s="53">
        <v>1</v>
      </c>
      <c r="N59" s="53">
        <v>4</v>
      </c>
      <c r="O59" s="53">
        <v>0.66</v>
      </c>
      <c r="P59" s="53">
        <v>0.37</v>
      </c>
      <c r="Q59" s="74">
        <f t="shared" si="2"/>
        <v>0.51500000000000001</v>
      </c>
      <c r="R59" s="53">
        <v>15.8</v>
      </c>
      <c r="S59" s="53">
        <v>136</v>
      </c>
      <c r="T59" s="16">
        <f t="shared" si="0"/>
        <v>25</v>
      </c>
      <c r="U59" s="53">
        <v>458</v>
      </c>
      <c r="V59" s="16">
        <f t="shared" si="1"/>
        <v>16</v>
      </c>
      <c r="W59" s="53">
        <v>7</v>
      </c>
      <c r="X59" s="53" t="s">
        <v>46</v>
      </c>
      <c r="Y59" s="53" t="s">
        <v>97</v>
      </c>
      <c r="Z59" s="53" t="s">
        <v>55</v>
      </c>
      <c r="AA59" s="53" t="s">
        <v>69</v>
      </c>
      <c r="AB59" s="53" t="s">
        <v>317</v>
      </c>
      <c r="AV59" s="27"/>
    </row>
    <row r="60" spans="1:48" x14ac:dyDescent="0.15">
      <c r="A60" s="53" t="s">
        <v>59</v>
      </c>
      <c r="B60" s="53" t="s">
        <v>232</v>
      </c>
      <c r="C60" s="62">
        <v>2019</v>
      </c>
      <c r="D60" s="137" t="s">
        <v>313</v>
      </c>
      <c r="E60" s="53" t="s">
        <v>339</v>
      </c>
      <c r="F60" s="53" t="s">
        <v>340</v>
      </c>
      <c r="G60" s="53" t="s">
        <v>36</v>
      </c>
      <c r="H60" s="53" t="s">
        <v>160</v>
      </c>
      <c r="I60" s="53" t="s">
        <v>159</v>
      </c>
      <c r="J60" s="53" t="s">
        <v>38</v>
      </c>
      <c r="K60" s="53" t="s">
        <v>161</v>
      </c>
      <c r="L60" s="53">
        <v>2</v>
      </c>
      <c r="N60" s="53">
        <v>4</v>
      </c>
      <c r="O60" s="53">
        <v>0.66</v>
      </c>
      <c r="P60" s="53">
        <v>0.7</v>
      </c>
      <c r="Q60" s="74">
        <f t="shared" si="2"/>
        <v>0.67999999999999994</v>
      </c>
      <c r="R60" s="53">
        <v>16.3</v>
      </c>
      <c r="S60" s="53">
        <v>132</v>
      </c>
      <c r="T60" s="16">
        <f t="shared" si="0"/>
        <v>25</v>
      </c>
      <c r="U60" s="53">
        <v>458</v>
      </c>
      <c r="V60" s="16">
        <f t="shared" si="1"/>
        <v>16</v>
      </c>
      <c r="W60" s="53">
        <v>7</v>
      </c>
      <c r="X60" s="53" t="s">
        <v>46</v>
      </c>
      <c r="Y60" s="53" t="s">
        <v>97</v>
      </c>
      <c r="Z60" s="53" t="s">
        <v>55</v>
      </c>
      <c r="AA60" s="53" t="s">
        <v>69</v>
      </c>
      <c r="AB60" s="53" t="s">
        <v>317</v>
      </c>
      <c r="AV60" s="27"/>
    </row>
    <row r="61" spans="1:48" x14ac:dyDescent="0.15">
      <c r="A61" s="53" t="s">
        <v>59</v>
      </c>
      <c r="B61" s="53" t="s">
        <v>232</v>
      </c>
      <c r="C61" s="62">
        <v>2019</v>
      </c>
      <c r="D61" s="137" t="s">
        <v>313</v>
      </c>
      <c r="E61" s="53" t="s">
        <v>339</v>
      </c>
      <c r="F61" s="53" t="s">
        <v>340</v>
      </c>
      <c r="G61" s="53" t="s">
        <v>36</v>
      </c>
      <c r="H61" s="53" t="s">
        <v>160</v>
      </c>
      <c r="I61" s="53" t="s">
        <v>159</v>
      </c>
      <c r="J61" s="53" t="s">
        <v>38</v>
      </c>
      <c r="K61" s="53" t="s">
        <v>161</v>
      </c>
      <c r="L61" s="53">
        <v>3</v>
      </c>
      <c r="N61" s="53">
        <v>4</v>
      </c>
      <c r="O61" s="53">
        <v>0.63</v>
      </c>
      <c r="P61" s="53">
        <v>0.72</v>
      </c>
      <c r="Q61" s="74">
        <f t="shared" si="2"/>
        <v>0.67500000000000004</v>
      </c>
      <c r="R61" s="53">
        <v>16.8</v>
      </c>
      <c r="S61" s="53">
        <v>140</v>
      </c>
      <c r="T61" s="16">
        <f t="shared" si="0"/>
        <v>22</v>
      </c>
      <c r="U61" s="53">
        <v>458</v>
      </c>
      <c r="V61" s="16">
        <f t="shared" si="1"/>
        <v>16</v>
      </c>
      <c r="W61" s="53">
        <v>7</v>
      </c>
      <c r="X61" s="53" t="s">
        <v>46</v>
      </c>
      <c r="Y61" s="53" t="s">
        <v>97</v>
      </c>
      <c r="Z61" s="53" t="s">
        <v>55</v>
      </c>
      <c r="AA61" s="53" t="s">
        <v>69</v>
      </c>
      <c r="AB61" s="53" t="s">
        <v>317</v>
      </c>
      <c r="AV61" s="27"/>
    </row>
    <row r="62" spans="1:48" x14ac:dyDescent="0.15">
      <c r="A62" s="53" t="s">
        <v>59</v>
      </c>
      <c r="B62" s="53" t="s">
        <v>232</v>
      </c>
      <c r="C62" s="62">
        <v>2019</v>
      </c>
      <c r="D62" s="137" t="s">
        <v>313</v>
      </c>
      <c r="E62" s="53" t="s">
        <v>339</v>
      </c>
      <c r="F62" s="53" t="s">
        <v>340</v>
      </c>
      <c r="G62" s="53" t="s">
        <v>36</v>
      </c>
      <c r="H62" s="53" t="s">
        <v>164</v>
      </c>
      <c r="I62" s="53" t="s">
        <v>159</v>
      </c>
      <c r="J62" s="53" t="s">
        <v>38</v>
      </c>
      <c r="K62" s="53" t="s">
        <v>161</v>
      </c>
      <c r="L62" s="53">
        <v>1</v>
      </c>
      <c r="N62" s="53">
        <v>4</v>
      </c>
      <c r="O62" s="53">
        <v>0.5</v>
      </c>
      <c r="P62" s="53">
        <v>0.52</v>
      </c>
      <c r="Q62" s="74">
        <f t="shared" si="2"/>
        <v>0.51</v>
      </c>
      <c r="R62" s="53">
        <v>15.1</v>
      </c>
      <c r="S62" s="53">
        <v>132</v>
      </c>
      <c r="T62" s="16">
        <f t="shared" si="0"/>
        <v>25</v>
      </c>
      <c r="U62" s="53">
        <v>358</v>
      </c>
      <c r="V62" s="16">
        <f t="shared" si="1"/>
        <v>16</v>
      </c>
      <c r="W62" s="53">
        <v>7</v>
      </c>
      <c r="X62" s="53" t="s">
        <v>46</v>
      </c>
      <c r="Y62" s="53" t="s">
        <v>97</v>
      </c>
      <c r="Z62" s="53" t="s">
        <v>55</v>
      </c>
      <c r="AA62" s="53" t="s">
        <v>69</v>
      </c>
      <c r="AB62" s="53" t="s">
        <v>317</v>
      </c>
      <c r="AV62" s="27"/>
    </row>
    <row r="63" spans="1:48" x14ac:dyDescent="0.15">
      <c r="A63" s="53" t="s">
        <v>59</v>
      </c>
      <c r="B63" s="53" t="s">
        <v>232</v>
      </c>
      <c r="C63" s="62">
        <v>2019</v>
      </c>
      <c r="D63" s="137" t="s">
        <v>313</v>
      </c>
      <c r="E63" s="53" t="s">
        <v>339</v>
      </c>
      <c r="F63" s="53" t="s">
        <v>340</v>
      </c>
      <c r="G63" s="53" t="s">
        <v>36</v>
      </c>
      <c r="H63" s="53" t="s">
        <v>164</v>
      </c>
      <c r="I63" s="53" t="s">
        <v>159</v>
      </c>
      <c r="J63" s="53" t="s">
        <v>38</v>
      </c>
      <c r="K63" s="53" t="s">
        <v>161</v>
      </c>
      <c r="L63" s="53">
        <v>2</v>
      </c>
      <c r="N63" s="53">
        <v>4</v>
      </c>
      <c r="O63" s="53">
        <v>0.54</v>
      </c>
      <c r="P63" s="53">
        <v>0.51</v>
      </c>
      <c r="Q63" s="74">
        <f t="shared" si="2"/>
        <v>0.52500000000000002</v>
      </c>
      <c r="R63" s="53">
        <v>15.4</v>
      </c>
      <c r="S63" s="53">
        <v>136</v>
      </c>
      <c r="T63" s="16">
        <f t="shared" si="0"/>
        <v>25</v>
      </c>
      <c r="U63" s="53">
        <v>358</v>
      </c>
      <c r="V63" s="16">
        <f t="shared" si="1"/>
        <v>16</v>
      </c>
      <c r="W63" s="53">
        <v>7</v>
      </c>
      <c r="X63" s="53" t="s">
        <v>46</v>
      </c>
      <c r="Y63" s="53" t="s">
        <v>97</v>
      </c>
      <c r="Z63" s="53" t="s">
        <v>55</v>
      </c>
      <c r="AA63" s="53" t="s">
        <v>69</v>
      </c>
      <c r="AB63" s="53" t="s">
        <v>317</v>
      </c>
      <c r="AV63" s="27"/>
    </row>
    <row r="64" spans="1:48" x14ac:dyDescent="0.15">
      <c r="A64" s="53" t="s">
        <v>59</v>
      </c>
      <c r="B64" s="53" t="s">
        <v>232</v>
      </c>
      <c r="C64" s="62">
        <v>2019</v>
      </c>
      <c r="D64" s="137" t="s">
        <v>313</v>
      </c>
      <c r="E64" s="53" t="s">
        <v>339</v>
      </c>
      <c r="F64" s="53" t="s">
        <v>340</v>
      </c>
      <c r="G64" s="53" t="s">
        <v>36</v>
      </c>
      <c r="H64" s="53" t="s">
        <v>164</v>
      </c>
      <c r="I64" s="53" t="s">
        <v>159</v>
      </c>
      <c r="J64" s="53" t="s">
        <v>38</v>
      </c>
      <c r="K64" s="53" t="s">
        <v>161</v>
      </c>
      <c r="L64" s="53">
        <v>3</v>
      </c>
      <c r="N64" s="53">
        <v>4</v>
      </c>
      <c r="O64" s="53">
        <v>0.51</v>
      </c>
      <c r="P64" s="53">
        <v>0.55000000000000004</v>
      </c>
      <c r="Q64" s="74">
        <f t="shared" si="2"/>
        <v>0.53</v>
      </c>
      <c r="R64" s="53">
        <v>15</v>
      </c>
      <c r="S64" s="53">
        <v>132</v>
      </c>
      <c r="T64" s="16">
        <f t="shared" si="0"/>
        <v>25</v>
      </c>
      <c r="U64" s="53">
        <v>358</v>
      </c>
      <c r="V64" s="16">
        <f t="shared" si="1"/>
        <v>16</v>
      </c>
      <c r="W64" s="53">
        <v>7</v>
      </c>
      <c r="X64" s="53" t="s">
        <v>46</v>
      </c>
      <c r="Y64" s="53" t="s">
        <v>97</v>
      </c>
      <c r="Z64" s="53" t="s">
        <v>55</v>
      </c>
      <c r="AA64" s="53" t="s">
        <v>69</v>
      </c>
      <c r="AB64" s="53" t="s">
        <v>317</v>
      </c>
      <c r="AV64" s="27"/>
    </row>
    <row r="65" spans="1:48" x14ac:dyDescent="0.15">
      <c r="A65" s="53" t="s">
        <v>59</v>
      </c>
      <c r="B65" s="53" t="s">
        <v>232</v>
      </c>
      <c r="C65" s="62">
        <v>2019</v>
      </c>
      <c r="D65" s="137" t="s">
        <v>313</v>
      </c>
      <c r="E65" s="53" t="s">
        <v>329</v>
      </c>
      <c r="F65" s="53" t="s">
        <v>330</v>
      </c>
      <c r="G65" s="53" t="s">
        <v>36</v>
      </c>
      <c r="H65" s="53" t="s">
        <v>160</v>
      </c>
      <c r="I65" s="53" t="s">
        <v>159</v>
      </c>
      <c r="J65" s="53" t="s">
        <v>38</v>
      </c>
      <c r="K65" s="53" t="s">
        <v>161</v>
      </c>
      <c r="L65" s="53">
        <v>1</v>
      </c>
      <c r="N65" s="53">
        <v>4</v>
      </c>
      <c r="O65" s="53">
        <v>0.39</v>
      </c>
      <c r="P65" s="53">
        <v>0.42</v>
      </c>
      <c r="Q65" s="74">
        <f t="shared" si="2"/>
        <v>0.40500000000000003</v>
      </c>
      <c r="R65" s="53">
        <v>16.8</v>
      </c>
      <c r="S65" s="53">
        <v>100</v>
      </c>
      <c r="T65" s="16">
        <f t="shared" si="0"/>
        <v>33</v>
      </c>
      <c r="U65" s="53">
        <v>518</v>
      </c>
      <c r="V65" s="16">
        <f t="shared" si="1"/>
        <v>16</v>
      </c>
      <c r="W65" s="53">
        <v>11</v>
      </c>
      <c r="X65" s="53" t="s">
        <v>39</v>
      </c>
      <c r="Y65" s="53" t="s">
        <v>97</v>
      </c>
      <c r="Z65" s="53" t="s">
        <v>55</v>
      </c>
      <c r="AA65" s="53" t="s">
        <v>69</v>
      </c>
      <c r="AB65" s="53" t="s">
        <v>317</v>
      </c>
      <c r="AV65" s="27"/>
    </row>
    <row r="66" spans="1:48" x14ac:dyDescent="0.15">
      <c r="A66" s="53" t="s">
        <v>59</v>
      </c>
      <c r="B66" s="53" t="s">
        <v>232</v>
      </c>
      <c r="C66" s="62">
        <v>2019</v>
      </c>
      <c r="D66" s="137" t="s">
        <v>313</v>
      </c>
      <c r="E66" s="53" t="s">
        <v>329</v>
      </c>
      <c r="F66" s="53" t="s">
        <v>330</v>
      </c>
      <c r="G66" s="53" t="s">
        <v>36</v>
      </c>
      <c r="H66" s="53" t="s">
        <v>160</v>
      </c>
      <c r="I66" s="53" t="s">
        <v>159</v>
      </c>
      <c r="J66" s="53" t="s">
        <v>38</v>
      </c>
      <c r="K66" s="53" t="s">
        <v>161</v>
      </c>
      <c r="L66" s="53">
        <v>2</v>
      </c>
      <c r="N66" s="53">
        <v>4</v>
      </c>
      <c r="O66" s="53">
        <v>0.37</v>
      </c>
      <c r="P66" s="53">
        <v>0.25</v>
      </c>
      <c r="Q66" s="74">
        <f t="shared" si="2"/>
        <v>0.31</v>
      </c>
      <c r="R66" s="53">
        <v>17</v>
      </c>
      <c r="S66" s="53">
        <v>94</v>
      </c>
      <c r="T66" s="16">
        <f t="shared" ref="T66:T70" si="3">IF(H66="","",IF(OR(H66="GREEN",H66="GK"),IF(S66&gt;=$AX$2,VLOOKUP(S66,$AX$2:$AY$12,2,1),""),IF(S66&gt;=$AZ$2,VLOOKUP(S66,$AZ$2:$BA$12,2,1),"")))</f>
        <v>36</v>
      </c>
      <c r="U66" s="53">
        <v>518</v>
      </c>
      <c r="V66" s="16">
        <f t="shared" ref="V66:V70" si="4">IF(J66="","",IF(OR(J66="GREEN",J66="GK"),IF(U66&gt;=$AX$2,VLOOKUP(U66,$AX$2:$AY$12,2,1),""),IF(U66&gt;=$AZ$2,VLOOKUP(U66,$AZ$2:$BA$12,2,1),"")))</f>
        <v>16</v>
      </c>
      <c r="W66" s="53">
        <v>11</v>
      </c>
      <c r="X66" s="53" t="s">
        <v>39</v>
      </c>
      <c r="Y66" s="53" t="s">
        <v>97</v>
      </c>
      <c r="Z66" s="53" t="s">
        <v>55</v>
      </c>
      <c r="AA66" s="53" t="s">
        <v>69</v>
      </c>
      <c r="AB66" s="53" t="s">
        <v>317</v>
      </c>
      <c r="AV66" s="27"/>
    </row>
    <row r="67" spans="1:48" x14ac:dyDescent="0.15">
      <c r="A67" s="53" t="s">
        <v>59</v>
      </c>
      <c r="B67" s="53" t="s">
        <v>232</v>
      </c>
      <c r="C67" s="62">
        <v>2019</v>
      </c>
      <c r="D67" s="137" t="s">
        <v>313</v>
      </c>
      <c r="E67" s="53" t="s">
        <v>329</v>
      </c>
      <c r="F67" s="53" t="s">
        <v>330</v>
      </c>
      <c r="G67" s="53" t="s">
        <v>36</v>
      </c>
      <c r="H67" s="53" t="s">
        <v>160</v>
      </c>
      <c r="I67" s="53" t="s">
        <v>159</v>
      </c>
      <c r="J67" s="53" t="s">
        <v>38</v>
      </c>
      <c r="K67" s="53" t="s">
        <v>161</v>
      </c>
      <c r="L67" s="53">
        <v>3</v>
      </c>
      <c r="N67" s="53">
        <v>4</v>
      </c>
      <c r="O67" s="53">
        <v>0.37</v>
      </c>
      <c r="P67" s="53">
        <v>0.28999999999999998</v>
      </c>
      <c r="Q67" s="74">
        <f t="shared" ref="Q67:Q70" si="5">IF(OR(O67="",P67=""),"",AVERAGE(O67,P67))</f>
        <v>0.32999999999999996</v>
      </c>
      <c r="R67" s="53">
        <v>16.7</v>
      </c>
      <c r="S67" s="53">
        <v>97</v>
      </c>
      <c r="T67" s="16">
        <f t="shared" si="3"/>
        <v>36</v>
      </c>
      <c r="U67" s="53">
        <v>518</v>
      </c>
      <c r="V67" s="16">
        <f t="shared" si="4"/>
        <v>16</v>
      </c>
      <c r="W67" s="53">
        <v>11</v>
      </c>
      <c r="X67" s="53" t="s">
        <v>39</v>
      </c>
      <c r="Y67" s="53" t="s">
        <v>97</v>
      </c>
      <c r="Z67" s="53" t="s">
        <v>55</v>
      </c>
      <c r="AA67" s="53" t="s">
        <v>69</v>
      </c>
      <c r="AB67" s="53" t="s">
        <v>317</v>
      </c>
      <c r="AV67" s="27"/>
    </row>
    <row r="68" spans="1:48" x14ac:dyDescent="0.15">
      <c r="A68" s="53" t="s">
        <v>59</v>
      </c>
      <c r="B68" s="53" t="s">
        <v>232</v>
      </c>
      <c r="C68" s="62">
        <v>2019</v>
      </c>
      <c r="D68" s="137" t="s">
        <v>313</v>
      </c>
      <c r="E68" s="53" t="s">
        <v>329</v>
      </c>
      <c r="F68" s="53" t="s">
        <v>330</v>
      </c>
      <c r="G68" s="53" t="s">
        <v>36</v>
      </c>
      <c r="H68" s="53" t="s">
        <v>164</v>
      </c>
      <c r="I68" s="53" t="s">
        <v>159</v>
      </c>
      <c r="J68" s="53" t="s">
        <v>38</v>
      </c>
      <c r="K68" s="53" t="s">
        <v>161</v>
      </c>
      <c r="L68" s="53">
        <v>1</v>
      </c>
      <c r="N68" s="53">
        <v>5</v>
      </c>
      <c r="O68" s="53">
        <v>0.6</v>
      </c>
      <c r="P68" s="53">
        <v>0.72</v>
      </c>
      <c r="Q68" s="74">
        <f t="shared" si="5"/>
        <v>0.65999999999999992</v>
      </c>
      <c r="R68" s="53">
        <v>17</v>
      </c>
      <c r="S68" s="53">
        <v>87</v>
      </c>
      <c r="T68" s="16">
        <f t="shared" si="3"/>
        <v>36</v>
      </c>
      <c r="U68" s="53">
        <v>321</v>
      </c>
      <c r="V68" s="16">
        <f t="shared" si="4"/>
        <v>16</v>
      </c>
      <c r="W68" s="53">
        <v>2</v>
      </c>
      <c r="X68" s="53" t="s">
        <v>46</v>
      </c>
      <c r="Y68" s="53" t="s">
        <v>97</v>
      </c>
      <c r="Z68" s="53" t="s">
        <v>55</v>
      </c>
      <c r="AA68" s="53" t="s">
        <v>69</v>
      </c>
      <c r="AB68" s="53" t="s">
        <v>317</v>
      </c>
      <c r="AV68" s="27"/>
    </row>
    <row r="69" spans="1:48" x14ac:dyDescent="0.15">
      <c r="A69" s="53" t="s">
        <v>59</v>
      </c>
      <c r="B69" s="53" t="s">
        <v>232</v>
      </c>
      <c r="C69" s="62">
        <v>2019</v>
      </c>
      <c r="D69" s="137" t="s">
        <v>313</v>
      </c>
      <c r="E69" s="53" t="s">
        <v>329</v>
      </c>
      <c r="F69" s="53" t="s">
        <v>330</v>
      </c>
      <c r="G69" s="53" t="s">
        <v>36</v>
      </c>
      <c r="H69" s="53" t="s">
        <v>164</v>
      </c>
      <c r="I69" s="53" t="s">
        <v>159</v>
      </c>
      <c r="J69" s="53" t="s">
        <v>38</v>
      </c>
      <c r="K69" s="53" t="s">
        <v>161</v>
      </c>
      <c r="L69" s="53">
        <v>2</v>
      </c>
      <c r="N69" s="53">
        <v>5</v>
      </c>
      <c r="O69" s="53">
        <v>0.65</v>
      </c>
      <c r="P69" s="53">
        <v>0.72</v>
      </c>
      <c r="Q69" s="74">
        <f t="shared" si="5"/>
        <v>0.68500000000000005</v>
      </c>
      <c r="R69" s="53">
        <v>16.2</v>
      </c>
      <c r="S69" s="53">
        <v>90</v>
      </c>
      <c r="T69" s="16">
        <f t="shared" si="3"/>
        <v>36</v>
      </c>
      <c r="U69" s="53">
        <v>321</v>
      </c>
      <c r="V69" s="16">
        <f t="shared" si="4"/>
        <v>16</v>
      </c>
      <c r="W69" s="53">
        <v>2</v>
      </c>
      <c r="X69" s="53" t="s">
        <v>46</v>
      </c>
      <c r="Y69" s="53" t="s">
        <v>97</v>
      </c>
      <c r="Z69" s="53" t="s">
        <v>55</v>
      </c>
      <c r="AA69" s="53" t="s">
        <v>69</v>
      </c>
      <c r="AB69" s="53" t="s">
        <v>317</v>
      </c>
      <c r="AV69" s="27"/>
    </row>
    <row r="70" spans="1:48" x14ac:dyDescent="0.15">
      <c r="A70" s="53" t="s">
        <v>59</v>
      </c>
      <c r="B70" s="53" t="s">
        <v>232</v>
      </c>
      <c r="C70" s="62">
        <v>2019</v>
      </c>
      <c r="D70" s="137" t="s">
        <v>313</v>
      </c>
      <c r="E70" s="53" t="s">
        <v>329</v>
      </c>
      <c r="F70" s="53" t="s">
        <v>330</v>
      </c>
      <c r="G70" s="53" t="s">
        <v>36</v>
      </c>
      <c r="H70" s="53" t="s">
        <v>164</v>
      </c>
      <c r="I70" s="53" t="s">
        <v>159</v>
      </c>
      <c r="J70" s="53" t="s">
        <v>38</v>
      </c>
      <c r="K70" s="53" t="s">
        <v>161</v>
      </c>
      <c r="L70" s="53">
        <v>3</v>
      </c>
      <c r="N70" s="53">
        <v>5</v>
      </c>
      <c r="O70" s="53">
        <v>0.62</v>
      </c>
      <c r="P70" s="53">
        <v>0.73</v>
      </c>
      <c r="Q70" s="74">
        <f t="shared" si="5"/>
        <v>0.67500000000000004</v>
      </c>
      <c r="R70" s="53">
        <v>16.600000000000001</v>
      </c>
      <c r="S70" s="53">
        <v>85</v>
      </c>
      <c r="T70" s="16">
        <f t="shared" si="3"/>
        <v>36</v>
      </c>
      <c r="U70" s="53">
        <v>321</v>
      </c>
      <c r="V70" s="16">
        <f t="shared" si="4"/>
        <v>16</v>
      </c>
      <c r="W70" s="53">
        <v>2</v>
      </c>
      <c r="X70" s="53" t="s">
        <v>46</v>
      </c>
      <c r="Y70" s="53" t="s">
        <v>97</v>
      </c>
      <c r="Z70" s="53" t="s">
        <v>55</v>
      </c>
      <c r="AA70" s="53" t="s">
        <v>69</v>
      </c>
      <c r="AB70" s="53" t="s">
        <v>317</v>
      </c>
      <c r="AV70" s="27"/>
    </row>
    <row r="71" spans="1:48" x14ac:dyDescent="0.15">
      <c r="C71" s="62"/>
      <c r="D71" s="137"/>
      <c r="Q71" s="74"/>
      <c r="AV71" s="27"/>
    </row>
    <row r="72" spans="1:48" x14ac:dyDescent="0.15">
      <c r="C72" s="62"/>
      <c r="D72" s="137"/>
      <c r="Q72" s="74"/>
      <c r="AV72" s="27"/>
    </row>
    <row r="73" spans="1:48" x14ac:dyDescent="0.15">
      <c r="C73" s="62"/>
      <c r="D73" s="137"/>
      <c r="Q73" s="74"/>
    </row>
    <row r="74" spans="1:48" x14ac:dyDescent="0.15">
      <c r="C74" s="62"/>
      <c r="D74" s="137"/>
      <c r="Q74" s="74"/>
    </row>
    <row r="75" spans="1:48" x14ac:dyDescent="0.15">
      <c r="C75" s="62"/>
      <c r="D75" s="137"/>
      <c r="Q75" s="74"/>
    </row>
    <row r="76" spans="1:48" x14ac:dyDescent="0.15">
      <c r="C76" s="62"/>
      <c r="Q76" s="74"/>
    </row>
    <row r="77" spans="1:48" x14ac:dyDescent="0.15">
      <c r="C77" s="62"/>
      <c r="Q77" s="74"/>
    </row>
    <row r="78" spans="1:48" x14ac:dyDescent="0.15">
      <c r="C78" s="62"/>
      <c r="Q78" s="74"/>
    </row>
    <row r="79" spans="1:48" x14ac:dyDescent="0.15">
      <c r="C79" s="62"/>
      <c r="Q79" s="74"/>
    </row>
    <row r="80" spans="1:48" x14ac:dyDescent="0.15">
      <c r="C80" s="62"/>
      <c r="Q80" s="74"/>
    </row>
    <row r="81" spans="3:22" x14ac:dyDescent="0.15">
      <c r="C81" s="62"/>
      <c r="Q81" s="74"/>
    </row>
    <row r="82" spans="3:22" x14ac:dyDescent="0.15">
      <c r="C82" s="62"/>
      <c r="Q82" s="74"/>
    </row>
    <row r="83" spans="3:22" x14ac:dyDescent="0.15">
      <c r="C83" s="62"/>
      <c r="Q83" s="74"/>
    </row>
    <row r="84" spans="3:22" x14ac:dyDescent="0.15">
      <c r="C84" s="62"/>
      <c r="Q84" s="74"/>
    </row>
    <row r="85" spans="3:22" x14ac:dyDescent="0.15">
      <c r="C85" s="62"/>
      <c r="Q85" s="74"/>
    </row>
    <row r="86" spans="3:22" x14ac:dyDescent="0.15">
      <c r="C86" s="62"/>
      <c r="Q86" s="74"/>
    </row>
    <row r="87" spans="3:22" x14ac:dyDescent="0.15">
      <c r="C87" s="62"/>
      <c r="Q87" s="74"/>
    </row>
    <row r="88" spans="3:22" x14ac:dyDescent="0.15">
      <c r="C88" s="62"/>
      <c r="Q88" s="74"/>
    </row>
    <row r="89" spans="3:22" x14ac:dyDescent="0.15">
      <c r="C89" s="62"/>
      <c r="Q89" s="74"/>
    </row>
    <row r="90" spans="3:22" x14ac:dyDescent="0.15">
      <c r="C90" s="62"/>
      <c r="Q90" s="74"/>
    </row>
    <row r="91" spans="3:22" x14ac:dyDescent="0.15">
      <c r="C91" s="62"/>
      <c r="Q91" s="74"/>
    </row>
    <row r="92" spans="3:22" x14ac:dyDescent="0.15">
      <c r="C92" s="62"/>
    </row>
    <row r="93" spans="3:22" x14ac:dyDescent="0.15">
      <c r="C93" s="62"/>
    </row>
    <row r="94" spans="3:22" x14ac:dyDescent="0.15">
      <c r="Q94" s="16" t="str">
        <f t="shared" ref="Q94:Q145" si="6">IF(OR(O94="",P94=""),"",AVERAGE(O94,P94))</f>
        <v/>
      </c>
      <c r="T94" s="16" t="str">
        <f t="shared" ref="T94:T145" si="7">IF(H94="","",IF(OR(H94="GREEN",H94="GK"),IF(S94&gt;=$AX$2,VLOOKUP(S94,$AX$2:$AY$12,2,1),""),IF(S94&gt;=$AZ$2,VLOOKUP(S94,$AZ$2:$BA$12,2,1),"")))</f>
        <v/>
      </c>
      <c r="V94" s="16" t="str">
        <f t="shared" ref="V94:V145" si="8">IF(J94="","",IF(OR(J94="GREEN",J94="GK"),IF(U94&gt;=$AX$2,VLOOKUP(U94,$AX$2:$AY$12,2,1),""),IF(U94&gt;=$AZ$2,VLOOKUP(U94,$AZ$2:$BA$12,2,1),"")))</f>
        <v/>
      </c>
    </row>
    <row r="95" spans="3:22" x14ac:dyDescent="0.15">
      <c r="Q95" s="16" t="str">
        <f t="shared" si="6"/>
        <v/>
      </c>
      <c r="T95" s="16" t="str">
        <f t="shared" si="7"/>
        <v/>
      </c>
      <c r="V95" s="16" t="str">
        <f t="shared" si="8"/>
        <v/>
      </c>
    </row>
    <row r="96" spans="3:22" x14ac:dyDescent="0.15">
      <c r="Q96" s="16" t="str">
        <f t="shared" si="6"/>
        <v/>
      </c>
      <c r="T96" s="16" t="str">
        <f t="shared" si="7"/>
        <v/>
      </c>
      <c r="V96" s="16" t="str">
        <f t="shared" si="8"/>
        <v/>
      </c>
    </row>
    <row r="97" spans="17:22" x14ac:dyDescent="0.15">
      <c r="Q97" s="16" t="str">
        <f t="shared" si="6"/>
        <v/>
      </c>
      <c r="T97" s="16" t="str">
        <f t="shared" si="7"/>
        <v/>
      </c>
      <c r="V97" s="16" t="str">
        <f t="shared" si="8"/>
        <v/>
      </c>
    </row>
    <row r="98" spans="17:22" x14ac:dyDescent="0.15">
      <c r="Q98" s="16" t="str">
        <f t="shared" si="6"/>
        <v/>
      </c>
      <c r="T98" s="16" t="str">
        <f t="shared" si="7"/>
        <v/>
      </c>
      <c r="V98" s="16" t="str">
        <f t="shared" si="8"/>
        <v/>
      </c>
    </row>
    <row r="99" spans="17:22" x14ac:dyDescent="0.15">
      <c r="Q99" s="16" t="str">
        <f t="shared" si="6"/>
        <v/>
      </c>
      <c r="T99" s="16" t="str">
        <f t="shared" si="7"/>
        <v/>
      </c>
      <c r="V99" s="16" t="str">
        <f t="shared" si="8"/>
        <v/>
      </c>
    </row>
    <row r="100" spans="17:22" x14ac:dyDescent="0.15">
      <c r="Q100" s="16" t="str">
        <f t="shared" si="6"/>
        <v/>
      </c>
      <c r="T100" s="16" t="str">
        <f t="shared" si="7"/>
        <v/>
      </c>
      <c r="V100" s="16" t="str">
        <f t="shared" si="8"/>
        <v/>
      </c>
    </row>
    <row r="101" spans="17:22" x14ac:dyDescent="0.15">
      <c r="Q101" s="16" t="str">
        <f t="shared" si="6"/>
        <v/>
      </c>
      <c r="T101" s="16" t="str">
        <f t="shared" si="7"/>
        <v/>
      </c>
      <c r="V101" s="16" t="str">
        <f t="shared" si="8"/>
        <v/>
      </c>
    </row>
    <row r="102" spans="17:22" x14ac:dyDescent="0.15">
      <c r="Q102" s="16" t="str">
        <f t="shared" si="6"/>
        <v/>
      </c>
      <c r="T102" s="16" t="str">
        <f t="shared" si="7"/>
        <v/>
      </c>
      <c r="V102" s="16" t="str">
        <f t="shared" si="8"/>
        <v/>
      </c>
    </row>
    <row r="103" spans="17:22" x14ac:dyDescent="0.15">
      <c r="Q103" s="16" t="str">
        <f t="shared" si="6"/>
        <v/>
      </c>
      <c r="T103" s="16" t="str">
        <f t="shared" si="7"/>
        <v/>
      </c>
      <c r="V103" s="16" t="str">
        <f t="shared" si="8"/>
        <v/>
      </c>
    </row>
    <row r="104" spans="17:22" x14ac:dyDescent="0.15">
      <c r="Q104" s="16" t="str">
        <f t="shared" si="6"/>
        <v/>
      </c>
      <c r="T104" s="16" t="str">
        <f t="shared" si="7"/>
        <v/>
      </c>
      <c r="V104" s="16" t="str">
        <f t="shared" si="8"/>
        <v/>
      </c>
    </row>
    <row r="105" spans="17:22" x14ac:dyDescent="0.15">
      <c r="Q105" s="16" t="str">
        <f t="shared" si="6"/>
        <v/>
      </c>
      <c r="T105" s="16" t="str">
        <f t="shared" si="7"/>
        <v/>
      </c>
      <c r="V105" s="16" t="str">
        <f t="shared" si="8"/>
        <v/>
      </c>
    </row>
    <row r="106" spans="17:22" x14ac:dyDescent="0.15">
      <c r="Q106" s="16" t="str">
        <f t="shared" si="6"/>
        <v/>
      </c>
      <c r="T106" s="16" t="str">
        <f t="shared" si="7"/>
        <v/>
      </c>
      <c r="V106" s="16" t="str">
        <f t="shared" si="8"/>
        <v/>
      </c>
    </row>
    <row r="107" spans="17:22" x14ac:dyDescent="0.15">
      <c r="Q107" s="16" t="str">
        <f t="shared" si="6"/>
        <v/>
      </c>
      <c r="T107" s="16" t="str">
        <f t="shared" si="7"/>
        <v/>
      </c>
      <c r="V107" s="16" t="str">
        <f t="shared" si="8"/>
        <v/>
      </c>
    </row>
    <row r="108" spans="17:22" x14ac:dyDescent="0.15">
      <c r="Q108" s="16" t="str">
        <f t="shared" si="6"/>
        <v/>
      </c>
      <c r="T108" s="16" t="str">
        <f t="shared" si="7"/>
        <v/>
      </c>
      <c r="V108" s="16" t="str">
        <f t="shared" si="8"/>
        <v/>
      </c>
    </row>
    <row r="109" spans="17:22" x14ac:dyDescent="0.15">
      <c r="Q109" s="16" t="str">
        <f t="shared" si="6"/>
        <v/>
      </c>
      <c r="T109" s="16" t="str">
        <f t="shared" si="7"/>
        <v/>
      </c>
      <c r="V109" s="16" t="str">
        <f t="shared" si="8"/>
        <v/>
      </c>
    </row>
    <row r="110" spans="17:22" x14ac:dyDescent="0.15">
      <c r="Q110" s="16" t="str">
        <f t="shared" si="6"/>
        <v/>
      </c>
      <c r="T110" s="16" t="str">
        <f t="shared" si="7"/>
        <v/>
      </c>
      <c r="V110" s="16" t="str">
        <f t="shared" si="8"/>
        <v/>
      </c>
    </row>
    <row r="111" spans="17:22" x14ac:dyDescent="0.15">
      <c r="Q111" s="16" t="str">
        <f t="shared" si="6"/>
        <v/>
      </c>
      <c r="T111" s="16" t="str">
        <f t="shared" si="7"/>
        <v/>
      </c>
      <c r="V111" s="16" t="str">
        <f t="shared" si="8"/>
        <v/>
      </c>
    </row>
    <row r="112" spans="17:22" x14ac:dyDescent="0.15">
      <c r="Q112" s="16" t="str">
        <f t="shared" si="6"/>
        <v/>
      </c>
      <c r="T112" s="16" t="str">
        <f t="shared" si="7"/>
        <v/>
      </c>
      <c r="V112" s="16" t="str">
        <f t="shared" si="8"/>
        <v/>
      </c>
    </row>
    <row r="113" spans="17:22" x14ac:dyDescent="0.15">
      <c r="Q113" s="16" t="str">
        <f t="shared" si="6"/>
        <v/>
      </c>
      <c r="T113" s="16" t="str">
        <f t="shared" si="7"/>
        <v/>
      </c>
      <c r="V113" s="16" t="str">
        <f t="shared" si="8"/>
        <v/>
      </c>
    </row>
    <row r="114" spans="17:22" x14ac:dyDescent="0.15">
      <c r="Q114" s="16" t="str">
        <f t="shared" si="6"/>
        <v/>
      </c>
      <c r="T114" s="16" t="str">
        <f t="shared" si="7"/>
        <v/>
      </c>
      <c r="V114" s="16" t="str">
        <f t="shared" si="8"/>
        <v/>
      </c>
    </row>
    <row r="115" spans="17:22" x14ac:dyDescent="0.15">
      <c r="Q115" s="16" t="str">
        <f t="shared" si="6"/>
        <v/>
      </c>
      <c r="T115" s="16" t="str">
        <f t="shared" si="7"/>
        <v/>
      </c>
      <c r="V115" s="16" t="str">
        <f t="shared" si="8"/>
        <v/>
      </c>
    </row>
    <row r="116" spans="17:22" x14ac:dyDescent="0.15">
      <c r="Q116" s="16" t="str">
        <f t="shared" si="6"/>
        <v/>
      </c>
      <c r="T116" s="16" t="str">
        <f t="shared" si="7"/>
        <v/>
      </c>
      <c r="V116" s="16" t="str">
        <f t="shared" si="8"/>
        <v/>
      </c>
    </row>
    <row r="117" spans="17:22" x14ac:dyDescent="0.15">
      <c r="Q117" s="16" t="str">
        <f t="shared" si="6"/>
        <v/>
      </c>
      <c r="T117" s="16" t="str">
        <f t="shared" si="7"/>
        <v/>
      </c>
      <c r="V117" s="16" t="str">
        <f t="shared" si="8"/>
        <v/>
      </c>
    </row>
    <row r="118" spans="17:22" x14ac:dyDescent="0.15">
      <c r="Q118" s="16" t="str">
        <f t="shared" si="6"/>
        <v/>
      </c>
      <c r="T118" s="16" t="str">
        <f t="shared" si="7"/>
        <v/>
      </c>
      <c r="V118" s="16" t="str">
        <f t="shared" si="8"/>
        <v/>
      </c>
    </row>
    <row r="119" spans="17:22" x14ac:dyDescent="0.15">
      <c r="Q119" s="16" t="str">
        <f t="shared" si="6"/>
        <v/>
      </c>
      <c r="T119" s="16" t="str">
        <f t="shared" si="7"/>
        <v/>
      </c>
      <c r="V119" s="16" t="str">
        <f t="shared" si="8"/>
        <v/>
      </c>
    </row>
    <row r="120" spans="17:22" x14ac:dyDescent="0.15">
      <c r="Q120" s="16" t="str">
        <f t="shared" si="6"/>
        <v/>
      </c>
      <c r="T120" s="16" t="str">
        <f t="shared" si="7"/>
        <v/>
      </c>
      <c r="V120" s="16" t="str">
        <f t="shared" si="8"/>
        <v/>
      </c>
    </row>
    <row r="121" spans="17:22" x14ac:dyDescent="0.15">
      <c r="Q121" s="16" t="str">
        <f t="shared" si="6"/>
        <v/>
      </c>
      <c r="T121" s="16" t="str">
        <f t="shared" si="7"/>
        <v/>
      </c>
      <c r="V121" s="16" t="str">
        <f t="shared" si="8"/>
        <v/>
      </c>
    </row>
    <row r="122" spans="17:22" x14ac:dyDescent="0.15">
      <c r="Q122" s="16" t="str">
        <f t="shared" si="6"/>
        <v/>
      </c>
      <c r="T122" s="16" t="str">
        <f t="shared" si="7"/>
        <v/>
      </c>
      <c r="V122" s="16" t="str">
        <f t="shared" si="8"/>
        <v/>
      </c>
    </row>
    <row r="123" spans="17:22" x14ac:dyDescent="0.15">
      <c r="Q123" s="16" t="str">
        <f t="shared" si="6"/>
        <v/>
      </c>
      <c r="T123" s="16" t="str">
        <f t="shared" si="7"/>
        <v/>
      </c>
      <c r="V123" s="16" t="str">
        <f t="shared" si="8"/>
        <v/>
      </c>
    </row>
    <row r="124" spans="17:22" x14ac:dyDescent="0.15">
      <c r="Q124" s="16" t="str">
        <f t="shared" si="6"/>
        <v/>
      </c>
      <c r="T124" s="16" t="str">
        <f t="shared" si="7"/>
        <v/>
      </c>
      <c r="V124" s="16" t="str">
        <f t="shared" si="8"/>
        <v/>
      </c>
    </row>
    <row r="125" spans="17:22" x14ac:dyDescent="0.15">
      <c r="Q125" s="16" t="str">
        <f t="shared" si="6"/>
        <v/>
      </c>
      <c r="T125" s="16" t="str">
        <f t="shared" si="7"/>
        <v/>
      </c>
      <c r="V125" s="16" t="str">
        <f t="shared" si="8"/>
        <v/>
      </c>
    </row>
    <row r="126" spans="17:22" x14ac:dyDescent="0.15">
      <c r="Q126" s="16" t="str">
        <f t="shared" si="6"/>
        <v/>
      </c>
      <c r="T126" s="16" t="str">
        <f t="shared" si="7"/>
        <v/>
      </c>
      <c r="V126" s="16" t="str">
        <f t="shared" si="8"/>
        <v/>
      </c>
    </row>
    <row r="127" spans="17:22" x14ac:dyDescent="0.15">
      <c r="Q127" s="16" t="str">
        <f t="shared" si="6"/>
        <v/>
      </c>
      <c r="T127" s="16" t="str">
        <f t="shared" si="7"/>
        <v/>
      </c>
      <c r="V127" s="16" t="str">
        <f t="shared" si="8"/>
        <v/>
      </c>
    </row>
    <row r="128" spans="17:22" x14ac:dyDescent="0.15">
      <c r="Q128" s="16" t="str">
        <f t="shared" si="6"/>
        <v/>
      </c>
      <c r="T128" s="16" t="str">
        <f t="shared" si="7"/>
        <v/>
      </c>
      <c r="V128" s="16" t="str">
        <f t="shared" si="8"/>
        <v/>
      </c>
    </row>
    <row r="129" spans="17:22" x14ac:dyDescent="0.15">
      <c r="Q129" s="16" t="str">
        <f t="shared" si="6"/>
        <v/>
      </c>
      <c r="T129" s="16" t="str">
        <f t="shared" si="7"/>
        <v/>
      </c>
      <c r="V129" s="16" t="str">
        <f t="shared" si="8"/>
        <v/>
      </c>
    </row>
    <row r="130" spans="17:22" x14ac:dyDescent="0.15">
      <c r="Q130" s="16" t="str">
        <f t="shared" si="6"/>
        <v/>
      </c>
      <c r="T130" s="16" t="str">
        <f t="shared" si="7"/>
        <v/>
      </c>
      <c r="V130" s="16" t="str">
        <f t="shared" si="8"/>
        <v/>
      </c>
    </row>
    <row r="131" spans="17:22" x14ac:dyDescent="0.15">
      <c r="Q131" s="16" t="str">
        <f t="shared" si="6"/>
        <v/>
      </c>
      <c r="T131" s="16" t="str">
        <f t="shared" si="7"/>
        <v/>
      </c>
      <c r="V131" s="16" t="str">
        <f t="shared" si="8"/>
        <v/>
      </c>
    </row>
    <row r="132" spans="17:22" x14ac:dyDescent="0.15">
      <c r="Q132" s="16" t="str">
        <f t="shared" si="6"/>
        <v/>
      </c>
      <c r="T132" s="16" t="str">
        <f t="shared" si="7"/>
        <v/>
      </c>
      <c r="V132" s="16" t="str">
        <f t="shared" si="8"/>
        <v/>
      </c>
    </row>
    <row r="133" spans="17:22" x14ac:dyDescent="0.15">
      <c r="Q133" s="16" t="str">
        <f t="shared" si="6"/>
        <v/>
      </c>
      <c r="T133" s="16" t="str">
        <f t="shared" si="7"/>
        <v/>
      </c>
      <c r="V133" s="16" t="str">
        <f t="shared" si="8"/>
        <v/>
      </c>
    </row>
    <row r="134" spans="17:22" x14ac:dyDescent="0.15">
      <c r="Q134" s="16" t="str">
        <f t="shared" si="6"/>
        <v/>
      </c>
      <c r="T134" s="16" t="str">
        <f t="shared" si="7"/>
        <v/>
      </c>
      <c r="V134" s="16" t="str">
        <f t="shared" si="8"/>
        <v/>
      </c>
    </row>
    <row r="135" spans="17:22" x14ac:dyDescent="0.15">
      <c r="Q135" s="16" t="str">
        <f t="shared" si="6"/>
        <v/>
      </c>
      <c r="T135" s="16" t="str">
        <f t="shared" si="7"/>
        <v/>
      </c>
      <c r="V135" s="16" t="str">
        <f t="shared" si="8"/>
        <v/>
      </c>
    </row>
    <row r="136" spans="17:22" x14ac:dyDescent="0.15">
      <c r="Q136" s="16" t="str">
        <f t="shared" si="6"/>
        <v/>
      </c>
      <c r="T136" s="16" t="str">
        <f t="shared" si="7"/>
        <v/>
      </c>
      <c r="V136" s="16" t="str">
        <f t="shared" si="8"/>
        <v/>
      </c>
    </row>
    <row r="137" spans="17:22" x14ac:dyDescent="0.15">
      <c r="Q137" s="16" t="str">
        <f t="shared" si="6"/>
        <v/>
      </c>
      <c r="T137" s="16" t="str">
        <f t="shared" si="7"/>
        <v/>
      </c>
      <c r="V137" s="16" t="str">
        <f t="shared" si="8"/>
        <v/>
      </c>
    </row>
    <row r="138" spans="17:22" x14ac:dyDescent="0.15">
      <c r="Q138" s="16" t="str">
        <f t="shared" si="6"/>
        <v/>
      </c>
      <c r="T138" s="16" t="str">
        <f t="shared" si="7"/>
        <v/>
      </c>
      <c r="V138" s="16" t="str">
        <f t="shared" si="8"/>
        <v/>
      </c>
    </row>
    <row r="139" spans="17:22" x14ac:dyDescent="0.15">
      <c r="Q139" s="16" t="str">
        <f t="shared" si="6"/>
        <v/>
      </c>
      <c r="T139" s="16" t="str">
        <f t="shared" si="7"/>
        <v/>
      </c>
      <c r="V139" s="16" t="str">
        <f t="shared" si="8"/>
        <v/>
      </c>
    </row>
    <row r="140" spans="17:22" x14ac:dyDescent="0.15">
      <c r="Q140" s="16" t="str">
        <f t="shared" si="6"/>
        <v/>
      </c>
      <c r="T140" s="16" t="str">
        <f t="shared" si="7"/>
        <v/>
      </c>
      <c r="V140" s="16" t="str">
        <f t="shared" si="8"/>
        <v/>
      </c>
    </row>
    <row r="141" spans="17:22" x14ac:dyDescent="0.15">
      <c r="Q141" s="16" t="str">
        <f t="shared" si="6"/>
        <v/>
      </c>
      <c r="T141" s="16" t="str">
        <f t="shared" si="7"/>
        <v/>
      </c>
      <c r="V141" s="16" t="str">
        <f t="shared" si="8"/>
        <v/>
      </c>
    </row>
    <row r="142" spans="17:22" x14ac:dyDescent="0.15">
      <c r="Q142" s="16" t="str">
        <f t="shared" si="6"/>
        <v/>
      </c>
      <c r="T142" s="16" t="str">
        <f t="shared" si="7"/>
        <v/>
      </c>
      <c r="V142" s="16" t="str">
        <f t="shared" si="8"/>
        <v/>
      </c>
    </row>
    <row r="143" spans="17:22" x14ac:dyDescent="0.15">
      <c r="Q143" s="16" t="str">
        <f t="shared" si="6"/>
        <v/>
      </c>
      <c r="T143" s="16" t="str">
        <f t="shared" si="7"/>
        <v/>
      </c>
      <c r="V143" s="16" t="str">
        <f t="shared" si="8"/>
        <v/>
      </c>
    </row>
    <row r="144" spans="17:22" x14ac:dyDescent="0.15">
      <c r="Q144" s="16" t="str">
        <f t="shared" si="6"/>
        <v/>
      </c>
      <c r="T144" s="16" t="str">
        <f t="shared" si="7"/>
        <v/>
      </c>
      <c r="V144" s="16" t="str">
        <f t="shared" si="8"/>
        <v/>
      </c>
    </row>
    <row r="145" spans="17:22" x14ac:dyDescent="0.15">
      <c r="Q145" s="16" t="str">
        <f t="shared" si="6"/>
        <v/>
      </c>
      <c r="T145" s="16" t="str">
        <f t="shared" si="7"/>
        <v/>
      </c>
      <c r="V145" s="16" t="str">
        <f t="shared" si="8"/>
        <v/>
      </c>
    </row>
  </sheetData>
  <autoFilter ref="A1:BA145" xr:uid="{00000000-0009-0000-0000-000000000000}"/>
  <phoneticPr fontId="3"/>
  <dataValidations count="19">
    <dataValidation type="list" allowBlank="1" showInputMessage="1" showErrorMessage="1" sqref="K2:K427" xr:uid="{298455E9-4283-41E3-8AF1-0FB88001EF8B}">
      <formula1>$AR$2:$AR$27</formula1>
    </dataValidation>
    <dataValidation type="list" allowBlank="1" showInputMessage="1" showErrorMessage="1" sqref="E2:E485" xr:uid="{5DD5E007-B08F-4DAC-8E54-754AB9210D46}">
      <formula1>$AG$2:$AG$11</formula1>
    </dataValidation>
    <dataValidation type="list" allowBlank="1" showInputMessage="1" showErrorMessage="1" sqref="H2:H485" xr:uid="{88764BF5-CFBE-4F4E-B9D2-2003FA65103E}">
      <formula1>$AL$2:$AL$8</formula1>
    </dataValidation>
    <dataValidation type="decimal" allowBlank="1" showInputMessage="1" showErrorMessage="1" error="硬度を正しく入力して下さい。" sqref="O2:P485" xr:uid="{671B0CB2-9D88-4073-95EA-974B79D9CA5E}">
      <formula1>0</formula1>
      <formula2>7</formula2>
    </dataValidation>
    <dataValidation type="list" allowBlank="1" showInputMessage="1" showErrorMessage="1" sqref="F2:F1439" xr:uid="{CA8D7988-7C37-4BFF-B37E-6459FB13B83A}">
      <formula1>$AH$2:$AH$11</formula1>
    </dataValidation>
    <dataValidation type="list" allowBlank="1" showInputMessage="1" showErrorMessage="1" sqref="Y2:AA576" xr:uid="{EBF3C5DE-813F-47C5-BAA1-31BBC929FAE1}">
      <formula1>$AV$2:$AV$38</formula1>
    </dataValidation>
    <dataValidation type="list" allowBlank="1" showInputMessage="1" showErrorMessage="1" sqref="J2:J72" xr:uid="{F40AC895-A065-461E-8BFC-CEC0B4AC0A74}">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A59B01F6-D2CD-4C0B-B104-C3996A41719A}">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2F9811F8-AEDC-405C-92B5-CCED0A878517}">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E4B65E20-1960-4BDA-AD36-794989D36747}">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D5407EA1-3861-488D-B874-DF5D909CB28F}">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479F8712-CD01-4FB9-B477-F66FA67314E6}">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8F9348D6-B8AE-4D5E-A054-FFB140E4104D}">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B68E806C-89C4-4448-BADC-6A866B1664A4}">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3BFD9BD8-4DB9-4CFE-97CB-35E1A2FC8E29}">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4D807E2D-3EF7-4219-8CE5-DF5F7ECD50D5}">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48FA6C91-3172-42C9-A86B-03B7D3ECA8B3}">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82E66F6F-78F4-4192-83EE-7D94BAEDD6BE}">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93039CEC-DEDA-4B77-8578-C24F7E66B75F}">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13085-20FE-4440-B051-F31A9A706FF2}">
  <dimension ref="A1:BA443"/>
  <sheetViews>
    <sheetView topLeftCell="A13" zoomScale="85" zoomScaleNormal="85" zoomScaleSheetLayoutView="100" workbookViewId="0">
      <selection activeCell="N73" sqref="N73"/>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9" style="53"/>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5</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232</v>
      </c>
      <c r="C2" s="146">
        <v>2019</v>
      </c>
      <c r="D2" s="147" t="s">
        <v>355</v>
      </c>
      <c r="E2" s="146" t="s">
        <v>356</v>
      </c>
      <c r="F2" s="146" t="s">
        <v>357</v>
      </c>
      <c r="G2" s="148" t="s">
        <v>36</v>
      </c>
      <c r="H2" s="149" t="s">
        <v>164</v>
      </c>
      <c r="I2" s="127" t="s">
        <v>159</v>
      </c>
      <c r="J2" s="150" t="s">
        <v>38</v>
      </c>
      <c r="K2" s="127" t="s">
        <v>161</v>
      </c>
      <c r="L2" s="151">
        <v>1</v>
      </c>
      <c r="M2" s="152"/>
      <c r="N2" s="152">
        <v>4</v>
      </c>
      <c r="O2" s="152">
        <v>1</v>
      </c>
      <c r="P2" s="152">
        <v>0.9</v>
      </c>
      <c r="Q2" s="153">
        <f t="shared" ref="Q2:Q65" si="0">IF(OR(O2="",P2=""),"",AVERAGE(O2,P2))</f>
        <v>0.95</v>
      </c>
      <c r="R2" s="154">
        <v>15.7</v>
      </c>
      <c r="S2" s="149">
        <v>86</v>
      </c>
      <c r="T2" s="155">
        <f t="shared" ref="T2:T65" si="1">IF(H2="","",IF(OR(H2="GREEN",H2="GK"),IF(S2&gt;=$AX$2,VLOOKUP(S2,$AX$2:$AY$7,2,1),""),IF(S2&gt;=$AZ$2,VLOOKUP(S2,$AZ$2:$BA$7,2,1),"")))</f>
        <v>36</v>
      </c>
      <c r="U2" s="127">
        <v>358</v>
      </c>
      <c r="V2" s="155">
        <f t="shared" ref="V2:V65" si="2">IF(OR(N2="",U2="",T2=""),"",U2/N2*T2)</f>
        <v>3222</v>
      </c>
      <c r="W2" s="156">
        <v>8</v>
      </c>
      <c r="X2" s="157" t="s">
        <v>46</v>
      </c>
      <c r="Y2" s="157" t="s">
        <v>69</v>
      </c>
      <c r="Z2" s="157" t="s">
        <v>64</v>
      </c>
      <c r="AA2" s="157" t="s">
        <v>86</v>
      </c>
      <c r="AB2" s="53" t="s">
        <v>284</v>
      </c>
      <c r="AE2" s="64" t="s">
        <v>35</v>
      </c>
      <c r="AG2" s="67" t="s">
        <v>356</v>
      </c>
      <c r="AH2" s="67" t="s">
        <v>357</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358</v>
      </c>
      <c r="E3" s="158" t="s">
        <v>356</v>
      </c>
      <c r="F3" s="158" t="s">
        <v>357</v>
      </c>
      <c r="G3" s="161" t="s">
        <v>36</v>
      </c>
      <c r="H3" s="127" t="s">
        <v>164</v>
      </c>
      <c r="I3" s="127" t="s">
        <v>159</v>
      </c>
      <c r="J3" s="127" t="s">
        <v>38</v>
      </c>
      <c r="K3" s="127" t="s">
        <v>161</v>
      </c>
      <c r="L3" s="53">
        <v>2</v>
      </c>
      <c r="N3" s="53">
        <v>4</v>
      </c>
      <c r="O3" s="53">
        <v>0.85</v>
      </c>
      <c r="P3" s="34">
        <v>0.8</v>
      </c>
      <c r="Q3" s="162">
        <f t="shared" si="0"/>
        <v>0.82499999999999996</v>
      </c>
      <c r="R3" s="163">
        <v>15.2</v>
      </c>
      <c r="S3" s="163">
        <v>89</v>
      </c>
      <c r="T3" s="16">
        <f t="shared" si="1"/>
        <v>36</v>
      </c>
      <c r="U3" s="164">
        <v>358</v>
      </c>
      <c r="V3" s="38">
        <f t="shared" si="2"/>
        <v>3222</v>
      </c>
      <c r="W3" s="165">
        <v>8</v>
      </c>
      <c r="X3" s="166" t="s">
        <v>46</v>
      </c>
      <c r="Y3" s="166" t="s">
        <v>69</v>
      </c>
      <c r="Z3" s="166" t="s">
        <v>64</v>
      </c>
      <c r="AA3" s="157" t="s">
        <v>86</v>
      </c>
      <c r="AB3" s="53" t="s">
        <v>158</v>
      </c>
      <c r="AE3" s="22" t="s">
        <v>41</v>
      </c>
      <c r="AG3" s="67" t="s">
        <v>359</v>
      </c>
      <c r="AH3" s="67" t="s">
        <v>360</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358</v>
      </c>
      <c r="E4" s="158" t="s">
        <v>356</v>
      </c>
      <c r="F4" s="158" t="s">
        <v>357</v>
      </c>
      <c r="G4" s="161" t="s">
        <v>36</v>
      </c>
      <c r="H4" s="127" t="s">
        <v>164</v>
      </c>
      <c r="I4" s="127" t="s">
        <v>159</v>
      </c>
      <c r="J4" s="127" t="s">
        <v>38</v>
      </c>
      <c r="K4" s="127" t="s">
        <v>161</v>
      </c>
      <c r="L4" s="53">
        <v>3</v>
      </c>
      <c r="N4" s="53">
        <v>4</v>
      </c>
      <c r="O4" s="53">
        <v>0.9</v>
      </c>
      <c r="P4" s="34">
        <v>0.95</v>
      </c>
      <c r="Q4" s="74">
        <f t="shared" si="0"/>
        <v>0.92500000000000004</v>
      </c>
      <c r="R4" s="168">
        <v>15.5</v>
      </c>
      <c r="S4" s="168">
        <v>84</v>
      </c>
      <c r="T4" s="16">
        <f t="shared" si="1"/>
        <v>36</v>
      </c>
      <c r="U4" s="169">
        <v>358</v>
      </c>
      <c r="V4" s="38">
        <f t="shared" si="2"/>
        <v>3222</v>
      </c>
      <c r="W4" s="165">
        <v>8</v>
      </c>
      <c r="X4" s="166" t="s">
        <v>46</v>
      </c>
      <c r="Y4" s="166" t="s">
        <v>69</v>
      </c>
      <c r="Z4" s="166" t="s">
        <v>64</v>
      </c>
      <c r="AA4" s="157" t="s">
        <v>86</v>
      </c>
      <c r="AB4" s="53" t="s">
        <v>158</v>
      </c>
      <c r="AE4" s="22" t="s">
        <v>34</v>
      </c>
      <c r="AG4" s="67" t="s">
        <v>361</v>
      </c>
      <c r="AH4" s="67" t="s">
        <v>360</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358</v>
      </c>
      <c r="E5" s="158" t="s">
        <v>356</v>
      </c>
      <c r="F5" s="158" t="s">
        <v>357</v>
      </c>
      <c r="G5" s="161" t="s">
        <v>36</v>
      </c>
      <c r="H5" s="127" t="s">
        <v>160</v>
      </c>
      <c r="I5" s="127" t="s">
        <v>159</v>
      </c>
      <c r="J5" s="127" t="s">
        <v>38</v>
      </c>
      <c r="K5" s="127" t="s">
        <v>161</v>
      </c>
      <c r="L5" s="53">
        <v>1</v>
      </c>
      <c r="N5" s="53">
        <v>4</v>
      </c>
      <c r="O5" s="53">
        <v>1.05</v>
      </c>
      <c r="P5" s="53">
        <v>0.95</v>
      </c>
      <c r="Q5" s="74">
        <f t="shared" si="0"/>
        <v>1</v>
      </c>
      <c r="R5" s="168">
        <v>16.2</v>
      </c>
      <c r="S5" s="168">
        <v>93</v>
      </c>
      <c r="T5" s="16">
        <f t="shared" si="1"/>
        <v>36</v>
      </c>
      <c r="U5" s="169">
        <v>498</v>
      </c>
      <c r="V5" s="38">
        <f t="shared" si="2"/>
        <v>4482</v>
      </c>
      <c r="W5" s="165">
        <v>8</v>
      </c>
      <c r="X5" s="166" t="s">
        <v>46</v>
      </c>
      <c r="Y5" s="166" t="s">
        <v>69</v>
      </c>
      <c r="Z5" s="166" t="s">
        <v>64</v>
      </c>
      <c r="AA5" s="157" t="s">
        <v>86</v>
      </c>
      <c r="AB5" s="53" t="s">
        <v>158</v>
      </c>
      <c r="AE5" s="22" t="s">
        <v>51</v>
      </c>
      <c r="AG5" s="67" t="s">
        <v>356</v>
      </c>
      <c r="AH5" s="67" t="s">
        <v>362</v>
      </c>
      <c r="AJ5" s="171"/>
      <c r="AL5" s="72" t="s">
        <v>66</v>
      </c>
      <c r="AN5" s="72" t="s">
        <v>52</v>
      </c>
      <c r="AP5" s="23" t="s">
        <v>119</v>
      </c>
      <c r="AR5" s="23" t="s">
        <v>54</v>
      </c>
      <c r="AV5" s="23" t="s">
        <v>55</v>
      </c>
      <c r="AX5" s="24">
        <v>84</v>
      </c>
      <c r="AY5" s="25">
        <v>39</v>
      </c>
      <c r="AZ5" s="25">
        <v>84</v>
      </c>
      <c r="BA5" s="26">
        <v>36</v>
      </c>
    </row>
    <row r="6" spans="1:53" x14ac:dyDescent="0.15">
      <c r="A6" s="158" t="s">
        <v>34</v>
      </c>
      <c r="B6" s="158" t="s">
        <v>157</v>
      </c>
      <c r="C6" s="158">
        <v>2019</v>
      </c>
      <c r="D6" s="160" t="s">
        <v>358</v>
      </c>
      <c r="E6" s="158" t="s">
        <v>356</v>
      </c>
      <c r="F6" s="158" t="s">
        <v>357</v>
      </c>
      <c r="G6" s="161" t="s">
        <v>36</v>
      </c>
      <c r="H6" s="127" t="s">
        <v>160</v>
      </c>
      <c r="I6" s="127" t="s">
        <v>159</v>
      </c>
      <c r="J6" s="127" t="s">
        <v>38</v>
      </c>
      <c r="K6" s="127" t="s">
        <v>161</v>
      </c>
      <c r="L6" s="53">
        <v>2</v>
      </c>
      <c r="N6" s="53">
        <v>4</v>
      </c>
      <c r="O6" s="53">
        <v>0.9</v>
      </c>
      <c r="P6" s="53">
        <v>0.85</v>
      </c>
      <c r="Q6" s="74">
        <f t="shared" si="0"/>
        <v>0.875</v>
      </c>
      <c r="R6" s="168">
        <v>16.899999999999999</v>
      </c>
      <c r="S6" s="168">
        <v>100</v>
      </c>
      <c r="T6" s="16">
        <f t="shared" si="1"/>
        <v>33</v>
      </c>
      <c r="U6" s="169">
        <v>498</v>
      </c>
      <c r="V6" s="38">
        <f t="shared" si="2"/>
        <v>4108.5</v>
      </c>
      <c r="W6" s="165">
        <v>8</v>
      </c>
      <c r="X6" s="166" t="s">
        <v>46</v>
      </c>
      <c r="Y6" s="166" t="s">
        <v>69</v>
      </c>
      <c r="Z6" s="166" t="s">
        <v>64</v>
      </c>
      <c r="AA6" s="157" t="s">
        <v>86</v>
      </c>
      <c r="AB6" s="53" t="s">
        <v>158</v>
      </c>
      <c r="AE6" s="22" t="s">
        <v>56</v>
      </c>
      <c r="AG6" s="67" t="s">
        <v>210</v>
      </c>
      <c r="AH6" s="67" t="s">
        <v>363</v>
      </c>
      <c r="AL6" s="72" t="s">
        <v>99</v>
      </c>
      <c r="AN6" s="72" t="s">
        <v>57</v>
      </c>
      <c r="AP6" s="23" t="s">
        <v>53</v>
      </c>
      <c r="AR6" s="23" t="s">
        <v>59</v>
      </c>
      <c r="AV6" s="23" t="s">
        <v>60</v>
      </c>
      <c r="AX6" s="24">
        <v>97</v>
      </c>
      <c r="AY6" s="25">
        <v>36</v>
      </c>
      <c r="AZ6" s="25">
        <v>99</v>
      </c>
      <c r="BA6" s="26">
        <v>33</v>
      </c>
    </row>
    <row r="7" spans="1:53" x14ac:dyDescent="0.15">
      <c r="A7" s="158" t="s">
        <v>34</v>
      </c>
      <c r="B7" s="158" t="s">
        <v>157</v>
      </c>
      <c r="C7" s="159">
        <v>2019</v>
      </c>
      <c r="D7" s="160" t="s">
        <v>358</v>
      </c>
      <c r="E7" s="158" t="s">
        <v>356</v>
      </c>
      <c r="F7" s="158" t="s">
        <v>357</v>
      </c>
      <c r="G7" s="161" t="s">
        <v>36</v>
      </c>
      <c r="H7" s="127" t="s">
        <v>160</v>
      </c>
      <c r="I7" s="127" t="s">
        <v>159</v>
      </c>
      <c r="J7" s="127" t="s">
        <v>38</v>
      </c>
      <c r="K7" s="127" t="s">
        <v>161</v>
      </c>
      <c r="L7" s="53">
        <v>3</v>
      </c>
      <c r="N7" s="53">
        <v>4</v>
      </c>
      <c r="O7" s="53">
        <v>1.1000000000000001</v>
      </c>
      <c r="P7" s="53">
        <v>0.9</v>
      </c>
      <c r="Q7" s="74">
        <f t="shared" si="0"/>
        <v>1</v>
      </c>
      <c r="R7" s="168">
        <v>16.2</v>
      </c>
      <c r="S7" s="168">
        <v>100</v>
      </c>
      <c r="T7" s="16">
        <f t="shared" si="1"/>
        <v>33</v>
      </c>
      <c r="U7" s="169">
        <v>498</v>
      </c>
      <c r="V7" s="38">
        <f t="shared" si="2"/>
        <v>4108.5</v>
      </c>
      <c r="W7" s="165">
        <v>8</v>
      </c>
      <c r="X7" s="166" t="s">
        <v>46</v>
      </c>
      <c r="Y7" s="166" t="s">
        <v>69</v>
      </c>
      <c r="Z7" s="166" t="s">
        <v>64</v>
      </c>
      <c r="AA7" s="157" t="s">
        <v>86</v>
      </c>
      <c r="AB7" s="53" t="s">
        <v>158</v>
      </c>
      <c r="AE7" s="22" t="s">
        <v>61</v>
      </c>
      <c r="AG7" s="67" t="s">
        <v>364</v>
      </c>
      <c r="AH7" s="67" t="s">
        <v>363</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358</v>
      </c>
      <c r="E8" s="159" t="s">
        <v>359</v>
      </c>
      <c r="F8" s="158" t="s">
        <v>360</v>
      </c>
      <c r="G8" s="161" t="s">
        <v>36</v>
      </c>
      <c r="H8" s="127" t="s">
        <v>164</v>
      </c>
      <c r="I8" s="127" t="s">
        <v>159</v>
      </c>
      <c r="J8" s="127" t="s">
        <v>38</v>
      </c>
      <c r="K8" s="127" t="s">
        <v>161</v>
      </c>
      <c r="L8" s="53">
        <v>1</v>
      </c>
      <c r="N8" s="53">
        <v>1</v>
      </c>
      <c r="O8" s="53">
        <v>0.95</v>
      </c>
      <c r="P8" s="53">
        <v>1</v>
      </c>
      <c r="Q8" s="74">
        <f t="shared" si="0"/>
        <v>0.97499999999999998</v>
      </c>
      <c r="R8" s="168">
        <v>14.5</v>
      </c>
      <c r="S8" s="168">
        <v>131</v>
      </c>
      <c r="T8" s="16">
        <f t="shared" si="1"/>
        <v>30</v>
      </c>
      <c r="U8" s="164">
        <v>98</v>
      </c>
      <c r="V8" s="38">
        <f t="shared" si="2"/>
        <v>2940</v>
      </c>
      <c r="W8" s="165">
        <v>6</v>
      </c>
      <c r="X8" s="166" t="s">
        <v>46</v>
      </c>
      <c r="Y8" s="172" t="s">
        <v>97</v>
      </c>
      <c r="Z8" s="166" t="s">
        <v>64</v>
      </c>
      <c r="AA8" s="157" t="s">
        <v>86</v>
      </c>
      <c r="AB8" s="53" t="s">
        <v>158</v>
      </c>
      <c r="AE8" s="22" t="s">
        <v>59</v>
      </c>
      <c r="AG8" s="67" t="s">
        <v>210</v>
      </c>
      <c r="AH8" s="67" t="s">
        <v>365</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358</v>
      </c>
      <c r="E9" s="159" t="s">
        <v>359</v>
      </c>
      <c r="F9" s="158" t="s">
        <v>360</v>
      </c>
      <c r="G9" s="161" t="s">
        <v>36</v>
      </c>
      <c r="H9" s="127" t="s">
        <v>164</v>
      </c>
      <c r="I9" s="127" t="s">
        <v>159</v>
      </c>
      <c r="J9" s="127" t="s">
        <v>38</v>
      </c>
      <c r="K9" s="127" t="s">
        <v>161</v>
      </c>
      <c r="L9" s="53">
        <v>2</v>
      </c>
      <c r="N9" s="53">
        <v>1</v>
      </c>
      <c r="O9" s="53">
        <v>0.8</v>
      </c>
      <c r="P9" s="53">
        <v>0.85</v>
      </c>
      <c r="Q9" s="74">
        <f t="shared" si="0"/>
        <v>0.82499999999999996</v>
      </c>
      <c r="R9" s="168">
        <v>15</v>
      </c>
      <c r="S9" s="168">
        <v>122</v>
      </c>
      <c r="T9" s="16">
        <f t="shared" si="1"/>
        <v>30</v>
      </c>
      <c r="U9" s="164">
        <v>98</v>
      </c>
      <c r="V9" s="38">
        <f t="shared" si="2"/>
        <v>2940</v>
      </c>
      <c r="W9" s="165">
        <v>6</v>
      </c>
      <c r="X9" s="166" t="s">
        <v>46</v>
      </c>
      <c r="Y9" s="172" t="s">
        <v>97</v>
      </c>
      <c r="Z9" s="166" t="s">
        <v>64</v>
      </c>
      <c r="AA9" s="157" t="s">
        <v>86</v>
      </c>
      <c r="AB9" s="53" t="s">
        <v>158</v>
      </c>
      <c r="AE9" s="22" t="s">
        <v>98</v>
      </c>
      <c r="AG9" s="67" t="s">
        <v>139</v>
      </c>
      <c r="AH9" s="67" t="s">
        <v>365</v>
      </c>
      <c r="AL9" s="72"/>
      <c r="AP9" s="23" t="s">
        <v>95</v>
      </c>
      <c r="AR9" s="23" t="s">
        <v>89</v>
      </c>
      <c r="AV9" s="23" t="s">
        <v>102</v>
      </c>
      <c r="AX9" s="31">
        <v>180</v>
      </c>
      <c r="AY9" s="32">
        <v>18</v>
      </c>
      <c r="AZ9" s="32">
        <v>181</v>
      </c>
      <c r="BA9" s="33">
        <v>16</v>
      </c>
    </row>
    <row r="10" spans="1:53" x14ac:dyDescent="0.15">
      <c r="A10" s="158" t="s">
        <v>34</v>
      </c>
      <c r="B10" s="158" t="s">
        <v>157</v>
      </c>
      <c r="C10" s="158">
        <v>2019</v>
      </c>
      <c r="D10" s="160" t="s">
        <v>358</v>
      </c>
      <c r="E10" s="159" t="s">
        <v>359</v>
      </c>
      <c r="F10" s="158" t="s">
        <v>360</v>
      </c>
      <c r="G10" s="161" t="s">
        <v>36</v>
      </c>
      <c r="H10" s="127" t="s">
        <v>164</v>
      </c>
      <c r="I10" s="127" t="s">
        <v>159</v>
      </c>
      <c r="J10" s="127" t="s">
        <v>38</v>
      </c>
      <c r="K10" s="127" t="s">
        <v>161</v>
      </c>
      <c r="L10" s="53">
        <v>3</v>
      </c>
      <c r="N10" s="53">
        <v>1</v>
      </c>
      <c r="O10" s="53">
        <v>0.9</v>
      </c>
      <c r="P10" s="53">
        <v>0.8</v>
      </c>
      <c r="Q10" s="74">
        <f t="shared" si="0"/>
        <v>0.85000000000000009</v>
      </c>
      <c r="R10" s="168">
        <v>15.2</v>
      </c>
      <c r="S10" s="168">
        <v>117</v>
      </c>
      <c r="T10" s="16">
        <f t="shared" si="1"/>
        <v>30</v>
      </c>
      <c r="U10" s="164">
        <v>98</v>
      </c>
      <c r="V10" s="38">
        <f t="shared" si="2"/>
        <v>2940</v>
      </c>
      <c r="W10" s="165">
        <v>6</v>
      </c>
      <c r="X10" s="166" t="s">
        <v>46</v>
      </c>
      <c r="Y10" s="172" t="s">
        <v>97</v>
      </c>
      <c r="Z10" s="166" t="s">
        <v>64</v>
      </c>
      <c r="AA10" s="157" t="s">
        <v>86</v>
      </c>
      <c r="AB10" s="53" t="s">
        <v>158</v>
      </c>
      <c r="AE10" s="22" t="s">
        <v>103</v>
      </c>
      <c r="AG10" s="67" t="s">
        <v>133</v>
      </c>
      <c r="AH10" s="67" t="s">
        <v>366</v>
      </c>
      <c r="AL10" s="34"/>
      <c r="AP10" s="23" t="s">
        <v>100</v>
      </c>
      <c r="AR10" s="23" t="s">
        <v>123</v>
      </c>
      <c r="AV10" s="23" t="s">
        <v>106</v>
      </c>
    </row>
    <row r="11" spans="1:53" x14ac:dyDescent="0.15">
      <c r="A11" s="158" t="s">
        <v>34</v>
      </c>
      <c r="B11" s="158" t="s">
        <v>157</v>
      </c>
      <c r="C11" s="159">
        <v>2019</v>
      </c>
      <c r="D11" s="160" t="s">
        <v>358</v>
      </c>
      <c r="E11" s="159" t="s">
        <v>359</v>
      </c>
      <c r="F11" s="158" t="s">
        <v>360</v>
      </c>
      <c r="G11" s="161" t="s">
        <v>36</v>
      </c>
      <c r="H11" s="127" t="s">
        <v>160</v>
      </c>
      <c r="I11" s="127" t="s">
        <v>159</v>
      </c>
      <c r="J11" s="127" t="s">
        <v>38</v>
      </c>
      <c r="K11" s="127" t="s">
        <v>161</v>
      </c>
      <c r="L11" s="53">
        <v>1</v>
      </c>
      <c r="N11" s="53">
        <v>1</v>
      </c>
      <c r="O11" s="53">
        <v>0.8</v>
      </c>
      <c r="P11" s="53">
        <v>0.75</v>
      </c>
      <c r="Q11" s="74">
        <f t="shared" si="0"/>
        <v>0.77500000000000002</v>
      </c>
      <c r="R11" s="168">
        <v>16.399999999999999</v>
      </c>
      <c r="S11" s="168">
        <v>119</v>
      </c>
      <c r="T11" s="16">
        <f t="shared" si="1"/>
        <v>30</v>
      </c>
      <c r="U11" s="164">
        <v>98</v>
      </c>
      <c r="V11" s="38">
        <f t="shared" si="2"/>
        <v>2940</v>
      </c>
      <c r="W11" s="165">
        <v>6</v>
      </c>
      <c r="X11" s="166" t="s">
        <v>46</v>
      </c>
      <c r="Y11" s="172" t="s">
        <v>97</v>
      </c>
      <c r="Z11" s="166" t="s">
        <v>64</v>
      </c>
      <c r="AA11" s="172" t="s">
        <v>86</v>
      </c>
      <c r="AB11" s="53" t="s">
        <v>158</v>
      </c>
      <c r="AE11" s="22" t="s">
        <v>65</v>
      </c>
      <c r="AG11" s="23" t="s">
        <v>268</v>
      </c>
      <c r="AH11" s="23" t="s">
        <v>367</v>
      </c>
      <c r="AL11" s="34"/>
      <c r="AP11" s="23" t="s">
        <v>104</v>
      </c>
      <c r="AR11" s="23" t="s">
        <v>87</v>
      </c>
      <c r="AV11" s="23" t="s">
        <v>69</v>
      </c>
    </row>
    <row r="12" spans="1:53" x14ac:dyDescent="0.15">
      <c r="A12" s="158" t="s">
        <v>34</v>
      </c>
      <c r="B12" s="158" t="s">
        <v>157</v>
      </c>
      <c r="C12" s="158">
        <v>2019</v>
      </c>
      <c r="D12" s="160" t="s">
        <v>358</v>
      </c>
      <c r="E12" s="159" t="s">
        <v>359</v>
      </c>
      <c r="F12" s="158" t="s">
        <v>360</v>
      </c>
      <c r="G12" s="161" t="s">
        <v>36</v>
      </c>
      <c r="H12" s="127" t="s">
        <v>160</v>
      </c>
      <c r="I12" s="127" t="s">
        <v>159</v>
      </c>
      <c r="J12" s="127" t="s">
        <v>38</v>
      </c>
      <c r="K12" s="127" t="s">
        <v>161</v>
      </c>
      <c r="L12" s="53">
        <v>2</v>
      </c>
      <c r="N12" s="53">
        <v>1</v>
      </c>
      <c r="O12" s="53">
        <v>0.65</v>
      </c>
      <c r="P12" s="53">
        <v>0.7</v>
      </c>
      <c r="Q12" s="74">
        <f t="shared" si="0"/>
        <v>0.67500000000000004</v>
      </c>
      <c r="R12" s="168">
        <v>16.8</v>
      </c>
      <c r="S12" s="168">
        <v>116</v>
      </c>
      <c r="T12" s="16">
        <f t="shared" si="1"/>
        <v>30</v>
      </c>
      <c r="U12" s="164">
        <v>98</v>
      </c>
      <c r="V12" s="38">
        <f t="shared" si="2"/>
        <v>2940</v>
      </c>
      <c r="W12" s="165">
        <v>6</v>
      </c>
      <c r="X12" s="166" t="s">
        <v>46</v>
      </c>
      <c r="Y12" s="172" t="s">
        <v>97</v>
      </c>
      <c r="Z12" s="166" t="s">
        <v>64</v>
      </c>
      <c r="AA12" s="172" t="s">
        <v>86</v>
      </c>
      <c r="AB12" s="53" t="s">
        <v>158</v>
      </c>
      <c r="AE12" s="22" t="s">
        <v>70</v>
      </c>
      <c r="AG12" s="23"/>
      <c r="AH12" s="23"/>
      <c r="AL12" s="34"/>
      <c r="AP12" s="23" t="s">
        <v>67</v>
      </c>
      <c r="AR12" s="23" t="s">
        <v>124</v>
      </c>
      <c r="AV12" s="23" t="s">
        <v>72</v>
      </c>
    </row>
    <row r="13" spans="1:53" x14ac:dyDescent="0.15">
      <c r="A13" s="158" t="s">
        <v>34</v>
      </c>
      <c r="B13" s="158" t="s">
        <v>157</v>
      </c>
      <c r="C13" s="159">
        <v>2019</v>
      </c>
      <c r="D13" s="160" t="s">
        <v>358</v>
      </c>
      <c r="E13" s="159" t="s">
        <v>359</v>
      </c>
      <c r="F13" s="158" t="s">
        <v>360</v>
      </c>
      <c r="G13" s="161" t="s">
        <v>36</v>
      </c>
      <c r="H13" s="127" t="s">
        <v>160</v>
      </c>
      <c r="I13" s="127" t="s">
        <v>159</v>
      </c>
      <c r="J13" s="127" t="s">
        <v>38</v>
      </c>
      <c r="K13" s="127" t="s">
        <v>161</v>
      </c>
      <c r="L13" s="53">
        <v>3</v>
      </c>
      <c r="N13" s="53">
        <v>1</v>
      </c>
      <c r="O13" s="53">
        <v>0.7</v>
      </c>
      <c r="P13" s="53">
        <v>0.65</v>
      </c>
      <c r="Q13" s="74">
        <f t="shared" si="0"/>
        <v>0.67500000000000004</v>
      </c>
      <c r="R13" s="168">
        <v>16.3</v>
      </c>
      <c r="S13" s="168">
        <v>116</v>
      </c>
      <c r="T13" s="16">
        <f t="shared" si="1"/>
        <v>30</v>
      </c>
      <c r="U13" s="164">
        <v>98</v>
      </c>
      <c r="V13" s="38">
        <f t="shared" si="2"/>
        <v>2940</v>
      </c>
      <c r="W13" s="165">
        <v>6</v>
      </c>
      <c r="X13" s="166" t="s">
        <v>46</v>
      </c>
      <c r="Y13" s="172" t="s">
        <v>97</v>
      </c>
      <c r="Z13" s="166" t="s">
        <v>64</v>
      </c>
      <c r="AA13" s="172" t="s">
        <v>86</v>
      </c>
      <c r="AB13" s="53" t="s">
        <v>158</v>
      </c>
      <c r="AE13" s="22" t="s">
        <v>73</v>
      </c>
      <c r="AG13" s="28"/>
      <c r="AH13" s="28"/>
      <c r="AP13" s="23" t="s">
        <v>71</v>
      </c>
      <c r="AR13" s="23" t="s">
        <v>103</v>
      </c>
      <c r="AV13" s="23" t="s">
        <v>75</v>
      </c>
    </row>
    <row r="14" spans="1:53" x14ac:dyDescent="0.15">
      <c r="A14" s="158" t="s">
        <v>34</v>
      </c>
      <c r="B14" s="158" t="s">
        <v>157</v>
      </c>
      <c r="C14" s="158">
        <v>2019</v>
      </c>
      <c r="D14" s="160" t="s">
        <v>358</v>
      </c>
      <c r="E14" s="159" t="s">
        <v>361</v>
      </c>
      <c r="F14" s="158" t="s">
        <v>360</v>
      </c>
      <c r="G14" s="161" t="s">
        <v>36</v>
      </c>
      <c r="H14" s="127" t="s">
        <v>164</v>
      </c>
      <c r="I14" s="127" t="s">
        <v>159</v>
      </c>
      <c r="J14" s="127" t="s">
        <v>38</v>
      </c>
      <c r="K14" s="127" t="s">
        <v>161</v>
      </c>
      <c r="L14" s="53">
        <v>1</v>
      </c>
      <c r="N14" s="53">
        <v>1</v>
      </c>
      <c r="O14" s="53">
        <v>0.95</v>
      </c>
      <c r="P14" s="53">
        <v>0.9</v>
      </c>
      <c r="Q14" s="74">
        <f t="shared" si="0"/>
        <v>0.92500000000000004</v>
      </c>
      <c r="R14" s="168">
        <v>13.8</v>
      </c>
      <c r="S14" s="168">
        <v>130</v>
      </c>
      <c r="T14" s="16">
        <f t="shared" si="1"/>
        <v>30</v>
      </c>
      <c r="U14" s="164">
        <v>98</v>
      </c>
      <c r="V14" s="38">
        <f t="shared" si="2"/>
        <v>2940</v>
      </c>
      <c r="W14" s="165">
        <v>6</v>
      </c>
      <c r="X14" s="166" t="s">
        <v>46</v>
      </c>
      <c r="Y14" s="172" t="s">
        <v>97</v>
      </c>
      <c r="Z14" s="172" t="s">
        <v>86</v>
      </c>
      <c r="AA14" s="172" t="s">
        <v>64</v>
      </c>
      <c r="AB14" s="53" t="s">
        <v>158</v>
      </c>
      <c r="AC14" s="34"/>
      <c r="AE14" s="22" t="s">
        <v>76</v>
      </c>
      <c r="AP14" s="23" t="s">
        <v>74</v>
      </c>
      <c r="AR14" s="23" t="s">
        <v>125</v>
      </c>
      <c r="AV14" s="23" t="s">
        <v>78</v>
      </c>
    </row>
    <row r="15" spans="1:53" x14ac:dyDescent="0.15">
      <c r="A15" s="158" t="s">
        <v>34</v>
      </c>
      <c r="B15" s="158" t="s">
        <v>157</v>
      </c>
      <c r="C15" s="159">
        <v>2019</v>
      </c>
      <c r="D15" s="160" t="s">
        <v>358</v>
      </c>
      <c r="E15" s="159" t="s">
        <v>361</v>
      </c>
      <c r="F15" s="158" t="s">
        <v>360</v>
      </c>
      <c r="G15" s="161" t="s">
        <v>36</v>
      </c>
      <c r="H15" s="127" t="s">
        <v>164</v>
      </c>
      <c r="I15" s="127" t="s">
        <v>159</v>
      </c>
      <c r="J15" s="127" t="s">
        <v>38</v>
      </c>
      <c r="K15" s="127" t="s">
        <v>161</v>
      </c>
      <c r="L15" s="53">
        <v>2</v>
      </c>
      <c r="N15" s="53">
        <v>1</v>
      </c>
      <c r="O15" s="53">
        <v>0.9</v>
      </c>
      <c r="P15" s="53">
        <v>0.9</v>
      </c>
      <c r="Q15" s="74">
        <f t="shared" si="0"/>
        <v>0.9</v>
      </c>
      <c r="R15" s="168">
        <v>12.9</v>
      </c>
      <c r="S15" s="168">
        <v>128</v>
      </c>
      <c r="T15" s="16">
        <f t="shared" si="1"/>
        <v>30</v>
      </c>
      <c r="U15" s="164">
        <v>98</v>
      </c>
      <c r="V15" s="38">
        <f t="shared" si="2"/>
        <v>2940</v>
      </c>
      <c r="W15" s="165">
        <v>6</v>
      </c>
      <c r="X15" s="166" t="s">
        <v>46</v>
      </c>
      <c r="Y15" s="172" t="s">
        <v>97</v>
      </c>
      <c r="Z15" s="172" t="s">
        <v>86</v>
      </c>
      <c r="AA15" s="172" t="s">
        <v>64</v>
      </c>
      <c r="AB15" s="53" t="s">
        <v>158</v>
      </c>
      <c r="AC15" s="34"/>
      <c r="AE15" s="22" t="s">
        <v>79</v>
      </c>
      <c r="AP15" s="23" t="s">
        <v>77</v>
      </c>
      <c r="AR15" s="23" t="s">
        <v>94</v>
      </c>
      <c r="AV15" s="23" t="s">
        <v>107</v>
      </c>
    </row>
    <row r="16" spans="1:53" x14ac:dyDescent="0.15">
      <c r="A16" s="158" t="s">
        <v>34</v>
      </c>
      <c r="B16" s="158" t="s">
        <v>157</v>
      </c>
      <c r="C16" s="158">
        <v>2019</v>
      </c>
      <c r="D16" s="160" t="s">
        <v>358</v>
      </c>
      <c r="E16" s="159" t="s">
        <v>361</v>
      </c>
      <c r="F16" s="158" t="s">
        <v>360</v>
      </c>
      <c r="G16" s="161" t="s">
        <v>36</v>
      </c>
      <c r="H16" s="127" t="s">
        <v>164</v>
      </c>
      <c r="I16" s="127" t="s">
        <v>159</v>
      </c>
      <c r="J16" s="127" t="s">
        <v>38</v>
      </c>
      <c r="K16" s="127" t="s">
        <v>161</v>
      </c>
      <c r="L16" s="53">
        <v>3</v>
      </c>
      <c r="N16" s="53">
        <v>1</v>
      </c>
      <c r="O16" s="53">
        <v>1</v>
      </c>
      <c r="P16" s="53">
        <v>0.9</v>
      </c>
      <c r="Q16" s="74">
        <f t="shared" si="0"/>
        <v>0.95</v>
      </c>
      <c r="R16" s="168">
        <v>13.4</v>
      </c>
      <c r="S16" s="168">
        <v>136</v>
      </c>
      <c r="T16" s="16">
        <f t="shared" si="1"/>
        <v>30</v>
      </c>
      <c r="U16" s="164">
        <v>98</v>
      </c>
      <c r="V16" s="38">
        <f t="shared" si="2"/>
        <v>2940</v>
      </c>
      <c r="W16" s="165">
        <v>6</v>
      </c>
      <c r="X16" s="166" t="s">
        <v>46</v>
      </c>
      <c r="Y16" s="172" t="s">
        <v>97</v>
      </c>
      <c r="Z16" s="172" t="s">
        <v>86</v>
      </c>
      <c r="AA16" s="172" t="s">
        <v>64</v>
      </c>
      <c r="AB16" s="53" t="s">
        <v>158</v>
      </c>
      <c r="AC16" s="34"/>
      <c r="AE16" s="22" t="s">
        <v>82</v>
      </c>
      <c r="AP16" s="23" t="s">
        <v>80</v>
      </c>
      <c r="AR16" s="23" t="s">
        <v>63</v>
      </c>
      <c r="AV16" s="23" t="s">
        <v>84</v>
      </c>
    </row>
    <row r="17" spans="1:48" x14ac:dyDescent="0.15">
      <c r="A17" s="158" t="s">
        <v>34</v>
      </c>
      <c r="B17" s="158" t="s">
        <v>157</v>
      </c>
      <c r="C17" s="159">
        <v>2019</v>
      </c>
      <c r="D17" s="160" t="s">
        <v>358</v>
      </c>
      <c r="E17" s="159" t="s">
        <v>361</v>
      </c>
      <c r="F17" s="158" t="s">
        <v>360</v>
      </c>
      <c r="G17" s="161" t="s">
        <v>36</v>
      </c>
      <c r="H17" s="127" t="s">
        <v>160</v>
      </c>
      <c r="I17" s="127" t="s">
        <v>159</v>
      </c>
      <c r="J17" s="127" t="s">
        <v>38</v>
      </c>
      <c r="K17" s="127" t="s">
        <v>161</v>
      </c>
      <c r="L17" s="53">
        <v>1</v>
      </c>
      <c r="N17" s="53">
        <v>1</v>
      </c>
      <c r="O17" s="53">
        <v>0.65</v>
      </c>
      <c r="P17" s="53">
        <v>0.7</v>
      </c>
      <c r="Q17" s="74">
        <f t="shared" si="0"/>
        <v>0.67500000000000004</v>
      </c>
      <c r="R17" s="168">
        <v>17.8</v>
      </c>
      <c r="S17" s="168">
        <v>141</v>
      </c>
      <c r="T17" s="16">
        <f t="shared" si="1"/>
        <v>30</v>
      </c>
      <c r="U17" s="164">
        <v>128</v>
      </c>
      <c r="V17" s="38">
        <f t="shared" si="2"/>
        <v>3840</v>
      </c>
      <c r="W17" s="165">
        <v>6</v>
      </c>
      <c r="X17" s="166" t="s">
        <v>46</v>
      </c>
      <c r="Y17" s="172" t="s">
        <v>97</v>
      </c>
      <c r="Z17" s="172" t="s">
        <v>86</v>
      </c>
      <c r="AA17" s="172" t="s">
        <v>64</v>
      </c>
      <c r="AB17" s="53" t="s">
        <v>158</v>
      </c>
      <c r="AC17" s="34"/>
      <c r="AE17" s="22" t="s">
        <v>85</v>
      </c>
      <c r="AP17" s="27" t="s">
        <v>110</v>
      </c>
      <c r="AR17" s="23" t="s">
        <v>96</v>
      </c>
      <c r="AV17" s="23" t="s">
        <v>86</v>
      </c>
    </row>
    <row r="18" spans="1:48" x14ac:dyDescent="0.15">
      <c r="A18" s="158" t="s">
        <v>34</v>
      </c>
      <c r="B18" s="158" t="s">
        <v>157</v>
      </c>
      <c r="C18" s="158">
        <v>2019</v>
      </c>
      <c r="D18" s="160" t="s">
        <v>358</v>
      </c>
      <c r="E18" s="159" t="s">
        <v>361</v>
      </c>
      <c r="F18" s="158" t="s">
        <v>360</v>
      </c>
      <c r="G18" s="161" t="s">
        <v>36</v>
      </c>
      <c r="H18" s="127" t="s">
        <v>160</v>
      </c>
      <c r="I18" s="127" t="s">
        <v>159</v>
      </c>
      <c r="J18" s="127" t="s">
        <v>38</v>
      </c>
      <c r="K18" s="127" t="s">
        <v>161</v>
      </c>
      <c r="L18" s="53">
        <v>2</v>
      </c>
      <c r="N18" s="53">
        <v>1</v>
      </c>
      <c r="O18" s="53">
        <v>0.7</v>
      </c>
      <c r="P18" s="53">
        <v>0.75</v>
      </c>
      <c r="Q18" s="74">
        <f t="shared" si="0"/>
        <v>0.72499999999999998</v>
      </c>
      <c r="R18" s="168">
        <v>16.100000000000001</v>
      </c>
      <c r="S18" s="168">
        <v>137</v>
      </c>
      <c r="T18" s="16">
        <f t="shared" si="1"/>
        <v>30</v>
      </c>
      <c r="U18" s="164">
        <v>128</v>
      </c>
      <c r="V18" s="38">
        <f t="shared" si="2"/>
        <v>3840</v>
      </c>
      <c r="W18" s="165">
        <v>6</v>
      </c>
      <c r="X18" s="166" t="s">
        <v>46</v>
      </c>
      <c r="Y18" s="172" t="s">
        <v>97</v>
      </c>
      <c r="Z18" s="172" t="s">
        <v>86</v>
      </c>
      <c r="AA18" s="172" t="s">
        <v>64</v>
      </c>
      <c r="AB18" s="53" t="s">
        <v>158</v>
      </c>
      <c r="AC18" s="34"/>
      <c r="AE18" s="22" t="s">
        <v>87</v>
      </c>
      <c r="AP18" s="27" t="s">
        <v>111</v>
      </c>
      <c r="AR18" s="23" t="s">
        <v>101</v>
      </c>
      <c r="AV18" s="23" t="s">
        <v>88</v>
      </c>
    </row>
    <row r="19" spans="1:48" x14ac:dyDescent="0.15">
      <c r="A19" s="158" t="s">
        <v>34</v>
      </c>
      <c r="B19" s="158" t="s">
        <v>157</v>
      </c>
      <c r="C19" s="159">
        <v>2019</v>
      </c>
      <c r="D19" s="160" t="s">
        <v>358</v>
      </c>
      <c r="E19" s="159" t="s">
        <v>361</v>
      </c>
      <c r="F19" s="158" t="s">
        <v>360</v>
      </c>
      <c r="G19" s="161" t="s">
        <v>36</v>
      </c>
      <c r="H19" s="127" t="s">
        <v>160</v>
      </c>
      <c r="I19" s="127" t="s">
        <v>159</v>
      </c>
      <c r="J19" s="127" t="s">
        <v>38</v>
      </c>
      <c r="K19" s="127" t="s">
        <v>161</v>
      </c>
      <c r="L19" s="53">
        <v>3</v>
      </c>
      <c r="N19" s="53">
        <v>1</v>
      </c>
      <c r="O19" s="53">
        <v>0.6</v>
      </c>
      <c r="P19" s="53">
        <v>0.55000000000000004</v>
      </c>
      <c r="Q19" s="74">
        <f t="shared" si="0"/>
        <v>0.57499999999999996</v>
      </c>
      <c r="R19" s="168">
        <v>17.7</v>
      </c>
      <c r="S19" s="168">
        <v>138</v>
      </c>
      <c r="T19" s="16">
        <f t="shared" si="1"/>
        <v>30</v>
      </c>
      <c r="U19" s="164">
        <v>128</v>
      </c>
      <c r="V19" s="38">
        <f t="shared" si="2"/>
        <v>3840</v>
      </c>
      <c r="W19" s="165">
        <v>6</v>
      </c>
      <c r="X19" s="166" t="s">
        <v>46</v>
      </c>
      <c r="Y19" s="172" t="s">
        <v>97</v>
      </c>
      <c r="Z19" s="172" t="s">
        <v>86</v>
      </c>
      <c r="AA19" s="172" t="s">
        <v>64</v>
      </c>
      <c r="AB19" s="53" t="s">
        <v>158</v>
      </c>
      <c r="AC19" s="34"/>
      <c r="AE19" s="35" t="s">
        <v>89</v>
      </c>
      <c r="AP19" s="27" t="s">
        <v>112</v>
      </c>
      <c r="AR19" s="23" t="s">
        <v>126</v>
      </c>
      <c r="AV19" s="23" t="s">
        <v>90</v>
      </c>
    </row>
    <row r="20" spans="1:48" x14ac:dyDescent="0.15">
      <c r="A20" s="158" t="s">
        <v>34</v>
      </c>
      <c r="B20" s="158" t="s">
        <v>157</v>
      </c>
      <c r="C20" s="158">
        <v>2019</v>
      </c>
      <c r="D20" s="160" t="s">
        <v>358</v>
      </c>
      <c r="E20" s="159" t="s">
        <v>356</v>
      </c>
      <c r="F20" s="158" t="s">
        <v>362</v>
      </c>
      <c r="G20" s="161" t="s">
        <v>36</v>
      </c>
      <c r="H20" s="127" t="s">
        <v>164</v>
      </c>
      <c r="I20" s="127" t="s">
        <v>159</v>
      </c>
      <c r="J20" s="127" t="s">
        <v>38</v>
      </c>
      <c r="K20" s="127" t="s">
        <v>161</v>
      </c>
      <c r="L20" s="53">
        <v>1</v>
      </c>
      <c r="N20" s="53">
        <v>4</v>
      </c>
      <c r="O20" s="53">
        <v>0.9</v>
      </c>
      <c r="P20" s="53">
        <v>0.85</v>
      </c>
      <c r="Q20" s="74">
        <f t="shared" si="0"/>
        <v>0.875</v>
      </c>
      <c r="R20" s="168">
        <v>15.4</v>
      </c>
      <c r="S20" s="168">
        <v>85</v>
      </c>
      <c r="T20" s="16">
        <f t="shared" si="1"/>
        <v>36</v>
      </c>
      <c r="U20" s="164">
        <v>358</v>
      </c>
      <c r="V20" s="38">
        <f t="shared" si="2"/>
        <v>3222</v>
      </c>
      <c r="W20" s="165">
        <v>4</v>
      </c>
      <c r="X20" s="166" t="s">
        <v>46</v>
      </c>
      <c r="Y20" s="172" t="s">
        <v>86</v>
      </c>
      <c r="Z20" s="172" t="s">
        <v>64</v>
      </c>
      <c r="AA20" s="172" t="s">
        <v>97</v>
      </c>
      <c r="AB20" s="53" t="s">
        <v>158</v>
      </c>
      <c r="AE20" s="35"/>
      <c r="AP20" s="27" t="s">
        <v>113</v>
      </c>
      <c r="AR20" s="23" t="s">
        <v>105</v>
      </c>
      <c r="AV20" s="27" t="s">
        <v>135</v>
      </c>
    </row>
    <row r="21" spans="1:48" x14ac:dyDescent="0.15">
      <c r="A21" s="158" t="s">
        <v>34</v>
      </c>
      <c r="B21" s="158" t="s">
        <v>157</v>
      </c>
      <c r="C21" s="159">
        <v>2019</v>
      </c>
      <c r="D21" s="160" t="s">
        <v>358</v>
      </c>
      <c r="E21" s="159" t="s">
        <v>356</v>
      </c>
      <c r="F21" s="158" t="s">
        <v>362</v>
      </c>
      <c r="G21" s="161" t="s">
        <v>36</v>
      </c>
      <c r="H21" s="127" t="s">
        <v>164</v>
      </c>
      <c r="I21" s="127" t="s">
        <v>159</v>
      </c>
      <c r="J21" s="127" t="s">
        <v>38</v>
      </c>
      <c r="K21" s="127" t="s">
        <v>161</v>
      </c>
      <c r="L21" s="53">
        <v>2</v>
      </c>
      <c r="N21" s="53">
        <v>4</v>
      </c>
      <c r="O21" s="53">
        <v>0.8</v>
      </c>
      <c r="P21" s="53">
        <v>0.7</v>
      </c>
      <c r="Q21" s="74">
        <f t="shared" si="0"/>
        <v>0.75</v>
      </c>
      <c r="R21" s="168">
        <v>15.5</v>
      </c>
      <c r="S21" s="168">
        <v>84</v>
      </c>
      <c r="T21" s="16">
        <f t="shared" si="1"/>
        <v>36</v>
      </c>
      <c r="U21" s="164">
        <v>358</v>
      </c>
      <c r="V21" s="38">
        <f t="shared" si="2"/>
        <v>3222</v>
      </c>
      <c r="W21" s="165">
        <v>4</v>
      </c>
      <c r="X21" s="166" t="s">
        <v>46</v>
      </c>
      <c r="Y21" s="172" t="s">
        <v>86</v>
      </c>
      <c r="Z21" s="172" t="s">
        <v>64</v>
      </c>
      <c r="AA21" s="172" t="s">
        <v>97</v>
      </c>
      <c r="AB21" s="53" t="s">
        <v>158</v>
      </c>
      <c r="AE21" s="28"/>
      <c r="AP21" s="27" t="s">
        <v>114</v>
      </c>
      <c r="AR21" s="23" t="s">
        <v>68</v>
      </c>
      <c r="AV21" s="27" t="s">
        <v>136</v>
      </c>
    </row>
    <row r="22" spans="1:48" x14ac:dyDescent="0.15">
      <c r="A22" s="158" t="s">
        <v>34</v>
      </c>
      <c r="B22" s="158" t="s">
        <v>157</v>
      </c>
      <c r="C22" s="158">
        <v>2019</v>
      </c>
      <c r="D22" s="160" t="s">
        <v>358</v>
      </c>
      <c r="E22" s="159" t="s">
        <v>356</v>
      </c>
      <c r="F22" s="158" t="s">
        <v>362</v>
      </c>
      <c r="G22" s="161" t="s">
        <v>36</v>
      </c>
      <c r="H22" s="127" t="s">
        <v>164</v>
      </c>
      <c r="I22" s="127" t="s">
        <v>159</v>
      </c>
      <c r="J22" s="127" t="s">
        <v>38</v>
      </c>
      <c r="K22" s="127" t="s">
        <v>161</v>
      </c>
      <c r="L22" s="53">
        <v>3</v>
      </c>
      <c r="N22" s="53">
        <v>4</v>
      </c>
      <c r="O22" s="53">
        <v>0.95</v>
      </c>
      <c r="P22" s="34">
        <v>0.8</v>
      </c>
      <c r="Q22" s="74">
        <f t="shared" si="0"/>
        <v>0.875</v>
      </c>
      <c r="R22" s="168">
        <v>15.5</v>
      </c>
      <c r="S22" s="168">
        <v>90</v>
      </c>
      <c r="T22" s="16">
        <f t="shared" si="1"/>
        <v>36</v>
      </c>
      <c r="U22" s="164">
        <v>358</v>
      </c>
      <c r="V22" s="38">
        <f t="shared" si="2"/>
        <v>3222</v>
      </c>
      <c r="W22" s="165">
        <v>4</v>
      </c>
      <c r="X22" s="166" t="s">
        <v>46</v>
      </c>
      <c r="Y22" s="172" t="s">
        <v>86</v>
      </c>
      <c r="Z22" s="172" t="s">
        <v>64</v>
      </c>
      <c r="AA22" s="172" t="s">
        <v>97</v>
      </c>
      <c r="AB22" s="53" t="s">
        <v>158</v>
      </c>
      <c r="AP22" s="27" t="s">
        <v>115</v>
      </c>
      <c r="AR22" s="23" t="s">
        <v>83</v>
      </c>
      <c r="AV22" s="23"/>
    </row>
    <row r="23" spans="1:48" x14ac:dyDescent="0.15">
      <c r="A23" s="158" t="s">
        <v>34</v>
      </c>
      <c r="B23" s="158" t="s">
        <v>157</v>
      </c>
      <c r="C23" s="159">
        <v>2019</v>
      </c>
      <c r="D23" s="160" t="s">
        <v>358</v>
      </c>
      <c r="E23" s="159" t="s">
        <v>356</v>
      </c>
      <c r="F23" s="158" t="s">
        <v>362</v>
      </c>
      <c r="G23" s="161" t="s">
        <v>36</v>
      </c>
      <c r="H23" s="127" t="s">
        <v>160</v>
      </c>
      <c r="I23" s="127" t="s">
        <v>159</v>
      </c>
      <c r="J23" s="127" t="s">
        <v>38</v>
      </c>
      <c r="K23" s="127" t="s">
        <v>161</v>
      </c>
      <c r="L23" s="53">
        <v>1</v>
      </c>
      <c r="N23" s="53">
        <v>4</v>
      </c>
      <c r="O23" s="53">
        <v>0.85</v>
      </c>
      <c r="P23" s="34">
        <v>0.9</v>
      </c>
      <c r="Q23" s="74">
        <f t="shared" si="0"/>
        <v>0.875</v>
      </c>
      <c r="R23" s="168">
        <v>16.3</v>
      </c>
      <c r="S23" s="168">
        <v>105</v>
      </c>
      <c r="T23" s="16">
        <f t="shared" si="1"/>
        <v>33</v>
      </c>
      <c r="U23" s="164">
        <v>498</v>
      </c>
      <c r="V23" s="38">
        <f t="shared" si="2"/>
        <v>4108.5</v>
      </c>
      <c r="W23" s="165">
        <v>4</v>
      </c>
      <c r="X23" s="166" t="s">
        <v>46</v>
      </c>
      <c r="Y23" s="172" t="s">
        <v>86</v>
      </c>
      <c r="Z23" s="172" t="s">
        <v>64</v>
      </c>
      <c r="AA23" s="172" t="s">
        <v>97</v>
      </c>
      <c r="AB23" s="53" t="s">
        <v>158</v>
      </c>
      <c r="AP23" s="27" t="s">
        <v>137</v>
      </c>
      <c r="AR23" s="23" t="s">
        <v>61</v>
      </c>
      <c r="AV23" s="23"/>
    </row>
    <row r="24" spans="1:48" x14ac:dyDescent="0.15">
      <c r="A24" s="158" t="s">
        <v>34</v>
      </c>
      <c r="B24" s="158" t="s">
        <v>157</v>
      </c>
      <c r="C24" s="158">
        <v>2019</v>
      </c>
      <c r="D24" s="160" t="s">
        <v>358</v>
      </c>
      <c r="E24" s="159" t="s">
        <v>356</v>
      </c>
      <c r="F24" s="158" t="s">
        <v>362</v>
      </c>
      <c r="G24" s="161" t="s">
        <v>36</v>
      </c>
      <c r="H24" s="127" t="s">
        <v>160</v>
      </c>
      <c r="I24" s="127" t="s">
        <v>159</v>
      </c>
      <c r="J24" s="127" t="s">
        <v>38</v>
      </c>
      <c r="K24" s="127" t="s">
        <v>161</v>
      </c>
      <c r="L24" s="53">
        <v>2</v>
      </c>
      <c r="N24" s="53">
        <v>4</v>
      </c>
      <c r="O24" s="53">
        <v>0.9</v>
      </c>
      <c r="P24" s="34">
        <v>0.85</v>
      </c>
      <c r="Q24" s="74">
        <f t="shared" si="0"/>
        <v>0.875</v>
      </c>
      <c r="R24" s="168">
        <v>16.5</v>
      </c>
      <c r="S24" s="168">
        <v>100</v>
      </c>
      <c r="T24" s="16">
        <f t="shared" si="1"/>
        <v>33</v>
      </c>
      <c r="U24" s="164">
        <v>498</v>
      </c>
      <c r="V24" s="38">
        <f t="shared" si="2"/>
        <v>4108.5</v>
      </c>
      <c r="W24" s="165">
        <v>4</v>
      </c>
      <c r="X24" s="166" t="s">
        <v>46</v>
      </c>
      <c r="Y24" s="172" t="s">
        <v>86</v>
      </c>
      <c r="Z24" s="172" t="s">
        <v>64</v>
      </c>
      <c r="AA24" s="172" t="s">
        <v>97</v>
      </c>
      <c r="AB24" s="53" t="s">
        <v>158</v>
      </c>
      <c r="AP24" s="27" t="s">
        <v>138</v>
      </c>
      <c r="AR24" s="23" t="s">
        <v>91</v>
      </c>
      <c r="AV24" s="23"/>
    </row>
    <row r="25" spans="1:48" x14ac:dyDescent="0.15">
      <c r="A25" s="158" t="s">
        <v>34</v>
      </c>
      <c r="B25" s="158" t="s">
        <v>157</v>
      </c>
      <c r="C25" s="159">
        <v>2019</v>
      </c>
      <c r="D25" s="160" t="s">
        <v>358</v>
      </c>
      <c r="E25" s="159" t="s">
        <v>356</v>
      </c>
      <c r="F25" s="158" t="s">
        <v>362</v>
      </c>
      <c r="G25" s="161" t="s">
        <v>36</v>
      </c>
      <c r="H25" s="127" t="s">
        <v>160</v>
      </c>
      <c r="I25" s="127" t="s">
        <v>159</v>
      </c>
      <c r="J25" s="127" t="s">
        <v>38</v>
      </c>
      <c r="K25" s="127" t="s">
        <v>161</v>
      </c>
      <c r="L25" s="53">
        <v>3</v>
      </c>
      <c r="N25" s="53">
        <v>4</v>
      </c>
      <c r="O25" s="53">
        <v>0.95</v>
      </c>
      <c r="P25" s="34">
        <v>1</v>
      </c>
      <c r="Q25" s="74">
        <f t="shared" si="0"/>
        <v>0.97499999999999998</v>
      </c>
      <c r="R25" s="168">
        <v>15.7</v>
      </c>
      <c r="S25" s="168">
        <v>102</v>
      </c>
      <c r="T25" s="16">
        <f t="shared" si="1"/>
        <v>33</v>
      </c>
      <c r="U25" s="164">
        <v>498</v>
      </c>
      <c r="V25" s="38">
        <f t="shared" si="2"/>
        <v>4108.5</v>
      </c>
      <c r="W25" s="165">
        <v>4</v>
      </c>
      <c r="X25" s="166" t="s">
        <v>46</v>
      </c>
      <c r="Y25" s="172" t="s">
        <v>86</v>
      </c>
      <c r="Z25" s="172" t="s">
        <v>64</v>
      </c>
      <c r="AA25" s="172" t="s">
        <v>97</v>
      </c>
      <c r="AB25" s="53" t="s">
        <v>158</v>
      </c>
      <c r="AP25" s="27" t="s">
        <v>116</v>
      </c>
      <c r="AR25" s="27" t="s">
        <v>92</v>
      </c>
      <c r="AV25" s="23"/>
    </row>
    <row r="26" spans="1:48" x14ac:dyDescent="0.15">
      <c r="A26" s="158" t="s">
        <v>34</v>
      </c>
      <c r="B26" s="158" t="s">
        <v>157</v>
      </c>
      <c r="C26" s="158">
        <v>2019</v>
      </c>
      <c r="D26" s="160" t="s">
        <v>358</v>
      </c>
      <c r="E26" s="159" t="s">
        <v>210</v>
      </c>
      <c r="F26" s="158" t="s">
        <v>363</v>
      </c>
      <c r="G26" s="161" t="s">
        <v>42</v>
      </c>
      <c r="H26" s="127" t="s">
        <v>164</v>
      </c>
      <c r="I26" s="127" t="s">
        <v>159</v>
      </c>
      <c r="J26" s="127" t="s">
        <v>38</v>
      </c>
      <c r="K26" s="127" t="s">
        <v>161</v>
      </c>
      <c r="L26" s="53">
        <v>1</v>
      </c>
      <c r="N26" s="53">
        <v>1</v>
      </c>
      <c r="O26" s="53">
        <v>0.7</v>
      </c>
      <c r="P26" s="53">
        <v>0.6</v>
      </c>
      <c r="Q26" s="74">
        <f t="shared" si="0"/>
        <v>0.64999999999999991</v>
      </c>
      <c r="R26" s="168">
        <v>14.4</v>
      </c>
      <c r="S26" s="168">
        <v>104</v>
      </c>
      <c r="T26" s="16">
        <f t="shared" si="1"/>
        <v>33</v>
      </c>
      <c r="U26" s="164">
        <v>89</v>
      </c>
      <c r="V26" s="38">
        <f t="shared" si="2"/>
        <v>2937</v>
      </c>
      <c r="W26" s="165">
        <v>12</v>
      </c>
      <c r="X26" s="166" t="s">
        <v>46</v>
      </c>
      <c r="Y26" s="172" t="s">
        <v>55</v>
      </c>
      <c r="Z26" s="172" t="s">
        <v>86</v>
      </c>
      <c r="AA26" s="172" t="s">
        <v>97</v>
      </c>
      <c r="AB26" s="53" t="s">
        <v>158</v>
      </c>
      <c r="AP26" s="27" t="s">
        <v>117</v>
      </c>
      <c r="AR26" s="23" t="s">
        <v>153</v>
      </c>
      <c r="AV26" s="27"/>
    </row>
    <row r="27" spans="1:48" x14ac:dyDescent="0.15">
      <c r="A27" s="158" t="s">
        <v>34</v>
      </c>
      <c r="B27" s="158" t="s">
        <v>157</v>
      </c>
      <c r="C27" s="159">
        <v>2019</v>
      </c>
      <c r="D27" s="160" t="s">
        <v>358</v>
      </c>
      <c r="E27" s="159" t="s">
        <v>210</v>
      </c>
      <c r="F27" s="158" t="s">
        <v>363</v>
      </c>
      <c r="G27" s="161" t="s">
        <v>42</v>
      </c>
      <c r="H27" s="127" t="s">
        <v>164</v>
      </c>
      <c r="I27" s="127" t="s">
        <v>159</v>
      </c>
      <c r="J27" s="127" t="s">
        <v>38</v>
      </c>
      <c r="K27" s="127" t="s">
        <v>161</v>
      </c>
      <c r="L27" s="53">
        <v>2</v>
      </c>
      <c r="N27" s="53">
        <v>1</v>
      </c>
      <c r="O27" s="34">
        <v>0.7</v>
      </c>
      <c r="P27" s="53">
        <v>0.6</v>
      </c>
      <c r="Q27" s="74">
        <f t="shared" si="0"/>
        <v>0.64999999999999991</v>
      </c>
      <c r="R27" s="168">
        <v>14.2</v>
      </c>
      <c r="S27" s="168">
        <v>107</v>
      </c>
      <c r="T27" s="16">
        <f t="shared" si="1"/>
        <v>33</v>
      </c>
      <c r="U27" s="164">
        <v>89</v>
      </c>
      <c r="V27" s="38">
        <f t="shared" si="2"/>
        <v>2937</v>
      </c>
      <c r="W27" s="165">
        <v>12</v>
      </c>
      <c r="X27" s="166" t="s">
        <v>46</v>
      </c>
      <c r="Y27" s="172" t="s">
        <v>55</v>
      </c>
      <c r="Z27" s="172" t="s">
        <v>86</v>
      </c>
      <c r="AA27" s="172" t="s">
        <v>97</v>
      </c>
      <c r="AB27" s="53" t="s">
        <v>158</v>
      </c>
      <c r="AP27" s="27" t="s">
        <v>118</v>
      </c>
      <c r="AR27" s="23"/>
    </row>
    <row r="28" spans="1:48" x14ac:dyDescent="0.15">
      <c r="A28" s="158" t="s">
        <v>34</v>
      </c>
      <c r="B28" s="158" t="s">
        <v>157</v>
      </c>
      <c r="C28" s="158">
        <v>2019</v>
      </c>
      <c r="D28" s="160" t="s">
        <v>358</v>
      </c>
      <c r="E28" s="159" t="s">
        <v>210</v>
      </c>
      <c r="F28" s="158" t="s">
        <v>363</v>
      </c>
      <c r="G28" s="161" t="s">
        <v>42</v>
      </c>
      <c r="H28" s="127" t="s">
        <v>164</v>
      </c>
      <c r="I28" s="127" t="s">
        <v>159</v>
      </c>
      <c r="J28" s="127" t="s">
        <v>38</v>
      </c>
      <c r="K28" s="127" t="s">
        <v>161</v>
      </c>
      <c r="L28" s="53">
        <v>3</v>
      </c>
      <c r="N28" s="53">
        <v>1</v>
      </c>
      <c r="O28" s="34">
        <v>0.55000000000000004</v>
      </c>
      <c r="P28" s="53">
        <v>0.6</v>
      </c>
      <c r="Q28" s="74">
        <f t="shared" si="0"/>
        <v>0.57499999999999996</v>
      </c>
      <c r="R28" s="168">
        <v>14.8</v>
      </c>
      <c r="S28" s="168">
        <v>109</v>
      </c>
      <c r="T28" s="16">
        <f t="shared" si="1"/>
        <v>33</v>
      </c>
      <c r="U28" s="164">
        <v>89</v>
      </c>
      <c r="V28" s="38">
        <f t="shared" si="2"/>
        <v>2937</v>
      </c>
      <c r="W28" s="165">
        <v>12</v>
      </c>
      <c r="X28" s="166" t="s">
        <v>46</v>
      </c>
      <c r="Y28" s="172" t="s">
        <v>55</v>
      </c>
      <c r="Z28" s="172" t="s">
        <v>86</v>
      </c>
      <c r="AA28" s="172" t="s">
        <v>97</v>
      </c>
      <c r="AB28" s="53" t="s">
        <v>158</v>
      </c>
      <c r="AR28" s="23"/>
    </row>
    <row r="29" spans="1:48" x14ac:dyDescent="0.15">
      <c r="A29" s="158" t="s">
        <v>34</v>
      </c>
      <c r="B29" s="158" t="s">
        <v>157</v>
      </c>
      <c r="C29" s="158">
        <v>2019</v>
      </c>
      <c r="D29" s="160" t="s">
        <v>358</v>
      </c>
      <c r="E29" s="159" t="s">
        <v>210</v>
      </c>
      <c r="F29" s="158" t="s">
        <v>363</v>
      </c>
      <c r="G29" s="161" t="s">
        <v>42</v>
      </c>
      <c r="H29" s="127" t="s">
        <v>160</v>
      </c>
      <c r="I29" s="127" t="s">
        <v>159</v>
      </c>
      <c r="J29" s="127" t="s">
        <v>38</v>
      </c>
      <c r="K29" s="127" t="s">
        <v>161</v>
      </c>
      <c r="L29" s="53">
        <v>1</v>
      </c>
      <c r="N29" s="53">
        <v>1</v>
      </c>
      <c r="O29" s="53">
        <v>0.85</v>
      </c>
      <c r="P29" s="53">
        <v>0.9</v>
      </c>
      <c r="Q29" s="74">
        <f t="shared" si="0"/>
        <v>0.875</v>
      </c>
      <c r="R29" s="168">
        <v>14.8</v>
      </c>
      <c r="S29" s="168">
        <v>115</v>
      </c>
      <c r="T29" s="16">
        <f t="shared" si="1"/>
        <v>30</v>
      </c>
      <c r="U29" s="164">
        <v>89</v>
      </c>
      <c r="V29" s="38">
        <f t="shared" si="2"/>
        <v>2670</v>
      </c>
      <c r="W29" s="165">
        <v>12</v>
      </c>
      <c r="X29" s="166" t="s">
        <v>39</v>
      </c>
      <c r="Y29" s="172" t="s">
        <v>55</v>
      </c>
      <c r="Z29" s="172" t="s">
        <v>86</v>
      </c>
      <c r="AA29" s="172" t="s">
        <v>97</v>
      </c>
      <c r="AB29" s="53" t="s">
        <v>158</v>
      </c>
      <c r="AR29" s="28"/>
    </row>
    <row r="30" spans="1:48" x14ac:dyDescent="0.15">
      <c r="A30" s="158" t="s">
        <v>34</v>
      </c>
      <c r="B30" s="158" t="s">
        <v>157</v>
      </c>
      <c r="C30" s="159">
        <v>2019</v>
      </c>
      <c r="D30" s="160" t="s">
        <v>358</v>
      </c>
      <c r="E30" s="159" t="s">
        <v>210</v>
      </c>
      <c r="F30" s="158" t="s">
        <v>363</v>
      </c>
      <c r="G30" s="161" t="s">
        <v>42</v>
      </c>
      <c r="H30" s="127" t="s">
        <v>160</v>
      </c>
      <c r="I30" s="127" t="s">
        <v>159</v>
      </c>
      <c r="J30" s="127" t="s">
        <v>38</v>
      </c>
      <c r="K30" s="127" t="s">
        <v>161</v>
      </c>
      <c r="L30" s="53">
        <v>2</v>
      </c>
      <c r="N30" s="53">
        <v>1</v>
      </c>
      <c r="O30" s="53">
        <v>0.8</v>
      </c>
      <c r="P30" s="53">
        <v>0.75</v>
      </c>
      <c r="Q30" s="74">
        <f t="shared" si="0"/>
        <v>0.77500000000000002</v>
      </c>
      <c r="R30" s="168">
        <v>15.1</v>
      </c>
      <c r="S30" s="168">
        <v>123</v>
      </c>
      <c r="T30" s="16">
        <f t="shared" si="1"/>
        <v>30</v>
      </c>
      <c r="U30" s="164">
        <v>89</v>
      </c>
      <c r="V30" s="38">
        <f t="shared" si="2"/>
        <v>2670</v>
      </c>
      <c r="W30" s="165">
        <v>12</v>
      </c>
      <c r="X30" s="166" t="s">
        <v>39</v>
      </c>
      <c r="Y30" s="172" t="s">
        <v>55</v>
      </c>
      <c r="Z30" s="172" t="s">
        <v>86</v>
      </c>
      <c r="AA30" s="172" t="s">
        <v>97</v>
      </c>
      <c r="AB30" s="53" t="s">
        <v>158</v>
      </c>
    </row>
    <row r="31" spans="1:48" x14ac:dyDescent="0.15">
      <c r="A31" s="158" t="s">
        <v>34</v>
      </c>
      <c r="B31" s="158" t="s">
        <v>157</v>
      </c>
      <c r="C31" s="158">
        <v>2019</v>
      </c>
      <c r="D31" s="160" t="s">
        <v>358</v>
      </c>
      <c r="E31" s="159" t="s">
        <v>210</v>
      </c>
      <c r="F31" s="158" t="s">
        <v>363</v>
      </c>
      <c r="G31" s="161" t="s">
        <v>42</v>
      </c>
      <c r="H31" s="127" t="s">
        <v>160</v>
      </c>
      <c r="I31" s="127" t="s">
        <v>159</v>
      </c>
      <c r="J31" s="127" t="s">
        <v>38</v>
      </c>
      <c r="K31" s="127" t="s">
        <v>161</v>
      </c>
      <c r="L31" s="53">
        <v>3</v>
      </c>
      <c r="N31" s="53">
        <v>1</v>
      </c>
      <c r="O31" s="53">
        <v>0.6</v>
      </c>
      <c r="P31" s="53">
        <v>0.7</v>
      </c>
      <c r="Q31" s="74">
        <f t="shared" si="0"/>
        <v>0.64999999999999991</v>
      </c>
      <c r="R31" s="168">
        <v>14.4</v>
      </c>
      <c r="S31" s="168">
        <v>115</v>
      </c>
      <c r="T31" s="16">
        <f t="shared" si="1"/>
        <v>30</v>
      </c>
      <c r="U31" s="164">
        <v>89</v>
      </c>
      <c r="V31" s="38">
        <f t="shared" si="2"/>
        <v>2670</v>
      </c>
      <c r="W31" s="165">
        <v>12</v>
      </c>
      <c r="X31" s="166" t="s">
        <v>39</v>
      </c>
      <c r="Y31" s="172" t="s">
        <v>55</v>
      </c>
      <c r="Z31" s="172" t="s">
        <v>86</v>
      </c>
      <c r="AA31" s="172" t="s">
        <v>97</v>
      </c>
      <c r="AB31" s="53" t="s">
        <v>158</v>
      </c>
    </row>
    <row r="32" spans="1:48" ht="14.25" customHeight="1" x14ac:dyDescent="0.15">
      <c r="A32" s="158" t="s">
        <v>34</v>
      </c>
      <c r="B32" s="158" t="s">
        <v>157</v>
      </c>
      <c r="C32" s="159">
        <v>2019</v>
      </c>
      <c r="D32" s="160" t="s">
        <v>358</v>
      </c>
      <c r="E32" s="159" t="s">
        <v>268</v>
      </c>
      <c r="F32" s="158" t="s">
        <v>363</v>
      </c>
      <c r="G32" s="161" t="s">
        <v>42</v>
      </c>
      <c r="H32" s="127" t="s">
        <v>164</v>
      </c>
      <c r="I32" s="127" t="s">
        <v>159</v>
      </c>
      <c r="J32" s="127" t="s">
        <v>38</v>
      </c>
      <c r="K32" s="127" t="s">
        <v>161</v>
      </c>
      <c r="L32" s="53">
        <v>1</v>
      </c>
      <c r="N32" s="53">
        <v>5</v>
      </c>
      <c r="O32" s="53">
        <v>0.85</v>
      </c>
      <c r="P32" s="53">
        <v>0.8</v>
      </c>
      <c r="Q32" s="74">
        <f t="shared" si="0"/>
        <v>0.82499999999999996</v>
      </c>
      <c r="R32" s="168">
        <v>15.8</v>
      </c>
      <c r="S32" s="168">
        <v>83</v>
      </c>
      <c r="T32" s="16">
        <f t="shared" si="1"/>
        <v>39</v>
      </c>
      <c r="U32" s="164">
        <v>298</v>
      </c>
      <c r="V32" s="38">
        <f t="shared" si="2"/>
        <v>2324.4</v>
      </c>
      <c r="W32" s="165">
        <v>10</v>
      </c>
      <c r="X32" s="166" t="s">
        <v>39</v>
      </c>
      <c r="Y32" s="172" t="s">
        <v>86</v>
      </c>
      <c r="Z32" s="172" t="s">
        <v>69</v>
      </c>
      <c r="AA32" s="172" t="s">
        <v>97</v>
      </c>
      <c r="AB32" s="53" t="s">
        <v>158</v>
      </c>
    </row>
    <row r="33" spans="1:28" x14ac:dyDescent="0.15">
      <c r="A33" s="158" t="s">
        <v>34</v>
      </c>
      <c r="B33" s="158" t="s">
        <v>157</v>
      </c>
      <c r="C33" s="158">
        <v>2019</v>
      </c>
      <c r="D33" s="160" t="s">
        <v>358</v>
      </c>
      <c r="E33" s="159" t="s">
        <v>268</v>
      </c>
      <c r="F33" s="158" t="s">
        <v>363</v>
      </c>
      <c r="G33" s="161" t="s">
        <v>42</v>
      </c>
      <c r="H33" s="127" t="s">
        <v>164</v>
      </c>
      <c r="I33" s="127" t="s">
        <v>159</v>
      </c>
      <c r="J33" s="127" t="s">
        <v>38</v>
      </c>
      <c r="K33" s="127" t="s">
        <v>161</v>
      </c>
      <c r="L33" s="53">
        <v>2</v>
      </c>
      <c r="N33" s="53">
        <v>5</v>
      </c>
      <c r="O33" s="53">
        <v>0.6</v>
      </c>
      <c r="P33" s="53">
        <v>0.55000000000000004</v>
      </c>
      <c r="Q33" s="74">
        <f t="shared" si="0"/>
        <v>0.57499999999999996</v>
      </c>
      <c r="R33" s="168">
        <v>15.5</v>
      </c>
      <c r="S33" s="168">
        <v>83</v>
      </c>
      <c r="T33" s="16">
        <f t="shared" si="1"/>
        <v>39</v>
      </c>
      <c r="U33" s="164">
        <v>298</v>
      </c>
      <c r="V33" s="38">
        <f t="shared" si="2"/>
        <v>2324.4</v>
      </c>
      <c r="W33" s="165">
        <v>10</v>
      </c>
      <c r="X33" s="166" t="s">
        <v>39</v>
      </c>
      <c r="Y33" s="172" t="s">
        <v>86</v>
      </c>
      <c r="Z33" s="172" t="s">
        <v>69</v>
      </c>
      <c r="AA33" s="172" t="s">
        <v>97</v>
      </c>
      <c r="AB33" s="53" t="s">
        <v>158</v>
      </c>
    </row>
    <row r="34" spans="1:28" x14ac:dyDescent="0.15">
      <c r="A34" s="158" t="s">
        <v>34</v>
      </c>
      <c r="B34" s="158" t="s">
        <v>157</v>
      </c>
      <c r="C34" s="159">
        <v>2019</v>
      </c>
      <c r="D34" s="160" t="s">
        <v>358</v>
      </c>
      <c r="E34" s="159" t="s">
        <v>268</v>
      </c>
      <c r="F34" s="158" t="s">
        <v>363</v>
      </c>
      <c r="G34" s="161" t="s">
        <v>42</v>
      </c>
      <c r="H34" s="127" t="s">
        <v>164</v>
      </c>
      <c r="I34" s="127" t="s">
        <v>159</v>
      </c>
      <c r="J34" s="127" t="s">
        <v>38</v>
      </c>
      <c r="K34" s="127" t="s">
        <v>161</v>
      </c>
      <c r="L34" s="53">
        <v>3</v>
      </c>
      <c r="N34" s="53">
        <v>5</v>
      </c>
      <c r="O34" s="53">
        <v>0.65</v>
      </c>
      <c r="P34" s="34">
        <v>0.6</v>
      </c>
      <c r="Q34" s="74">
        <f t="shared" si="0"/>
        <v>0.625</v>
      </c>
      <c r="R34" s="168">
        <v>14.1</v>
      </c>
      <c r="S34" s="168">
        <v>75</v>
      </c>
      <c r="T34" s="16">
        <f t="shared" si="1"/>
        <v>42</v>
      </c>
      <c r="U34" s="164">
        <v>298</v>
      </c>
      <c r="V34" s="38">
        <f t="shared" si="2"/>
        <v>2503.2000000000003</v>
      </c>
      <c r="W34" s="165">
        <v>10</v>
      </c>
      <c r="X34" s="166" t="s">
        <v>39</v>
      </c>
      <c r="Y34" s="172" t="s">
        <v>86</v>
      </c>
      <c r="Z34" s="172" t="s">
        <v>69</v>
      </c>
      <c r="AA34" s="172" t="s">
        <v>97</v>
      </c>
      <c r="AB34" s="53" t="s">
        <v>158</v>
      </c>
    </row>
    <row r="35" spans="1:28" x14ac:dyDescent="0.15">
      <c r="A35" s="158" t="s">
        <v>34</v>
      </c>
      <c r="B35" s="158" t="s">
        <v>157</v>
      </c>
      <c r="C35" s="158">
        <v>2019</v>
      </c>
      <c r="D35" s="160" t="s">
        <v>358</v>
      </c>
      <c r="E35" s="159" t="s">
        <v>268</v>
      </c>
      <c r="F35" s="158" t="s">
        <v>363</v>
      </c>
      <c r="G35" s="161" t="s">
        <v>42</v>
      </c>
      <c r="H35" s="127" t="s">
        <v>160</v>
      </c>
      <c r="I35" s="127" t="s">
        <v>159</v>
      </c>
      <c r="J35" s="127" t="s">
        <v>38</v>
      </c>
      <c r="K35" s="127" t="s">
        <v>161</v>
      </c>
      <c r="L35" s="53">
        <v>1</v>
      </c>
      <c r="N35" s="53">
        <v>4</v>
      </c>
      <c r="O35" s="53">
        <v>0.7</v>
      </c>
      <c r="P35" s="53">
        <v>0.65</v>
      </c>
      <c r="Q35" s="74">
        <f t="shared" si="0"/>
        <v>0.67500000000000004</v>
      </c>
      <c r="R35" s="168">
        <v>16.2</v>
      </c>
      <c r="S35" s="168">
        <v>85</v>
      </c>
      <c r="T35" s="16">
        <f t="shared" si="1"/>
        <v>36</v>
      </c>
      <c r="U35" s="164">
        <v>398</v>
      </c>
      <c r="V35" s="38">
        <f t="shared" si="2"/>
        <v>3582</v>
      </c>
      <c r="W35" s="165">
        <v>10</v>
      </c>
      <c r="X35" s="166" t="s">
        <v>39</v>
      </c>
      <c r="Y35" s="172" t="s">
        <v>86</v>
      </c>
      <c r="Z35" s="172" t="s">
        <v>69</v>
      </c>
      <c r="AA35" s="172" t="s">
        <v>97</v>
      </c>
      <c r="AB35" s="53" t="s">
        <v>158</v>
      </c>
    </row>
    <row r="36" spans="1:28" x14ac:dyDescent="0.15">
      <c r="A36" s="158" t="s">
        <v>34</v>
      </c>
      <c r="B36" s="158" t="s">
        <v>157</v>
      </c>
      <c r="C36" s="159">
        <v>2019</v>
      </c>
      <c r="D36" s="160" t="s">
        <v>358</v>
      </c>
      <c r="E36" s="159" t="s">
        <v>268</v>
      </c>
      <c r="F36" s="158" t="s">
        <v>363</v>
      </c>
      <c r="G36" s="161" t="s">
        <v>42</v>
      </c>
      <c r="H36" s="127" t="s">
        <v>160</v>
      </c>
      <c r="I36" s="127" t="s">
        <v>159</v>
      </c>
      <c r="J36" s="127" t="s">
        <v>38</v>
      </c>
      <c r="K36" s="127" t="s">
        <v>161</v>
      </c>
      <c r="L36" s="53">
        <v>2</v>
      </c>
      <c r="N36" s="53">
        <v>4</v>
      </c>
      <c r="O36" s="53">
        <v>0.55000000000000004</v>
      </c>
      <c r="P36" s="53">
        <v>0.5</v>
      </c>
      <c r="Q36" s="74">
        <f t="shared" si="0"/>
        <v>0.52500000000000002</v>
      </c>
      <c r="R36" s="168">
        <v>16.600000000000001</v>
      </c>
      <c r="S36" s="168">
        <v>84</v>
      </c>
      <c r="T36" s="16">
        <f t="shared" si="1"/>
        <v>36</v>
      </c>
      <c r="U36" s="164">
        <v>398</v>
      </c>
      <c r="V36" s="38">
        <f t="shared" si="2"/>
        <v>3582</v>
      </c>
      <c r="W36" s="165">
        <v>10</v>
      </c>
      <c r="X36" s="166" t="s">
        <v>39</v>
      </c>
      <c r="Y36" s="172" t="s">
        <v>86</v>
      </c>
      <c r="Z36" s="172" t="s">
        <v>69</v>
      </c>
      <c r="AA36" s="172" t="s">
        <v>97</v>
      </c>
      <c r="AB36" s="53" t="s">
        <v>158</v>
      </c>
    </row>
    <row r="37" spans="1:28" x14ac:dyDescent="0.15">
      <c r="A37" s="158" t="s">
        <v>34</v>
      </c>
      <c r="B37" s="158" t="s">
        <v>157</v>
      </c>
      <c r="C37" s="158">
        <v>2019</v>
      </c>
      <c r="D37" s="160" t="s">
        <v>358</v>
      </c>
      <c r="E37" s="159" t="s">
        <v>268</v>
      </c>
      <c r="F37" s="158" t="s">
        <v>363</v>
      </c>
      <c r="G37" s="161" t="s">
        <v>42</v>
      </c>
      <c r="H37" s="127" t="s">
        <v>160</v>
      </c>
      <c r="I37" s="127" t="s">
        <v>159</v>
      </c>
      <c r="J37" s="127" t="s">
        <v>38</v>
      </c>
      <c r="K37" s="127" t="s">
        <v>161</v>
      </c>
      <c r="L37" s="53">
        <v>3</v>
      </c>
      <c r="N37" s="53">
        <v>4</v>
      </c>
      <c r="O37" s="53">
        <v>0.6</v>
      </c>
      <c r="P37" s="53">
        <v>0.5</v>
      </c>
      <c r="Q37" s="74">
        <f t="shared" si="0"/>
        <v>0.55000000000000004</v>
      </c>
      <c r="R37" s="168">
        <v>16.5</v>
      </c>
      <c r="S37" s="168">
        <v>85</v>
      </c>
      <c r="T37" s="16">
        <f t="shared" si="1"/>
        <v>36</v>
      </c>
      <c r="U37" s="164">
        <v>398</v>
      </c>
      <c r="V37" s="38">
        <f t="shared" si="2"/>
        <v>3582</v>
      </c>
      <c r="W37" s="165">
        <v>10</v>
      </c>
      <c r="X37" s="166" t="s">
        <v>39</v>
      </c>
      <c r="Y37" s="172" t="s">
        <v>86</v>
      </c>
      <c r="Z37" s="172" t="s">
        <v>69</v>
      </c>
      <c r="AA37" s="172" t="s">
        <v>97</v>
      </c>
      <c r="AB37" s="53" t="s">
        <v>158</v>
      </c>
    </row>
    <row r="38" spans="1:28" x14ac:dyDescent="0.15">
      <c r="A38" s="158" t="s">
        <v>34</v>
      </c>
      <c r="B38" s="158" t="s">
        <v>157</v>
      </c>
      <c r="C38" s="159">
        <v>2019</v>
      </c>
      <c r="D38" s="160" t="s">
        <v>358</v>
      </c>
      <c r="E38" s="159" t="s">
        <v>210</v>
      </c>
      <c r="F38" s="158" t="s">
        <v>365</v>
      </c>
      <c r="G38" s="161" t="s">
        <v>42</v>
      </c>
      <c r="H38" s="127" t="s">
        <v>164</v>
      </c>
      <c r="I38" s="127" t="s">
        <v>159</v>
      </c>
      <c r="J38" s="127" t="s">
        <v>38</v>
      </c>
      <c r="K38" s="127" t="s">
        <v>161</v>
      </c>
      <c r="L38" s="53">
        <v>1</v>
      </c>
      <c r="N38" s="53">
        <v>1</v>
      </c>
      <c r="O38" s="53">
        <v>0.8</v>
      </c>
      <c r="P38" s="53">
        <v>0.85</v>
      </c>
      <c r="Q38" s="74">
        <f t="shared" si="0"/>
        <v>0.82499999999999996</v>
      </c>
      <c r="R38" s="168">
        <v>13.7</v>
      </c>
      <c r="S38" s="168">
        <v>111</v>
      </c>
      <c r="T38" s="16">
        <f t="shared" si="1"/>
        <v>33</v>
      </c>
      <c r="U38" s="164">
        <v>89</v>
      </c>
      <c r="V38" s="38">
        <f t="shared" si="2"/>
        <v>2937</v>
      </c>
      <c r="W38" s="165">
        <v>14</v>
      </c>
      <c r="X38" s="166" t="s">
        <v>46</v>
      </c>
      <c r="Y38" s="172" t="s">
        <v>69</v>
      </c>
      <c r="Z38" s="172" t="s">
        <v>86</v>
      </c>
      <c r="AA38" s="172" t="s">
        <v>97</v>
      </c>
      <c r="AB38" s="53" t="s">
        <v>158</v>
      </c>
    </row>
    <row r="39" spans="1:28" x14ac:dyDescent="0.15">
      <c r="A39" s="158" t="s">
        <v>34</v>
      </c>
      <c r="B39" s="158" t="s">
        <v>157</v>
      </c>
      <c r="C39" s="158">
        <v>2019</v>
      </c>
      <c r="D39" s="160" t="s">
        <v>358</v>
      </c>
      <c r="E39" s="159" t="s">
        <v>210</v>
      </c>
      <c r="F39" s="158" t="s">
        <v>365</v>
      </c>
      <c r="G39" s="161" t="s">
        <v>42</v>
      </c>
      <c r="H39" s="127" t="s">
        <v>164</v>
      </c>
      <c r="I39" s="127" t="s">
        <v>159</v>
      </c>
      <c r="J39" s="127" t="s">
        <v>38</v>
      </c>
      <c r="K39" s="127" t="s">
        <v>161</v>
      </c>
      <c r="L39" s="53">
        <v>2</v>
      </c>
      <c r="N39" s="53">
        <v>1</v>
      </c>
      <c r="O39" s="53">
        <v>0.65</v>
      </c>
      <c r="P39" s="53">
        <v>0.7</v>
      </c>
      <c r="Q39" s="74">
        <f t="shared" si="0"/>
        <v>0.67500000000000004</v>
      </c>
      <c r="R39" s="168">
        <v>14.4</v>
      </c>
      <c r="S39" s="168">
        <v>114</v>
      </c>
      <c r="T39" s="16">
        <f t="shared" si="1"/>
        <v>30</v>
      </c>
      <c r="U39" s="164">
        <v>89</v>
      </c>
      <c r="V39" s="38">
        <f t="shared" si="2"/>
        <v>2670</v>
      </c>
      <c r="W39" s="165">
        <v>14</v>
      </c>
      <c r="X39" s="166" t="s">
        <v>46</v>
      </c>
      <c r="Y39" s="172" t="s">
        <v>69</v>
      </c>
      <c r="Z39" s="172" t="s">
        <v>86</v>
      </c>
      <c r="AA39" s="172" t="s">
        <v>97</v>
      </c>
      <c r="AB39" s="53" t="s">
        <v>158</v>
      </c>
    </row>
    <row r="40" spans="1:28" ht="12.75" customHeight="1" x14ac:dyDescent="0.15">
      <c r="A40" s="158" t="s">
        <v>34</v>
      </c>
      <c r="B40" s="158" t="s">
        <v>157</v>
      </c>
      <c r="C40" s="159">
        <v>2019</v>
      </c>
      <c r="D40" s="160" t="s">
        <v>358</v>
      </c>
      <c r="E40" s="159" t="s">
        <v>210</v>
      </c>
      <c r="F40" s="158" t="s">
        <v>365</v>
      </c>
      <c r="G40" s="161" t="s">
        <v>42</v>
      </c>
      <c r="H40" s="127" t="s">
        <v>164</v>
      </c>
      <c r="I40" s="127" t="s">
        <v>159</v>
      </c>
      <c r="J40" s="127" t="s">
        <v>38</v>
      </c>
      <c r="K40" s="127" t="s">
        <v>161</v>
      </c>
      <c r="L40" s="53">
        <v>3</v>
      </c>
      <c r="N40" s="53">
        <v>1</v>
      </c>
      <c r="O40" s="53">
        <v>0.7</v>
      </c>
      <c r="P40" s="53">
        <v>0.75</v>
      </c>
      <c r="Q40" s="74">
        <f t="shared" si="0"/>
        <v>0.72499999999999998</v>
      </c>
      <c r="R40" s="168">
        <v>14.1</v>
      </c>
      <c r="S40" s="168">
        <v>114</v>
      </c>
      <c r="T40" s="16">
        <f t="shared" si="1"/>
        <v>30</v>
      </c>
      <c r="U40" s="164">
        <v>89</v>
      </c>
      <c r="V40" s="38">
        <f t="shared" si="2"/>
        <v>2670</v>
      </c>
      <c r="W40" s="165">
        <v>14</v>
      </c>
      <c r="X40" s="166" t="s">
        <v>46</v>
      </c>
      <c r="Y40" s="172" t="s">
        <v>69</v>
      </c>
      <c r="Z40" s="172" t="s">
        <v>86</v>
      </c>
      <c r="AA40" s="172" t="s">
        <v>97</v>
      </c>
      <c r="AB40" s="53" t="s">
        <v>158</v>
      </c>
    </row>
    <row r="41" spans="1:28" ht="12.75" customHeight="1" x14ac:dyDescent="0.15">
      <c r="A41" s="127" t="s">
        <v>34</v>
      </c>
      <c r="B41" s="158" t="s">
        <v>157</v>
      </c>
      <c r="C41" s="159">
        <v>2019</v>
      </c>
      <c r="D41" s="160" t="s">
        <v>358</v>
      </c>
      <c r="E41" s="159" t="s">
        <v>210</v>
      </c>
      <c r="F41" s="158" t="s">
        <v>365</v>
      </c>
      <c r="G41" s="161" t="s">
        <v>42</v>
      </c>
      <c r="H41" s="127" t="s">
        <v>160</v>
      </c>
      <c r="I41" s="127" t="s">
        <v>159</v>
      </c>
      <c r="J41" s="127" t="s">
        <v>38</v>
      </c>
      <c r="K41" s="127" t="s">
        <v>161</v>
      </c>
      <c r="L41" s="53">
        <v>1</v>
      </c>
      <c r="N41" s="53">
        <v>1</v>
      </c>
      <c r="O41" s="53">
        <v>0.8</v>
      </c>
      <c r="P41" s="53">
        <v>0.75</v>
      </c>
      <c r="Q41" s="74">
        <f t="shared" si="0"/>
        <v>0.77500000000000002</v>
      </c>
      <c r="R41" s="168">
        <v>14.9</v>
      </c>
      <c r="S41" s="168">
        <v>126</v>
      </c>
      <c r="T41" s="16">
        <f t="shared" si="1"/>
        <v>30</v>
      </c>
      <c r="U41" s="164">
        <v>89</v>
      </c>
      <c r="V41" s="38">
        <f t="shared" si="2"/>
        <v>2670</v>
      </c>
      <c r="W41" s="53">
        <v>14</v>
      </c>
      <c r="X41" s="166" t="s">
        <v>46</v>
      </c>
      <c r="Y41" s="173" t="s">
        <v>69</v>
      </c>
      <c r="Z41" s="173" t="s">
        <v>86</v>
      </c>
      <c r="AA41" s="173" t="s">
        <v>97</v>
      </c>
      <c r="AB41" s="53" t="s">
        <v>158</v>
      </c>
    </row>
    <row r="42" spans="1:28" ht="12.75" customHeight="1" x14ac:dyDescent="0.15">
      <c r="A42" s="127" t="s">
        <v>34</v>
      </c>
      <c r="B42" s="158" t="s">
        <v>157</v>
      </c>
      <c r="C42" s="159">
        <v>2019</v>
      </c>
      <c r="D42" s="160" t="s">
        <v>358</v>
      </c>
      <c r="E42" s="159" t="s">
        <v>210</v>
      </c>
      <c r="F42" s="158" t="s">
        <v>365</v>
      </c>
      <c r="G42" s="161" t="s">
        <v>42</v>
      </c>
      <c r="H42" s="127" t="s">
        <v>160</v>
      </c>
      <c r="I42" s="127" t="s">
        <v>159</v>
      </c>
      <c r="J42" s="127" t="s">
        <v>38</v>
      </c>
      <c r="K42" s="127" t="s">
        <v>161</v>
      </c>
      <c r="L42" s="53">
        <v>2</v>
      </c>
      <c r="N42" s="53">
        <v>1</v>
      </c>
      <c r="O42" s="53">
        <v>0.8</v>
      </c>
      <c r="P42" s="53">
        <v>0.7</v>
      </c>
      <c r="Q42" s="74">
        <f t="shared" si="0"/>
        <v>0.75</v>
      </c>
      <c r="R42" s="168">
        <v>15.3</v>
      </c>
      <c r="S42" s="168">
        <v>121</v>
      </c>
      <c r="T42" s="16">
        <f t="shared" si="1"/>
        <v>30</v>
      </c>
      <c r="U42" s="164">
        <v>89</v>
      </c>
      <c r="V42" s="38">
        <f t="shared" si="2"/>
        <v>2670</v>
      </c>
      <c r="W42" s="53">
        <v>14</v>
      </c>
      <c r="X42" s="166" t="s">
        <v>46</v>
      </c>
      <c r="Y42" s="173" t="s">
        <v>69</v>
      </c>
      <c r="Z42" s="173" t="s">
        <v>86</v>
      </c>
      <c r="AA42" s="173" t="s">
        <v>97</v>
      </c>
      <c r="AB42" s="53" t="s">
        <v>158</v>
      </c>
    </row>
    <row r="43" spans="1:28" ht="12.75" customHeight="1" x14ac:dyDescent="0.15">
      <c r="A43" s="127" t="s">
        <v>34</v>
      </c>
      <c r="B43" s="158" t="s">
        <v>157</v>
      </c>
      <c r="C43" s="159">
        <v>2019</v>
      </c>
      <c r="D43" s="160" t="s">
        <v>358</v>
      </c>
      <c r="E43" s="159" t="s">
        <v>210</v>
      </c>
      <c r="F43" s="158" t="s">
        <v>365</v>
      </c>
      <c r="G43" s="161" t="s">
        <v>42</v>
      </c>
      <c r="H43" s="127" t="s">
        <v>160</v>
      </c>
      <c r="I43" s="127" t="s">
        <v>159</v>
      </c>
      <c r="J43" s="127" t="s">
        <v>38</v>
      </c>
      <c r="K43" s="127" t="s">
        <v>161</v>
      </c>
      <c r="L43" s="53">
        <v>3</v>
      </c>
      <c r="N43" s="53">
        <v>1</v>
      </c>
      <c r="O43" s="53">
        <v>0.7</v>
      </c>
      <c r="P43" s="53">
        <v>0.7</v>
      </c>
      <c r="Q43" s="74">
        <f t="shared" si="0"/>
        <v>0.7</v>
      </c>
      <c r="R43" s="168">
        <v>14.5</v>
      </c>
      <c r="S43" s="168">
        <v>115</v>
      </c>
      <c r="T43" s="16">
        <f t="shared" si="1"/>
        <v>30</v>
      </c>
      <c r="U43" s="164">
        <v>89</v>
      </c>
      <c r="V43" s="38">
        <f t="shared" si="2"/>
        <v>2670</v>
      </c>
      <c r="W43" s="53">
        <v>14</v>
      </c>
      <c r="X43" s="166" t="s">
        <v>46</v>
      </c>
      <c r="Y43" s="173" t="s">
        <v>69</v>
      </c>
      <c r="Z43" s="173" t="s">
        <v>86</v>
      </c>
      <c r="AA43" s="173" t="s">
        <v>97</v>
      </c>
      <c r="AB43" s="53" t="s">
        <v>158</v>
      </c>
    </row>
    <row r="44" spans="1:28" x14ac:dyDescent="0.15">
      <c r="A44" s="53" t="s">
        <v>34</v>
      </c>
      <c r="B44" s="158" t="s">
        <v>157</v>
      </c>
      <c r="C44" s="159">
        <v>2019</v>
      </c>
      <c r="D44" s="160" t="s">
        <v>358</v>
      </c>
      <c r="E44" s="159" t="s">
        <v>139</v>
      </c>
      <c r="F44" s="158" t="s">
        <v>365</v>
      </c>
      <c r="G44" s="161" t="s">
        <v>36</v>
      </c>
      <c r="H44" s="127" t="s">
        <v>164</v>
      </c>
      <c r="I44" s="127" t="s">
        <v>159</v>
      </c>
      <c r="J44" s="53" t="s">
        <v>38</v>
      </c>
      <c r="K44" s="127" t="s">
        <v>161</v>
      </c>
      <c r="L44" s="53">
        <v>1</v>
      </c>
      <c r="N44" s="53">
        <v>1</v>
      </c>
      <c r="O44" s="53">
        <v>0.6</v>
      </c>
      <c r="P44" s="53">
        <v>0.55000000000000004</v>
      </c>
      <c r="Q44" s="74">
        <f t="shared" si="0"/>
        <v>0.57499999999999996</v>
      </c>
      <c r="R44" s="168">
        <v>13.5</v>
      </c>
      <c r="S44" s="168">
        <v>96</v>
      </c>
      <c r="T44" s="16">
        <f t="shared" si="1"/>
        <v>36</v>
      </c>
      <c r="U44" s="164">
        <v>95</v>
      </c>
      <c r="V44" s="16">
        <f t="shared" si="2"/>
        <v>3420</v>
      </c>
      <c r="W44" s="53">
        <v>16</v>
      </c>
      <c r="X44" s="166" t="s">
        <v>46</v>
      </c>
      <c r="Y44" s="173" t="s">
        <v>64</v>
      </c>
      <c r="Z44" s="173" t="s">
        <v>97</v>
      </c>
      <c r="AA44" s="173" t="s">
        <v>86</v>
      </c>
      <c r="AB44" s="53" t="s">
        <v>158</v>
      </c>
    </row>
    <row r="45" spans="1:28" x14ac:dyDescent="0.15">
      <c r="A45" s="53" t="s">
        <v>34</v>
      </c>
      <c r="B45" s="158" t="s">
        <v>157</v>
      </c>
      <c r="C45" s="158">
        <v>2019</v>
      </c>
      <c r="D45" s="160" t="s">
        <v>358</v>
      </c>
      <c r="E45" s="159" t="s">
        <v>139</v>
      </c>
      <c r="F45" s="158" t="s">
        <v>365</v>
      </c>
      <c r="G45" s="161" t="s">
        <v>36</v>
      </c>
      <c r="H45" s="127" t="s">
        <v>164</v>
      </c>
      <c r="I45" s="127" t="s">
        <v>159</v>
      </c>
      <c r="J45" s="53" t="s">
        <v>38</v>
      </c>
      <c r="K45" s="127" t="s">
        <v>161</v>
      </c>
      <c r="L45" s="53">
        <v>2</v>
      </c>
      <c r="N45" s="53">
        <v>1</v>
      </c>
      <c r="O45" s="53">
        <v>0.55000000000000004</v>
      </c>
      <c r="P45" s="53">
        <v>0.55000000000000004</v>
      </c>
      <c r="Q45" s="74">
        <f t="shared" si="0"/>
        <v>0.55000000000000004</v>
      </c>
      <c r="R45" s="168">
        <v>14.1</v>
      </c>
      <c r="S45" s="168">
        <v>116</v>
      </c>
      <c r="T45" s="16">
        <f t="shared" si="1"/>
        <v>30</v>
      </c>
      <c r="U45" s="164">
        <v>95</v>
      </c>
      <c r="V45" s="16">
        <f t="shared" si="2"/>
        <v>2850</v>
      </c>
      <c r="W45" s="53">
        <v>16</v>
      </c>
      <c r="X45" s="166" t="s">
        <v>46</v>
      </c>
      <c r="Y45" s="173" t="s">
        <v>64</v>
      </c>
      <c r="Z45" s="173" t="s">
        <v>97</v>
      </c>
      <c r="AA45" s="173" t="s">
        <v>86</v>
      </c>
      <c r="AB45" s="53" t="s">
        <v>158</v>
      </c>
    </row>
    <row r="46" spans="1:28" x14ac:dyDescent="0.15">
      <c r="A46" s="53" t="s">
        <v>34</v>
      </c>
      <c r="B46" s="158" t="s">
        <v>157</v>
      </c>
      <c r="C46" s="159">
        <v>2019</v>
      </c>
      <c r="D46" s="160" t="s">
        <v>358</v>
      </c>
      <c r="E46" s="159" t="s">
        <v>139</v>
      </c>
      <c r="F46" s="158" t="s">
        <v>365</v>
      </c>
      <c r="G46" s="161" t="s">
        <v>36</v>
      </c>
      <c r="H46" s="127" t="s">
        <v>164</v>
      </c>
      <c r="I46" s="127" t="s">
        <v>159</v>
      </c>
      <c r="J46" s="53" t="s">
        <v>38</v>
      </c>
      <c r="K46" s="127" t="s">
        <v>161</v>
      </c>
      <c r="L46" s="53">
        <v>3</v>
      </c>
      <c r="N46" s="53">
        <v>1</v>
      </c>
      <c r="O46" s="53">
        <v>0.6</v>
      </c>
      <c r="P46" s="53">
        <v>0.5</v>
      </c>
      <c r="Q46" s="74">
        <f t="shared" si="0"/>
        <v>0.55000000000000004</v>
      </c>
      <c r="R46" s="168">
        <v>13.8</v>
      </c>
      <c r="S46" s="168">
        <v>110</v>
      </c>
      <c r="T46" s="16">
        <f t="shared" si="1"/>
        <v>33</v>
      </c>
      <c r="U46" s="164">
        <v>95</v>
      </c>
      <c r="V46" s="16">
        <f t="shared" si="2"/>
        <v>3135</v>
      </c>
      <c r="W46" s="53">
        <v>16</v>
      </c>
      <c r="X46" s="166" t="s">
        <v>46</v>
      </c>
      <c r="Y46" s="173" t="s">
        <v>64</v>
      </c>
      <c r="Z46" s="173" t="s">
        <v>97</v>
      </c>
      <c r="AA46" s="173" t="s">
        <v>86</v>
      </c>
      <c r="AB46" s="53" t="s">
        <v>158</v>
      </c>
    </row>
    <row r="47" spans="1:28" x14ac:dyDescent="0.15">
      <c r="A47" s="53" t="s">
        <v>34</v>
      </c>
      <c r="B47" s="34" t="s">
        <v>157</v>
      </c>
      <c r="C47" s="53">
        <v>2019</v>
      </c>
      <c r="D47" s="174" t="s">
        <v>358</v>
      </c>
      <c r="E47" s="53" t="s">
        <v>139</v>
      </c>
      <c r="F47" s="158" t="s">
        <v>365</v>
      </c>
      <c r="G47" s="161" t="s">
        <v>36</v>
      </c>
      <c r="H47" s="127" t="s">
        <v>160</v>
      </c>
      <c r="I47" s="127" t="s">
        <v>159</v>
      </c>
      <c r="J47" s="53" t="s">
        <v>38</v>
      </c>
      <c r="K47" s="127" t="s">
        <v>161</v>
      </c>
      <c r="L47" s="53">
        <v>1</v>
      </c>
      <c r="N47" s="53">
        <v>4</v>
      </c>
      <c r="O47" s="53">
        <v>0.5</v>
      </c>
      <c r="P47" s="53">
        <v>0.55000000000000004</v>
      </c>
      <c r="Q47" s="74">
        <f t="shared" si="0"/>
        <v>0.52500000000000002</v>
      </c>
      <c r="R47" s="168">
        <v>16.8</v>
      </c>
      <c r="S47" s="168">
        <v>106</v>
      </c>
      <c r="T47" s="16">
        <f t="shared" si="1"/>
        <v>33</v>
      </c>
      <c r="U47" s="53">
        <v>599</v>
      </c>
      <c r="V47" s="16">
        <f t="shared" si="2"/>
        <v>4941.75</v>
      </c>
      <c r="W47" s="53">
        <v>16</v>
      </c>
      <c r="X47" s="166" t="s">
        <v>46</v>
      </c>
      <c r="Y47" s="53" t="s">
        <v>64</v>
      </c>
      <c r="Z47" s="53" t="s">
        <v>97</v>
      </c>
      <c r="AA47" s="53" t="s">
        <v>86</v>
      </c>
      <c r="AB47" s="53" t="s">
        <v>158</v>
      </c>
    </row>
    <row r="48" spans="1:28" x14ac:dyDescent="0.15">
      <c r="A48" s="53" t="s">
        <v>34</v>
      </c>
      <c r="B48" s="34" t="s">
        <v>157</v>
      </c>
      <c r="C48" s="53">
        <v>2019</v>
      </c>
      <c r="D48" s="174" t="s">
        <v>358</v>
      </c>
      <c r="E48" s="53" t="s">
        <v>139</v>
      </c>
      <c r="F48" s="158" t="s">
        <v>365</v>
      </c>
      <c r="G48" s="161" t="s">
        <v>36</v>
      </c>
      <c r="H48" s="127" t="s">
        <v>160</v>
      </c>
      <c r="I48" s="127" t="s">
        <v>159</v>
      </c>
      <c r="J48" s="53" t="s">
        <v>38</v>
      </c>
      <c r="K48" s="127" t="s">
        <v>161</v>
      </c>
      <c r="L48" s="53">
        <v>2</v>
      </c>
      <c r="N48" s="53">
        <v>4</v>
      </c>
      <c r="O48" s="53">
        <v>0.55000000000000004</v>
      </c>
      <c r="P48" s="53">
        <v>0.6</v>
      </c>
      <c r="Q48" s="74">
        <f t="shared" si="0"/>
        <v>0.57499999999999996</v>
      </c>
      <c r="R48" s="168">
        <v>16.3</v>
      </c>
      <c r="S48" s="168">
        <v>105</v>
      </c>
      <c r="T48" s="16">
        <f t="shared" si="1"/>
        <v>33</v>
      </c>
      <c r="U48" s="53">
        <v>599</v>
      </c>
      <c r="V48" s="16">
        <f t="shared" si="2"/>
        <v>4941.75</v>
      </c>
      <c r="W48" s="53">
        <v>16</v>
      </c>
      <c r="X48" s="166" t="s">
        <v>46</v>
      </c>
      <c r="Y48" s="53" t="s">
        <v>64</v>
      </c>
      <c r="Z48" s="53" t="s">
        <v>97</v>
      </c>
      <c r="AA48" s="53" t="s">
        <v>86</v>
      </c>
      <c r="AB48" s="53" t="s">
        <v>158</v>
      </c>
    </row>
    <row r="49" spans="1:28" x14ac:dyDescent="0.15">
      <c r="A49" s="53" t="s">
        <v>34</v>
      </c>
      <c r="B49" s="34" t="s">
        <v>157</v>
      </c>
      <c r="C49" s="53">
        <v>2019</v>
      </c>
      <c r="D49" s="174" t="s">
        <v>358</v>
      </c>
      <c r="E49" s="53" t="s">
        <v>139</v>
      </c>
      <c r="F49" s="158" t="s">
        <v>365</v>
      </c>
      <c r="G49" s="161" t="s">
        <v>36</v>
      </c>
      <c r="H49" s="127" t="s">
        <v>160</v>
      </c>
      <c r="I49" s="127" t="s">
        <v>159</v>
      </c>
      <c r="J49" s="53" t="s">
        <v>38</v>
      </c>
      <c r="K49" s="127" t="s">
        <v>161</v>
      </c>
      <c r="L49" s="53">
        <v>3</v>
      </c>
      <c r="N49" s="53">
        <v>4</v>
      </c>
      <c r="O49" s="53">
        <v>0.55000000000000004</v>
      </c>
      <c r="P49" s="53">
        <v>0.5</v>
      </c>
      <c r="Q49" s="74">
        <f t="shared" si="0"/>
        <v>0.52500000000000002</v>
      </c>
      <c r="R49" s="168">
        <v>16.600000000000001</v>
      </c>
      <c r="S49" s="168">
        <v>104</v>
      </c>
      <c r="T49" s="16">
        <f t="shared" si="1"/>
        <v>33</v>
      </c>
      <c r="U49" s="53">
        <v>599</v>
      </c>
      <c r="V49" s="16">
        <f t="shared" si="2"/>
        <v>4941.75</v>
      </c>
      <c r="W49" s="53">
        <v>16</v>
      </c>
      <c r="X49" s="166" t="s">
        <v>46</v>
      </c>
      <c r="Y49" s="53" t="s">
        <v>64</v>
      </c>
      <c r="Z49" s="53" t="s">
        <v>97</v>
      </c>
      <c r="AA49" s="53" t="s">
        <v>86</v>
      </c>
      <c r="AB49" s="53" t="s">
        <v>158</v>
      </c>
    </row>
    <row r="50" spans="1:28" x14ac:dyDescent="0.15">
      <c r="A50" s="53" t="s">
        <v>34</v>
      </c>
      <c r="B50" s="53" t="s">
        <v>157</v>
      </c>
      <c r="C50" s="53">
        <v>2019</v>
      </c>
      <c r="D50" s="174" t="s">
        <v>358</v>
      </c>
      <c r="E50" s="53" t="s">
        <v>133</v>
      </c>
      <c r="F50" s="158" t="s">
        <v>366</v>
      </c>
      <c r="G50" s="161" t="s">
        <v>36</v>
      </c>
      <c r="H50" s="53" t="s">
        <v>164</v>
      </c>
      <c r="I50" s="53" t="s">
        <v>159</v>
      </c>
      <c r="J50" s="53" t="s">
        <v>38</v>
      </c>
      <c r="K50" s="127" t="s">
        <v>161</v>
      </c>
      <c r="L50" s="53">
        <v>1</v>
      </c>
      <c r="N50" s="53">
        <v>1</v>
      </c>
      <c r="O50" s="53">
        <v>0.75</v>
      </c>
      <c r="P50" s="53">
        <v>0.6</v>
      </c>
      <c r="Q50" s="74">
        <f t="shared" si="0"/>
        <v>0.67500000000000004</v>
      </c>
      <c r="R50" s="53">
        <v>15.8</v>
      </c>
      <c r="S50" s="53">
        <v>120</v>
      </c>
      <c r="T50" s="16">
        <f t="shared" si="1"/>
        <v>30</v>
      </c>
      <c r="U50" s="53">
        <v>138</v>
      </c>
      <c r="V50" s="16">
        <f t="shared" si="2"/>
        <v>4140</v>
      </c>
      <c r="W50" s="53">
        <v>24</v>
      </c>
      <c r="X50" s="166" t="s">
        <v>46</v>
      </c>
      <c r="Y50" s="53" t="s">
        <v>97</v>
      </c>
      <c r="Z50" s="53" t="s">
        <v>90</v>
      </c>
      <c r="AA50" s="53" t="s">
        <v>64</v>
      </c>
      <c r="AB50" s="53" t="s">
        <v>158</v>
      </c>
    </row>
    <row r="51" spans="1:28" x14ac:dyDescent="0.15">
      <c r="A51" s="53" t="s">
        <v>34</v>
      </c>
      <c r="B51" s="53" t="s">
        <v>157</v>
      </c>
      <c r="C51" s="53">
        <v>2019</v>
      </c>
      <c r="D51" s="174" t="s">
        <v>358</v>
      </c>
      <c r="E51" s="53" t="s">
        <v>133</v>
      </c>
      <c r="F51" s="158" t="s">
        <v>366</v>
      </c>
      <c r="G51" s="161" t="s">
        <v>36</v>
      </c>
      <c r="H51" s="53" t="s">
        <v>164</v>
      </c>
      <c r="I51" s="53" t="s">
        <v>159</v>
      </c>
      <c r="J51" s="53" t="s">
        <v>38</v>
      </c>
      <c r="K51" s="127" t="s">
        <v>161</v>
      </c>
      <c r="L51" s="53">
        <v>2</v>
      </c>
      <c r="N51" s="53">
        <v>1</v>
      </c>
      <c r="O51" s="53">
        <v>0.7</v>
      </c>
      <c r="P51" s="53">
        <v>0.65</v>
      </c>
      <c r="Q51" s="74">
        <f t="shared" si="0"/>
        <v>0.67500000000000004</v>
      </c>
      <c r="R51" s="53">
        <v>15.4</v>
      </c>
      <c r="S51" s="53">
        <v>124</v>
      </c>
      <c r="T51" s="16">
        <f t="shared" si="1"/>
        <v>30</v>
      </c>
      <c r="U51" s="53">
        <v>138</v>
      </c>
      <c r="V51" s="16">
        <f t="shared" si="2"/>
        <v>4140</v>
      </c>
      <c r="W51" s="53">
        <v>24</v>
      </c>
      <c r="X51" s="166" t="s">
        <v>46</v>
      </c>
      <c r="Y51" s="53" t="s">
        <v>97</v>
      </c>
      <c r="Z51" s="53" t="s">
        <v>90</v>
      </c>
      <c r="AA51" s="53" t="s">
        <v>64</v>
      </c>
      <c r="AB51" s="53" t="s">
        <v>158</v>
      </c>
    </row>
    <row r="52" spans="1:28" x14ac:dyDescent="0.15">
      <c r="A52" s="53" t="s">
        <v>34</v>
      </c>
      <c r="B52" s="53" t="s">
        <v>157</v>
      </c>
      <c r="C52" s="53">
        <v>2019</v>
      </c>
      <c r="D52" s="174" t="s">
        <v>358</v>
      </c>
      <c r="E52" s="53" t="s">
        <v>133</v>
      </c>
      <c r="F52" s="158" t="s">
        <v>366</v>
      </c>
      <c r="G52" s="161" t="s">
        <v>36</v>
      </c>
      <c r="H52" s="53" t="s">
        <v>164</v>
      </c>
      <c r="I52" s="53" t="s">
        <v>159</v>
      </c>
      <c r="J52" s="53" t="s">
        <v>38</v>
      </c>
      <c r="K52" s="127" t="s">
        <v>161</v>
      </c>
      <c r="L52" s="53">
        <v>3</v>
      </c>
      <c r="N52" s="53">
        <v>1</v>
      </c>
      <c r="O52" s="53">
        <v>0.8</v>
      </c>
      <c r="P52" s="53">
        <v>0.85</v>
      </c>
      <c r="Q52" s="74">
        <f t="shared" si="0"/>
        <v>0.82499999999999996</v>
      </c>
      <c r="R52" s="53">
        <v>15</v>
      </c>
      <c r="S52" s="53">
        <v>118</v>
      </c>
      <c r="T52" s="16">
        <f t="shared" si="1"/>
        <v>30</v>
      </c>
      <c r="U52" s="53">
        <v>138</v>
      </c>
      <c r="V52" s="16">
        <f t="shared" si="2"/>
        <v>4140</v>
      </c>
      <c r="W52" s="53">
        <v>24</v>
      </c>
      <c r="X52" s="166" t="s">
        <v>46</v>
      </c>
      <c r="Y52" s="53" t="s">
        <v>97</v>
      </c>
      <c r="Z52" s="53" t="s">
        <v>90</v>
      </c>
      <c r="AA52" s="53" t="s">
        <v>64</v>
      </c>
      <c r="AB52" s="53" t="s">
        <v>158</v>
      </c>
    </row>
    <row r="53" spans="1:28" x14ac:dyDescent="0.15">
      <c r="A53" s="53" t="s">
        <v>34</v>
      </c>
      <c r="B53" s="53" t="s">
        <v>157</v>
      </c>
      <c r="C53" s="53">
        <v>2019</v>
      </c>
      <c r="D53" s="174" t="s">
        <v>358</v>
      </c>
      <c r="E53" s="53" t="s">
        <v>133</v>
      </c>
      <c r="F53" s="158" t="s">
        <v>366</v>
      </c>
      <c r="G53" s="161" t="s">
        <v>36</v>
      </c>
      <c r="H53" s="53" t="s">
        <v>160</v>
      </c>
      <c r="I53" s="53" t="s">
        <v>159</v>
      </c>
      <c r="J53" s="53" t="s">
        <v>38</v>
      </c>
      <c r="K53" s="127" t="s">
        <v>161</v>
      </c>
      <c r="L53" s="53">
        <v>1</v>
      </c>
      <c r="N53" s="53">
        <v>1</v>
      </c>
      <c r="O53" s="53">
        <v>0.55000000000000004</v>
      </c>
      <c r="P53" s="53">
        <v>0.6</v>
      </c>
      <c r="Q53" s="74">
        <f t="shared" si="0"/>
        <v>0.57499999999999996</v>
      </c>
      <c r="R53" s="53">
        <v>17.2</v>
      </c>
      <c r="S53" s="53">
        <v>145</v>
      </c>
      <c r="T53" s="16">
        <f t="shared" si="1"/>
        <v>30</v>
      </c>
      <c r="U53" s="53">
        <v>138</v>
      </c>
      <c r="V53" s="16">
        <f t="shared" si="2"/>
        <v>4140</v>
      </c>
      <c r="W53" s="53">
        <v>24</v>
      </c>
      <c r="X53" s="166" t="s">
        <v>46</v>
      </c>
      <c r="Y53" s="53" t="s">
        <v>97</v>
      </c>
      <c r="Z53" s="53" t="s">
        <v>90</v>
      </c>
      <c r="AA53" s="53" t="s">
        <v>64</v>
      </c>
      <c r="AB53" s="53" t="s">
        <v>158</v>
      </c>
    </row>
    <row r="54" spans="1:28" x14ac:dyDescent="0.15">
      <c r="A54" s="53" t="s">
        <v>34</v>
      </c>
      <c r="B54" s="53" t="s">
        <v>157</v>
      </c>
      <c r="C54" s="53">
        <v>2019</v>
      </c>
      <c r="D54" s="174" t="s">
        <v>358</v>
      </c>
      <c r="E54" s="53" t="s">
        <v>133</v>
      </c>
      <c r="F54" s="158" t="s">
        <v>366</v>
      </c>
      <c r="G54" s="161" t="s">
        <v>36</v>
      </c>
      <c r="H54" s="53" t="s">
        <v>160</v>
      </c>
      <c r="I54" s="53" t="s">
        <v>159</v>
      </c>
      <c r="J54" s="53" t="s">
        <v>38</v>
      </c>
      <c r="K54" s="127" t="s">
        <v>161</v>
      </c>
      <c r="L54" s="53">
        <v>2</v>
      </c>
      <c r="N54" s="53">
        <v>1</v>
      </c>
      <c r="O54" s="53">
        <v>0.5</v>
      </c>
      <c r="P54" s="53">
        <v>0.55000000000000004</v>
      </c>
      <c r="Q54" s="74">
        <f t="shared" si="0"/>
        <v>0.52500000000000002</v>
      </c>
      <c r="R54" s="53">
        <v>17.8</v>
      </c>
      <c r="S54" s="53">
        <v>139</v>
      </c>
      <c r="T54" s="16">
        <f t="shared" si="1"/>
        <v>30</v>
      </c>
      <c r="U54" s="53">
        <v>138</v>
      </c>
      <c r="V54" s="16">
        <f t="shared" si="2"/>
        <v>4140</v>
      </c>
      <c r="W54" s="53">
        <v>24</v>
      </c>
      <c r="X54" s="166" t="s">
        <v>46</v>
      </c>
      <c r="Y54" s="53" t="s">
        <v>97</v>
      </c>
      <c r="Z54" s="53" t="s">
        <v>90</v>
      </c>
      <c r="AA54" s="53" t="s">
        <v>64</v>
      </c>
      <c r="AB54" s="53" t="s">
        <v>158</v>
      </c>
    </row>
    <row r="55" spans="1:28" x14ac:dyDescent="0.15">
      <c r="A55" s="53" t="s">
        <v>34</v>
      </c>
      <c r="B55" s="53" t="s">
        <v>157</v>
      </c>
      <c r="C55" s="53">
        <v>2019</v>
      </c>
      <c r="D55" s="174" t="s">
        <v>358</v>
      </c>
      <c r="E55" s="53" t="s">
        <v>133</v>
      </c>
      <c r="F55" s="158" t="s">
        <v>366</v>
      </c>
      <c r="G55" s="161" t="s">
        <v>36</v>
      </c>
      <c r="H55" s="53" t="s">
        <v>160</v>
      </c>
      <c r="I55" s="53" t="s">
        <v>159</v>
      </c>
      <c r="J55" s="53" t="s">
        <v>38</v>
      </c>
      <c r="K55" s="127" t="s">
        <v>161</v>
      </c>
      <c r="L55" s="53">
        <v>3</v>
      </c>
      <c r="N55" s="53">
        <v>1</v>
      </c>
      <c r="O55" s="53">
        <v>0.5</v>
      </c>
      <c r="P55" s="53">
        <v>0.6</v>
      </c>
      <c r="Q55" s="74">
        <f t="shared" si="0"/>
        <v>0.55000000000000004</v>
      </c>
      <c r="R55" s="53">
        <v>16.8</v>
      </c>
      <c r="S55" s="53">
        <v>140</v>
      </c>
      <c r="T55" s="16">
        <f t="shared" si="1"/>
        <v>30</v>
      </c>
      <c r="U55" s="53">
        <v>138</v>
      </c>
      <c r="V55" s="16">
        <f t="shared" si="2"/>
        <v>4140</v>
      </c>
      <c r="W55" s="53">
        <v>24</v>
      </c>
      <c r="X55" s="166" t="s">
        <v>46</v>
      </c>
      <c r="Y55" s="53" t="s">
        <v>97</v>
      </c>
      <c r="Z55" s="53" t="s">
        <v>90</v>
      </c>
      <c r="AA55" s="53" t="s">
        <v>64</v>
      </c>
      <c r="AB55" s="53" t="s">
        <v>158</v>
      </c>
    </row>
    <row r="56" spans="1:28" x14ac:dyDescent="0.15">
      <c r="A56" s="53" t="s">
        <v>34</v>
      </c>
      <c r="B56" s="53" t="s">
        <v>157</v>
      </c>
      <c r="C56" s="53">
        <v>2019</v>
      </c>
      <c r="D56" s="174" t="s">
        <v>358</v>
      </c>
      <c r="E56" s="53" t="s">
        <v>268</v>
      </c>
      <c r="F56" s="158" t="s">
        <v>367</v>
      </c>
      <c r="G56" s="161" t="s">
        <v>36</v>
      </c>
      <c r="H56" s="53" t="s">
        <v>164</v>
      </c>
      <c r="I56" s="53" t="s">
        <v>159</v>
      </c>
      <c r="J56" s="53" t="s">
        <v>38</v>
      </c>
      <c r="K56" s="127" t="s">
        <v>161</v>
      </c>
      <c r="L56" s="53">
        <v>1</v>
      </c>
      <c r="N56" s="53">
        <v>5</v>
      </c>
      <c r="O56" s="53">
        <v>0.45</v>
      </c>
      <c r="P56" s="53">
        <v>0.5</v>
      </c>
      <c r="Q56" s="74">
        <f t="shared" si="0"/>
        <v>0.47499999999999998</v>
      </c>
      <c r="R56" s="53">
        <v>15.8</v>
      </c>
      <c r="S56" s="53">
        <v>79</v>
      </c>
      <c r="T56" s="16">
        <f t="shared" si="1"/>
        <v>39</v>
      </c>
      <c r="U56" s="53">
        <v>298</v>
      </c>
      <c r="V56" s="16">
        <f t="shared" si="2"/>
        <v>2324.4</v>
      </c>
      <c r="W56" s="53">
        <v>12</v>
      </c>
      <c r="X56" s="166" t="s">
        <v>46</v>
      </c>
      <c r="Y56" s="53" t="s">
        <v>69</v>
      </c>
      <c r="Z56" s="53" t="s">
        <v>90</v>
      </c>
      <c r="AA56" s="53" t="s">
        <v>86</v>
      </c>
      <c r="AB56" s="53" t="s">
        <v>158</v>
      </c>
    </row>
    <row r="57" spans="1:28" x14ac:dyDescent="0.15">
      <c r="A57" s="53" t="s">
        <v>34</v>
      </c>
      <c r="B57" s="53" t="s">
        <v>157</v>
      </c>
      <c r="C57" s="53">
        <v>2019</v>
      </c>
      <c r="D57" s="174" t="s">
        <v>358</v>
      </c>
      <c r="E57" s="53" t="s">
        <v>268</v>
      </c>
      <c r="F57" s="158" t="s">
        <v>367</v>
      </c>
      <c r="G57" s="161" t="s">
        <v>36</v>
      </c>
      <c r="H57" s="53" t="s">
        <v>164</v>
      </c>
      <c r="I57" s="53" t="s">
        <v>159</v>
      </c>
      <c r="J57" s="53" t="s">
        <v>38</v>
      </c>
      <c r="K57" s="127" t="s">
        <v>161</v>
      </c>
      <c r="L57" s="53">
        <v>2</v>
      </c>
      <c r="N57" s="53">
        <v>5</v>
      </c>
      <c r="O57" s="53">
        <v>0.5</v>
      </c>
      <c r="P57" s="53">
        <v>0.4</v>
      </c>
      <c r="Q57" s="74">
        <f t="shared" si="0"/>
        <v>0.45</v>
      </c>
      <c r="R57" s="53">
        <v>15.4</v>
      </c>
      <c r="S57" s="53">
        <v>74</v>
      </c>
      <c r="T57" s="16">
        <f t="shared" si="1"/>
        <v>42</v>
      </c>
      <c r="U57" s="53">
        <v>298</v>
      </c>
      <c r="V57" s="16">
        <f t="shared" si="2"/>
        <v>2503.2000000000003</v>
      </c>
      <c r="W57" s="53">
        <v>12</v>
      </c>
      <c r="X57" s="166" t="s">
        <v>46</v>
      </c>
      <c r="Y57" s="53" t="s">
        <v>69</v>
      </c>
      <c r="Z57" s="53" t="s">
        <v>90</v>
      </c>
      <c r="AA57" s="53" t="s">
        <v>86</v>
      </c>
      <c r="AB57" s="53" t="s">
        <v>158</v>
      </c>
    </row>
    <row r="58" spans="1:28" x14ac:dyDescent="0.15">
      <c r="A58" s="53" t="s">
        <v>34</v>
      </c>
      <c r="B58" s="53" t="s">
        <v>157</v>
      </c>
      <c r="C58" s="53">
        <v>2019</v>
      </c>
      <c r="D58" s="174" t="s">
        <v>358</v>
      </c>
      <c r="E58" s="53" t="s">
        <v>268</v>
      </c>
      <c r="F58" s="158" t="s">
        <v>367</v>
      </c>
      <c r="G58" s="161" t="s">
        <v>36</v>
      </c>
      <c r="H58" s="53" t="s">
        <v>164</v>
      </c>
      <c r="I58" s="53" t="s">
        <v>159</v>
      </c>
      <c r="J58" s="53" t="s">
        <v>38</v>
      </c>
      <c r="K58" s="127" t="s">
        <v>161</v>
      </c>
      <c r="L58" s="53">
        <v>3</v>
      </c>
      <c r="N58" s="53">
        <v>5</v>
      </c>
      <c r="O58" s="53">
        <v>0.4</v>
      </c>
      <c r="P58" s="53">
        <v>0.4</v>
      </c>
      <c r="Q58" s="74">
        <f t="shared" si="0"/>
        <v>0.4</v>
      </c>
      <c r="R58" s="53">
        <v>15.5</v>
      </c>
      <c r="S58" s="53">
        <v>83</v>
      </c>
      <c r="T58" s="16">
        <f t="shared" si="1"/>
        <v>39</v>
      </c>
      <c r="U58" s="53">
        <v>298</v>
      </c>
      <c r="V58" s="16">
        <f t="shared" si="2"/>
        <v>2324.4</v>
      </c>
      <c r="W58" s="53">
        <v>12</v>
      </c>
      <c r="X58" s="166" t="s">
        <v>46</v>
      </c>
      <c r="Y58" s="53" t="s">
        <v>69</v>
      </c>
      <c r="Z58" s="53" t="s">
        <v>90</v>
      </c>
      <c r="AA58" s="53" t="s">
        <v>86</v>
      </c>
      <c r="AB58" s="53" t="s">
        <v>158</v>
      </c>
    </row>
    <row r="59" spans="1:28" x14ac:dyDescent="0.15">
      <c r="A59" s="53" t="s">
        <v>34</v>
      </c>
      <c r="B59" s="53" t="s">
        <v>157</v>
      </c>
      <c r="C59" s="53">
        <v>2019</v>
      </c>
      <c r="D59" s="174" t="s">
        <v>358</v>
      </c>
      <c r="E59" s="53" t="s">
        <v>268</v>
      </c>
      <c r="F59" s="158" t="s">
        <v>367</v>
      </c>
      <c r="G59" s="161" t="s">
        <v>36</v>
      </c>
      <c r="H59" s="53" t="s">
        <v>160</v>
      </c>
      <c r="I59" s="53" t="s">
        <v>159</v>
      </c>
      <c r="J59" s="53" t="s">
        <v>38</v>
      </c>
      <c r="K59" s="127" t="s">
        <v>161</v>
      </c>
      <c r="L59" s="53">
        <v>1</v>
      </c>
      <c r="N59" s="53">
        <v>4</v>
      </c>
      <c r="O59" s="53">
        <v>0.3</v>
      </c>
      <c r="P59" s="53">
        <v>0.35</v>
      </c>
      <c r="Q59" s="74">
        <f t="shared" si="0"/>
        <v>0.32499999999999996</v>
      </c>
      <c r="R59" s="53">
        <v>17.5</v>
      </c>
      <c r="S59" s="53">
        <v>91</v>
      </c>
      <c r="T59" s="16">
        <f t="shared" si="1"/>
        <v>36</v>
      </c>
      <c r="U59" s="53">
        <v>380</v>
      </c>
      <c r="V59" s="16">
        <f t="shared" si="2"/>
        <v>3420</v>
      </c>
      <c r="W59" s="53">
        <v>12</v>
      </c>
      <c r="X59" s="166" t="s">
        <v>46</v>
      </c>
      <c r="Y59" s="53" t="s">
        <v>69</v>
      </c>
      <c r="Z59" s="53" t="s">
        <v>90</v>
      </c>
      <c r="AA59" s="53" t="s">
        <v>86</v>
      </c>
      <c r="AB59" s="53" t="s">
        <v>158</v>
      </c>
    </row>
    <row r="60" spans="1:28" x14ac:dyDescent="0.15">
      <c r="A60" s="53" t="s">
        <v>34</v>
      </c>
      <c r="B60" s="53" t="s">
        <v>157</v>
      </c>
      <c r="C60" s="53">
        <v>2019</v>
      </c>
      <c r="D60" s="174" t="s">
        <v>358</v>
      </c>
      <c r="E60" s="53" t="s">
        <v>268</v>
      </c>
      <c r="F60" s="158" t="s">
        <v>367</v>
      </c>
      <c r="G60" s="161" t="s">
        <v>36</v>
      </c>
      <c r="H60" s="53" t="s">
        <v>160</v>
      </c>
      <c r="I60" s="53" t="s">
        <v>159</v>
      </c>
      <c r="J60" s="53" t="s">
        <v>38</v>
      </c>
      <c r="K60" s="127" t="s">
        <v>161</v>
      </c>
      <c r="L60" s="53">
        <v>2</v>
      </c>
      <c r="N60" s="53">
        <v>4</v>
      </c>
      <c r="O60" s="53">
        <v>0.45</v>
      </c>
      <c r="P60" s="53">
        <v>0.5</v>
      </c>
      <c r="Q60" s="74">
        <f t="shared" si="0"/>
        <v>0.47499999999999998</v>
      </c>
      <c r="R60" s="53">
        <v>16.8</v>
      </c>
      <c r="S60" s="53">
        <v>89</v>
      </c>
      <c r="T60" s="16">
        <f t="shared" si="1"/>
        <v>36</v>
      </c>
      <c r="U60" s="53">
        <v>380</v>
      </c>
      <c r="V60" s="16">
        <f t="shared" si="2"/>
        <v>3420</v>
      </c>
      <c r="W60" s="53">
        <v>12</v>
      </c>
      <c r="X60" s="166" t="s">
        <v>46</v>
      </c>
      <c r="Y60" s="53" t="s">
        <v>69</v>
      </c>
      <c r="Z60" s="53" t="s">
        <v>90</v>
      </c>
      <c r="AA60" s="53" t="s">
        <v>86</v>
      </c>
      <c r="AB60" s="53" t="s">
        <v>158</v>
      </c>
    </row>
    <row r="61" spans="1:28" x14ac:dyDescent="0.15">
      <c r="A61" s="53" t="s">
        <v>34</v>
      </c>
      <c r="B61" s="53" t="s">
        <v>157</v>
      </c>
      <c r="C61" s="53">
        <v>2019</v>
      </c>
      <c r="D61" s="174" t="s">
        <v>358</v>
      </c>
      <c r="E61" s="53" t="s">
        <v>268</v>
      </c>
      <c r="F61" s="158" t="s">
        <v>367</v>
      </c>
      <c r="G61" s="161" t="s">
        <v>36</v>
      </c>
      <c r="H61" s="53" t="s">
        <v>160</v>
      </c>
      <c r="I61" s="53" t="s">
        <v>159</v>
      </c>
      <c r="J61" s="53" t="s">
        <v>38</v>
      </c>
      <c r="K61" s="127" t="s">
        <v>161</v>
      </c>
      <c r="L61" s="53">
        <v>3</v>
      </c>
      <c r="N61" s="53">
        <v>4</v>
      </c>
      <c r="O61" s="53">
        <v>0.4</v>
      </c>
      <c r="P61" s="53">
        <v>0.45</v>
      </c>
      <c r="Q61" s="74">
        <f t="shared" si="0"/>
        <v>0.42500000000000004</v>
      </c>
      <c r="R61" s="53">
        <v>16.5</v>
      </c>
      <c r="S61" s="53">
        <v>93</v>
      </c>
      <c r="T61" s="16">
        <f t="shared" si="1"/>
        <v>36</v>
      </c>
      <c r="U61" s="53">
        <v>380</v>
      </c>
      <c r="V61" s="16">
        <f t="shared" si="2"/>
        <v>3420</v>
      </c>
      <c r="W61" s="53">
        <v>12</v>
      </c>
      <c r="X61" s="166" t="s">
        <v>46</v>
      </c>
      <c r="Y61" s="53" t="s">
        <v>69</v>
      </c>
      <c r="Z61" s="53" t="s">
        <v>90</v>
      </c>
      <c r="AA61" s="53" t="s">
        <v>86</v>
      </c>
      <c r="AB61" s="53" t="s">
        <v>158</v>
      </c>
    </row>
    <row r="62" spans="1:28" x14ac:dyDescent="0.15">
      <c r="D62" s="174"/>
      <c r="F62" s="158"/>
      <c r="G62" s="161"/>
      <c r="K62" s="127"/>
      <c r="Q62" s="74" t="str">
        <f t="shared" si="0"/>
        <v/>
      </c>
      <c r="T62" s="16" t="str">
        <f t="shared" si="1"/>
        <v/>
      </c>
      <c r="V62" s="16" t="str">
        <f t="shared" si="2"/>
        <v/>
      </c>
      <c r="X62" s="166"/>
    </row>
    <row r="63" spans="1:28" x14ac:dyDescent="0.15">
      <c r="D63" s="174"/>
      <c r="F63" s="158"/>
      <c r="G63" s="161"/>
      <c r="K63" s="127"/>
      <c r="Q63" s="74" t="str">
        <f t="shared" si="0"/>
        <v/>
      </c>
      <c r="T63" s="16" t="str">
        <f t="shared" si="1"/>
        <v/>
      </c>
      <c r="V63" s="16" t="str">
        <f t="shared" si="2"/>
        <v/>
      </c>
      <c r="X63" s="166"/>
    </row>
    <row r="64" spans="1:28" x14ac:dyDescent="0.15">
      <c r="D64" s="174"/>
      <c r="F64" s="158"/>
      <c r="G64" s="161"/>
      <c r="K64" s="127"/>
      <c r="Q64" s="74" t="str">
        <f t="shared" si="0"/>
        <v/>
      </c>
      <c r="T64" s="16" t="str">
        <f t="shared" si="1"/>
        <v/>
      </c>
      <c r="V64" s="16" t="str">
        <f t="shared" si="2"/>
        <v/>
      </c>
      <c r="X64" s="166"/>
    </row>
    <row r="65" spans="4:24" x14ac:dyDescent="0.15">
      <c r="D65" s="174"/>
      <c r="F65" s="158"/>
      <c r="G65" s="161"/>
      <c r="K65" s="127"/>
      <c r="Q65" s="74" t="str">
        <f t="shared" si="0"/>
        <v/>
      </c>
      <c r="T65" s="16" t="str">
        <f t="shared" si="1"/>
        <v/>
      </c>
      <c r="V65" s="16" t="str">
        <f t="shared" si="2"/>
        <v/>
      </c>
      <c r="X65" s="166"/>
    </row>
    <row r="66" spans="4:24" x14ac:dyDescent="0.15">
      <c r="D66" s="174"/>
      <c r="F66" s="158"/>
      <c r="G66" s="161"/>
      <c r="K66" s="127"/>
      <c r="Q66" s="74" t="str">
        <f t="shared" ref="Q66:Q91" si="3">IF(OR(O66="",P66=""),"",AVERAGE(O66,P66))</f>
        <v/>
      </c>
      <c r="T66" s="16" t="str">
        <f t="shared" ref="T66:T91" si="4">IF(H66="","",IF(OR(H66="GREEN",H66="GK"),IF(S66&gt;=$AX$2,VLOOKUP(S66,$AX$2:$AY$7,2,1),""),IF(S66&gt;=$AZ$2,VLOOKUP(S66,$AZ$2:$BA$7,2,1),"")))</f>
        <v/>
      </c>
      <c r="V66" s="16" t="str">
        <f t="shared" ref="V66:V91" si="5">IF(OR(N66="",U66="",T66=""),"",U66/N66*T66)</f>
        <v/>
      </c>
      <c r="X66" s="166"/>
    </row>
    <row r="67" spans="4:24" x14ac:dyDescent="0.15">
      <c r="D67" s="174"/>
      <c r="F67" s="158"/>
      <c r="G67" s="161"/>
      <c r="K67" s="127"/>
      <c r="Q67" s="74" t="str">
        <f t="shared" si="3"/>
        <v/>
      </c>
      <c r="T67" s="16" t="str">
        <f t="shared" si="4"/>
        <v/>
      </c>
      <c r="V67" s="16" t="str">
        <f t="shared" si="5"/>
        <v/>
      </c>
      <c r="X67" s="166"/>
    </row>
    <row r="68" spans="4:24" x14ac:dyDescent="0.15">
      <c r="D68" s="174"/>
      <c r="F68" s="158"/>
      <c r="G68" s="161"/>
      <c r="K68" s="127"/>
      <c r="Q68" s="74" t="str">
        <f t="shared" si="3"/>
        <v/>
      </c>
      <c r="T68" s="16" t="str">
        <f t="shared" si="4"/>
        <v/>
      </c>
      <c r="V68" s="16" t="str">
        <f t="shared" si="5"/>
        <v/>
      </c>
      <c r="X68" s="166"/>
    </row>
    <row r="69" spans="4:24" x14ac:dyDescent="0.15">
      <c r="D69" s="174"/>
      <c r="F69" s="158"/>
      <c r="G69" s="161"/>
      <c r="K69" s="127"/>
      <c r="Q69" s="74" t="str">
        <f t="shared" si="3"/>
        <v/>
      </c>
      <c r="T69" s="16" t="str">
        <f t="shared" si="4"/>
        <v/>
      </c>
      <c r="V69" s="16" t="str">
        <f t="shared" si="5"/>
        <v/>
      </c>
      <c r="X69" s="166"/>
    </row>
    <row r="70" spans="4:24" x14ac:dyDescent="0.15">
      <c r="D70" s="174"/>
      <c r="F70" s="158"/>
      <c r="G70" s="161"/>
      <c r="K70" s="127"/>
      <c r="Q70" s="74" t="str">
        <f t="shared" si="3"/>
        <v/>
      </c>
      <c r="T70" s="16" t="str">
        <f t="shared" si="4"/>
        <v/>
      </c>
      <c r="V70" s="16" t="str">
        <f t="shared" si="5"/>
        <v/>
      </c>
      <c r="X70" s="166"/>
    </row>
    <row r="71" spans="4:24" x14ac:dyDescent="0.15">
      <c r="D71" s="174"/>
      <c r="F71" s="158"/>
      <c r="G71" s="161"/>
      <c r="K71" s="127"/>
      <c r="Q71" s="74" t="str">
        <f t="shared" si="3"/>
        <v/>
      </c>
      <c r="T71" s="16" t="str">
        <f t="shared" si="4"/>
        <v/>
      </c>
      <c r="V71" s="16" t="str">
        <f t="shared" si="5"/>
        <v/>
      </c>
      <c r="X71" s="166"/>
    </row>
    <row r="72" spans="4:24" x14ac:dyDescent="0.15">
      <c r="D72" s="174"/>
      <c r="F72" s="158"/>
      <c r="G72" s="161"/>
      <c r="K72" s="127"/>
      <c r="Q72" s="74" t="str">
        <f t="shared" si="3"/>
        <v/>
      </c>
      <c r="T72" s="16" t="str">
        <f t="shared" si="4"/>
        <v/>
      </c>
      <c r="V72" s="16" t="str">
        <f t="shared" si="5"/>
        <v/>
      </c>
      <c r="X72" s="166"/>
    </row>
    <row r="73" spans="4:24" x14ac:dyDescent="0.15">
      <c r="D73" s="174"/>
      <c r="F73" s="158"/>
      <c r="G73" s="161"/>
      <c r="K73" s="127"/>
      <c r="Q73" s="74" t="str">
        <f t="shared" si="3"/>
        <v/>
      </c>
      <c r="T73" s="16" t="str">
        <f t="shared" si="4"/>
        <v/>
      </c>
      <c r="V73" s="16" t="str">
        <f t="shared" si="5"/>
        <v/>
      </c>
      <c r="X73" s="166"/>
    </row>
    <row r="74" spans="4:24" x14ac:dyDescent="0.15">
      <c r="D74" s="174"/>
      <c r="F74" s="158"/>
      <c r="G74" s="161"/>
      <c r="K74" s="127"/>
      <c r="Q74" s="74" t="str">
        <f t="shared" si="3"/>
        <v/>
      </c>
      <c r="T74" s="16" t="str">
        <f t="shared" si="4"/>
        <v/>
      </c>
      <c r="V74" s="16" t="str">
        <f t="shared" si="5"/>
        <v/>
      </c>
      <c r="X74" s="166"/>
    </row>
    <row r="75" spans="4:24" x14ac:dyDescent="0.15">
      <c r="D75" s="174"/>
      <c r="F75" s="158"/>
      <c r="G75" s="161"/>
      <c r="K75" s="127"/>
      <c r="Q75" s="74" t="str">
        <f t="shared" si="3"/>
        <v/>
      </c>
      <c r="T75" s="16" t="str">
        <f t="shared" si="4"/>
        <v/>
      </c>
      <c r="V75" s="16" t="str">
        <f t="shared" si="5"/>
        <v/>
      </c>
      <c r="X75" s="166"/>
    </row>
    <row r="76" spans="4:24" x14ac:dyDescent="0.15">
      <c r="D76" s="174"/>
      <c r="F76" s="158"/>
      <c r="G76" s="161"/>
      <c r="K76" s="127"/>
      <c r="Q76" s="74" t="str">
        <f t="shared" si="3"/>
        <v/>
      </c>
      <c r="T76" s="16" t="str">
        <f t="shared" si="4"/>
        <v/>
      </c>
      <c r="V76" s="16" t="str">
        <f t="shared" si="5"/>
        <v/>
      </c>
      <c r="X76" s="166"/>
    </row>
    <row r="77" spans="4:24" x14ac:dyDescent="0.15">
      <c r="D77" s="174"/>
      <c r="F77" s="158"/>
      <c r="G77" s="161"/>
      <c r="K77" s="127"/>
      <c r="Q77" s="74" t="str">
        <f t="shared" si="3"/>
        <v/>
      </c>
      <c r="T77" s="16" t="str">
        <f t="shared" si="4"/>
        <v/>
      </c>
      <c r="V77" s="16" t="str">
        <f t="shared" si="5"/>
        <v/>
      </c>
      <c r="X77" s="166"/>
    </row>
    <row r="78" spans="4:24" x14ac:dyDescent="0.15">
      <c r="D78" s="174"/>
      <c r="F78" s="158"/>
      <c r="G78" s="161"/>
      <c r="K78" s="127"/>
      <c r="Q78" s="74" t="str">
        <f t="shared" si="3"/>
        <v/>
      </c>
      <c r="T78" s="16" t="str">
        <f t="shared" si="4"/>
        <v/>
      </c>
      <c r="V78" s="16" t="str">
        <f t="shared" si="5"/>
        <v/>
      </c>
      <c r="X78" s="166"/>
    </row>
    <row r="79" spans="4:24" x14ac:dyDescent="0.15">
      <c r="D79" s="174"/>
      <c r="F79" s="158"/>
      <c r="G79" s="161"/>
      <c r="K79" s="127"/>
      <c r="Q79" s="74" t="str">
        <f t="shared" si="3"/>
        <v/>
      </c>
      <c r="T79" s="16" t="str">
        <f t="shared" si="4"/>
        <v/>
      </c>
      <c r="V79" s="16" t="str">
        <f t="shared" si="5"/>
        <v/>
      </c>
      <c r="X79" s="166"/>
    </row>
    <row r="80" spans="4:24" x14ac:dyDescent="0.15">
      <c r="K80" s="127"/>
      <c r="Q80" s="74" t="str">
        <f t="shared" si="3"/>
        <v/>
      </c>
      <c r="T80" s="16" t="str">
        <f t="shared" si="4"/>
        <v/>
      </c>
      <c r="V80" s="16" t="str">
        <f t="shared" si="5"/>
        <v/>
      </c>
    </row>
    <row r="81" spans="11:22" x14ac:dyDescent="0.15">
      <c r="K81" s="127"/>
      <c r="Q81" s="74" t="str">
        <f t="shared" si="3"/>
        <v/>
      </c>
      <c r="T81" s="16" t="str">
        <f t="shared" si="4"/>
        <v/>
      </c>
      <c r="V81" s="16" t="str">
        <f t="shared" si="5"/>
        <v/>
      </c>
    </row>
    <row r="82" spans="11:22" x14ac:dyDescent="0.15">
      <c r="K82" s="127"/>
      <c r="Q82" s="74" t="str">
        <f t="shared" si="3"/>
        <v/>
      </c>
      <c r="T82" s="16" t="str">
        <f t="shared" si="4"/>
        <v/>
      </c>
      <c r="V82" s="16" t="str">
        <f t="shared" si="5"/>
        <v/>
      </c>
    </row>
    <row r="83" spans="11:22" x14ac:dyDescent="0.15">
      <c r="K83" s="127"/>
      <c r="Q83" s="74" t="str">
        <f t="shared" si="3"/>
        <v/>
      </c>
      <c r="T83" s="16" t="str">
        <f t="shared" si="4"/>
        <v/>
      </c>
      <c r="V83" s="16" t="str">
        <f t="shared" si="5"/>
        <v/>
      </c>
    </row>
    <row r="84" spans="11:22" x14ac:dyDescent="0.15">
      <c r="K84" s="127"/>
      <c r="Q84" s="74" t="str">
        <f t="shared" si="3"/>
        <v/>
      </c>
      <c r="T84" s="16" t="str">
        <f t="shared" si="4"/>
        <v/>
      </c>
      <c r="V84" s="16" t="str">
        <f t="shared" si="5"/>
        <v/>
      </c>
    </row>
    <row r="85" spans="11:22" x14ac:dyDescent="0.15">
      <c r="K85" s="127"/>
      <c r="Q85" s="74" t="str">
        <f t="shared" si="3"/>
        <v/>
      </c>
      <c r="T85" s="16" t="str">
        <f t="shared" si="4"/>
        <v/>
      </c>
      <c r="V85" s="16" t="str">
        <f t="shared" si="5"/>
        <v/>
      </c>
    </row>
    <row r="86" spans="11:22" x14ac:dyDescent="0.15">
      <c r="K86" s="127"/>
      <c r="Q86" s="74" t="str">
        <f t="shared" si="3"/>
        <v/>
      </c>
      <c r="T86" s="16" t="str">
        <f t="shared" si="4"/>
        <v/>
      </c>
      <c r="V86" s="16" t="str">
        <f t="shared" si="5"/>
        <v/>
      </c>
    </row>
    <row r="87" spans="11:22" x14ac:dyDescent="0.15">
      <c r="K87" s="127"/>
      <c r="Q87" s="74" t="str">
        <f t="shared" si="3"/>
        <v/>
      </c>
      <c r="T87" s="16" t="str">
        <f t="shared" si="4"/>
        <v/>
      </c>
      <c r="V87" s="16" t="str">
        <f t="shared" si="5"/>
        <v/>
      </c>
    </row>
    <row r="88" spans="11:22" x14ac:dyDescent="0.15">
      <c r="K88" s="127"/>
      <c r="Q88" s="74" t="str">
        <f t="shared" si="3"/>
        <v/>
      </c>
      <c r="T88" s="16" t="str">
        <f t="shared" si="4"/>
        <v/>
      </c>
      <c r="V88" s="16" t="str">
        <f t="shared" si="5"/>
        <v/>
      </c>
    </row>
    <row r="89" spans="11:22" x14ac:dyDescent="0.15">
      <c r="K89" s="127"/>
      <c r="Q89" s="74" t="str">
        <f t="shared" si="3"/>
        <v/>
      </c>
      <c r="T89" s="16" t="str">
        <f t="shared" si="4"/>
        <v/>
      </c>
      <c r="V89" s="16" t="str">
        <f t="shared" si="5"/>
        <v/>
      </c>
    </row>
    <row r="90" spans="11:22" x14ac:dyDescent="0.15">
      <c r="K90" s="127"/>
      <c r="Q90" s="74" t="str">
        <f t="shared" si="3"/>
        <v/>
      </c>
      <c r="T90" s="16" t="str">
        <f t="shared" si="4"/>
        <v/>
      </c>
      <c r="V90" s="16" t="str">
        <f t="shared" si="5"/>
        <v/>
      </c>
    </row>
    <row r="91" spans="11:22" x14ac:dyDescent="0.15">
      <c r="K91" s="127"/>
      <c r="Q91" s="74" t="str">
        <f t="shared" si="3"/>
        <v/>
      </c>
      <c r="T91" s="16" t="str">
        <f t="shared" si="4"/>
        <v/>
      </c>
      <c r="V91" s="16" t="str">
        <f t="shared" si="5"/>
        <v/>
      </c>
    </row>
    <row r="92" spans="11:22" x14ac:dyDescent="0.15">
      <c r="K92" s="127"/>
      <c r="Q92" s="74"/>
    </row>
    <row r="93" spans="11:22" x14ac:dyDescent="0.15">
      <c r="K93" s="127"/>
      <c r="Q93" s="74"/>
    </row>
    <row r="94" spans="11:22" x14ac:dyDescent="0.15">
      <c r="K94" s="127"/>
      <c r="Q94" s="74"/>
    </row>
    <row r="95" spans="11:22" x14ac:dyDescent="0.15">
      <c r="K95" s="127"/>
      <c r="Q95" s="74"/>
    </row>
    <row r="96" spans="11:22" x14ac:dyDescent="0.15">
      <c r="K96" s="127"/>
      <c r="Q96" s="74"/>
    </row>
    <row r="97" spans="11:17" x14ac:dyDescent="0.15">
      <c r="K97" s="127"/>
      <c r="Q97" s="74"/>
    </row>
    <row r="98" spans="11:17" x14ac:dyDescent="0.15">
      <c r="K98" s="127"/>
      <c r="Q98" s="74"/>
    </row>
    <row r="99" spans="11:17" x14ac:dyDescent="0.15">
      <c r="K99" s="127"/>
      <c r="Q99" s="74"/>
    </row>
    <row r="100" spans="11:17" x14ac:dyDescent="0.15">
      <c r="K100" s="127"/>
      <c r="Q100" s="74"/>
    </row>
    <row r="101" spans="11:17" x14ac:dyDescent="0.15">
      <c r="K101" s="127"/>
      <c r="Q101" s="74"/>
    </row>
    <row r="102" spans="11:17" x14ac:dyDescent="0.15">
      <c r="K102" s="127"/>
      <c r="Q102" s="74"/>
    </row>
    <row r="103" spans="11:17" x14ac:dyDescent="0.15">
      <c r="K103" s="127"/>
      <c r="Q103" s="74"/>
    </row>
    <row r="104" spans="11:17" x14ac:dyDescent="0.15">
      <c r="K104" s="127"/>
      <c r="Q104" s="74"/>
    </row>
    <row r="105" spans="11:17" x14ac:dyDescent="0.15">
      <c r="K105" s="127"/>
      <c r="Q105" s="74"/>
    </row>
    <row r="106" spans="11:17" x14ac:dyDescent="0.15">
      <c r="K106" s="127"/>
      <c r="Q106" s="74"/>
    </row>
    <row r="107" spans="11:17" x14ac:dyDescent="0.15">
      <c r="K107" s="127"/>
      <c r="Q107" s="74"/>
    </row>
    <row r="108" spans="11:17" x14ac:dyDescent="0.15">
      <c r="K108" s="127"/>
      <c r="Q108" s="74"/>
    </row>
    <row r="109" spans="11:17" x14ac:dyDescent="0.15">
      <c r="K109" s="127"/>
      <c r="Q109" s="74"/>
    </row>
    <row r="110" spans="11:17" x14ac:dyDescent="0.15">
      <c r="K110" s="127"/>
      <c r="Q110" s="74"/>
    </row>
    <row r="111" spans="11:17" x14ac:dyDescent="0.15">
      <c r="K111" s="127"/>
      <c r="Q111" s="74"/>
    </row>
    <row r="112" spans="11:17" x14ac:dyDescent="0.15">
      <c r="K112" s="127"/>
      <c r="Q112" s="74"/>
    </row>
    <row r="113" spans="11:17" x14ac:dyDescent="0.15">
      <c r="K113" s="127"/>
      <c r="Q113" s="74"/>
    </row>
    <row r="114" spans="11:17" x14ac:dyDescent="0.15">
      <c r="K114" s="127"/>
      <c r="Q114" s="74"/>
    </row>
    <row r="115" spans="11:17" x14ac:dyDescent="0.15">
      <c r="K115" s="127"/>
      <c r="Q115" s="74"/>
    </row>
    <row r="116" spans="11:17" x14ac:dyDescent="0.15">
      <c r="K116" s="127"/>
      <c r="Q116" s="74"/>
    </row>
    <row r="117" spans="11:17" x14ac:dyDescent="0.15">
      <c r="K117" s="127"/>
      <c r="Q117" s="74"/>
    </row>
    <row r="118" spans="11:17" x14ac:dyDescent="0.15">
      <c r="K118" s="127"/>
      <c r="Q118" s="74"/>
    </row>
    <row r="119" spans="11:17" x14ac:dyDescent="0.15">
      <c r="K119" s="127"/>
      <c r="Q119" s="74"/>
    </row>
    <row r="120" spans="11:17" x14ac:dyDescent="0.15">
      <c r="K120" s="127"/>
      <c r="Q120" s="74"/>
    </row>
    <row r="121" spans="11:17" x14ac:dyDescent="0.15">
      <c r="K121" s="127"/>
      <c r="Q121" s="74"/>
    </row>
    <row r="122" spans="11:17" x14ac:dyDescent="0.15">
      <c r="K122" s="127"/>
      <c r="Q122" s="74"/>
    </row>
    <row r="123" spans="11:17" x14ac:dyDescent="0.15">
      <c r="K123" s="127"/>
      <c r="Q123" s="74"/>
    </row>
    <row r="124" spans="11:17" x14ac:dyDescent="0.15">
      <c r="K124" s="127"/>
      <c r="Q124" s="74"/>
    </row>
    <row r="125" spans="11:17" x14ac:dyDescent="0.15">
      <c r="K125" s="127"/>
      <c r="Q125" s="74"/>
    </row>
    <row r="126" spans="11:17" x14ac:dyDescent="0.15">
      <c r="K126" s="127"/>
      <c r="Q126" s="74"/>
    </row>
    <row r="127" spans="11:17" x14ac:dyDescent="0.15">
      <c r="K127" s="127"/>
      <c r="Q127" s="74"/>
    </row>
    <row r="128" spans="11:17" x14ac:dyDescent="0.15">
      <c r="K128" s="127"/>
      <c r="Q128" s="74"/>
    </row>
    <row r="129" spans="11:17" x14ac:dyDescent="0.15">
      <c r="K129" s="127"/>
      <c r="Q129" s="74"/>
    </row>
    <row r="130" spans="11:17" x14ac:dyDescent="0.15">
      <c r="K130" s="127"/>
      <c r="Q130" s="74"/>
    </row>
    <row r="131" spans="11:17" x14ac:dyDescent="0.15">
      <c r="K131" s="127"/>
      <c r="Q131" s="74"/>
    </row>
    <row r="132" spans="11:17" x14ac:dyDescent="0.15">
      <c r="K132" s="127"/>
      <c r="Q132" s="74"/>
    </row>
    <row r="133" spans="11:17" x14ac:dyDescent="0.15">
      <c r="K133" s="127"/>
      <c r="Q133" s="74"/>
    </row>
    <row r="134" spans="11:17" x14ac:dyDescent="0.15">
      <c r="K134" s="127"/>
      <c r="Q134" s="74"/>
    </row>
    <row r="135" spans="11:17" x14ac:dyDescent="0.15">
      <c r="K135" s="127"/>
      <c r="Q135" s="74"/>
    </row>
    <row r="136" spans="11:17" x14ac:dyDescent="0.15">
      <c r="K136" s="127"/>
      <c r="Q136" s="74"/>
    </row>
    <row r="137" spans="11:17" x14ac:dyDescent="0.15">
      <c r="K137" s="127"/>
      <c r="Q137" s="74"/>
    </row>
    <row r="138" spans="11:17" x14ac:dyDescent="0.15">
      <c r="K138" s="127"/>
      <c r="Q138" s="74"/>
    </row>
    <row r="139" spans="11:17" x14ac:dyDescent="0.15">
      <c r="K139" s="127"/>
      <c r="Q139" s="74"/>
    </row>
    <row r="140" spans="11:17" x14ac:dyDescent="0.15">
      <c r="K140" s="127"/>
      <c r="Q140" s="74"/>
    </row>
    <row r="141" spans="11:17" x14ac:dyDescent="0.15">
      <c r="K141" s="127"/>
      <c r="Q141" s="74"/>
    </row>
    <row r="142" spans="11:17" x14ac:dyDescent="0.15">
      <c r="K142" s="127"/>
      <c r="Q142" s="74"/>
    </row>
    <row r="143" spans="11:17" x14ac:dyDescent="0.15">
      <c r="K143" s="127"/>
      <c r="Q143" s="74"/>
    </row>
    <row r="144" spans="11:17" x14ac:dyDescent="0.15">
      <c r="K144" s="127"/>
      <c r="Q144" s="74"/>
    </row>
    <row r="145" spans="11:17" x14ac:dyDescent="0.15">
      <c r="K145" s="127"/>
      <c r="Q145" s="74"/>
    </row>
    <row r="146" spans="11:17" x14ac:dyDescent="0.15">
      <c r="K146" s="127"/>
      <c r="Q146" s="74"/>
    </row>
    <row r="147" spans="11:17" x14ac:dyDescent="0.15">
      <c r="K147" s="127"/>
      <c r="Q147" s="74"/>
    </row>
    <row r="148" spans="11:17" x14ac:dyDescent="0.15">
      <c r="K148" s="127"/>
      <c r="Q148" s="74"/>
    </row>
    <row r="149" spans="11:17" x14ac:dyDescent="0.15">
      <c r="K149" s="127"/>
      <c r="Q149" s="74"/>
    </row>
    <row r="150" spans="11:17" x14ac:dyDescent="0.15">
      <c r="K150" s="127"/>
      <c r="Q150" s="74"/>
    </row>
    <row r="151" spans="11:17" x14ac:dyDescent="0.15">
      <c r="K151" s="127"/>
      <c r="Q151" s="74"/>
    </row>
    <row r="152" spans="11:17" x14ac:dyDescent="0.15">
      <c r="K152" s="127"/>
      <c r="Q152" s="74"/>
    </row>
    <row r="153" spans="11:17" x14ac:dyDescent="0.15">
      <c r="K153" s="127"/>
      <c r="Q153" s="74"/>
    </row>
    <row r="154" spans="11:17" x14ac:dyDescent="0.15">
      <c r="K154" s="127"/>
      <c r="Q154" s="74"/>
    </row>
    <row r="155" spans="11:17" x14ac:dyDescent="0.15">
      <c r="K155" s="127"/>
      <c r="Q155" s="74"/>
    </row>
    <row r="156" spans="11:17" x14ac:dyDescent="0.15">
      <c r="K156" s="127"/>
      <c r="Q156" s="74"/>
    </row>
    <row r="157" spans="11:17" x14ac:dyDescent="0.15">
      <c r="K157" s="127"/>
      <c r="Q157" s="74"/>
    </row>
    <row r="158" spans="11:17" x14ac:dyDescent="0.15">
      <c r="K158" s="127"/>
      <c r="Q158" s="74"/>
    </row>
    <row r="159" spans="11:17" x14ac:dyDescent="0.15">
      <c r="K159" s="127"/>
      <c r="Q159" s="74"/>
    </row>
    <row r="160" spans="11:17" x14ac:dyDescent="0.15">
      <c r="K160" s="127"/>
      <c r="Q160" s="74"/>
    </row>
    <row r="161" spans="11:17" x14ac:dyDescent="0.15">
      <c r="K161" s="127"/>
      <c r="Q161" s="74"/>
    </row>
    <row r="162" spans="11:17" x14ac:dyDescent="0.15">
      <c r="K162" s="127"/>
      <c r="Q162" s="74"/>
    </row>
    <row r="163" spans="11:17" x14ac:dyDescent="0.15">
      <c r="K163" s="127"/>
      <c r="Q163" s="74"/>
    </row>
    <row r="164" spans="11:17" x14ac:dyDescent="0.15">
      <c r="K164" s="127"/>
      <c r="Q164" s="74"/>
    </row>
    <row r="165" spans="11:17" x14ac:dyDescent="0.15">
      <c r="K165" s="127"/>
      <c r="Q165" s="74"/>
    </row>
    <row r="166" spans="11:17" x14ac:dyDescent="0.15">
      <c r="K166" s="127"/>
      <c r="Q166" s="74"/>
    </row>
    <row r="167" spans="11:17" x14ac:dyDescent="0.15">
      <c r="K167" s="127"/>
      <c r="Q167" s="74"/>
    </row>
    <row r="168" spans="11:17" x14ac:dyDescent="0.15">
      <c r="K168" s="127"/>
      <c r="Q168" s="74"/>
    </row>
    <row r="169" spans="11:17" x14ac:dyDescent="0.15">
      <c r="K169" s="127"/>
      <c r="Q169" s="74"/>
    </row>
    <row r="170" spans="11:17" x14ac:dyDescent="0.15">
      <c r="K170" s="127"/>
      <c r="Q170" s="74"/>
    </row>
    <row r="171" spans="11:17" x14ac:dyDescent="0.15">
      <c r="K171" s="127"/>
      <c r="Q171" s="74"/>
    </row>
    <row r="172" spans="11:17" x14ac:dyDescent="0.15">
      <c r="K172" s="127"/>
      <c r="Q172" s="74"/>
    </row>
    <row r="173" spans="11:17" x14ac:dyDescent="0.15">
      <c r="K173" s="127"/>
      <c r="Q173" s="74"/>
    </row>
    <row r="174" spans="11:17" x14ac:dyDescent="0.15">
      <c r="K174" s="127"/>
      <c r="Q174" s="74"/>
    </row>
    <row r="175" spans="11:17" x14ac:dyDescent="0.15">
      <c r="K175" s="127"/>
      <c r="Q175" s="74"/>
    </row>
    <row r="176" spans="11:17" x14ac:dyDescent="0.15">
      <c r="K176" s="127"/>
      <c r="Q176" s="74"/>
    </row>
    <row r="177" spans="11:17" x14ac:dyDescent="0.15">
      <c r="K177" s="127"/>
      <c r="Q177" s="74"/>
    </row>
    <row r="178" spans="11:17" x14ac:dyDescent="0.15">
      <c r="K178" s="127"/>
      <c r="Q178" s="74"/>
    </row>
    <row r="179" spans="11:17" x14ac:dyDescent="0.15">
      <c r="K179" s="127"/>
      <c r="Q179" s="74"/>
    </row>
    <row r="180" spans="11:17" x14ac:dyDescent="0.15">
      <c r="K180" s="127"/>
      <c r="Q180" s="74"/>
    </row>
    <row r="181" spans="11:17" x14ac:dyDescent="0.15">
      <c r="K181" s="127"/>
      <c r="Q181" s="74"/>
    </row>
    <row r="182" spans="11:17" x14ac:dyDescent="0.15">
      <c r="K182" s="127"/>
      <c r="Q182" s="74"/>
    </row>
    <row r="183" spans="11:17" x14ac:dyDescent="0.15">
      <c r="K183" s="127"/>
      <c r="Q183" s="74"/>
    </row>
    <row r="184" spans="11:17" x14ac:dyDescent="0.15">
      <c r="K184" s="127"/>
      <c r="Q184" s="74"/>
    </row>
    <row r="185" spans="11:17" x14ac:dyDescent="0.15">
      <c r="K185" s="127"/>
      <c r="Q185" s="74"/>
    </row>
    <row r="186" spans="11:17" x14ac:dyDescent="0.15">
      <c r="K186" s="127"/>
      <c r="Q186" s="74"/>
    </row>
    <row r="187" spans="11:17" x14ac:dyDescent="0.15">
      <c r="K187" s="127"/>
      <c r="Q187" s="74"/>
    </row>
    <row r="188" spans="11:17" x14ac:dyDescent="0.15">
      <c r="K188" s="127"/>
      <c r="Q188" s="74"/>
    </row>
    <row r="189" spans="11:17" x14ac:dyDescent="0.15">
      <c r="K189" s="127"/>
      <c r="Q189" s="74"/>
    </row>
    <row r="190" spans="11:17" x14ac:dyDescent="0.15">
      <c r="K190" s="127"/>
      <c r="Q190" s="74"/>
    </row>
    <row r="191" spans="11:17" x14ac:dyDescent="0.15">
      <c r="K191" s="127"/>
      <c r="Q191" s="74"/>
    </row>
    <row r="192" spans="11:17" x14ac:dyDescent="0.15">
      <c r="K192" s="127"/>
      <c r="Q192" s="74"/>
    </row>
    <row r="193" spans="11:17" x14ac:dyDescent="0.15">
      <c r="K193" s="127"/>
      <c r="Q193" s="74"/>
    </row>
    <row r="194" spans="11:17" x14ac:dyDescent="0.15">
      <c r="K194" s="127"/>
      <c r="Q194" s="74"/>
    </row>
    <row r="195" spans="11:17" x14ac:dyDescent="0.15">
      <c r="K195" s="127"/>
      <c r="Q195" s="74"/>
    </row>
    <row r="196" spans="11:17" x14ac:dyDescent="0.15">
      <c r="K196" s="127"/>
      <c r="Q196" s="74"/>
    </row>
    <row r="197" spans="11:17" x14ac:dyDescent="0.15">
      <c r="K197" s="127"/>
      <c r="Q197" s="74"/>
    </row>
    <row r="198" spans="11:17" x14ac:dyDescent="0.15">
      <c r="K198" s="127"/>
      <c r="Q198" s="74"/>
    </row>
    <row r="199" spans="11:17" x14ac:dyDescent="0.15">
      <c r="K199" s="127"/>
      <c r="Q199" s="74"/>
    </row>
    <row r="200" spans="11:17" x14ac:dyDescent="0.15">
      <c r="K200" s="127"/>
      <c r="Q200" s="74"/>
    </row>
    <row r="201" spans="11:17" x14ac:dyDescent="0.15">
      <c r="K201" s="127"/>
      <c r="Q201" s="74"/>
    </row>
    <row r="202" spans="11:17" x14ac:dyDescent="0.15">
      <c r="K202" s="127"/>
      <c r="Q202" s="74"/>
    </row>
    <row r="203" spans="11:17" x14ac:dyDescent="0.15">
      <c r="K203" s="127"/>
      <c r="Q203" s="74"/>
    </row>
    <row r="204" spans="11:17" x14ac:dyDescent="0.15">
      <c r="K204" s="127"/>
      <c r="Q204" s="74"/>
    </row>
    <row r="205" spans="11:17" x14ac:dyDescent="0.15">
      <c r="K205" s="127"/>
      <c r="Q205" s="74"/>
    </row>
    <row r="206" spans="11:17" x14ac:dyDescent="0.15">
      <c r="K206" s="127"/>
      <c r="Q206" s="74"/>
    </row>
    <row r="207" spans="11:17" x14ac:dyDescent="0.15">
      <c r="K207" s="127"/>
      <c r="Q207" s="74"/>
    </row>
    <row r="208" spans="11:17" x14ac:dyDescent="0.15">
      <c r="K208" s="127"/>
      <c r="Q208" s="74"/>
    </row>
    <row r="209" spans="11:17" x14ac:dyDescent="0.15">
      <c r="K209" s="127"/>
      <c r="Q209" s="74"/>
    </row>
    <row r="210" spans="11:17" x14ac:dyDescent="0.15">
      <c r="K210" s="127"/>
      <c r="Q210" s="74"/>
    </row>
    <row r="211" spans="11:17" x14ac:dyDescent="0.15">
      <c r="K211" s="127"/>
      <c r="Q211" s="74"/>
    </row>
    <row r="212" spans="11:17" x14ac:dyDescent="0.15">
      <c r="K212" s="127"/>
      <c r="Q212" s="74"/>
    </row>
    <row r="213" spans="11:17" x14ac:dyDescent="0.15">
      <c r="K213" s="127"/>
      <c r="Q213" s="74"/>
    </row>
    <row r="214" spans="11:17" x14ac:dyDescent="0.15">
      <c r="K214" s="127"/>
      <c r="Q214" s="74"/>
    </row>
    <row r="215" spans="11:17" x14ac:dyDescent="0.15">
      <c r="K215" s="127"/>
      <c r="Q215" s="74"/>
    </row>
    <row r="216" spans="11:17" x14ac:dyDescent="0.15">
      <c r="K216" s="127"/>
      <c r="Q216" s="74"/>
    </row>
    <row r="217" spans="11:17" x14ac:dyDescent="0.15">
      <c r="K217" s="127"/>
      <c r="Q217" s="74"/>
    </row>
    <row r="218" spans="11:17" x14ac:dyDescent="0.15">
      <c r="K218" s="127"/>
      <c r="Q218" s="74"/>
    </row>
    <row r="219" spans="11:17" x14ac:dyDescent="0.15">
      <c r="K219" s="127"/>
      <c r="Q219" s="74"/>
    </row>
    <row r="220" spans="11:17" x14ac:dyDescent="0.15">
      <c r="K220" s="127"/>
      <c r="Q220" s="74"/>
    </row>
    <row r="221" spans="11:17" x14ac:dyDescent="0.15">
      <c r="K221" s="127"/>
      <c r="Q221" s="74"/>
    </row>
    <row r="222" spans="11:17" x14ac:dyDescent="0.15">
      <c r="K222" s="127"/>
      <c r="Q222" s="74"/>
    </row>
    <row r="223" spans="11:17" x14ac:dyDescent="0.15">
      <c r="K223" s="127"/>
      <c r="Q223" s="74"/>
    </row>
    <row r="224" spans="11:17" x14ac:dyDescent="0.15">
      <c r="K224" s="127"/>
      <c r="Q224" s="74"/>
    </row>
    <row r="225" spans="11:17" x14ac:dyDescent="0.15">
      <c r="K225" s="127"/>
      <c r="Q225" s="74"/>
    </row>
    <row r="226" spans="11:17" x14ac:dyDescent="0.15">
      <c r="K226" s="127"/>
      <c r="Q226" s="74"/>
    </row>
    <row r="227" spans="11:17" x14ac:dyDescent="0.15">
      <c r="K227" s="127"/>
      <c r="Q227" s="74"/>
    </row>
    <row r="228" spans="11:17" x14ac:dyDescent="0.15">
      <c r="K228" s="127"/>
      <c r="Q228" s="74"/>
    </row>
    <row r="229" spans="11:17" x14ac:dyDescent="0.15">
      <c r="K229" s="127"/>
      <c r="Q229" s="74"/>
    </row>
    <row r="230" spans="11:17" x14ac:dyDescent="0.15">
      <c r="K230" s="127"/>
      <c r="Q230" s="74"/>
    </row>
    <row r="231" spans="11:17" x14ac:dyDescent="0.15">
      <c r="K231" s="127"/>
      <c r="Q231" s="74"/>
    </row>
    <row r="232" spans="11:17" x14ac:dyDescent="0.15">
      <c r="K232" s="127"/>
      <c r="Q232" s="74"/>
    </row>
    <row r="233" spans="11:17" x14ac:dyDescent="0.15">
      <c r="K233" s="127"/>
      <c r="Q233" s="74"/>
    </row>
    <row r="234" spans="11:17" x14ac:dyDescent="0.15">
      <c r="K234" s="127"/>
      <c r="Q234" s="74"/>
    </row>
    <row r="235" spans="11:17" x14ac:dyDescent="0.15">
      <c r="K235" s="127"/>
      <c r="Q235" s="74"/>
    </row>
    <row r="236" spans="11:17" x14ac:dyDescent="0.15">
      <c r="K236" s="127"/>
      <c r="Q236" s="74"/>
    </row>
    <row r="237" spans="11:17" x14ac:dyDescent="0.15">
      <c r="K237" s="127"/>
      <c r="Q237" s="74"/>
    </row>
    <row r="238" spans="11:17" x14ac:dyDescent="0.15">
      <c r="K238" s="127"/>
      <c r="Q238" s="74"/>
    </row>
    <row r="239" spans="11:17" x14ac:dyDescent="0.15">
      <c r="K239" s="127"/>
      <c r="Q239" s="74"/>
    </row>
    <row r="240" spans="11:17" x14ac:dyDescent="0.15">
      <c r="K240" s="127"/>
      <c r="Q240" s="74"/>
    </row>
    <row r="241" spans="11:17" x14ac:dyDescent="0.15">
      <c r="K241" s="127"/>
      <c r="Q241" s="74"/>
    </row>
    <row r="242" spans="11:17" x14ac:dyDescent="0.15">
      <c r="K242" s="127"/>
      <c r="Q242" s="74"/>
    </row>
    <row r="243" spans="11:17" x14ac:dyDescent="0.15">
      <c r="K243" s="127"/>
      <c r="Q243" s="74"/>
    </row>
    <row r="244" spans="11:17" x14ac:dyDescent="0.15">
      <c r="K244" s="127"/>
      <c r="Q244" s="74"/>
    </row>
    <row r="245" spans="11:17" x14ac:dyDescent="0.15">
      <c r="K245" s="127"/>
      <c r="Q245" s="74"/>
    </row>
    <row r="246" spans="11:17" x14ac:dyDescent="0.15">
      <c r="K246" s="127"/>
      <c r="Q246" s="74"/>
    </row>
    <row r="247" spans="11:17" x14ac:dyDescent="0.15">
      <c r="K247" s="127"/>
      <c r="Q247" s="74"/>
    </row>
    <row r="248" spans="11:17" x14ac:dyDescent="0.15">
      <c r="K248" s="127"/>
      <c r="Q248" s="74"/>
    </row>
    <row r="249" spans="11:17" x14ac:dyDescent="0.15">
      <c r="K249" s="127"/>
      <c r="Q249" s="74"/>
    </row>
    <row r="250" spans="11:17" x14ac:dyDescent="0.15">
      <c r="K250" s="127"/>
      <c r="Q250" s="74"/>
    </row>
    <row r="251" spans="11:17" x14ac:dyDescent="0.15">
      <c r="K251" s="127"/>
      <c r="Q251" s="74"/>
    </row>
    <row r="252" spans="11:17" x14ac:dyDescent="0.15">
      <c r="K252" s="127"/>
      <c r="Q252" s="74"/>
    </row>
    <row r="253" spans="11:17" x14ac:dyDescent="0.15">
      <c r="K253" s="127"/>
      <c r="Q253" s="74"/>
    </row>
    <row r="254" spans="11:17" x14ac:dyDescent="0.15">
      <c r="K254" s="127"/>
      <c r="Q254" s="74"/>
    </row>
    <row r="255" spans="11:17" x14ac:dyDescent="0.15">
      <c r="K255" s="127"/>
      <c r="Q255" s="74"/>
    </row>
    <row r="256" spans="11:17" x14ac:dyDescent="0.15">
      <c r="K256" s="127"/>
      <c r="Q256" s="74"/>
    </row>
    <row r="257" spans="11:17" x14ac:dyDescent="0.15">
      <c r="K257" s="127"/>
      <c r="Q257" s="74"/>
    </row>
    <row r="258" spans="11:17" x14ac:dyDescent="0.15">
      <c r="K258" s="127"/>
      <c r="Q258" s="74"/>
    </row>
    <row r="259" spans="11:17" x14ac:dyDescent="0.15">
      <c r="K259" s="127"/>
      <c r="Q259" s="74"/>
    </row>
    <row r="260" spans="11:17" x14ac:dyDescent="0.15">
      <c r="K260" s="127"/>
      <c r="Q260" s="74"/>
    </row>
    <row r="261" spans="11:17" x14ac:dyDescent="0.15">
      <c r="K261" s="127"/>
      <c r="Q261" s="74"/>
    </row>
    <row r="262" spans="11:17" x14ac:dyDescent="0.15">
      <c r="K262" s="127"/>
      <c r="Q262" s="74"/>
    </row>
    <row r="263" spans="11:17" x14ac:dyDescent="0.15">
      <c r="K263" s="127"/>
      <c r="Q263" s="74"/>
    </row>
    <row r="264" spans="11:17" x14ac:dyDescent="0.15">
      <c r="K264" s="127"/>
      <c r="Q264" s="74"/>
    </row>
    <row r="265" spans="11:17" x14ac:dyDescent="0.15">
      <c r="K265" s="127"/>
      <c r="Q265" s="74"/>
    </row>
    <row r="266" spans="11:17" x14ac:dyDescent="0.15">
      <c r="K266" s="127"/>
      <c r="Q266" s="74"/>
    </row>
    <row r="267" spans="11:17" x14ac:dyDescent="0.15">
      <c r="K267" s="127"/>
      <c r="Q267" s="74"/>
    </row>
    <row r="268" spans="11:17" x14ac:dyDescent="0.15">
      <c r="K268" s="127"/>
      <c r="Q268" s="74"/>
    </row>
    <row r="269" spans="11:17" x14ac:dyDescent="0.15">
      <c r="K269" s="127"/>
      <c r="Q269" s="74"/>
    </row>
    <row r="270" spans="11:17" x14ac:dyDescent="0.15">
      <c r="K270" s="127"/>
      <c r="Q270" s="74"/>
    </row>
    <row r="271" spans="11:17" x14ac:dyDescent="0.15">
      <c r="K271" s="127"/>
      <c r="Q271" s="74"/>
    </row>
    <row r="272" spans="11:17" x14ac:dyDescent="0.15">
      <c r="K272" s="127"/>
      <c r="Q272" s="74"/>
    </row>
    <row r="273" spans="11:17" x14ac:dyDescent="0.15">
      <c r="K273" s="127"/>
      <c r="Q273" s="74"/>
    </row>
    <row r="274" spans="11:17" x14ac:dyDescent="0.15">
      <c r="K274" s="127"/>
      <c r="Q274" s="74"/>
    </row>
    <row r="275" spans="11:17" x14ac:dyDescent="0.15">
      <c r="K275" s="127"/>
      <c r="Q275" s="74"/>
    </row>
    <row r="276" spans="11:17" x14ac:dyDescent="0.15">
      <c r="K276" s="127"/>
      <c r="Q276" s="74"/>
    </row>
    <row r="277" spans="11:17" x14ac:dyDescent="0.15">
      <c r="K277" s="127"/>
      <c r="Q277" s="74"/>
    </row>
    <row r="278" spans="11:17" x14ac:dyDescent="0.15">
      <c r="K278" s="127"/>
      <c r="Q278" s="74"/>
    </row>
    <row r="279" spans="11:17" x14ac:dyDescent="0.15">
      <c r="K279" s="127"/>
      <c r="Q279" s="74"/>
    </row>
    <row r="280" spans="11:17" x14ac:dyDescent="0.15">
      <c r="K280" s="127"/>
      <c r="Q280" s="74"/>
    </row>
    <row r="281" spans="11:17" x14ac:dyDescent="0.15">
      <c r="K281" s="127"/>
      <c r="Q281" s="74"/>
    </row>
    <row r="282" spans="11:17" x14ac:dyDescent="0.15">
      <c r="K282" s="127"/>
      <c r="Q282" s="74"/>
    </row>
    <row r="283" spans="11:17" x14ac:dyDescent="0.15">
      <c r="K283" s="127"/>
      <c r="Q283" s="74"/>
    </row>
    <row r="284" spans="11:17" x14ac:dyDescent="0.15">
      <c r="K284" s="127"/>
      <c r="Q284" s="74"/>
    </row>
    <row r="285" spans="11:17" x14ac:dyDescent="0.15">
      <c r="K285" s="127"/>
      <c r="Q285" s="74"/>
    </row>
    <row r="286" spans="11:17" x14ac:dyDescent="0.15">
      <c r="K286" s="127"/>
      <c r="Q286" s="74"/>
    </row>
    <row r="287" spans="11:17" x14ac:dyDescent="0.15">
      <c r="K287" s="127"/>
      <c r="Q287" s="74"/>
    </row>
    <row r="288" spans="11:17" x14ac:dyDescent="0.15">
      <c r="K288" s="127"/>
      <c r="Q288" s="74"/>
    </row>
    <row r="289" spans="11:17" x14ac:dyDescent="0.15">
      <c r="K289" s="127"/>
      <c r="Q289" s="74"/>
    </row>
    <row r="290" spans="11:17" x14ac:dyDescent="0.15">
      <c r="K290" s="127"/>
      <c r="Q290" s="74"/>
    </row>
    <row r="291" spans="11:17" x14ac:dyDescent="0.15">
      <c r="K291" s="127"/>
      <c r="Q291" s="74"/>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D754BA49-AE8B-43D0-91A8-483ECC506487}">
      <formula1>$AH$2:$AH$11</formula1>
    </dataValidation>
    <dataValidation type="list" allowBlank="1" showInputMessage="1" showErrorMessage="1" sqref="E2:E491" xr:uid="{D968E3FE-8D74-4813-86ED-771F5AD93A9C}">
      <formula1>$AG$2:$AG$11</formula1>
    </dataValidation>
    <dataValidation type="decimal" allowBlank="1" showInputMessage="1" showErrorMessage="1" error="硬度を正しく入力して下さい。" sqref="O2:P491" xr:uid="{9D3C414B-B335-4287-9AA7-774BD084D2B0}">
      <formula1>0</formula1>
      <formula2>7</formula2>
    </dataValidation>
    <dataValidation type="list" allowBlank="1" showInputMessage="1" showErrorMessage="1" sqref="Y2:AA491" xr:uid="{947E9133-C481-4BE1-82B0-E1FBA3F40919}">
      <formula1>$AV$2:$AV$21</formula1>
    </dataValidation>
    <dataValidation type="list" allowBlank="1" showInputMessage="1" showErrorMessage="1" sqref="K444:K491" xr:uid="{BAD1C537-4287-48E1-8530-A1E1DEAFE237}">
      <formula1>$AR$2:$AR$25</formula1>
    </dataValidation>
    <dataValidation type="list" allowBlank="1" showInputMessage="1" showErrorMessage="1" sqref="I2:I491" xr:uid="{F0118C56-462B-46C6-889A-80011F8A1383}">
      <formula1>$AN$5:$AN$6</formula1>
    </dataValidation>
    <dataValidation type="list" allowBlank="1" showInputMessage="1" showErrorMessage="1" sqref="H2:H491" xr:uid="{5D584D79-049D-4B67-9FFC-4B6D9F720282}">
      <formula1>$AL$2:$AL$8</formula1>
    </dataValidation>
    <dataValidation type="list" allowBlank="1" showInputMessage="1" showErrorMessage="1" sqref="A2:A491" xr:uid="{12CE746D-D654-48D6-B06C-023A8F15B1C8}">
      <formula1>$AE$2:$AE$19</formula1>
    </dataValidation>
    <dataValidation type="list" allowBlank="1" showInputMessage="1" showErrorMessage="1" sqref="X2:X491" xr:uid="{F6A5B48D-9D25-4EBB-95BB-0E9B336772B2}">
      <formula1>$AT$2:$AT$3</formula1>
    </dataValidation>
    <dataValidation type="list" allowBlank="1" showInputMessage="1" showErrorMessage="1" sqref="G2:G491" xr:uid="{B1713251-B2AD-4C90-940F-18D793610465}">
      <formula1>$AJ$2:$AJ$4</formula1>
    </dataValidation>
    <dataValidation type="list" allowBlank="1" showInputMessage="1" showErrorMessage="1" sqref="J2:J491" xr:uid="{23A53EA2-6434-4B5C-B35D-B8BD6BF455FC}">
      <formula1>$AP$2:$AP$27</formula1>
    </dataValidation>
    <dataValidation operator="equal" allowBlank="1" showInputMessage="1" showErrorMessage="1" sqref="B2:B46" xr:uid="{0881AE7D-1BEA-4827-9C5B-39BA0C1B3938}"/>
    <dataValidation type="list" allowBlank="1" showInputMessage="1" showErrorMessage="1" sqref="F492:F64242" xr:uid="{A7182DE3-688F-4CD2-B42B-1F3901196D83}">
      <formula1>$AH$2:$AH$8</formula1>
    </dataValidation>
    <dataValidation type="list" allowBlank="1" showInputMessage="1" showErrorMessage="1" sqref="E492:E64242" xr:uid="{6D15BCE9-87D8-49AF-8475-E27245EBFF1A}">
      <formula1>$AG$2:$AG$9</formula1>
    </dataValidation>
    <dataValidation type="list" allowBlank="1" showInputMessage="1" showErrorMessage="1" sqref="H492:H64242" xr:uid="{E0CDEC92-2C7A-42DF-859E-150FCD0AA438}">
      <formula1>$AL$2:$AL$10</formula1>
    </dataValidation>
    <dataValidation type="list" allowBlank="1" showInputMessage="1" showErrorMessage="1" sqref="K492:K64242" xr:uid="{E0BF1B29-34CF-4D21-B276-0D7CC87CE474}">
      <formula1>$AR$2:$AR$28</formula1>
    </dataValidation>
    <dataValidation type="list" allowBlank="1" showInputMessage="1" showErrorMessage="1" sqref="Y492:AA64242" xr:uid="{E74617C2-BC4D-43C4-BEE3-5EC1CF96B4A4}">
      <formula1>$AV$2:$AV$26</formula1>
    </dataValidation>
    <dataValidation type="list" allowBlank="1" showInputMessage="1" showErrorMessage="1" sqref="I492:I64242" xr:uid="{20ACEFE4-7F1A-4C3A-A2F1-019E14BCA765}">
      <formula1>$AN$2:$AN$6</formula1>
    </dataValidation>
    <dataValidation type="list" allowBlank="1" showInputMessage="1" showErrorMessage="1" sqref="J492:J64242" xr:uid="{945DC951-28BE-42B2-A79B-1587B40FDA0B}">
      <formula1>$AP$2:$AP$16</formula1>
    </dataValidation>
    <dataValidation type="list" allowBlank="1" showInputMessage="1" showErrorMessage="1" sqref="K2:K443" xr:uid="{49240C96-A152-4D23-AC1B-899BAF4C52E1}">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1E15F-E9EC-4A83-958B-10E23E262B3F}">
  <dimension ref="A1:BA130"/>
  <sheetViews>
    <sheetView zoomScale="70" zoomScaleNormal="70" workbookViewId="0">
      <selection activeCell="AE62" sqref="AE62"/>
    </sheetView>
  </sheetViews>
  <sheetFormatPr defaultColWidth="9"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312</v>
      </c>
      <c r="V1" s="5" t="s">
        <v>20</v>
      </c>
      <c r="W1" s="56" t="s">
        <v>21</v>
      </c>
      <c r="X1" s="45" t="s">
        <v>22</v>
      </c>
      <c r="Y1" s="45" t="s">
        <v>23</v>
      </c>
      <c r="Z1" s="45" t="s">
        <v>368</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232</v>
      </c>
      <c r="C2" s="53">
        <v>2019</v>
      </c>
      <c r="D2" s="176" t="s">
        <v>369</v>
      </c>
      <c r="E2" s="53" t="s">
        <v>370</v>
      </c>
      <c r="F2" s="53" t="s">
        <v>371</v>
      </c>
      <c r="G2" s="53" t="s">
        <v>36</v>
      </c>
      <c r="H2" s="53" t="s">
        <v>164</v>
      </c>
      <c r="I2" s="53" t="s">
        <v>159</v>
      </c>
      <c r="J2" s="53" t="s">
        <v>38</v>
      </c>
      <c r="K2" s="53" t="s">
        <v>161</v>
      </c>
      <c r="L2" s="53">
        <v>1</v>
      </c>
      <c r="N2" s="53">
        <v>1</v>
      </c>
      <c r="O2" s="53">
        <v>0.8</v>
      </c>
      <c r="P2" s="53">
        <v>0.85</v>
      </c>
      <c r="Q2" s="74">
        <f t="shared" ref="Q2:Q82" si="0">IF(OR(O2="",P2=""),"",AVERAGE(O2,P2))</f>
        <v>0.82499999999999996</v>
      </c>
      <c r="R2" s="53">
        <v>15.9</v>
      </c>
      <c r="S2" s="53">
        <v>113</v>
      </c>
      <c r="T2" s="16">
        <f t="shared" ref="T2:T82" si="1">IF(H2="","",IF(OR(H2="GREEN",H2="GK"),IF(S2&gt;=$AX$2,VLOOKUP(S2,$AX$2:$AY$9,2,1),""),IF(S2&gt;=$AZ$2,VLOOKUP(S2,$AZ$2:$BA$9,2,1),"")))</f>
        <v>30</v>
      </c>
      <c r="U2" s="53">
        <v>103</v>
      </c>
      <c r="V2" s="16">
        <f t="shared" ref="V2:V82" si="2">IF(OR(N2="",U2="",T2=""),"",U2/N2*T2)</f>
        <v>3090</v>
      </c>
      <c r="W2" s="53">
        <v>1</v>
      </c>
      <c r="X2" s="53" t="s">
        <v>46</v>
      </c>
      <c r="Y2" s="53" t="s">
        <v>69</v>
      </c>
      <c r="Z2" s="53" t="s">
        <v>47</v>
      </c>
      <c r="AA2" s="53" t="s">
        <v>55</v>
      </c>
      <c r="AB2" s="53" t="s">
        <v>284</v>
      </c>
      <c r="AE2" s="64" t="s">
        <v>35</v>
      </c>
      <c r="AG2" s="177" t="s">
        <v>361</v>
      </c>
      <c r="AH2" s="67" t="s">
        <v>372</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232</v>
      </c>
      <c r="C3" s="53">
        <v>2019</v>
      </c>
      <c r="D3" s="176" t="s">
        <v>369</v>
      </c>
      <c r="E3" s="53" t="s">
        <v>370</v>
      </c>
      <c r="F3" s="53" t="s">
        <v>371</v>
      </c>
      <c r="G3" s="53" t="s">
        <v>36</v>
      </c>
      <c r="H3" s="53" t="s">
        <v>164</v>
      </c>
      <c r="I3" s="53" t="s">
        <v>159</v>
      </c>
      <c r="J3" s="53" t="s">
        <v>38</v>
      </c>
      <c r="K3" s="53" t="s">
        <v>161</v>
      </c>
      <c r="L3" s="53">
        <v>2</v>
      </c>
      <c r="N3" s="53">
        <v>1</v>
      </c>
      <c r="O3" s="53">
        <v>0.7</v>
      </c>
      <c r="P3" s="53">
        <v>0.85</v>
      </c>
      <c r="Q3" s="74">
        <f t="shared" si="0"/>
        <v>0.77499999999999991</v>
      </c>
      <c r="R3" s="53">
        <v>13.7</v>
      </c>
      <c r="S3" s="53">
        <v>107</v>
      </c>
      <c r="T3" s="16">
        <f t="shared" si="1"/>
        <v>33</v>
      </c>
      <c r="U3" s="53">
        <v>103</v>
      </c>
      <c r="V3" s="16">
        <f t="shared" si="2"/>
        <v>3399</v>
      </c>
      <c r="W3" s="53">
        <v>1</v>
      </c>
      <c r="X3" s="53" t="s">
        <v>46</v>
      </c>
      <c r="Y3" s="53" t="s">
        <v>69</v>
      </c>
      <c r="Z3" s="53" t="s">
        <v>47</v>
      </c>
      <c r="AA3" s="53" t="s">
        <v>55</v>
      </c>
      <c r="AB3" s="53" t="s">
        <v>284</v>
      </c>
      <c r="AE3" s="22" t="s">
        <v>41</v>
      </c>
      <c r="AG3" s="178" t="s">
        <v>373</v>
      </c>
      <c r="AH3" s="67" t="s">
        <v>372</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232</v>
      </c>
      <c r="C4" s="53">
        <v>2019</v>
      </c>
      <c r="D4" s="176" t="s">
        <v>369</v>
      </c>
      <c r="E4" s="53" t="s">
        <v>370</v>
      </c>
      <c r="F4" s="53" t="s">
        <v>371</v>
      </c>
      <c r="G4" s="53" t="s">
        <v>36</v>
      </c>
      <c r="H4" s="53" t="s">
        <v>164</v>
      </c>
      <c r="I4" s="53" t="s">
        <v>159</v>
      </c>
      <c r="J4" s="53" t="s">
        <v>38</v>
      </c>
      <c r="K4" s="53" t="s">
        <v>161</v>
      </c>
      <c r="L4" s="53">
        <v>3</v>
      </c>
      <c r="N4" s="53">
        <v>1</v>
      </c>
      <c r="O4" s="53">
        <v>1.05</v>
      </c>
      <c r="P4" s="53">
        <v>0.9</v>
      </c>
      <c r="Q4" s="74">
        <f t="shared" si="0"/>
        <v>0.97500000000000009</v>
      </c>
      <c r="R4" s="53">
        <v>17.5</v>
      </c>
      <c r="S4" s="53">
        <v>106</v>
      </c>
      <c r="T4" s="16">
        <f t="shared" si="1"/>
        <v>33</v>
      </c>
      <c r="U4" s="53">
        <v>103</v>
      </c>
      <c r="V4" s="16">
        <f t="shared" si="2"/>
        <v>3399</v>
      </c>
      <c r="W4" s="53">
        <v>1</v>
      </c>
      <c r="X4" s="53" t="s">
        <v>46</v>
      </c>
      <c r="Y4" s="53" t="s">
        <v>69</v>
      </c>
      <c r="Z4" s="53" t="s">
        <v>47</v>
      </c>
      <c r="AA4" s="53" t="s">
        <v>55</v>
      </c>
      <c r="AB4" s="53" t="s">
        <v>284</v>
      </c>
      <c r="AE4" s="22" t="s">
        <v>34</v>
      </c>
      <c r="AG4" s="178" t="s">
        <v>374</v>
      </c>
      <c r="AH4" s="67" t="s">
        <v>375</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232</v>
      </c>
      <c r="C5" s="53">
        <v>2019</v>
      </c>
      <c r="D5" s="176" t="s">
        <v>369</v>
      </c>
      <c r="E5" s="53" t="s">
        <v>370</v>
      </c>
      <c r="F5" s="53" t="s">
        <v>371</v>
      </c>
      <c r="G5" s="53" t="s">
        <v>36</v>
      </c>
      <c r="H5" s="53" t="s">
        <v>160</v>
      </c>
      <c r="I5" s="53" t="s">
        <v>159</v>
      </c>
      <c r="J5" s="53" t="s">
        <v>38</v>
      </c>
      <c r="K5" s="53" t="s">
        <v>161</v>
      </c>
      <c r="L5" s="53">
        <v>1</v>
      </c>
      <c r="N5" s="53">
        <v>1</v>
      </c>
      <c r="O5" s="53">
        <v>0.55000000000000004</v>
      </c>
      <c r="P5" s="53">
        <v>0.45</v>
      </c>
      <c r="Q5" s="74">
        <f t="shared" si="0"/>
        <v>0.5</v>
      </c>
      <c r="R5" s="53">
        <v>18.100000000000001</v>
      </c>
      <c r="S5" s="53">
        <v>113</v>
      </c>
      <c r="T5" s="16">
        <f t="shared" si="1"/>
        <v>30</v>
      </c>
      <c r="U5" s="53">
        <v>136</v>
      </c>
      <c r="V5" s="16">
        <f t="shared" si="2"/>
        <v>4080</v>
      </c>
      <c r="W5" s="53">
        <v>2</v>
      </c>
      <c r="X5" s="53" t="s">
        <v>46</v>
      </c>
      <c r="Y5" s="53" t="s">
        <v>69</v>
      </c>
      <c r="Z5" s="53" t="s">
        <v>47</v>
      </c>
      <c r="AA5" s="53" t="s">
        <v>55</v>
      </c>
      <c r="AB5" s="53" t="s">
        <v>284</v>
      </c>
      <c r="AE5" s="22" t="s">
        <v>51</v>
      </c>
      <c r="AG5" s="178" t="s">
        <v>376</v>
      </c>
      <c r="AH5" s="67" t="s">
        <v>377</v>
      </c>
      <c r="AJ5" s="28"/>
      <c r="AL5" s="72" t="s">
        <v>66</v>
      </c>
      <c r="AN5" s="72" t="s">
        <v>52</v>
      </c>
      <c r="AP5" s="23" t="s">
        <v>119</v>
      </c>
      <c r="AR5" s="23" t="s">
        <v>54</v>
      </c>
      <c r="AV5" s="23" t="s">
        <v>55</v>
      </c>
      <c r="AX5" s="24">
        <v>84</v>
      </c>
      <c r="AY5" s="25">
        <v>39</v>
      </c>
      <c r="AZ5" s="25">
        <v>84</v>
      </c>
      <c r="BA5" s="26">
        <v>36</v>
      </c>
    </row>
    <row r="6" spans="1:53" x14ac:dyDescent="0.15">
      <c r="A6" s="53" t="s">
        <v>34</v>
      </c>
      <c r="B6" s="53" t="s">
        <v>232</v>
      </c>
      <c r="C6" s="53">
        <v>2019</v>
      </c>
      <c r="D6" s="176" t="s">
        <v>369</v>
      </c>
      <c r="E6" s="53" t="s">
        <v>370</v>
      </c>
      <c r="F6" s="53" t="s">
        <v>371</v>
      </c>
      <c r="G6" s="53" t="s">
        <v>36</v>
      </c>
      <c r="H6" s="53" t="s">
        <v>160</v>
      </c>
      <c r="I6" s="53" t="s">
        <v>159</v>
      </c>
      <c r="J6" s="53" t="s">
        <v>38</v>
      </c>
      <c r="K6" s="53" t="s">
        <v>161</v>
      </c>
      <c r="L6" s="53">
        <v>2</v>
      </c>
      <c r="N6" s="53">
        <v>1</v>
      </c>
      <c r="O6" s="53">
        <v>0.5</v>
      </c>
      <c r="P6" s="53">
        <v>0.2</v>
      </c>
      <c r="Q6" s="74">
        <f t="shared" si="0"/>
        <v>0.35</v>
      </c>
      <c r="R6" s="53">
        <v>17.5</v>
      </c>
      <c r="S6" s="53">
        <v>108</v>
      </c>
      <c r="T6" s="16">
        <f t="shared" si="1"/>
        <v>33</v>
      </c>
      <c r="U6" s="53">
        <v>136</v>
      </c>
      <c r="V6" s="16">
        <f t="shared" si="2"/>
        <v>4488</v>
      </c>
      <c r="W6" s="53">
        <v>2</v>
      </c>
      <c r="X6" s="53" t="s">
        <v>46</v>
      </c>
      <c r="Y6" s="53" t="s">
        <v>69</v>
      </c>
      <c r="Z6" s="53" t="s">
        <v>47</v>
      </c>
      <c r="AA6" s="53" t="s">
        <v>55</v>
      </c>
      <c r="AB6" s="53" t="s">
        <v>284</v>
      </c>
      <c r="AE6" s="22" t="s">
        <v>56</v>
      </c>
      <c r="AG6" s="178" t="s">
        <v>378</v>
      </c>
      <c r="AH6" s="67" t="s">
        <v>379</v>
      </c>
      <c r="AL6" s="72" t="s">
        <v>99</v>
      </c>
      <c r="AN6" s="72" t="s">
        <v>57</v>
      </c>
      <c r="AP6" s="23" t="s">
        <v>53</v>
      </c>
      <c r="AR6" s="23" t="s">
        <v>59</v>
      </c>
      <c r="AV6" s="23" t="s">
        <v>60</v>
      </c>
      <c r="AX6" s="24">
        <v>97</v>
      </c>
      <c r="AY6" s="25">
        <v>36</v>
      </c>
      <c r="AZ6" s="25">
        <v>99</v>
      </c>
      <c r="BA6" s="26">
        <v>33</v>
      </c>
    </row>
    <row r="7" spans="1:53" x14ac:dyDescent="0.15">
      <c r="A7" s="53" t="s">
        <v>34</v>
      </c>
      <c r="B7" s="53" t="s">
        <v>232</v>
      </c>
      <c r="C7" s="53">
        <v>2019</v>
      </c>
      <c r="D7" s="176" t="s">
        <v>369</v>
      </c>
      <c r="E7" s="53" t="s">
        <v>370</v>
      </c>
      <c r="F7" s="53" t="s">
        <v>371</v>
      </c>
      <c r="G7" s="53" t="s">
        <v>36</v>
      </c>
      <c r="H7" s="53" t="s">
        <v>160</v>
      </c>
      <c r="I7" s="53" t="s">
        <v>159</v>
      </c>
      <c r="J7" s="53" t="s">
        <v>38</v>
      </c>
      <c r="K7" s="53" t="s">
        <v>161</v>
      </c>
      <c r="L7" s="53">
        <v>3</v>
      </c>
      <c r="N7" s="53">
        <v>1</v>
      </c>
      <c r="O7" s="53">
        <v>0.6</v>
      </c>
      <c r="P7" s="53">
        <v>0.55000000000000004</v>
      </c>
      <c r="Q7" s="74">
        <f t="shared" si="0"/>
        <v>0.57499999999999996</v>
      </c>
      <c r="R7" s="53">
        <v>19.600000000000001</v>
      </c>
      <c r="S7" s="53">
        <v>114</v>
      </c>
      <c r="T7" s="16">
        <f t="shared" si="1"/>
        <v>30</v>
      </c>
      <c r="U7" s="53">
        <v>136</v>
      </c>
      <c r="V7" s="16">
        <f t="shared" si="2"/>
        <v>4080</v>
      </c>
      <c r="W7" s="53">
        <v>2</v>
      </c>
      <c r="X7" s="53" t="s">
        <v>46</v>
      </c>
      <c r="Y7" s="53" t="s">
        <v>69</v>
      </c>
      <c r="Z7" s="53" t="s">
        <v>47</v>
      </c>
      <c r="AA7" s="53" t="s">
        <v>55</v>
      </c>
      <c r="AB7" s="53" t="s">
        <v>284</v>
      </c>
      <c r="AE7" s="22" t="s">
        <v>61</v>
      </c>
      <c r="AG7" s="178" t="s">
        <v>268</v>
      </c>
      <c r="AH7" s="67" t="s">
        <v>380</v>
      </c>
      <c r="AL7" s="34" t="s">
        <v>109</v>
      </c>
      <c r="AP7" s="23" t="s">
        <v>58</v>
      </c>
      <c r="AR7" s="23" t="s">
        <v>122</v>
      </c>
      <c r="AV7" s="23" t="s">
        <v>64</v>
      </c>
      <c r="AX7" s="24">
        <v>109</v>
      </c>
      <c r="AY7" s="25">
        <v>33</v>
      </c>
      <c r="AZ7" s="25">
        <v>113</v>
      </c>
      <c r="BA7" s="26">
        <v>30</v>
      </c>
    </row>
    <row r="8" spans="1:53" x14ac:dyDescent="0.15">
      <c r="A8" s="53" t="s">
        <v>34</v>
      </c>
      <c r="B8" s="53" t="s">
        <v>232</v>
      </c>
      <c r="C8" s="53">
        <v>2019</v>
      </c>
      <c r="D8" s="176" t="s">
        <v>369</v>
      </c>
      <c r="E8" s="53" t="s">
        <v>370</v>
      </c>
      <c r="F8" s="53" t="s">
        <v>371</v>
      </c>
      <c r="G8" s="53" t="s">
        <v>36</v>
      </c>
      <c r="H8" s="53" t="s">
        <v>160</v>
      </c>
      <c r="I8" s="53" t="s">
        <v>159</v>
      </c>
      <c r="J8" s="53" t="s">
        <v>38</v>
      </c>
      <c r="K8" s="53" t="s">
        <v>161</v>
      </c>
      <c r="L8" s="53">
        <v>1</v>
      </c>
      <c r="N8" s="53">
        <v>4</v>
      </c>
      <c r="O8" s="53">
        <v>0.6</v>
      </c>
      <c r="P8" s="53">
        <v>0.5</v>
      </c>
      <c r="Q8" s="74">
        <f t="shared" si="0"/>
        <v>0.55000000000000004</v>
      </c>
      <c r="R8" s="53">
        <v>18.3</v>
      </c>
      <c r="S8" s="53">
        <v>101</v>
      </c>
      <c r="T8" s="16">
        <f t="shared" si="1"/>
        <v>33</v>
      </c>
      <c r="U8" s="53">
        <v>427</v>
      </c>
      <c r="V8" s="16">
        <f t="shared" si="2"/>
        <v>3522.75</v>
      </c>
      <c r="W8" s="53">
        <v>2</v>
      </c>
      <c r="X8" s="53" t="s">
        <v>46</v>
      </c>
      <c r="Y8" s="53" t="s">
        <v>69</v>
      </c>
      <c r="Z8" s="53" t="s">
        <v>47</v>
      </c>
      <c r="AA8" s="53" t="s">
        <v>55</v>
      </c>
      <c r="AB8" s="53" t="s">
        <v>284</v>
      </c>
      <c r="AE8" s="22" t="s">
        <v>59</v>
      </c>
      <c r="AG8" s="178" t="s">
        <v>381</v>
      </c>
      <c r="AH8" s="67" t="s">
        <v>382</v>
      </c>
      <c r="AL8" s="34" t="s">
        <v>134</v>
      </c>
      <c r="AP8" s="23" t="s">
        <v>62</v>
      </c>
      <c r="AR8" s="23" t="s">
        <v>81</v>
      </c>
      <c r="AV8" s="23" t="s">
        <v>97</v>
      </c>
      <c r="AX8" s="24">
        <v>151</v>
      </c>
      <c r="AY8" s="25">
        <v>22</v>
      </c>
      <c r="AZ8" s="25">
        <v>152</v>
      </c>
      <c r="BA8" s="26">
        <v>18</v>
      </c>
    </row>
    <row r="9" spans="1:53" x14ac:dyDescent="0.15">
      <c r="A9" s="53" t="s">
        <v>34</v>
      </c>
      <c r="B9" s="53" t="s">
        <v>232</v>
      </c>
      <c r="C9" s="53">
        <v>2019</v>
      </c>
      <c r="D9" s="176" t="s">
        <v>369</v>
      </c>
      <c r="E9" s="53" t="s">
        <v>370</v>
      </c>
      <c r="F9" s="53" t="s">
        <v>371</v>
      </c>
      <c r="G9" s="53" t="s">
        <v>36</v>
      </c>
      <c r="H9" s="53" t="s">
        <v>160</v>
      </c>
      <c r="I9" s="53" t="s">
        <v>159</v>
      </c>
      <c r="J9" s="53" t="s">
        <v>38</v>
      </c>
      <c r="K9" s="53" t="s">
        <v>161</v>
      </c>
      <c r="L9" s="53">
        <v>2</v>
      </c>
      <c r="N9" s="53">
        <v>4</v>
      </c>
      <c r="O9" s="53">
        <v>0.45</v>
      </c>
      <c r="P9" s="53">
        <v>0.55000000000000004</v>
      </c>
      <c r="Q9" s="74">
        <f t="shared" si="0"/>
        <v>0.5</v>
      </c>
      <c r="R9" s="53">
        <v>18.7</v>
      </c>
      <c r="S9" s="53">
        <v>102</v>
      </c>
      <c r="T9" s="16">
        <f t="shared" si="1"/>
        <v>33</v>
      </c>
      <c r="U9" s="53">
        <v>427</v>
      </c>
      <c r="V9" s="16">
        <f t="shared" si="2"/>
        <v>3522.75</v>
      </c>
      <c r="W9" s="53">
        <v>2</v>
      </c>
      <c r="X9" s="53" t="s">
        <v>46</v>
      </c>
      <c r="Y9" s="53" t="s">
        <v>69</v>
      </c>
      <c r="Z9" s="53" t="s">
        <v>47</v>
      </c>
      <c r="AA9" s="53" t="s">
        <v>55</v>
      </c>
      <c r="AB9" s="53" t="s">
        <v>284</v>
      </c>
      <c r="AE9" s="22" t="s">
        <v>98</v>
      </c>
      <c r="AG9" s="178" t="s">
        <v>383</v>
      </c>
      <c r="AH9" s="67" t="s">
        <v>384</v>
      </c>
      <c r="AL9" s="72"/>
      <c r="AP9" s="23" t="s">
        <v>95</v>
      </c>
      <c r="AR9" s="23" t="s">
        <v>89</v>
      </c>
      <c r="AV9" s="23" t="s">
        <v>102</v>
      </c>
      <c r="AX9" s="31">
        <v>180</v>
      </c>
      <c r="AY9" s="32">
        <v>18</v>
      </c>
      <c r="AZ9" s="32">
        <v>181</v>
      </c>
      <c r="BA9" s="33">
        <v>16</v>
      </c>
    </row>
    <row r="10" spans="1:53" x14ac:dyDescent="0.15">
      <c r="A10" s="53" t="s">
        <v>34</v>
      </c>
      <c r="B10" s="53" t="s">
        <v>232</v>
      </c>
      <c r="C10" s="53">
        <v>2019</v>
      </c>
      <c r="D10" s="176" t="s">
        <v>369</v>
      </c>
      <c r="E10" s="53" t="s">
        <v>370</v>
      </c>
      <c r="F10" s="53" t="s">
        <v>371</v>
      </c>
      <c r="G10" s="53" t="s">
        <v>36</v>
      </c>
      <c r="H10" s="53" t="s">
        <v>160</v>
      </c>
      <c r="I10" s="53" t="s">
        <v>159</v>
      </c>
      <c r="J10" s="53" t="s">
        <v>38</v>
      </c>
      <c r="K10" s="53" t="s">
        <v>161</v>
      </c>
      <c r="L10" s="53">
        <v>3</v>
      </c>
      <c r="N10" s="53">
        <v>4</v>
      </c>
      <c r="O10" s="53">
        <v>0.2</v>
      </c>
      <c r="P10" s="53">
        <v>0.45</v>
      </c>
      <c r="Q10" s="74">
        <f t="shared" si="0"/>
        <v>0.32500000000000001</v>
      </c>
      <c r="R10" s="53">
        <v>19</v>
      </c>
      <c r="S10" s="53">
        <v>98</v>
      </c>
      <c r="T10" s="16">
        <f t="shared" si="1"/>
        <v>36</v>
      </c>
      <c r="U10" s="53">
        <v>427</v>
      </c>
      <c r="V10" s="16">
        <f t="shared" si="2"/>
        <v>3843</v>
      </c>
      <c r="W10" s="53">
        <v>2</v>
      </c>
      <c r="X10" s="53" t="s">
        <v>46</v>
      </c>
      <c r="Y10" s="53" t="s">
        <v>69</v>
      </c>
      <c r="Z10" s="53" t="s">
        <v>47</v>
      </c>
      <c r="AA10" s="53" t="s">
        <v>55</v>
      </c>
      <c r="AB10" s="53" t="s">
        <v>284</v>
      </c>
      <c r="AE10" s="22" t="s">
        <v>103</v>
      </c>
      <c r="AG10" s="178" t="s">
        <v>370</v>
      </c>
      <c r="AH10" s="67" t="s">
        <v>371</v>
      </c>
      <c r="AL10" s="34"/>
      <c r="AP10" s="23" t="s">
        <v>100</v>
      </c>
      <c r="AR10" s="23" t="s">
        <v>123</v>
      </c>
      <c r="AV10" s="23" t="s">
        <v>106</v>
      </c>
    </row>
    <row r="11" spans="1:53" x14ac:dyDescent="0.15">
      <c r="A11" s="53" t="s">
        <v>34</v>
      </c>
      <c r="B11" s="53" t="s">
        <v>232</v>
      </c>
      <c r="C11" s="53">
        <v>2019</v>
      </c>
      <c r="D11" s="176" t="s">
        <v>369</v>
      </c>
      <c r="E11" s="53" t="s">
        <v>370</v>
      </c>
      <c r="F11" s="53" t="s">
        <v>371</v>
      </c>
      <c r="G11" s="53" t="s">
        <v>36</v>
      </c>
      <c r="H11" s="53" t="s">
        <v>199</v>
      </c>
      <c r="I11" s="53" t="s">
        <v>159</v>
      </c>
      <c r="J11" s="53" t="s">
        <v>38</v>
      </c>
      <c r="K11" s="53" t="s">
        <v>161</v>
      </c>
      <c r="L11" s="53">
        <v>1</v>
      </c>
      <c r="N11" s="53">
        <v>4</v>
      </c>
      <c r="O11" s="53">
        <v>0.5</v>
      </c>
      <c r="P11" s="53">
        <v>0.2</v>
      </c>
      <c r="Q11" s="74">
        <f t="shared" si="0"/>
        <v>0.35</v>
      </c>
      <c r="R11" s="53">
        <v>19.399999999999999</v>
      </c>
      <c r="S11" s="53">
        <v>80</v>
      </c>
      <c r="T11" s="16">
        <f t="shared" si="1"/>
        <v>39</v>
      </c>
      <c r="U11" s="53">
        <v>298</v>
      </c>
      <c r="V11" s="16">
        <f t="shared" si="2"/>
        <v>2905.5</v>
      </c>
      <c r="W11" s="53">
        <v>1</v>
      </c>
      <c r="X11" s="53" t="s">
        <v>46</v>
      </c>
      <c r="Y11" s="53" t="s">
        <v>69</v>
      </c>
      <c r="Z11" s="53" t="s">
        <v>47</v>
      </c>
      <c r="AA11" s="53" t="s">
        <v>55</v>
      </c>
      <c r="AB11" s="53" t="s">
        <v>284</v>
      </c>
      <c r="AE11" s="22" t="s">
        <v>65</v>
      </c>
      <c r="AG11" s="178" t="s">
        <v>210</v>
      </c>
      <c r="AH11" s="67" t="s">
        <v>385</v>
      </c>
      <c r="AL11" s="34"/>
      <c r="AP11" s="23" t="s">
        <v>104</v>
      </c>
      <c r="AR11" s="23" t="s">
        <v>87</v>
      </c>
      <c r="AV11" s="23" t="s">
        <v>69</v>
      </c>
    </row>
    <row r="12" spans="1:53" x14ac:dyDescent="0.15">
      <c r="A12" s="53" t="s">
        <v>34</v>
      </c>
      <c r="B12" s="53" t="s">
        <v>232</v>
      </c>
      <c r="C12" s="53">
        <v>2019</v>
      </c>
      <c r="D12" s="176" t="s">
        <v>369</v>
      </c>
      <c r="E12" s="53" t="s">
        <v>370</v>
      </c>
      <c r="F12" s="53" t="s">
        <v>371</v>
      </c>
      <c r="G12" s="53" t="s">
        <v>36</v>
      </c>
      <c r="H12" s="53" t="s">
        <v>199</v>
      </c>
      <c r="I12" s="53" t="s">
        <v>159</v>
      </c>
      <c r="J12" s="53" t="s">
        <v>38</v>
      </c>
      <c r="K12" s="53" t="s">
        <v>161</v>
      </c>
      <c r="L12" s="53">
        <v>2</v>
      </c>
      <c r="N12" s="53">
        <v>4</v>
      </c>
      <c r="O12" s="53">
        <v>0.5</v>
      </c>
      <c r="P12" s="53">
        <v>0.55000000000000004</v>
      </c>
      <c r="Q12" s="74">
        <f t="shared" si="0"/>
        <v>0.52500000000000002</v>
      </c>
      <c r="R12" s="53">
        <v>17.899999999999999</v>
      </c>
      <c r="S12" s="53">
        <v>76</v>
      </c>
      <c r="T12" s="16">
        <f t="shared" si="1"/>
        <v>39</v>
      </c>
      <c r="U12" s="53">
        <v>298</v>
      </c>
      <c r="V12" s="16">
        <f t="shared" si="2"/>
        <v>2905.5</v>
      </c>
      <c r="W12" s="53">
        <v>1</v>
      </c>
      <c r="X12" s="53" t="s">
        <v>46</v>
      </c>
      <c r="Y12" s="53" t="s">
        <v>69</v>
      </c>
      <c r="Z12" s="53" t="s">
        <v>47</v>
      </c>
      <c r="AA12" s="53" t="s">
        <v>55</v>
      </c>
      <c r="AB12" s="53" t="s">
        <v>284</v>
      </c>
      <c r="AE12" s="22" t="s">
        <v>70</v>
      </c>
      <c r="AG12" s="28"/>
      <c r="AH12" s="23"/>
      <c r="AL12" s="34"/>
      <c r="AP12" s="23" t="s">
        <v>67</v>
      </c>
      <c r="AR12" s="23" t="s">
        <v>124</v>
      </c>
      <c r="AV12" s="23" t="s">
        <v>72</v>
      </c>
    </row>
    <row r="13" spans="1:53" x14ac:dyDescent="0.15">
      <c r="A13" s="53" t="s">
        <v>34</v>
      </c>
      <c r="B13" s="53" t="s">
        <v>232</v>
      </c>
      <c r="C13" s="53">
        <v>2019</v>
      </c>
      <c r="D13" s="176" t="s">
        <v>369</v>
      </c>
      <c r="E13" s="53" t="s">
        <v>370</v>
      </c>
      <c r="F13" s="53" t="s">
        <v>371</v>
      </c>
      <c r="G13" s="53" t="s">
        <v>36</v>
      </c>
      <c r="H13" s="53" t="s">
        <v>199</v>
      </c>
      <c r="I13" s="53" t="s">
        <v>159</v>
      </c>
      <c r="J13" s="53" t="s">
        <v>38</v>
      </c>
      <c r="K13" s="53" t="s">
        <v>161</v>
      </c>
      <c r="L13" s="53">
        <v>3</v>
      </c>
      <c r="N13" s="53">
        <v>4</v>
      </c>
      <c r="O13" s="53">
        <v>0.5</v>
      </c>
      <c r="P13" s="53">
        <v>0.5</v>
      </c>
      <c r="Q13" s="74">
        <f t="shared" si="0"/>
        <v>0.5</v>
      </c>
      <c r="R13" s="53">
        <v>19.8</v>
      </c>
      <c r="S13" s="53">
        <v>73</v>
      </c>
      <c r="T13" s="16">
        <f t="shared" si="1"/>
        <v>42</v>
      </c>
      <c r="U13" s="53">
        <v>298</v>
      </c>
      <c r="V13" s="16">
        <f t="shared" si="2"/>
        <v>3129</v>
      </c>
      <c r="W13" s="53">
        <v>1</v>
      </c>
      <c r="X13" s="53" t="s">
        <v>46</v>
      </c>
      <c r="Y13" s="53" t="s">
        <v>69</v>
      </c>
      <c r="Z13" s="53" t="s">
        <v>47</v>
      </c>
      <c r="AA13" s="53" t="s">
        <v>55</v>
      </c>
      <c r="AB13" s="53" t="s">
        <v>284</v>
      </c>
      <c r="AE13" s="22" t="s">
        <v>73</v>
      </c>
      <c r="AH13" s="28"/>
      <c r="AP13" s="23" t="s">
        <v>71</v>
      </c>
      <c r="AR13" s="23" t="s">
        <v>103</v>
      </c>
      <c r="AV13" s="23" t="s">
        <v>75</v>
      </c>
    </row>
    <row r="14" spans="1:53" x14ac:dyDescent="0.15">
      <c r="A14" s="53" t="s">
        <v>34</v>
      </c>
      <c r="B14" s="53" t="s">
        <v>232</v>
      </c>
      <c r="C14" s="53">
        <v>2019</v>
      </c>
      <c r="D14" s="176" t="s">
        <v>369</v>
      </c>
      <c r="E14" s="53" t="s">
        <v>381</v>
      </c>
      <c r="F14" s="53" t="s">
        <v>382</v>
      </c>
      <c r="G14" s="53" t="s">
        <v>36</v>
      </c>
      <c r="H14" s="53" t="s">
        <v>164</v>
      </c>
      <c r="I14" s="53" t="s">
        <v>159</v>
      </c>
      <c r="J14" s="53" t="s">
        <v>38</v>
      </c>
      <c r="K14" s="53" t="s">
        <v>161</v>
      </c>
      <c r="L14" s="53">
        <v>1</v>
      </c>
      <c r="N14" s="53">
        <v>1</v>
      </c>
      <c r="O14" s="53">
        <v>0.6</v>
      </c>
      <c r="P14" s="53">
        <v>0.2</v>
      </c>
      <c r="Q14" s="74">
        <f t="shared" si="0"/>
        <v>0.4</v>
      </c>
      <c r="R14" s="53">
        <v>18.7</v>
      </c>
      <c r="S14" s="53">
        <v>128</v>
      </c>
      <c r="T14" s="16">
        <f t="shared" si="1"/>
        <v>30</v>
      </c>
      <c r="U14" s="53">
        <v>105</v>
      </c>
      <c r="V14" s="16">
        <f t="shared" si="2"/>
        <v>3150</v>
      </c>
      <c r="W14" s="53">
        <v>2</v>
      </c>
      <c r="X14" s="53" t="s">
        <v>46</v>
      </c>
      <c r="Y14" s="53" t="s">
        <v>69</v>
      </c>
      <c r="Z14" s="53" t="s">
        <v>55</v>
      </c>
      <c r="AA14" s="53" t="s">
        <v>90</v>
      </c>
      <c r="AB14" s="53" t="s">
        <v>284</v>
      </c>
      <c r="AE14" s="22" t="s">
        <v>76</v>
      </c>
      <c r="AG14" s="179"/>
      <c r="AP14" s="23" t="s">
        <v>74</v>
      </c>
      <c r="AR14" s="23" t="s">
        <v>125</v>
      </c>
      <c r="AV14" s="23" t="s">
        <v>78</v>
      </c>
    </row>
    <row r="15" spans="1:53" x14ac:dyDescent="0.15">
      <c r="A15" s="53" t="s">
        <v>34</v>
      </c>
      <c r="B15" s="53" t="s">
        <v>232</v>
      </c>
      <c r="C15" s="53">
        <v>2019</v>
      </c>
      <c r="D15" s="176" t="s">
        <v>369</v>
      </c>
      <c r="E15" s="53" t="s">
        <v>381</v>
      </c>
      <c r="F15" s="53" t="s">
        <v>382</v>
      </c>
      <c r="G15" s="53" t="s">
        <v>36</v>
      </c>
      <c r="H15" s="53" t="s">
        <v>164</v>
      </c>
      <c r="I15" s="53" t="s">
        <v>159</v>
      </c>
      <c r="J15" s="53" t="s">
        <v>38</v>
      </c>
      <c r="K15" s="53" t="s">
        <v>161</v>
      </c>
      <c r="L15" s="53">
        <v>2</v>
      </c>
      <c r="N15" s="53">
        <v>1</v>
      </c>
      <c r="O15" s="53">
        <v>0.6</v>
      </c>
      <c r="P15" s="53">
        <v>0.8</v>
      </c>
      <c r="Q15" s="74">
        <f t="shared" si="0"/>
        <v>0.7</v>
      </c>
      <c r="R15" s="53">
        <v>17.100000000000001</v>
      </c>
      <c r="S15" s="53">
        <v>130</v>
      </c>
      <c r="T15" s="16">
        <f t="shared" si="1"/>
        <v>30</v>
      </c>
      <c r="U15" s="53">
        <v>105</v>
      </c>
      <c r="V15" s="16">
        <f t="shared" si="2"/>
        <v>3150</v>
      </c>
      <c r="W15" s="53">
        <v>2</v>
      </c>
      <c r="X15" s="53" t="s">
        <v>46</v>
      </c>
      <c r="Y15" s="53" t="s">
        <v>69</v>
      </c>
      <c r="Z15" s="53" t="s">
        <v>55</v>
      </c>
      <c r="AA15" s="53" t="s">
        <v>90</v>
      </c>
      <c r="AB15" s="53" t="s">
        <v>284</v>
      </c>
      <c r="AE15" s="22" t="s">
        <v>79</v>
      </c>
      <c r="AP15" s="23" t="s">
        <v>77</v>
      </c>
      <c r="AR15" s="23" t="s">
        <v>94</v>
      </c>
      <c r="AV15" s="23" t="s">
        <v>107</v>
      </c>
    </row>
    <row r="16" spans="1:53" x14ac:dyDescent="0.15">
      <c r="A16" s="53" t="s">
        <v>34</v>
      </c>
      <c r="B16" s="53" t="s">
        <v>232</v>
      </c>
      <c r="C16" s="53">
        <v>2019</v>
      </c>
      <c r="D16" s="176" t="s">
        <v>369</v>
      </c>
      <c r="E16" s="53" t="s">
        <v>381</v>
      </c>
      <c r="F16" s="53" t="s">
        <v>382</v>
      </c>
      <c r="G16" s="53" t="s">
        <v>36</v>
      </c>
      <c r="H16" s="53" t="s">
        <v>164</v>
      </c>
      <c r="I16" s="53" t="s">
        <v>159</v>
      </c>
      <c r="J16" s="53" t="s">
        <v>38</v>
      </c>
      <c r="K16" s="53" t="s">
        <v>161</v>
      </c>
      <c r="L16" s="53">
        <v>3</v>
      </c>
      <c r="N16" s="53">
        <v>1</v>
      </c>
      <c r="O16" s="53">
        <v>0.55000000000000004</v>
      </c>
      <c r="P16" s="53">
        <v>0.55000000000000004</v>
      </c>
      <c r="Q16" s="74">
        <f t="shared" si="0"/>
        <v>0.55000000000000004</v>
      </c>
      <c r="R16" s="53">
        <v>16.7</v>
      </c>
      <c r="S16" s="53">
        <v>130</v>
      </c>
      <c r="T16" s="16">
        <f t="shared" si="1"/>
        <v>30</v>
      </c>
      <c r="U16" s="53">
        <v>105</v>
      </c>
      <c r="V16" s="16">
        <f t="shared" si="2"/>
        <v>3150</v>
      </c>
      <c r="W16" s="53">
        <v>2</v>
      </c>
      <c r="X16" s="53" t="s">
        <v>46</v>
      </c>
      <c r="Y16" s="53" t="s">
        <v>69</v>
      </c>
      <c r="Z16" s="53" t="s">
        <v>55</v>
      </c>
      <c r="AA16" s="53" t="s">
        <v>90</v>
      </c>
      <c r="AB16" s="53" t="s">
        <v>284</v>
      </c>
      <c r="AE16" s="22" t="s">
        <v>82</v>
      </c>
      <c r="AP16" s="23" t="s">
        <v>80</v>
      </c>
      <c r="AR16" s="23" t="s">
        <v>63</v>
      </c>
      <c r="AV16" s="23" t="s">
        <v>84</v>
      </c>
    </row>
    <row r="17" spans="1:48" x14ac:dyDescent="0.15">
      <c r="A17" s="53" t="s">
        <v>34</v>
      </c>
      <c r="B17" s="53" t="s">
        <v>232</v>
      </c>
      <c r="C17" s="53">
        <v>2019</v>
      </c>
      <c r="D17" s="176" t="s">
        <v>369</v>
      </c>
      <c r="E17" s="53" t="s">
        <v>381</v>
      </c>
      <c r="F17" s="53" t="s">
        <v>382</v>
      </c>
      <c r="G17" s="53" t="s">
        <v>36</v>
      </c>
      <c r="H17" s="53" t="s">
        <v>160</v>
      </c>
      <c r="I17" s="53" t="s">
        <v>159</v>
      </c>
      <c r="J17" s="53" t="s">
        <v>38</v>
      </c>
      <c r="K17" s="53" t="s">
        <v>161</v>
      </c>
      <c r="L17" s="53">
        <v>1</v>
      </c>
      <c r="N17" s="53">
        <v>1</v>
      </c>
      <c r="O17" s="53">
        <v>0.55000000000000004</v>
      </c>
      <c r="P17" s="53">
        <v>0.55000000000000004</v>
      </c>
      <c r="Q17" s="74">
        <f t="shared" si="0"/>
        <v>0.55000000000000004</v>
      </c>
      <c r="R17" s="53">
        <v>17.5</v>
      </c>
      <c r="S17" s="53">
        <v>127</v>
      </c>
      <c r="T17" s="16">
        <f t="shared" si="1"/>
        <v>30</v>
      </c>
      <c r="U17" s="53">
        <v>105</v>
      </c>
      <c r="V17" s="16">
        <f t="shared" si="2"/>
        <v>3150</v>
      </c>
      <c r="W17" s="53">
        <v>9</v>
      </c>
      <c r="X17" s="53" t="s">
        <v>46</v>
      </c>
      <c r="Y17" s="53" t="s">
        <v>69</v>
      </c>
      <c r="Z17" s="53" t="s">
        <v>55</v>
      </c>
      <c r="AA17" s="53" t="s">
        <v>90</v>
      </c>
      <c r="AB17" s="53" t="s">
        <v>284</v>
      </c>
      <c r="AE17" s="22" t="s">
        <v>85</v>
      </c>
      <c r="AP17" s="27" t="s">
        <v>110</v>
      </c>
      <c r="AR17" s="23" t="s">
        <v>96</v>
      </c>
      <c r="AV17" s="23" t="s">
        <v>86</v>
      </c>
    </row>
    <row r="18" spans="1:48" x14ac:dyDescent="0.15">
      <c r="A18" s="53" t="s">
        <v>34</v>
      </c>
      <c r="B18" s="53" t="s">
        <v>232</v>
      </c>
      <c r="C18" s="53">
        <v>2019</v>
      </c>
      <c r="D18" s="176" t="s">
        <v>369</v>
      </c>
      <c r="E18" s="53" t="s">
        <v>381</v>
      </c>
      <c r="F18" s="53" t="s">
        <v>382</v>
      </c>
      <c r="G18" s="53" t="s">
        <v>36</v>
      </c>
      <c r="H18" s="53" t="s">
        <v>160</v>
      </c>
      <c r="I18" s="53" t="s">
        <v>159</v>
      </c>
      <c r="J18" s="53" t="s">
        <v>38</v>
      </c>
      <c r="K18" s="53" t="s">
        <v>161</v>
      </c>
      <c r="L18" s="53">
        <v>2</v>
      </c>
      <c r="N18" s="53">
        <v>1</v>
      </c>
      <c r="O18" s="53">
        <v>0.55000000000000004</v>
      </c>
      <c r="P18" s="53">
        <v>0.55000000000000004</v>
      </c>
      <c r="Q18" s="74">
        <f t="shared" si="0"/>
        <v>0.55000000000000004</v>
      </c>
      <c r="R18" s="53">
        <v>17.3</v>
      </c>
      <c r="S18" s="53">
        <v>129</v>
      </c>
      <c r="T18" s="16">
        <f t="shared" si="1"/>
        <v>30</v>
      </c>
      <c r="U18" s="53">
        <v>105</v>
      </c>
      <c r="V18" s="16">
        <f t="shared" si="2"/>
        <v>3150</v>
      </c>
      <c r="W18" s="53">
        <v>9</v>
      </c>
      <c r="X18" s="53" t="s">
        <v>46</v>
      </c>
      <c r="Y18" s="53" t="s">
        <v>69</v>
      </c>
      <c r="Z18" s="53" t="s">
        <v>55</v>
      </c>
      <c r="AA18" s="53" t="s">
        <v>90</v>
      </c>
      <c r="AB18" s="53" t="s">
        <v>284</v>
      </c>
      <c r="AE18" s="22" t="s">
        <v>87</v>
      </c>
      <c r="AP18" s="27" t="s">
        <v>111</v>
      </c>
      <c r="AR18" s="23" t="s">
        <v>101</v>
      </c>
      <c r="AV18" s="23" t="s">
        <v>88</v>
      </c>
    </row>
    <row r="19" spans="1:48" x14ac:dyDescent="0.15">
      <c r="A19" s="53" t="s">
        <v>34</v>
      </c>
      <c r="B19" s="53" t="s">
        <v>232</v>
      </c>
      <c r="C19" s="53">
        <v>2019</v>
      </c>
      <c r="D19" s="176" t="s">
        <v>369</v>
      </c>
      <c r="E19" s="53" t="s">
        <v>381</v>
      </c>
      <c r="F19" s="53" t="s">
        <v>382</v>
      </c>
      <c r="G19" s="53" t="s">
        <v>36</v>
      </c>
      <c r="H19" s="53" t="s">
        <v>160</v>
      </c>
      <c r="I19" s="53" t="s">
        <v>159</v>
      </c>
      <c r="J19" s="53" t="s">
        <v>38</v>
      </c>
      <c r="K19" s="53" t="s">
        <v>161</v>
      </c>
      <c r="L19" s="53">
        <v>3</v>
      </c>
      <c r="N19" s="53">
        <v>1</v>
      </c>
      <c r="O19" s="53">
        <v>0.75</v>
      </c>
      <c r="P19" s="53">
        <v>0.7</v>
      </c>
      <c r="Q19" s="74">
        <f t="shared" si="0"/>
        <v>0.72499999999999998</v>
      </c>
      <c r="R19" s="53">
        <v>14.3</v>
      </c>
      <c r="S19" s="53">
        <v>125</v>
      </c>
      <c r="T19" s="16">
        <f t="shared" si="1"/>
        <v>30</v>
      </c>
      <c r="U19" s="53">
        <v>105</v>
      </c>
      <c r="V19" s="16">
        <f t="shared" si="2"/>
        <v>3150</v>
      </c>
      <c r="W19" s="53">
        <v>9</v>
      </c>
      <c r="X19" s="53" t="s">
        <v>46</v>
      </c>
      <c r="Y19" s="53" t="s">
        <v>69</v>
      </c>
      <c r="Z19" s="53" t="s">
        <v>55</v>
      </c>
      <c r="AA19" s="53" t="s">
        <v>90</v>
      </c>
      <c r="AB19" s="53" t="s">
        <v>284</v>
      </c>
      <c r="AE19" s="35" t="s">
        <v>89</v>
      </c>
      <c r="AP19" s="27" t="s">
        <v>112</v>
      </c>
      <c r="AR19" s="23" t="s">
        <v>126</v>
      </c>
      <c r="AV19" s="23" t="s">
        <v>90</v>
      </c>
    </row>
    <row r="20" spans="1:48" x14ac:dyDescent="0.15">
      <c r="A20" s="53" t="s">
        <v>34</v>
      </c>
      <c r="B20" s="53" t="s">
        <v>232</v>
      </c>
      <c r="C20" s="53">
        <v>2019</v>
      </c>
      <c r="D20" s="176" t="s">
        <v>369</v>
      </c>
      <c r="E20" s="53" t="s">
        <v>381</v>
      </c>
      <c r="F20" s="53" t="s">
        <v>382</v>
      </c>
      <c r="G20" s="53" t="s">
        <v>36</v>
      </c>
      <c r="H20" s="53" t="s">
        <v>160</v>
      </c>
      <c r="I20" s="53" t="s">
        <v>159</v>
      </c>
      <c r="J20" s="53" t="s">
        <v>38</v>
      </c>
      <c r="K20" s="53" t="s">
        <v>161</v>
      </c>
      <c r="L20" s="53">
        <v>1</v>
      </c>
      <c r="N20" s="53">
        <v>5</v>
      </c>
      <c r="O20" s="53">
        <v>0.5</v>
      </c>
      <c r="P20" s="53">
        <v>0.5</v>
      </c>
      <c r="Q20" s="74">
        <f t="shared" si="0"/>
        <v>0.5</v>
      </c>
      <c r="R20" s="53">
        <v>17.100000000000001</v>
      </c>
      <c r="S20" s="53">
        <v>82</v>
      </c>
      <c r="T20" s="16">
        <f t="shared" si="1"/>
        <v>39</v>
      </c>
      <c r="U20" s="53">
        <v>429</v>
      </c>
      <c r="V20" s="16">
        <f t="shared" si="2"/>
        <v>3346.2</v>
      </c>
      <c r="W20" s="53">
        <v>9</v>
      </c>
      <c r="X20" s="53" t="s">
        <v>46</v>
      </c>
      <c r="Y20" s="53" t="s">
        <v>69</v>
      </c>
      <c r="Z20" s="53" t="s">
        <v>55</v>
      </c>
      <c r="AA20" s="53" t="s">
        <v>90</v>
      </c>
      <c r="AB20" s="53" t="s">
        <v>284</v>
      </c>
      <c r="AP20" s="27" t="s">
        <v>113</v>
      </c>
      <c r="AR20" s="23" t="s">
        <v>105</v>
      </c>
      <c r="AV20" s="27" t="s">
        <v>135</v>
      </c>
    </row>
    <row r="21" spans="1:48" x14ac:dyDescent="0.15">
      <c r="A21" s="53" t="s">
        <v>34</v>
      </c>
      <c r="B21" s="53" t="s">
        <v>232</v>
      </c>
      <c r="C21" s="53">
        <v>2019</v>
      </c>
      <c r="D21" s="176" t="s">
        <v>369</v>
      </c>
      <c r="E21" s="53" t="s">
        <v>381</v>
      </c>
      <c r="F21" s="53" t="s">
        <v>382</v>
      </c>
      <c r="G21" s="53" t="s">
        <v>36</v>
      </c>
      <c r="H21" s="53" t="s">
        <v>160</v>
      </c>
      <c r="I21" s="53" t="s">
        <v>159</v>
      </c>
      <c r="J21" s="53" t="s">
        <v>38</v>
      </c>
      <c r="K21" s="53" t="s">
        <v>161</v>
      </c>
      <c r="L21" s="53">
        <v>2</v>
      </c>
      <c r="N21" s="53">
        <v>5</v>
      </c>
      <c r="O21" s="53">
        <v>0.2</v>
      </c>
      <c r="P21" s="53">
        <v>0.2</v>
      </c>
      <c r="Q21" s="74">
        <f t="shared" si="0"/>
        <v>0.2</v>
      </c>
      <c r="R21" s="53">
        <v>18.899999999999999</v>
      </c>
      <c r="S21" s="53">
        <v>81</v>
      </c>
      <c r="T21" s="16">
        <f t="shared" si="1"/>
        <v>39</v>
      </c>
      <c r="U21" s="53">
        <v>429</v>
      </c>
      <c r="V21" s="16">
        <f t="shared" si="2"/>
        <v>3346.2</v>
      </c>
      <c r="W21" s="53">
        <v>9</v>
      </c>
      <c r="X21" s="53" t="s">
        <v>46</v>
      </c>
      <c r="Y21" s="53" t="s">
        <v>69</v>
      </c>
      <c r="Z21" s="53" t="s">
        <v>55</v>
      </c>
      <c r="AA21" s="53" t="s">
        <v>90</v>
      </c>
      <c r="AB21" s="53" t="s">
        <v>284</v>
      </c>
      <c r="AP21" s="27" t="s">
        <v>114</v>
      </c>
      <c r="AR21" s="23" t="s">
        <v>68</v>
      </c>
      <c r="AV21" s="27" t="s">
        <v>136</v>
      </c>
    </row>
    <row r="22" spans="1:48" x14ac:dyDescent="0.15">
      <c r="A22" s="53" t="s">
        <v>34</v>
      </c>
      <c r="B22" s="53" t="s">
        <v>232</v>
      </c>
      <c r="C22" s="53">
        <v>2019</v>
      </c>
      <c r="D22" s="176" t="s">
        <v>369</v>
      </c>
      <c r="E22" s="53" t="s">
        <v>381</v>
      </c>
      <c r="F22" s="53" t="s">
        <v>382</v>
      </c>
      <c r="G22" s="53" t="s">
        <v>36</v>
      </c>
      <c r="H22" s="53" t="s">
        <v>386</v>
      </c>
      <c r="I22" s="53" t="s">
        <v>159</v>
      </c>
      <c r="J22" s="53" t="s">
        <v>38</v>
      </c>
      <c r="K22" s="53" t="s">
        <v>161</v>
      </c>
      <c r="L22" s="53">
        <v>3</v>
      </c>
      <c r="N22" s="53">
        <v>5</v>
      </c>
      <c r="O22" s="53">
        <v>0.5</v>
      </c>
      <c r="P22" s="53">
        <v>0.5</v>
      </c>
      <c r="Q22" s="74">
        <f t="shared" si="0"/>
        <v>0.5</v>
      </c>
      <c r="R22" s="53">
        <v>18.3</v>
      </c>
      <c r="S22" s="53">
        <v>86</v>
      </c>
      <c r="T22" s="16">
        <f t="shared" si="1"/>
        <v>36</v>
      </c>
      <c r="U22" s="53">
        <v>429</v>
      </c>
      <c r="V22" s="16">
        <f t="shared" si="2"/>
        <v>3088.7999999999997</v>
      </c>
      <c r="W22" s="53">
        <v>9</v>
      </c>
      <c r="X22" s="53" t="s">
        <v>46</v>
      </c>
      <c r="Y22" s="53" t="s">
        <v>69</v>
      </c>
      <c r="Z22" s="53" t="s">
        <v>55</v>
      </c>
      <c r="AA22" s="53" t="s">
        <v>90</v>
      </c>
      <c r="AB22" s="53" t="s">
        <v>284</v>
      </c>
      <c r="AP22" s="27" t="s">
        <v>115</v>
      </c>
      <c r="AR22" s="23" t="s">
        <v>83</v>
      </c>
      <c r="AV22" s="27"/>
    </row>
    <row r="23" spans="1:48" x14ac:dyDescent="0.15">
      <c r="A23" s="53" t="s">
        <v>34</v>
      </c>
      <c r="B23" s="53" t="s">
        <v>232</v>
      </c>
      <c r="C23" s="53">
        <v>2019</v>
      </c>
      <c r="D23" s="176" t="s">
        <v>369</v>
      </c>
      <c r="E23" s="53" t="s">
        <v>381</v>
      </c>
      <c r="F23" s="53" t="s">
        <v>382</v>
      </c>
      <c r="G23" s="53" t="s">
        <v>36</v>
      </c>
      <c r="H23" s="53" t="s">
        <v>386</v>
      </c>
      <c r="I23" s="53" t="s">
        <v>159</v>
      </c>
      <c r="J23" s="53" t="s">
        <v>38</v>
      </c>
      <c r="K23" s="53" t="s">
        <v>161</v>
      </c>
      <c r="L23" s="53">
        <v>1</v>
      </c>
      <c r="N23" s="53">
        <v>8</v>
      </c>
      <c r="O23" s="53">
        <v>0.45</v>
      </c>
      <c r="P23" s="53">
        <v>0.6</v>
      </c>
      <c r="Q23" s="74">
        <f t="shared" si="0"/>
        <v>0.52500000000000002</v>
      </c>
      <c r="R23" s="53">
        <v>17.399999999999999</v>
      </c>
      <c r="S23" s="53">
        <v>91</v>
      </c>
      <c r="T23" s="16">
        <f t="shared" si="1"/>
        <v>36</v>
      </c>
      <c r="U23" s="53">
        <v>537</v>
      </c>
      <c r="V23" s="16">
        <f t="shared" si="2"/>
        <v>2416.5</v>
      </c>
      <c r="W23" s="53">
        <v>9</v>
      </c>
      <c r="X23" s="53" t="s">
        <v>46</v>
      </c>
      <c r="Y23" s="53" t="s">
        <v>69</v>
      </c>
      <c r="Z23" s="53" t="s">
        <v>55</v>
      </c>
      <c r="AA23" s="53" t="s">
        <v>90</v>
      </c>
      <c r="AB23" s="53" t="s">
        <v>284</v>
      </c>
      <c r="AP23" s="27" t="s">
        <v>117</v>
      </c>
      <c r="AR23" s="23" t="s">
        <v>153</v>
      </c>
    </row>
    <row r="24" spans="1:48" x14ac:dyDescent="0.15">
      <c r="A24" s="53" t="s">
        <v>34</v>
      </c>
      <c r="B24" s="53" t="s">
        <v>232</v>
      </c>
      <c r="C24" s="53">
        <v>2019</v>
      </c>
      <c r="D24" s="176" t="s">
        <v>369</v>
      </c>
      <c r="E24" s="53" t="s">
        <v>381</v>
      </c>
      <c r="F24" s="53" t="s">
        <v>382</v>
      </c>
      <c r="G24" s="53" t="s">
        <v>36</v>
      </c>
      <c r="H24" s="53" t="s">
        <v>386</v>
      </c>
      <c r="I24" s="53" t="s">
        <v>159</v>
      </c>
      <c r="J24" s="53" t="s">
        <v>38</v>
      </c>
      <c r="K24" s="53" t="s">
        <v>161</v>
      </c>
      <c r="L24" s="53">
        <v>2</v>
      </c>
      <c r="N24" s="53">
        <v>8</v>
      </c>
      <c r="O24" s="53">
        <v>0.55000000000000004</v>
      </c>
      <c r="P24" s="53">
        <v>0.6</v>
      </c>
      <c r="Q24" s="74">
        <f t="shared" si="0"/>
        <v>0.57499999999999996</v>
      </c>
      <c r="R24" s="53">
        <v>18.100000000000001</v>
      </c>
      <c r="S24" s="53">
        <v>87</v>
      </c>
      <c r="T24" s="16">
        <f t="shared" si="1"/>
        <v>36</v>
      </c>
      <c r="U24" s="53">
        <v>537</v>
      </c>
      <c r="V24" s="16">
        <f t="shared" si="2"/>
        <v>2416.5</v>
      </c>
      <c r="W24" s="53">
        <v>9</v>
      </c>
      <c r="X24" s="53" t="s">
        <v>46</v>
      </c>
      <c r="Y24" s="53" t="s">
        <v>69</v>
      </c>
      <c r="Z24" s="53" t="s">
        <v>55</v>
      </c>
      <c r="AA24" s="53" t="s">
        <v>90</v>
      </c>
      <c r="AB24" s="53" t="s">
        <v>284</v>
      </c>
      <c r="AP24" s="27" t="s">
        <v>118</v>
      </c>
    </row>
    <row r="25" spans="1:48" x14ac:dyDescent="0.15">
      <c r="A25" s="53" t="s">
        <v>34</v>
      </c>
      <c r="B25" s="53" t="s">
        <v>232</v>
      </c>
      <c r="C25" s="53">
        <v>2019</v>
      </c>
      <c r="D25" s="176" t="s">
        <v>369</v>
      </c>
      <c r="E25" s="53" t="s">
        <v>381</v>
      </c>
      <c r="F25" s="53" t="s">
        <v>382</v>
      </c>
      <c r="G25" s="53" t="s">
        <v>36</v>
      </c>
      <c r="H25" s="53" t="s">
        <v>386</v>
      </c>
      <c r="I25" s="53" t="s">
        <v>159</v>
      </c>
      <c r="J25" s="53" t="s">
        <v>38</v>
      </c>
      <c r="K25" s="53" t="s">
        <v>161</v>
      </c>
      <c r="L25" s="53">
        <v>3</v>
      </c>
      <c r="N25" s="53">
        <v>8</v>
      </c>
      <c r="O25" s="53">
        <v>0.6</v>
      </c>
      <c r="P25" s="53">
        <v>0.6</v>
      </c>
      <c r="Q25" s="74">
        <f t="shared" si="0"/>
        <v>0.6</v>
      </c>
      <c r="R25" s="53">
        <v>17.5</v>
      </c>
      <c r="S25" s="53">
        <v>92</v>
      </c>
      <c r="T25" s="16">
        <f t="shared" si="1"/>
        <v>36</v>
      </c>
      <c r="U25" s="53">
        <v>537</v>
      </c>
      <c r="V25" s="16">
        <f t="shared" si="2"/>
        <v>2416.5</v>
      </c>
      <c r="W25" s="53">
        <v>9</v>
      </c>
      <c r="X25" s="53" t="s">
        <v>46</v>
      </c>
      <c r="Y25" s="53" t="s">
        <v>69</v>
      </c>
      <c r="Z25" s="53" t="s">
        <v>55</v>
      </c>
      <c r="AA25" s="53" t="s">
        <v>90</v>
      </c>
      <c r="AB25" s="53" t="s">
        <v>284</v>
      </c>
    </row>
    <row r="26" spans="1:48" x14ac:dyDescent="0.15">
      <c r="A26" s="53" t="s">
        <v>34</v>
      </c>
      <c r="B26" s="53" t="s">
        <v>232</v>
      </c>
      <c r="C26" s="53">
        <v>2019</v>
      </c>
      <c r="D26" s="176" t="s">
        <v>369</v>
      </c>
      <c r="E26" s="53" t="s">
        <v>210</v>
      </c>
      <c r="F26" s="53" t="s">
        <v>385</v>
      </c>
      <c r="G26" s="53" t="s">
        <v>36</v>
      </c>
      <c r="H26" s="53" t="s">
        <v>164</v>
      </c>
      <c r="I26" s="53" t="s">
        <v>159</v>
      </c>
      <c r="J26" s="53" t="s">
        <v>38</v>
      </c>
      <c r="K26" s="53" t="s">
        <v>161</v>
      </c>
      <c r="L26" s="53">
        <v>1</v>
      </c>
      <c r="N26" s="53">
        <v>1</v>
      </c>
      <c r="O26" s="53">
        <v>0.2</v>
      </c>
      <c r="P26" s="53">
        <v>0.2</v>
      </c>
      <c r="Q26" s="74">
        <f t="shared" si="0"/>
        <v>0.2</v>
      </c>
      <c r="R26" s="53">
        <v>17.399999999999999</v>
      </c>
      <c r="S26" s="53">
        <v>104</v>
      </c>
      <c r="T26" s="16">
        <f t="shared" si="1"/>
        <v>33</v>
      </c>
      <c r="U26" s="53">
        <v>96</v>
      </c>
      <c r="V26" s="16">
        <f t="shared" si="2"/>
        <v>3168</v>
      </c>
      <c r="W26" s="53">
        <v>5</v>
      </c>
      <c r="X26" s="53" t="s">
        <v>46</v>
      </c>
      <c r="Y26" s="53" t="s">
        <v>55</v>
      </c>
      <c r="Z26" s="53" t="s">
        <v>64</v>
      </c>
      <c r="AA26" s="53" t="s">
        <v>69</v>
      </c>
      <c r="AB26" s="53" t="s">
        <v>284</v>
      </c>
    </row>
    <row r="27" spans="1:48" x14ac:dyDescent="0.15">
      <c r="A27" s="53" t="s">
        <v>34</v>
      </c>
      <c r="B27" s="53" t="s">
        <v>232</v>
      </c>
      <c r="C27" s="53">
        <v>2019</v>
      </c>
      <c r="D27" s="176" t="s">
        <v>369</v>
      </c>
      <c r="E27" s="53" t="s">
        <v>210</v>
      </c>
      <c r="F27" s="53" t="s">
        <v>385</v>
      </c>
      <c r="G27" s="53" t="s">
        <v>36</v>
      </c>
      <c r="H27" s="53" t="s">
        <v>164</v>
      </c>
      <c r="I27" s="53" t="s">
        <v>159</v>
      </c>
      <c r="J27" s="53" t="s">
        <v>38</v>
      </c>
      <c r="K27" s="53" t="s">
        <v>161</v>
      </c>
      <c r="L27" s="53">
        <v>2</v>
      </c>
      <c r="N27" s="53">
        <v>1</v>
      </c>
      <c r="O27" s="53">
        <v>0.5</v>
      </c>
      <c r="P27" s="53">
        <v>0.55000000000000004</v>
      </c>
      <c r="Q27" s="74">
        <f t="shared" si="0"/>
        <v>0.52500000000000002</v>
      </c>
      <c r="R27" s="53">
        <v>17.899999999999999</v>
      </c>
      <c r="S27" s="53">
        <v>106</v>
      </c>
      <c r="T27" s="16">
        <f t="shared" si="1"/>
        <v>33</v>
      </c>
      <c r="U27" s="53">
        <v>96</v>
      </c>
      <c r="V27" s="16">
        <f t="shared" si="2"/>
        <v>3168</v>
      </c>
      <c r="W27" s="53">
        <v>5</v>
      </c>
      <c r="X27" s="53" t="s">
        <v>46</v>
      </c>
      <c r="Y27" s="53" t="s">
        <v>55</v>
      </c>
      <c r="Z27" s="53" t="s">
        <v>64</v>
      </c>
      <c r="AA27" s="53" t="s">
        <v>69</v>
      </c>
      <c r="AB27" s="53" t="s">
        <v>284</v>
      </c>
    </row>
    <row r="28" spans="1:48" x14ac:dyDescent="0.15">
      <c r="A28" s="53" t="s">
        <v>34</v>
      </c>
      <c r="B28" s="53" t="s">
        <v>232</v>
      </c>
      <c r="C28" s="53">
        <v>2019</v>
      </c>
      <c r="D28" s="176" t="s">
        <v>369</v>
      </c>
      <c r="E28" s="53" t="s">
        <v>210</v>
      </c>
      <c r="F28" s="53" t="s">
        <v>385</v>
      </c>
      <c r="G28" s="53" t="s">
        <v>36</v>
      </c>
      <c r="H28" s="53" t="s">
        <v>164</v>
      </c>
      <c r="I28" s="53" t="s">
        <v>159</v>
      </c>
      <c r="J28" s="53" t="s">
        <v>38</v>
      </c>
      <c r="K28" s="53" t="s">
        <v>161</v>
      </c>
      <c r="L28" s="53">
        <v>3</v>
      </c>
      <c r="N28" s="53">
        <v>1</v>
      </c>
      <c r="O28" s="53">
        <v>0.45</v>
      </c>
      <c r="P28" s="53">
        <v>0.5</v>
      </c>
      <c r="Q28" s="74">
        <f>IF(OR(O28="",P28=""),"",AVERAGE(O28,P28))</f>
        <v>0.47499999999999998</v>
      </c>
      <c r="R28" s="53">
        <v>18</v>
      </c>
      <c r="S28" s="53">
        <v>105</v>
      </c>
      <c r="T28" s="16">
        <f t="shared" si="1"/>
        <v>33</v>
      </c>
      <c r="U28" s="53">
        <v>96</v>
      </c>
      <c r="V28" s="16">
        <f t="shared" si="2"/>
        <v>3168</v>
      </c>
      <c r="W28" s="53">
        <v>5</v>
      </c>
      <c r="X28" s="53" t="s">
        <v>46</v>
      </c>
      <c r="Y28" s="53" t="s">
        <v>55</v>
      </c>
      <c r="Z28" s="53" t="s">
        <v>64</v>
      </c>
      <c r="AA28" s="53" t="s">
        <v>69</v>
      </c>
      <c r="AB28" s="53" t="s">
        <v>284</v>
      </c>
    </row>
    <row r="29" spans="1:48" x14ac:dyDescent="0.15">
      <c r="A29" s="53" t="s">
        <v>34</v>
      </c>
      <c r="B29" s="53" t="s">
        <v>232</v>
      </c>
      <c r="C29" s="53">
        <v>2019</v>
      </c>
      <c r="D29" s="176" t="s">
        <v>369</v>
      </c>
      <c r="E29" s="53" t="s">
        <v>210</v>
      </c>
      <c r="F29" s="53" t="s">
        <v>385</v>
      </c>
      <c r="G29" s="53" t="s">
        <v>36</v>
      </c>
      <c r="H29" s="53" t="s">
        <v>164</v>
      </c>
      <c r="I29" s="53" t="s">
        <v>159</v>
      </c>
      <c r="J29" s="53" t="s">
        <v>38</v>
      </c>
      <c r="K29" s="53" t="s">
        <v>161</v>
      </c>
      <c r="L29" s="53">
        <v>1</v>
      </c>
      <c r="N29" s="53">
        <v>4</v>
      </c>
      <c r="O29" s="53">
        <v>0.5</v>
      </c>
      <c r="P29" s="53">
        <v>0.55000000000000004</v>
      </c>
      <c r="Q29" s="74">
        <f t="shared" si="0"/>
        <v>0.52500000000000002</v>
      </c>
      <c r="R29" s="53">
        <v>17.5</v>
      </c>
      <c r="S29" s="53">
        <v>77</v>
      </c>
      <c r="T29" s="16">
        <f t="shared" si="1"/>
        <v>39</v>
      </c>
      <c r="U29" s="53">
        <v>320</v>
      </c>
      <c r="V29" s="16">
        <f t="shared" si="2"/>
        <v>3120</v>
      </c>
      <c r="W29" s="53">
        <v>5</v>
      </c>
      <c r="X29" s="53" t="s">
        <v>46</v>
      </c>
      <c r="Y29" s="53" t="s">
        <v>55</v>
      </c>
      <c r="Z29" s="53" t="s">
        <v>64</v>
      </c>
      <c r="AA29" s="53" t="s">
        <v>69</v>
      </c>
      <c r="AB29" s="53" t="s">
        <v>284</v>
      </c>
    </row>
    <row r="30" spans="1:48" x14ac:dyDescent="0.15">
      <c r="A30" s="53" t="s">
        <v>34</v>
      </c>
      <c r="B30" s="53" t="s">
        <v>232</v>
      </c>
      <c r="C30" s="53">
        <v>2019</v>
      </c>
      <c r="D30" s="176" t="s">
        <v>369</v>
      </c>
      <c r="E30" s="53" t="s">
        <v>210</v>
      </c>
      <c r="F30" s="53" t="s">
        <v>385</v>
      </c>
      <c r="G30" s="53" t="s">
        <v>36</v>
      </c>
      <c r="H30" s="53" t="s">
        <v>164</v>
      </c>
      <c r="I30" s="53" t="s">
        <v>159</v>
      </c>
      <c r="J30" s="53" t="s">
        <v>38</v>
      </c>
      <c r="K30" s="53" t="s">
        <v>161</v>
      </c>
      <c r="L30" s="53">
        <v>2</v>
      </c>
      <c r="N30" s="53">
        <v>4</v>
      </c>
      <c r="O30" s="53">
        <v>0.6</v>
      </c>
      <c r="P30" s="53">
        <v>0.7</v>
      </c>
      <c r="Q30" s="74">
        <f t="shared" si="0"/>
        <v>0.64999999999999991</v>
      </c>
      <c r="R30" s="53">
        <v>18.3</v>
      </c>
      <c r="S30" s="53">
        <v>75</v>
      </c>
      <c r="T30" s="16">
        <f t="shared" si="1"/>
        <v>42</v>
      </c>
      <c r="U30" s="53">
        <v>320</v>
      </c>
      <c r="V30" s="16">
        <f t="shared" si="2"/>
        <v>3360</v>
      </c>
      <c r="W30" s="53">
        <v>5</v>
      </c>
      <c r="X30" s="53" t="s">
        <v>46</v>
      </c>
      <c r="Y30" s="53" t="s">
        <v>55</v>
      </c>
      <c r="Z30" s="53" t="s">
        <v>64</v>
      </c>
      <c r="AA30" s="53" t="s">
        <v>69</v>
      </c>
      <c r="AB30" s="53" t="s">
        <v>284</v>
      </c>
    </row>
    <row r="31" spans="1:48" x14ac:dyDescent="0.15">
      <c r="A31" s="53" t="s">
        <v>34</v>
      </c>
      <c r="B31" s="53" t="s">
        <v>232</v>
      </c>
      <c r="C31" s="53">
        <v>2019</v>
      </c>
      <c r="D31" s="176" t="s">
        <v>369</v>
      </c>
      <c r="E31" s="53" t="s">
        <v>210</v>
      </c>
      <c r="F31" s="53" t="s">
        <v>385</v>
      </c>
      <c r="G31" s="53" t="s">
        <v>36</v>
      </c>
      <c r="H31" s="53" t="s">
        <v>164</v>
      </c>
      <c r="I31" s="53" t="s">
        <v>159</v>
      </c>
      <c r="J31" s="53" t="s">
        <v>38</v>
      </c>
      <c r="K31" s="53" t="s">
        <v>161</v>
      </c>
      <c r="L31" s="53">
        <v>3</v>
      </c>
      <c r="N31" s="53">
        <v>4</v>
      </c>
      <c r="O31" s="53">
        <v>0.6</v>
      </c>
      <c r="P31" s="53">
        <v>0.7</v>
      </c>
      <c r="Q31" s="74">
        <f t="shared" si="0"/>
        <v>0.64999999999999991</v>
      </c>
      <c r="R31" s="53">
        <v>17.3</v>
      </c>
      <c r="S31" s="53">
        <v>81</v>
      </c>
      <c r="T31" s="16">
        <f t="shared" si="1"/>
        <v>39</v>
      </c>
      <c r="U31" s="53">
        <v>320</v>
      </c>
      <c r="V31" s="16">
        <f t="shared" si="2"/>
        <v>3120</v>
      </c>
      <c r="W31" s="53">
        <v>5</v>
      </c>
      <c r="X31" s="53" t="s">
        <v>46</v>
      </c>
      <c r="Y31" s="53" t="s">
        <v>55</v>
      </c>
      <c r="Z31" s="53" t="s">
        <v>64</v>
      </c>
      <c r="AA31" s="53" t="s">
        <v>69</v>
      </c>
      <c r="AB31" s="53" t="s">
        <v>284</v>
      </c>
    </row>
    <row r="32" spans="1:48" x14ac:dyDescent="0.15">
      <c r="A32" s="53" t="s">
        <v>34</v>
      </c>
      <c r="B32" s="53" t="s">
        <v>232</v>
      </c>
      <c r="C32" s="53">
        <v>2019</v>
      </c>
      <c r="D32" s="176" t="s">
        <v>369</v>
      </c>
      <c r="E32" s="53" t="s">
        <v>210</v>
      </c>
      <c r="F32" s="53" t="s">
        <v>385</v>
      </c>
      <c r="G32" s="53" t="s">
        <v>36</v>
      </c>
      <c r="H32" s="53" t="s">
        <v>160</v>
      </c>
      <c r="I32" s="53" t="s">
        <v>159</v>
      </c>
      <c r="J32" s="53" t="s">
        <v>38</v>
      </c>
      <c r="K32" s="53" t="s">
        <v>161</v>
      </c>
      <c r="L32" s="53">
        <v>1</v>
      </c>
      <c r="N32" s="53">
        <v>1</v>
      </c>
      <c r="O32" s="53">
        <v>0.2</v>
      </c>
      <c r="P32" s="53">
        <v>0.2</v>
      </c>
      <c r="Q32" s="74">
        <f t="shared" si="0"/>
        <v>0.2</v>
      </c>
      <c r="R32" s="53">
        <v>25.1</v>
      </c>
      <c r="S32" s="53">
        <v>121</v>
      </c>
      <c r="T32" s="16">
        <f t="shared" si="1"/>
        <v>30</v>
      </c>
      <c r="U32" s="53">
        <v>96</v>
      </c>
      <c r="V32" s="16">
        <f t="shared" si="2"/>
        <v>2880</v>
      </c>
      <c r="W32" s="53">
        <v>11</v>
      </c>
      <c r="X32" s="53" t="s">
        <v>46</v>
      </c>
      <c r="Y32" s="53" t="s">
        <v>55</v>
      </c>
      <c r="Z32" s="53" t="s">
        <v>64</v>
      </c>
      <c r="AA32" s="53" t="s">
        <v>69</v>
      </c>
      <c r="AB32" s="53" t="s">
        <v>284</v>
      </c>
    </row>
    <row r="33" spans="1:28" x14ac:dyDescent="0.15">
      <c r="A33" s="53" t="s">
        <v>34</v>
      </c>
      <c r="B33" s="53" t="s">
        <v>232</v>
      </c>
      <c r="C33" s="53">
        <v>2019</v>
      </c>
      <c r="D33" s="176" t="s">
        <v>369</v>
      </c>
      <c r="E33" s="53" t="s">
        <v>210</v>
      </c>
      <c r="F33" s="53" t="s">
        <v>385</v>
      </c>
      <c r="G33" s="53" t="s">
        <v>36</v>
      </c>
      <c r="H33" s="53" t="s">
        <v>160</v>
      </c>
      <c r="I33" s="53" t="s">
        <v>159</v>
      </c>
      <c r="J33" s="53" t="s">
        <v>38</v>
      </c>
      <c r="K33" s="53" t="s">
        <v>161</v>
      </c>
      <c r="L33" s="53">
        <v>2</v>
      </c>
      <c r="N33" s="53">
        <v>1</v>
      </c>
      <c r="O33" s="53">
        <v>0.2</v>
      </c>
      <c r="P33" s="53">
        <v>0.2</v>
      </c>
      <c r="Q33" s="74">
        <f t="shared" si="0"/>
        <v>0.2</v>
      </c>
      <c r="R33" s="53">
        <v>19.2</v>
      </c>
      <c r="S33" s="53">
        <v>123</v>
      </c>
      <c r="T33" s="16">
        <f t="shared" si="1"/>
        <v>30</v>
      </c>
      <c r="U33" s="53">
        <v>96</v>
      </c>
      <c r="V33" s="16">
        <f t="shared" si="2"/>
        <v>2880</v>
      </c>
      <c r="W33" s="53">
        <v>11</v>
      </c>
      <c r="X33" s="53" t="s">
        <v>46</v>
      </c>
      <c r="Y33" s="53" t="s">
        <v>55</v>
      </c>
      <c r="Z33" s="53" t="s">
        <v>64</v>
      </c>
      <c r="AA33" s="53" t="s">
        <v>69</v>
      </c>
      <c r="AB33" s="53" t="s">
        <v>284</v>
      </c>
    </row>
    <row r="34" spans="1:28" x14ac:dyDescent="0.15">
      <c r="A34" s="53" t="s">
        <v>34</v>
      </c>
      <c r="B34" s="53" t="s">
        <v>232</v>
      </c>
      <c r="C34" s="53">
        <v>2019</v>
      </c>
      <c r="D34" s="176" t="s">
        <v>369</v>
      </c>
      <c r="E34" s="53" t="s">
        <v>210</v>
      </c>
      <c r="F34" s="53" t="s">
        <v>385</v>
      </c>
      <c r="G34" s="53" t="s">
        <v>36</v>
      </c>
      <c r="H34" s="53" t="s">
        <v>160</v>
      </c>
      <c r="I34" s="53" t="s">
        <v>159</v>
      </c>
      <c r="J34" s="53" t="s">
        <v>38</v>
      </c>
      <c r="K34" s="53" t="s">
        <v>161</v>
      </c>
      <c r="L34" s="53">
        <v>3</v>
      </c>
      <c r="N34" s="53">
        <v>1</v>
      </c>
      <c r="O34" s="53">
        <v>0.2</v>
      </c>
      <c r="P34" s="53">
        <v>0.2</v>
      </c>
      <c r="Q34" s="74">
        <f>IF(OR(O34="",P34=""),"",AVERAGE(O34,P34))</f>
        <v>0.2</v>
      </c>
      <c r="R34" s="53">
        <v>19</v>
      </c>
      <c r="S34" s="53">
        <v>118</v>
      </c>
      <c r="T34" s="16">
        <f t="shared" si="1"/>
        <v>30</v>
      </c>
      <c r="U34" s="53">
        <v>96</v>
      </c>
      <c r="V34" s="16">
        <f t="shared" si="2"/>
        <v>2880</v>
      </c>
      <c r="W34" s="53">
        <v>11</v>
      </c>
      <c r="X34" s="53" t="s">
        <v>46</v>
      </c>
      <c r="Y34" s="53" t="s">
        <v>55</v>
      </c>
      <c r="Z34" s="53" t="s">
        <v>64</v>
      </c>
      <c r="AA34" s="53" t="s">
        <v>69</v>
      </c>
      <c r="AB34" s="53" t="s">
        <v>284</v>
      </c>
    </row>
    <row r="35" spans="1:28" x14ac:dyDescent="0.15">
      <c r="A35" s="53" t="s">
        <v>34</v>
      </c>
      <c r="B35" s="53" t="s">
        <v>232</v>
      </c>
      <c r="C35" s="53">
        <v>2019</v>
      </c>
      <c r="D35" s="176" t="s">
        <v>369</v>
      </c>
      <c r="E35" s="53" t="s">
        <v>210</v>
      </c>
      <c r="F35" s="53" t="s">
        <v>385</v>
      </c>
      <c r="G35" s="53" t="s">
        <v>36</v>
      </c>
      <c r="H35" s="53" t="s">
        <v>160</v>
      </c>
      <c r="I35" s="53" t="s">
        <v>159</v>
      </c>
      <c r="J35" s="53" t="s">
        <v>38</v>
      </c>
      <c r="K35" s="53" t="s">
        <v>161</v>
      </c>
      <c r="L35" s="53">
        <v>1</v>
      </c>
      <c r="N35" s="53">
        <v>4</v>
      </c>
      <c r="O35" s="53">
        <v>0.2</v>
      </c>
      <c r="P35" s="53">
        <v>0.45</v>
      </c>
      <c r="Q35" s="74">
        <f t="shared" ref="Q35:Q36" si="3">IF(OR(O35="",P35=""),"",AVERAGE(O35,P35))</f>
        <v>0.32500000000000001</v>
      </c>
      <c r="R35" s="53">
        <v>17.399999999999999</v>
      </c>
      <c r="S35" s="53">
        <v>96</v>
      </c>
      <c r="T35" s="16">
        <f t="shared" si="1"/>
        <v>36</v>
      </c>
      <c r="U35" s="53">
        <v>320</v>
      </c>
      <c r="V35" s="16">
        <f t="shared" si="2"/>
        <v>2880</v>
      </c>
      <c r="W35" s="53">
        <v>11</v>
      </c>
      <c r="X35" s="53" t="s">
        <v>46</v>
      </c>
      <c r="Y35" s="53" t="s">
        <v>55</v>
      </c>
      <c r="Z35" s="53" t="s">
        <v>64</v>
      </c>
      <c r="AA35" s="53" t="s">
        <v>69</v>
      </c>
      <c r="AB35" s="53" t="s">
        <v>284</v>
      </c>
    </row>
    <row r="36" spans="1:28" x14ac:dyDescent="0.15">
      <c r="A36" s="53" t="s">
        <v>34</v>
      </c>
      <c r="B36" s="53" t="s">
        <v>232</v>
      </c>
      <c r="C36" s="53">
        <v>2019</v>
      </c>
      <c r="D36" s="176" t="s">
        <v>369</v>
      </c>
      <c r="E36" s="53" t="s">
        <v>210</v>
      </c>
      <c r="F36" s="53" t="s">
        <v>385</v>
      </c>
      <c r="G36" s="53" t="s">
        <v>36</v>
      </c>
      <c r="H36" s="53" t="s">
        <v>160</v>
      </c>
      <c r="I36" s="53" t="s">
        <v>159</v>
      </c>
      <c r="J36" s="53" t="s">
        <v>38</v>
      </c>
      <c r="K36" s="53" t="s">
        <v>161</v>
      </c>
      <c r="L36" s="53">
        <v>2</v>
      </c>
      <c r="N36" s="53">
        <v>4</v>
      </c>
      <c r="O36" s="53">
        <v>0.55000000000000004</v>
      </c>
      <c r="P36" s="53">
        <v>0.7</v>
      </c>
      <c r="Q36" s="74">
        <f t="shared" si="3"/>
        <v>0.625</v>
      </c>
      <c r="R36" s="53">
        <v>14.6</v>
      </c>
      <c r="S36" s="53">
        <v>101</v>
      </c>
      <c r="T36" s="16">
        <f t="shared" si="1"/>
        <v>33</v>
      </c>
      <c r="U36" s="53">
        <v>320</v>
      </c>
      <c r="V36" s="16">
        <f t="shared" si="2"/>
        <v>2640</v>
      </c>
      <c r="W36" s="53">
        <v>11</v>
      </c>
      <c r="X36" s="53" t="s">
        <v>46</v>
      </c>
      <c r="Y36" s="53" t="s">
        <v>55</v>
      </c>
      <c r="Z36" s="53" t="s">
        <v>64</v>
      </c>
      <c r="AA36" s="53" t="s">
        <v>69</v>
      </c>
      <c r="AB36" s="53" t="s">
        <v>284</v>
      </c>
    </row>
    <row r="37" spans="1:28" x14ac:dyDescent="0.15">
      <c r="A37" s="53" t="s">
        <v>34</v>
      </c>
      <c r="B37" s="53" t="s">
        <v>232</v>
      </c>
      <c r="C37" s="53">
        <v>2019</v>
      </c>
      <c r="D37" s="176" t="s">
        <v>369</v>
      </c>
      <c r="E37" s="53" t="s">
        <v>210</v>
      </c>
      <c r="F37" s="53" t="s">
        <v>385</v>
      </c>
      <c r="G37" s="53" t="s">
        <v>36</v>
      </c>
      <c r="H37" s="53" t="s">
        <v>160</v>
      </c>
      <c r="I37" s="53" t="s">
        <v>159</v>
      </c>
      <c r="J37" s="53" t="s">
        <v>38</v>
      </c>
      <c r="K37" s="53" t="s">
        <v>161</v>
      </c>
      <c r="L37" s="53">
        <v>3</v>
      </c>
      <c r="N37" s="53">
        <v>4</v>
      </c>
      <c r="O37" s="53">
        <v>0.55000000000000004</v>
      </c>
      <c r="P37" s="53">
        <v>0.55000000000000004</v>
      </c>
      <c r="Q37" s="74">
        <f>IF(OR(O37="",P37=""),"",AVERAGE(O37,P37))</f>
        <v>0.55000000000000004</v>
      </c>
      <c r="R37" s="53">
        <v>17.2</v>
      </c>
      <c r="S37" s="53">
        <v>93</v>
      </c>
      <c r="T37" s="16">
        <f t="shared" si="1"/>
        <v>36</v>
      </c>
      <c r="U37" s="53">
        <v>320</v>
      </c>
      <c r="V37" s="16">
        <f t="shared" si="2"/>
        <v>2880</v>
      </c>
      <c r="W37" s="53">
        <v>11</v>
      </c>
      <c r="X37" s="53" t="s">
        <v>46</v>
      </c>
      <c r="Y37" s="53" t="s">
        <v>55</v>
      </c>
      <c r="Z37" s="53" t="s">
        <v>64</v>
      </c>
      <c r="AA37" s="53" t="s">
        <v>69</v>
      </c>
      <c r="AB37" s="53" t="s">
        <v>284</v>
      </c>
    </row>
    <row r="38" spans="1:28" x14ac:dyDescent="0.15">
      <c r="A38" s="53" t="s">
        <v>34</v>
      </c>
      <c r="B38" s="53" t="s">
        <v>232</v>
      </c>
      <c r="C38" s="53">
        <v>2019</v>
      </c>
      <c r="D38" s="176" t="s">
        <v>369</v>
      </c>
      <c r="E38" s="53" t="s">
        <v>374</v>
      </c>
      <c r="F38" s="53" t="s">
        <v>375</v>
      </c>
      <c r="G38" s="53" t="s">
        <v>36</v>
      </c>
      <c r="H38" s="53" t="s">
        <v>164</v>
      </c>
      <c r="I38" s="53" t="s">
        <v>159</v>
      </c>
      <c r="J38" s="53" t="s">
        <v>38</v>
      </c>
      <c r="K38" s="53" t="s">
        <v>161</v>
      </c>
      <c r="L38" s="53">
        <v>1</v>
      </c>
      <c r="N38" s="53">
        <v>1</v>
      </c>
      <c r="O38" s="53">
        <v>1.25</v>
      </c>
      <c r="P38" s="53">
        <v>1</v>
      </c>
      <c r="Q38" s="74">
        <f t="shared" ref="Q38:Q39" si="4">IF(OR(O38="",P38=""),"",AVERAGE(O38,P38))</f>
        <v>1.125</v>
      </c>
      <c r="R38" s="53">
        <v>16.100000000000001</v>
      </c>
      <c r="S38" s="53">
        <v>146</v>
      </c>
      <c r="T38" s="16">
        <f t="shared" si="1"/>
        <v>30</v>
      </c>
      <c r="U38" s="53">
        <v>108</v>
      </c>
      <c r="V38" s="16">
        <f t="shared" si="2"/>
        <v>3240</v>
      </c>
      <c r="W38" s="53">
        <v>4</v>
      </c>
      <c r="X38" s="53" t="s">
        <v>46</v>
      </c>
      <c r="Y38" s="53" t="s">
        <v>64</v>
      </c>
      <c r="Z38" s="53" t="s">
        <v>55</v>
      </c>
      <c r="AA38" s="53" t="s">
        <v>69</v>
      </c>
      <c r="AB38" s="53" t="s">
        <v>284</v>
      </c>
    </row>
    <row r="39" spans="1:28" x14ac:dyDescent="0.15">
      <c r="A39" s="53" t="s">
        <v>34</v>
      </c>
      <c r="B39" s="53" t="s">
        <v>232</v>
      </c>
      <c r="C39" s="53">
        <v>2019</v>
      </c>
      <c r="D39" s="176" t="s">
        <v>369</v>
      </c>
      <c r="E39" s="53" t="s">
        <v>374</v>
      </c>
      <c r="F39" s="53" t="s">
        <v>375</v>
      </c>
      <c r="G39" s="53" t="s">
        <v>36</v>
      </c>
      <c r="H39" s="53" t="s">
        <v>164</v>
      </c>
      <c r="I39" s="53" t="s">
        <v>159</v>
      </c>
      <c r="J39" s="53" t="s">
        <v>38</v>
      </c>
      <c r="K39" s="53" t="s">
        <v>161</v>
      </c>
      <c r="L39" s="53">
        <v>2</v>
      </c>
      <c r="N39" s="53">
        <v>1</v>
      </c>
      <c r="O39" s="53">
        <v>0.65</v>
      </c>
      <c r="P39" s="53">
        <v>0.75</v>
      </c>
      <c r="Q39" s="74">
        <f t="shared" si="4"/>
        <v>0.7</v>
      </c>
      <c r="R39" s="53">
        <v>18.5</v>
      </c>
      <c r="S39" s="53">
        <v>145</v>
      </c>
      <c r="T39" s="16">
        <f t="shared" si="1"/>
        <v>30</v>
      </c>
      <c r="U39" s="53">
        <v>108</v>
      </c>
      <c r="V39" s="16">
        <f t="shared" si="2"/>
        <v>3240</v>
      </c>
      <c r="W39" s="53">
        <v>4</v>
      </c>
      <c r="X39" s="53" t="s">
        <v>46</v>
      </c>
      <c r="Y39" s="53" t="s">
        <v>64</v>
      </c>
      <c r="Z39" s="53" t="s">
        <v>55</v>
      </c>
      <c r="AA39" s="53" t="s">
        <v>69</v>
      </c>
      <c r="AB39" s="53" t="s">
        <v>284</v>
      </c>
    </row>
    <row r="40" spans="1:28" x14ac:dyDescent="0.15">
      <c r="A40" s="53" t="s">
        <v>34</v>
      </c>
      <c r="B40" s="53" t="s">
        <v>232</v>
      </c>
      <c r="C40" s="53">
        <v>2019</v>
      </c>
      <c r="D40" s="176" t="s">
        <v>369</v>
      </c>
      <c r="E40" s="53" t="s">
        <v>374</v>
      </c>
      <c r="F40" s="53" t="s">
        <v>375</v>
      </c>
      <c r="G40" s="53" t="s">
        <v>36</v>
      </c>
      <c r="H40" s="53" t="s">
        <v>164</v>
      </c>
      <c r="I40" s="53" t="s">
        <v>159</v>
      </c>
      <c r="J40" s="53" t="s">
        <v>38</v>
      </c>
      <c r="K40" s="53" t="s">
        <v>161</v>
      </c>
      <c r="L40" s="53">
        <v>3</v>
      </c>
      <c r="N40" s="53">
        <v>1</v>
      </c>
      <c r="O40" s="53">
        <v>0.85</v>
      </c>
      <c r="P40" s="53">
        <v>0.95</v>
      </c>
      <c r="Q40" s="74">
        <f>IF(OR(O40="",P40=""),"",AVERAGE(O40,P40))</f>
        <v>0.89999999999999991</v>
      </c>
      <c r="R40" s="53">
        <v>18.2</v>
      </c>
      <c r="S40" s="53">
        <v>146</v>
      </c>
      <c r="T40" s="16">
        <f t="shared" si="1"/>
        <v>30</v>
      </c>
      <c r="U40" s="53">
        <v>108</v>
      </c>
      <c r="V40" s="16">
        <f t="shared" si="2"/>
        <v>3240</v>
      </c>
      <c r="W40" s="53">
        <v>4</v>
      </c>
      <c r="X40" s="53" t="s">
        <v>46</v>
      </c>
      <c r="Y40" s="53" t="s">
        <v>64</v>
      </c>
      <c r="Z40" s="53" t="s">
        <v>55</v>
      </c>
      <c r="AA40" s="53" t="s">
        <v>69</v>
      </c>
      <c r="AB40" s="53" t="s">
        <v>284</v>
      </c>
    </row>
    <row r="41" spans="1:28" x14ac:dyDescent="0.15">
      <c r="A41" s="53" t="s">
        <v>34</v>
      </c>
      <c r="B41" s="53" t="s">
        <v>232</v>
      </c>
      <c r="C41" s="53">
        <v>2019</v>
      </c>
      <c r="D41" s="176" t="s">
        <v>369</v>
      </c>
      <c r="E41" s="53" t="s">
        <v>374</v>
      </c>
      <c r="F41" s="53" t="s">
        <v>375</v>
      </c>
      <c r="G41" s="53" t="s">
        <v>36</v>
      </c>
      <c r="H41" s="53" t="s">
        <v>164</v>
      </c>
      <c r="I41" s="53" t="s">
        <v>159</v>
      </c>
      <c r="J41" s="53" t="s">
        <v>38</v>
      </c>
      <c r="K41" s="53" t="s">
        <v>161</v>
      </c>
      <c r="L41" s="53">
        <v>1</v>
      </c>
      <c r="N41" s="53">
        <v>4</v>
      </c>
      <c r="O41" s="53">
        <v>0.55000000000000004</v>
      </c>
      <c r="P41" s="53">
        <v>0.6</v>
      </c>
      <c r="Q41" s="74">
        <f t="shared" si="0"/>
        <v>0.57499999999999996</v>
      </c>
      <c r="R41" s="53">
        <v>17.100000000000001</v>
      </c>
      <c r="S41" s="53">
        <v>95</v>
      </c>
      <c r="T41" s="16">
        <f t="shared" si="1"/>
        <v>36</v>
      </c>
      <c r="U41" s="53">
        <v>321</v>
      </c>
      <c r="V41" s="16">
        <f t="shared" si="2"/>
        <v>2889</v>
      </c>
      <c r="W41" s="53">
        <v>4</v>
      </c>
      <c r="X41" s="53" t="s">
        <v>46</v>
      </c>
      <c r="Y41" s="53" t="s">
        <v>64</v>
      </c>
      <c r="Z41" s="53" t="s">
        <v>55</v>
      </c>
      <c r="AA41" s="53" t="s">
        <v>69</v>
      </c>
      <c r="AB41" s="53" t="s">
        <v>284</v>
      </c>
    </row>
    <row r="42" spans="1:28" x14ac:dyDescent="0.15">
      <c r="A42" s="53" t="s">
        <v>34</v>
      </c>
      <c r="B42" s="53" t="s">
        <v>232</v>
      </c>
      <c r="C42" s="53">
        <v>2019</v>
      </c>
      <c r="D42" s="176" t="s">
        <v>369</v>
      </c>
      <c r="E42" s="53" t="s">
        <v>374</v>
      </c>
      <c r="F42" s="53" t="s">
        <v>375</v>
      </c>
      <c r="G42" s="53" t="s">
        <v>36</v>
      </c>
      <c r="H42" s="53" t="s">
        <v>164</v>
      </c>
      <c r="I42" s="53" t="s">
        <v>159</v>
      </c>
      <c r="J42" s="53" t="s">
        <v>38</v>
      </c>
      <c r="K42" s="53" t="s">
        <v>161</v>
      </c>
      <c r="L42" s="53">
        <v>2</v>
      </c>
      <c r="N42" s="53">
        <v>4</v>
      </c>
      <c r="O42" s="53">
        <v>0.7</v>
      </c>
      <c r="P42" s="53">
        <v>0.75</v>
      </c>
      <c r="Q42" s="74">
        <f t="shared" si="0"/>
        <v>0.72499999999999998</v>
      </c>
      <c r="R42" s="53">
        <v>14.6</v>
      </c>
      <c r="S42" s="53">
        <v>97</v>
      </c>
      <c r="T42" s="16">
        <f t="shared" si="1"/>
        <v>36</v>
      </c>
      <c r="U42" s="53">
        <v>321</v>
      </c>
      <c r="V42" s="16">
        <f t="shared" si="2"/>
        <v>2889</v>
      </c>
      <c r="W42" s="53">
        <v>4</v>
      </c>
      <c r="X42" s="53" t="s">
        <v>46</v>
      </c>
      <c r="Y42" s="53" t="s">
        <v>64</v>
      </c>
      <c r="Z42" s="53" t="s">
        <v>55</v>
      </c>
      <c r="AA42" s="53" t="s">
        <v>69</v>
      </c>
      <c r="AB42" s="53" t="s">
        <v>284</v>
      </c>
    </row>
    <row r="43" spans="1:28" x14ac:dyDescent="0.15">
      <c r="A43" s="53" t="s">
        <v>34</v>
      </c>
      <c r="B43" s="53" t="s">
        <v>232</v>
      </c>
      <c r="C43" s="53">
        <v>2019</v>
      </c>
      <c r="D43" s="176" t="s">
        <v>369</v>
      </c>
      <c r="E43" s="53" t="s">
        <v>374</v>
      </c>
      <c r="F43" s="53" t="s">
        <v>375</v>
      </c>
      <c r="G43" s="53" t="s">
        <v>36</v>
      </c>
      <c r="H43" s="53" t="s">
        <v>164</v>
      </c>
      <c r="I43" s="53" t="s">
        <v>159</v>
      </c>
      <c r="J43" s="53" t="s">
        <v>38</v>
      </c>
      <c r="K43" s="53" t="s">
        <v>161</v>
      </c>
      <c r="L43" s="53">
        <v>3</v>
      </c>
      <c r="N43" s="53">
        <v>4</v>
      </c>
      <c r="O43" s="53">
        <v>0.6</v>
      </c>
      <c r="P43" s="53">
        <v>0.6</v>
      </c>
      <c r="Q43" s="74">
        <f t="shared" si="0"/>
        <v>0.6</v>
      </c>
      <c r="R43" s="53">
        <v>17.5</v>
      </c>
      <c r="S43" s="53">
        <v>99</v>
      </c>
      <c r="T43" s="16">
        <f t="shared" si="1"/>
        <v>33</v>
      </c>
      <c r="U43" s="53">
        <v>321</v>
      </c>
      <c r="V43" s="16">
        <f t="shared" si="2"/>
        <v>2648.25</v>
      </c>
      <c r="W43" s="53">
        <v>4</v>
      </c>
      <c r="X43" s="53" t="s">
        <v>46</v>
      </c>
      <c r="Y43" s="53" t="s">
        <v>64</v>
      </c>
      <c r="Z43" s="53" t="s">
        <v>55</v>
      </c>
      <c r="AA43" s="53" t="s">
        <v>69</v>
      </c>
      <c r="AB43" s="53" t="s">
        <v>284</v>
      </c>
    </row>
    <row r="44" spans="1:28" x14ac:dyDescent="0.15">
      <c r="A44" s="53" t="s">
        <v>34</v>
      </c>
      <c r="B44" s="53" t="s">
        <v>232</v>
      </c>
      <c r="C44" s="53">
        <v>2019</v>
      </c>
      <c r="D44" s="176" t="s">
        <v>369</v>
      </c>
      <c r="E44" s="53" t="s">
        <v>374</v>
      </c>
      <c r="F44" s="53" t="s">
        <v>375</v>
      </c>
      <c r="G44" s="53" t="s">
        <v>36</v>
      </c>
      <c r="H44" s="53" t="s">
        <v>160</v>
      </c>
      <c r="I44" s="53" t="s">
        <v>159</v>
      </c>
      <c r="J44" s="53" t="s">
        <v>38</v>
      </c>
      <c r="K44" s="53" t="s">
        <v>161</v>
      </c>
      <c r="L44" s="53">
        <v>1</v>
      </c>
      <c r="N44" s="53">
        <v>1</v>
      </c>
      <c r="O44" s="53">
        <v>1</v>
      </c>
      <c r="P44" s="53">
        <v>1.2</v>
      </c>
      <c r="Q44" s="74">
        <f t="shared" si="0"/>
        <v>1.1000000000000001</v>
      </c>
      <c r="R44" s="53">
        <v>17.399999999999999</v>
      </c>
      <c r="S44" s="53">
        <v>137</v>
      </c>
      <c r="T44" s="16">
        <f t="shared" si="1"/>
        <v>30</v>
      </c>
      <c r="U44" s="53">
        <v>95</v>
      </c>
      <c r="V44" s="16">
        <f t="shared" si="2"/>
        <v>2850</v>
      </c>
      <c r="W44" s="53">
        <v>6</v>
      </c>
      <c r="X44" s="53" t="s">
        <v>46</v>
      </c>
      <c r="Y44" s="53" t="s">
        <v>64</v>
      </c>
      <c r="Z44" s="53" t="s">
        <v>55</v>
      </c>
      <c r="AA44" s="53" t="s">
        <v>69</v>
      </c>
      <c r="AB44" s="53" t="s">
        <v>284</v>
      </c>
    </row>
    <row r="45" spans="1:28" x14ac:dyDescent="0.15">
      <c r="A45" s="53" t="s">
        <v>34</v>
      </c>
      <c r="B45" s="53" t="s">
        <v>232</v>
      </c>
      <c r="C45" s="53">
        <v>2019</v>
      </c>
      <c r="D45" s="176" t="s">
        <v>369</v>
      </c>
      <c r="E45" s="53" t="s">
        <v>374</v>
      </c>
      <c r="F45" s="53" t="s">
        <v>375</v>
      </c>
      <c r="G45" s="53" t="s">
        <v>36</v>
      </c>
      <c r="H45" s="53" t="s">
        <v>160</v>
      </c>
      <c r="I45" s="53" t="s">
        <v>159</v>
      </c>
      <c r="J45" s="53" t="s">
        <v>38</v>
      </c>
      <c r="K45" s="53" t="s">
        <v>161</v>
      </c>
      <c r="L45" s="53">
        <v>2</v>
      </c>
      <c r="N45" s="53">
        <v>1</v>
      </c>
      <c r="O45" s="53">
        <v>0.85</v>
      </c>
      <c r="P45" s="53">
        <v>0.2</v>
      </c>
      <c r="Q45" s="74">
        <f t="shared" si="0"/>
        <v>0.52500000000000002</v>
      </c>
      <c r="R45" s="53">
        <v>21</v>
      </c>
      <c r="S45" s="53">
        <v>139</v>
      </c>
      <c r="T45" s="16">
        <f t="shared" si="1"/>
        <v>30</v>
      </c>
      <c r="U45" s="53">
        <v>95</v>
      </c>
      <c r="V45" s="16">
        <f t="shared" si="2"/>
        <v>2850</v>
      </c>
      <c r="W45" s="53">
        <v>6</v>
      </c>
      <c r="X45" s="53" t="s">
        <v>46</v>
      </c>
      <c r="Y45" s="53" t="s">
        <v>64</v>
      </c>
      <c r="Z45" s="53" t="s">
        <v>55</v>
      </c>
      <c r="AA45" s="53" t="s">
        <v>69</v>
      </c>
      <c r="AB45" s="53" t="s">
        <v>284</v>
      </c>
    </row>
    <row r="46" spans="1:28" x14ac:dyDescent="0.15">
      <c r="A46" s="53" t="s">
        <v>34</v>
      </c>
      <c r="B46" s="53" t="s">
        <v>232</v>
      </c>
      <c r="C46" s="53">
        <v>2019</v>
      </c>
      <c r="D46" s="176" t="s">
        <v>369</v>
      </c>
      <c r="E46" s="53" t="s">
        <v>374</v>
      </c>
      <c r="F46" s="53" t="s">
        <v>375</v>
      </c>
      <c r="G46" s="53" t="s">
        <v>36</v>
      </c>
      <c r="H46" s="53" t="s">
        <v>160</v>
      </c>
      <c r="I46" s="53" t="s">
        <v>159</v>
      </c>
      <c r="J46" s="53" t="s">
        <v>38</v>
      </c>
      <c r="K46" s="53" t="s">
        <v>161</v>
      </c>
      <c r="L46" s="53">
        <v>3</v>
      </c>
      <c r="N46" s="53">
        <v>1</v>
      </c>
      <c r="O46" s="53">
        <v>0.2</v>
      </c>
      <c r="P46" s="53">
        <v>0.2</v>
      </c>
      <c r="Q46" s="74">
        <f t="shared" si="0"/>
        <v>0.2</v>
      </c>
      <c r="R46" s="53">
        <v>19.899999999999999</v>
      </c>
      <c r="S46" s="53">
        <v>147</v>
      </c>
      <c r="T46" s="16">
        <f t="shared" si="1"/>
        <v>30</v>
      </c>
      <c r="U46" s="53">
        <v>95</v>
      </c>
      <c r="V46" s="16">
        <f t="shared" si="2"/>
        <v>2850</v>
      </c>
      <c r="W46" s="53">
        <v>6</v>
      </c>
      <c r="X46" s="53" t="s">
        <v>46</v>
      </c>
      <c r="Y46" s="53" t="s">
        <v>64</v>
      </c>
      <c r="Z46" s="53" t="s">
        <v>55</v>
      </c>
      <c r="AA46" s="53" t="s">
        <v>69</v>
      </c>
      <c r="AB46" s="53" t="s">
        <v>284</v>
      </c>
    </row>
    <row r="47" spans="1:28" x14ac:dyDescent="0.15">
      <c r="A47" s="53" t="s">
        <v>34</v>
      </c>
      <c r="B47" s="53" t="s">
        <v>232</v>
      </c>
      <c r="C47" s="53">
        <v>2019</v>
      </c>
      <c r="D47" s="176" t="s">
        <v>369</v>
      </c>
      <c r="E47" s="53" t="s">
        <v>374</v>
      </c>
      <c r="F47" s="53" t="s">
        <v>375</v>
      </c>
      <c r="G47" s="53" t="s">
        <v>36</v>
      </c>
      <c r="H47" s="53" t="s">
        <v>160</v>
      </c>
      <c r="I47" s="53" t="s">
        <v>159</v>
      </c>
      <c r="J47" s="53" t="s">
        <v>38</v>
      </c>
      <c r="K47" s="53" t="s">
        <v>161</v>
      </c>
      <c r="L47" s="53">
        <v>1</v>
      </c>
      <c r="N47" s="53">
        <v>4</v>
      </c>
      <c r="O47" s="53">
        <v>0.6</v>
      </c>
      <c r="P47" s="53">
        <v>0.5</v>
      </c>
      <c r="Q47" s="74">
        <f t="shared" si="0"/>
        <v>0.55000000000000004</v>
      </c>
      <c r="R47" s="53">
        <v>20.6</v>
      </c>
      <c r="S47" s="53">
        <v>111</v>
      </c>
      <c r="T47" s="16">
        <f t="shared" si="1"/>
        <v>33</v>
      </c>
      <c r="U47" s="53">
        <v>429</v>
      </c>
      <c r="V47" s="16">
        <f t="shared" si="2"/>
        <v>3539.25</v>
      </c>
      <c r="W47" s="53">
        <v>6</v>
      </c>
      <c r="X47" s="53" t="s">
        <v>46</v>
      </c>
      <c r="Y47" s="53" t="s">
        <v>64</v>
      </c>
      <c r="Z47" s="53" t="s">
        <v>55</v>
      </c>
      <c r="AA47" s="53" t="s">
        <v>69</v>
      </c>
      <c r="AB47" s="53" t="s">
        <v>284</v>
      </c>
    </row>
    <row r="48" spans="1:28" x14ac:dyDescent="0.15">
      <c r="A48" s="53" t="s">
        <v>34</v>
      </c>
      <c r="B48" s="53" t="s">
        <v>232</v>
      </c>
      <c r="C48" s="53">
        <v>2019</v>
      </c>
      <c r="D48" s="176" t="s">
        <v>369</v>
      </c>
      <c r="E48" s="53" t="s">
        <v>374</v>
      </c>
      <c r="F48" s="53" t="s">
        <v>375</v>
      </c>
      <c r="G48" s="53" t="s">
        <v>36</v>
      </c>
      <c r="H48" s="53" t="s">
        <v>160</v>
      </c>
      <c r="I48" s="53" t="s">
        <v>159</v>
      </c>
      <c r="J48" s="53" t="s">
        <v>38</v>
      </c>
      <c r="K48" s="53" t="s">
        <v>161</v>
      </c>
      <c r="L48" s="53">
        <v>2</v>
      </c>
      <c r="N48" s="53">
        <v>4</v>
      </c>
      <c r="O48" s="53">
        <v>0.6</v>
      </c>
      <c r="P48" s="53">
        <v>0.45</v>
      </c>
      <c r="Q48" s="74">
        <f t="shared" si="0"/>
        <v>0.52500000000000002</v>
      </c>
      <c r="R48" s="53">
        <v>23</v>
      </c>
      <c r="S48" s="53">
        <v>112</v>
      </c>
      <c r="T48" s="16">
        <f t="shared" si="1"/>
        <v>33</v>
      </c>
      <c r="U48" s="53">
        <v>429</v>
      </c>
      <c r="V48" s="16">
        <f t="shared" si="2"/>
        <v>3539.25</v>
      </c>
      <c r="W48" s="53">
        <v>6</v>
      </c>
      <c r="X48" s="53" t="s">
        <v>46</v>
      </c>
      <c r="Y48" s="53" t="s">
        <v>64</v>
      </c>
      <c r="Z48" s="53" t="s">
        <v>55</v>
      </c>
      <c r="AA48" s="53" t="s">
        <v>69</v>
      </c>
      <c r="AB48" s="53" t="s">
        <v>284</v>
      </c>
    </row>
    <row r="49" spans="1:28" x14ac:dyDescent="0.15">
      <c r="A49" s="53" t="s">
        <v>34</v>
      </c>
      <c r="B49" s="53" t="s">
        <v>232</v>
      </c>
      <c r="C49" s="53">
        <v>2019</v>
      </c>
      <c r="D49" s="176" t="s">
        <v>369</v>
      </c>
      <c r="E49" s="53" t="s">
        <v>374</v>
      </c>
      <c r="F49" s="53" t="s">
        <v>375</v>
      </c>
      <c r="G49" s="53" t="s">
        <v>36</v>
      </c>
      <c r="H49" s="53" t="s">
        <v>160</v>
      </c>
      <c r="I49" s="53" t="s">
        <v>159</v>
      </c>
      <c r="J49" s="53" t="s">
        <v>38</v>
      </c>
      <c r="K49" s="53" t="s">
        <v>161</v>
      </c>
      <c r="L49" s="53">
        <v>3</v>
      </c>
      <c r="N49" s="53">
        <v>4</v>
      </c>
      <c r="O49" s="53">
        <v>0.2</v>
      </c>
      <c r="P49" s="53">
        <v>0.2</v>
      </c>
      <c r="Q49" s="74">
        <f t="shared" si="0"/>
        <v>0.2</v>
      </c>
      <c r="R49" s="53">
        <v>23.4</v>
      </c>
      <c r="S49" s="53">
        <v>104</v>
      </c>
      <c r="T49" s="16">
        <f t="shared" si="1"/>
        <v>33</v>
      </c>
      <c r="U49" s="53">
        <v>429</v>
      </c>
      <c r="V49" s="16">
        <f t="shared" si="2"/>
        <v>3539.25</v>
      </c>
      <c r="W49" s="53">
        <v>6</v>
      </c>
      <c r="X49" s="53" t="s">
        <v>46</v>
      </c>
      <c r="Y49" s="53" t="s">
        <v>64</v>
      </c>
      <c r="Z49" s="53" t="s">
        <v>55</v>
      </c>
      <c r="AA49" s="53" t="s">
        <v>69</v>
      </c>
      <c r="AB49" s="53" t="s">
        <v>284</v>
      </c>
    </row>
    <row r="50" spans="1:28" x14ac:dyDescent="0.15">
      <c r="A50" s="53" t="s">
        <v>34</v>
      </c>
      <c r="B50" s="53" t="s">
        <v>232</v>
      </c>
      <c r="C50" s="53">
        <v>2019</v>
      </c>
      <c r="D50" s="176" t="s">
        <v>369</v>
      </c>
      <c r="E50" s="53" t="s">
        <v>383</v>
      </c>
      <c r="F50" s="53" t="s">
        <v>384</v>
      </c>
      <c r="G50" s="53" t="s">
        <v>36</v>
      </c>
      <c r="H50" s="53" t="s">
        <v>164</v>
      </c>
      <c r="I50" s="53" t="s">
        <v>159</v>
      </c>
      <c r="J50" s="53" t="s">
        <v>38</v>
      </c>
      <c r="K50" s="53" t="s">
        <v>161</v>
      </c>
      <c r="L50" s="53">
        <v>1</v>
      </c>
      <c r="N50" s="53">
        <v>1</v>
      </c>
      <c r="O50" s="53">
        <v>0.5</v>
      </c>
      <c r="P50" s="53">
        <v>0.2</v>
      </c>
      <c r="Q50" s="74">
        <f t="shared" si="0"/>
        <v>0.35</v>
      </c>
      <c r="R50" s="53">
        <v>19.100000000000001</v>
      </c>
      <c r="S50" s="53">
        <v>122</v>
      </c>
      <c r="T50" s="16">
        <f t="shared" si="1"/>
        <v>30</v>
      </c>
      <c r="U50" s="53">
        <v>128</v>
      </c>
      <c r="V50" s="16">
        <f t="shared" si="2"/>
        <v>3840</v>
      </c>
      <c r="W50" s="53">
        <v>5</v>
      </c>
      <c r="X50" s="53" t="s">
        <v>46</v>
      </c>
      <c r="Y50" s="53" t="s">
        <v>55</v>
      </c>
      <c r="Z50" s="53" t="s">
        <v>69</v>
      </c>
      <c r="AA50" s="53" t="s">
        <v>86</v>
      </c>
      <c r="AB50" s="53" t="s">
        <v>284</v>
      </c>
    </row>
    <row r="51" spans="1:28" x14ac:dyDescent="0.15">
      <c r="A51" s="53" t="s">
        <v>34</v>
      </c>
      <c r="B51" s="53" t="s">
        <v>232</v>
      </c>
      <c r="C51" s="53">
        <v>2019</v>
      </c>
      <c r="D51" s="176" t="s">
        <v>369</v>
      </c>
      <c r="E51" s="53" t="s">
        <v>383</v>
      </c>
      <c r="F51" s="53" t="s">
        <v>384</v>
      </c>
      <c r="G51" s="53" t="s">
        <v>36</v>
      </c>
      <c r="H51" s="53" t="s">
        <v>164</v>
      </c>
      <c r="I51" s="53" t="s">
        <v>159</v>
      </c>
      <c r="J51" s="53" t="s">
        <v>38</v>
      </c>
      <c r="K51" s="53" t="s">
        <v>161</v>
      </c>
      <c r="L51" s="53">
        <v>2</v>
      </c>
      <c r="N51" s="53">
        <v>1</v>
      </c>
      <c r="O51" s="53">
        <v>0.7</v>
      </c>
      <c r="P51" s="53">
        <v>0.85</v>
      </c>
      <c r="Q51" s="74">
        <f t="shared" si="0"/>
        <v>0.77499999999999991</v>
      </c>
      <c r="R51" s="53">
        <v>19.100000000000001</v>
      </c>
      <c r="S51" s="53">
        <v>118</v>
      </c>
      <c r="T51" s="16">
        <f t="shared" si="1"/>
        <v>30</v>
      </c>
      <c r="U51" s="53">
        <v>128</v>
      </c>
      <c r="V51" s="16">
        <f t="shared" si="2"/>
        <v>3840</v>
      </c>
      <c r="W51" s="53">
        <v>5</v>
      </c>
      <c r="X51" s="53" t="s">
        <v>46</v>
      </c>
      <c r="Y51" s="53" t="s">
        <v>55</v>
      </c>
      <c r="Z51" s="53" t="s">
        <v>69</v>
      </c>
      <c r="AA51" s="53" t="s">
        <v>86</v>
      </c>
      <c r="AB51" s="53" t="s">
        <v>284</v>
      </c>
    </row>
    <row r="52" spans="1:28" x14ac:dyDescent="0.15">
      <c r="A52" s="53" t="s">
        <v>34</v>
      </c>
      <c r="B52" s="53" t="s">
        <v>232</v>
      </c>
      <c r="C52" s="53">
        <v>2019</v>
      </c>
      <c r="D52" s="176" t="s">
        <v>369</v>
      </c>
      <c r="E52" s="53" t="s">
        <v>383</v>
      </c>
      <c r="F52" s="53" t="s">
        <v>384</v>
      </c>
      <c r="G52" s="53" t="s">
        <v>36</v>
      </c>
      <c r="H52" s="53" t="s">
        <v>164</v>
      </c>
      <c r="I52" s="53" t="s">
        <v>159</v>
      </c>
      <c r="J52" s="53" t="s">
        <v>38</v>
      </c>
      <c r="K52" s="53" t="s">
        <v>161</v>
      </c>
      <c r="L52" s="53">
        <v>3</v>
      </c>
      <c r="N52" s="53">
        <v>1</v>
      </c>
      <c r="O52" s="53">
        <v>0.55000000000000004</v>
      </c>
      <c r="P52" s="53">
        <v>0.45</v>
      </c>
      <c r="Q52" s="74">
        <f t="shared" si="0"/>
        <v>0.5</v>
      </c>
      <c r="R52" s="53">
        <v>19.100000000000001</v>
      </c>
      <c r="S52" s="53">
        <v>125</v>
      </c>
      <c r="T52" s="16">
        <f t="shared" si="1"/>
        <v>30</v>
      </c>
      <c r="U52" s="53">
        <v>128</v>
      </c>
      <c r="V52" s="16">
        <f t="shared" si="2"/>
        <v>3840</v>
      </c>
      <c r="W52" s="53">
        <v>5</v>
      </c>
      <c r="X52" s="53" t="s">
        <v>46</v>
      </c>
      <c r="Y52" s="53" t="s">
        <v>55</v>
      </c>
      <c r="Z52" s="53" t="s">
        <v>69</v>
      </c>
      <c r="AA52" s="53" t="s">
        <v>86</v>
      </c>
      <c r="AB52" s="53" t="s">
        <v>284</v>
      </c>
    </row>
    <row r="53" spans="1:28" x14ac:dyDescent="0.15">
      <c r="A53" s="53" t="s">
        <v>34</v>
      </c>
      <c r="B53" s="53" t="s">
        <v>232</v>
      </c>
      <c r="C53" s="53">
        <v>2019</v>
      </c>
      <c r="D53" s="176" t="s">
        <v>369</v>
      </c>
      <c r="E53" s="53" t="s">
        <v>383</v>
      </c>
      <c r="F53" s="53" t="s">
        <v>384</v>
      </c>
      <c r="G53" s="53" t="s">
        <v>36</v>
      </c>
      <c r="H53" s="53" t="s">
        <v>164</v>
      </c>
      <c r="I53" s="53" t="s">
        <v>159</v>
      </c>
      <c r="J53" s="53" t="s">
        <v>38</v>
      </c>
      <c r="K53" s="53" t="s">
        <v>161</v>
      </c>
      <c r="L53" s="53">
        <v>1</v>
      </c>
      <c r="N53" s="53">
        <v>4</v>
      </c>
      <c r="O53" s="53">
        <v>0.75</v>
      </c>
      <c r="P53" s="53">
        <v>0.9</v>
      </c>
      <c r="Q53" s="74">
        <f t="shared" si="0"/>
        <v>0.82499999999999996</v>
      </c>
      <c r="R53" s="53">
        <v>14.6</v>
      </c>
      <c r="S53" s="53">
        <v>93</v>
      </c>
      <c r="T53" s="16">
        <f t="shared" si="1"/>
        <v>36</v>
      </c>
      <c r="U53" s="53">
        <v>389</v>
      </c>
      <c r="V53" s="16">
        <f t="shared" si="2"/>
        <v>3501</v>
      </c>
      <c r="W53" s="53">
        <v>5</v>
      </c>
      <c r="X53" s="53" t="s">
        <v>46</v>
      </c>
      <c r="Y53" s="53" t="s">
        <v>55</v>
      </c>
      <c r="Z53" s="53" t="s">
        <v>69</v>
      </c>
      <c r="AA53" s="53" t="s">
        <v>86</v>
      </c>
      <c r="AB53" s="53" t="s">
        <v>284</v>
      </c>
    </row>
    <row r="54" spans="1:28" x14ac:dyDescent="0.15">
      <c r="A54" s="53" t="s">
        <v>34</v>
      </c>
      <c r="B54" s="53" t="s">
        <v>232</v>
      </c>
      <c r="C54" s="53">
        <v>2019</v>
      </c>
      <c r="D54" s="176" t="s">
        <v>369</v>
      </c>
      <c r="E54" s="53" t="s">
        <v>383</v>
      </c>
      <c r="F54" s="53" t="s">
        <v>384</v>
      </c>
      <c r="G54" s="53" t="s">
        <v>36</v>
      </c>
      <c r="H54" s="53" t="s">
        <v>164</v>
      </c>
      <c r="I54" s="53" t="s">
        <v>159</v>
      </c>
      <c r="J54" s="53" t="s">
        <v>38</v>
      </c>
      <c r="K54" s="53" t="s">
        <v>161</v>
      </c>
      <c r="L54" s="53">
        <v>2</v>
      </c>
      <c r="N54" s="53">
        <v>4</v>
      </c>
      <c r="O54" s="53">
        <v>0.6</v>
      </c>
      <c r="P54" s="53">
        <v>0.65</v>
      </c>
      <c r="Q54" s="74">
        <f t="shared" si="0"/>
        <v>0.625</v>
      </c>
      <c r="R54" s="53">
        <v>14.6</v>
      </c>
      <c r="S54" s="53">
        <v>90</v>
      </c>
      <c r="T54" s="16">
        <f t="shared" si="1"/>
        <v>36</v>
      </c>
      <c r="U54" s="53">
        <v>389</v>
      </c>
      <c r="V54" s="16">
        <f t="shared" si="2"/>
        <v>3501</v>
      </c>
      <c r="W54" s="53">
        <v>5</v>
      </c>
      <c r="X54" s="53" t="s">
        <v>46</v>
      </c>
      <c r="Y54" s="53" t="s">
        <v>55</v>
      </c>
      <c r="Z54" s="53" t="s">
        <v>69</v>
      </c>
      <c r="AA54" s="53" t="s">
        <v>86</v>
      </c>
      <c r="AB54" s="53" t="s">
        <v>284</v>
      </c>
    </row>
    <row r="55" spans="1:28" x14ac:dyDescent="0.15">
      <c r="A55" s="53" t="s">
        <v>34</v>
      </c>
      <c r="B55" s="53" t="s">
        <v>232</v>
      </c>
      <c r="C55" s="53">
        <v>2019</v>
      </c>
      <c r="D55" s="176" t="s">
        <v>369</v>
      </c>
      <c r="E55" s="53" t="s">
        <v>383</v>
      </c>
      <c r="F55" s="53" t="s">
        <v>384</v>
      </c>
      <c r="G55" s="53" t="s">
        <v>36</v>
      </c>
      <c r="H55" s="53" t="s">
        <v>164</v>
      </c>
      <c r="I55" s="53" t="s">
        <v>159</v>
      </c>
      <c r="J55" s="53" t="s">
        <v>38</v>
      </c>
      <c r="K55" s="53" t="s">
        <v>161</v>
      </c>
      <c r="L55" s="53">
        <v>3</v>
      </c>
      <c r="N55" s="53">
        <v>4</v>
      </c>
      <c r="O55" s="53">
        <v>0.5</v>
      </c>
      <c r="P55" s="53">
        <v>0.5</v>
      </c>
      <c r="Q55" s="74">
        <f t="shared" si="0"/>
        <v>0.5</v>
      </c>
      <c r="R55" s="53">
        <v>15.6</v>
      </c>
      <c r="S55" s="53">
        <v>90</v>
      </c>
      <c r="T55" s="16">
        <f t="shared" si="1"/>
        <v>36</v>
      </c>
      <c r="U55" s="53">
        <v>389</v>
      </c>
      <c r="V55" s="16">
        <f t="shared" si="2"/>
        <v>3501</v>
      </c>
      <c r="W55" s="53">
        <v>5</v>
      </c>
      <c r="X55" s="53" t="s">
        <v>46</v>
      </c>
      <c r="Y55" s="53" t="s">
        <v>55</v>
      </c>
      <c r="Z55" s="53" t="s">
        <v>69</v>
      </c>
      <c r="AA55" s="53" t="s">
        <v>86</v>
      </c>
      <c r="AB55" s="53" t="s">
        <v>284</v>
      </c>
    </row>
    <row r="56" spans="1:28" x14ac:dyDescent="0.15">
      <c r="A56" s="53" t="s">
        <v>34</v>
      </c>
      <c r="B56" s="53" t="s">
        <v>232</v>
      </c>
      <c r="C56" s="53">
        <v>2019</v>
      </c>
      <c r="D56" s="176" t="s">
        <v>369</v>
      </c>
      <c r="E56" s="53" t="s">
        <v>383</v>
      </c>
      <c r="F56" s="53" t="s">
        <v>384</v>
      </c>
      <c r="G56" s="53" t="s">
        <v>36</v>
      </c>
      <c r="H56" s="53" t="s">
        <v>164</v>
      </c>
      <c r="I56" s="53" t="s">
        <v>165</v>
      </c>
      <c r="J56" s="53" t="s">
        <v>38</v>
      </c>
      <c r="K56" s="53" t="s">
        <v>161</v>
      </c>
      <c r="L56" s="53">
        <v>1</v>
      </c>
      <c r="N56" s="53">
        <v>4</v>
      </c>
      <c r="O56" s="53">
        <v>0.6</v>
      </c>
      <c r="P56" s="53">
        <v>0.4</v>
      </c>
      <c r="Q56" s="74">
        <f t="shared" si="0"/>
        <v>0.5</v>
      </c>
      <c r="R56" s="53">
        <v>15</v>
      </c>
      <c r="S56" s="53">
        <v>95</v>
      </c>
      <c r="T56" s="16">
        <f t="shared" si="1"/>
        <v>36</v>
      </c>
      <c r="U56" s="53">
        <v>537</v>
      </c>
      <c r="V56" s="16">
        <f t="shared" si="2"/>
        <v>4833</v>
      </c>
      <c r="W56" s="53">
        <v>5</v>
      </c>
      <c r="X56" s="53" t="s">
        <v>46</v>
      </c>
      <c r="Y56" s="53" t="s">
        <v>55</v>
      </c>
      <c r="Z56" s="53" t="s">
        <v>69</v>
      </c>
      <c r="AA56" s="53" t="s">
        <v>86</v>
      </c>
      <c r="AB56" s="53" t="s">
        <v>284</v>
      </c>
    </row>
    <row r="57" spans="1:28" x14ac:dyDescent="0.15">
      <c r="A57" s="53" t="s">
        <v>34</v>
      </c>
      <c r="B57" s="53" t="s">
        <v>232</v>
      </c>
      <c r="C57" s="53">
        <v>2019</v>
      </c>
      <c r="D57" s="176" t="s">
        <v>369</v>
      </c>
      <c r="E57" s="53" t="s">
        <v>383</v>
      </c>
      <c r="F57" s="53" t="s">
        <v>384</v>
      </c>
      <c r="G57" s="53" t="s">
        <v>36</v>
      </c>
      <c r="H57" s="53" t="s">
        <v>164</v>
      </c>
      <c r="I57" s="53" t="s">
        <v>165</v>
      </c>
      <c r="J57" s="53" t="s">
        <v>38</v>
      </c>
      <c r="K57" s="53" t="s">
        <v>161</v>
      </c>
      <c r="L57" s="53">
        <v>2</v>
      </c>
      <c r="N57" s="53">
        <v>4</v>
      </c>
      <c r="O57" s="53">
        <v>0.2</v>
      </c>
      <c r="P57" s="53">
        <v>0.5</v>
      </c>
      <c r="Q57" s="74">
        <f t="shared" si="0"/>
        <v>0.35</v>
      </c>
      <c r="R57" s="53">
        <v>17.5</v>
      </c>
      <c r="S57" s="53">
        <v>103</v>
      </c>
      <c r="T57" s="16">
        <f t="shared" si="1"/>
        <v>33</v>
      </c>
      <c r="U57" s="53">
        <v>537</v>
      </c>
      <c r="V57" s="16">
        <f t="shared" si="2"/>
        <v>4430.25</v>
      </c>
      <c r="W57" s="53">
        <v>5</v>
      </c>
      <c r="X57" s="53" t="s">
        <v>46</v>
      </c>
      <c r="Y57" s="53" t="s">
        <v>55</v>
      </c>
      <c r="Z57" s="53" t="s">
        <v>69</v>
      </c>
      <c r="AA57" s="53" t="s">
        <v>86</v>
      </c>
      <c r="AB57" s="53" t="s">
        <v>284</v>
      </c>
    </row>
    <row r="58" spans="1:28" x14ac:dyDescent="0.15">
      <c r="A58" s="53" t="s">
        <v>34</v>
      </c>
      <c r="B58" s="53" t="s">
        <v>232</v>
      </c>
      <c r="C58" s="53">
        <v>2019</v>
      </c>
      <c r="D58" s="176" t="s">
        <v>369</v>
      </c>
      <c r="E58" s="53" t="s">
        <v>383</v>
      </c>
      <c r="F58" s="53" t="s">
        <v>384</v>
      </c>
      <c r="G58" s="53" t="s">
        <v>36</v>
      </c>
      <c r="H58" s="53" t="s">
        <v>164</v>
      </c>
      <c r="I58" s="53" t="s">
        <v>165</v>
      </c>
      <c r="J58" s="53" t="s">
        <v>38</v>
      </c>
      <c r="K58" s="53" t="s">
        <v>161</v>
      </c>
      <c r="L58" s="53">
        <v>3</v>
      </c>
      <c r="N58" s="53">
        <v>4</v>
      </c>
      <c r="O58" s="53">
        <v>0.2</v>
      </c>
      <c r="P58" s="53">
        <v>0.2</v>
      </c>
      <c r="Q58" s="74">
        <f t="shared" si="0"/>
        <v>0.2</v>
      </c>
      <c r="R58" s="53">
        <v>17.100000000000001</v>
      </c>
      <c r="S58" s="53">
        <v>94</v>
      </c>
      <c r="T58" s="16">
        <f t="shared" si="1"/>
        <v>36</v>
      </c>
      <c r="U58" s="53">
        <v>537</v>
      </c>
      <c r="V58" s="16">
        <f t="shared" si="2"/>
        <v>4833</v>
      </c>
      <c r="W58" s="53">
        <v>5</v>
      </c>
      <c r="X58" s="53" t="s">
        <v>46</v>
      </c>
      <c r="Y58" s="53" t="s">
        <v>55</v>
      </c>
      <c r="Z58" s="53" t="s">
        <v>69</v>
      </c>
      <c r="AA58" s="53" t="s">
        <v>86</v>
      </c>
      <c r="AB58" s="53" t="s">
        <v>284</v>
      </c>
    </row>
    <row r="59" spans="1:28" x14ac:dyDescent="0.15">
      <c r="A59" s="53" t="s">
        <v>34</v>
      </c>
      <c r="B59" s="53" t="s">
        <v>232</v>
      </c>
      <c r="C59" s="53">
        <v>2019</v>
      </c>
      <c r="D59" s="176" t="s">
        <v>369</v>
      </c>
      <c r="E59" s="53" t="s">
        <v>383</v>
      </c>
      <c r="F59" s="53" t="s">
        <v>384</v>
      </c>
      <c r="G59" s="53" t="s">
        <v>36</v>
      </c>
      <c r="H59" s="53" t="s">
        <v>160</v>
      </c>
      <c r="I59" s="53" t="s">
        <v>159</v>
      </c>
      <c r="J59" s="53" t="s">
        <v>38</v>
      </c>
      <c r="K59" s="53" t="s">
        <v>161</v>
      </c>
      <c r="L59" s="53">
        <v>1</v>
      </c>
      <c r="N59" s="53">
        <v>1</v>
      </c>
      <c r="O59" s="53">
        <v>0.5</v>
      </c>
      <c r="P59" s="53">
        <v>0.5</v>
      </c>
      <c r="Q59" s="74">
        <f t="shared" si="0"/>
        <v>0.5</v>
      </c>
      <c r="R59" s="53">
        <v>18.7</v>
      </c>
      <c r="S59" s="53">
        <v>117</v>
      </c>
      <c r="T59" s="16">
        <f t="shared" si="1"/>
        <v>30</v>
      </c>
      <c r="U59" s="53">
        <v>149</v>
      </c>
      <c r="V59" s="16">
        <f t="shared" si="2"/>
        <v>4470</v>
      </c>
      <c r="W59" s="53">
        <v>7</v>
      </c>
      <c r="X59" s="53" t="s">
        <v>46</v>
      </c>
      <c r="Y59" s="53" t="s">
        <v>55</v>
      </c>
      <c r="Z59" s="53" t="s">
        <v>69</v>
      </c>
      <c r="AA59" s="53" t="s">
        <v>86</v>
      </c>
      <c r="AB59" s="53" t="s">
        <v>284</v>
      </c>
    </row>
    <row r="60" spans="1:28" x14ac:dyDescent="0.15">
      <c r="A60" s="53" t="s">
        <v>34</v>
      </c>
      <c r="B60" s="53" t="s">
        <v>232</v>
      </c>
      <c r="C60" s="53">
        <v>2019</v>
      </c>
      <c r="D60" s="176" t="s">
        <v>369</v>
      </c>
      <c r="E60" s="53" t="s">
        <v>383</v>
      </c>
      <c r="F60" s="53" t="s">
        <v>384</v>
      </c>
      <c r="G60" s="53" t="s">
        <v>36</v>
      </c>
      <c r="H60" s="53" t="s">
        <v>160</v>
      </c>
      <c r="I60" s="53" t="s">
        <v>159</v>
      </c>
      <c r="J60" s="53" t="s">
        <v>38</v>
      </c>
      <c r="K60" s="53" t="s">
        <v>161</v>
      </c>
      <c r="L60" s="53">
        <v>2</v>
      </c>
      <c r="N60" s="53">
        <v>1</v>
      </c>
      <c r="O60" s="53">
        <v>0.65</v>
      </c>
      <c r="P60" s="53">
        <v>0.7</v>
      </c>
      <c r="Q60" s="74">
        <f t="shared" si="0"/>
        <v>0.67500000000000004</v>
      </c>
      <c r="R60" s="53">
        <v>18.399999999999999</v>
      </c>
      <c r="S60" s="53">
        <v>120</v>
      </c>
      <c r="T60" s="16">
        <f t="shared" si="1"/>
        <v>30</v>
      </c>
      <c r="U60" s="53">
        <v>149</v>
      </c>
      <c r="V60" s="16">
        <f t="shared" si="2"/>
        <v>4470</v>
      </c>
      <c r="W60" s="53">
        <v>7</v>
      </c>
      <c r="X60" s="53" t="s">
        <v>46</v>
      </c>
      <c r="Y60" s="53" t="s">
        <v>55</v>
      </c>
      <c r="Z60" s="53" t="s">
        <v>69</v>
      </c>
      <c r="AA60" s="53" t="s">
        <v>86</v>
      </c>
      <c r="AB60" s="53" t="s">
        <v>284</v>
      </c>
    </row>
    <row r="61" spans="1:28" x14ac:dyDescent="0.15">
      <c r="A61" s="53" t="s">
        <v>34</v>
      </c>
      <c r="B61" s="53" t="s">
        <v>232</v>
      </c>
      <c r="C61" s="53">
        <v>2019</v>
      </c>
      <c r="D61" s="176" t="s">
        <v>369</v>
      </c>
      <c r="E61" s="53" t="s">
        <v>383</v>
      </c>
      <c r="F61" s="53" t="s">
        <v>384</v>
      </c>
      <c r="G61" s="53" t="s">
        <v>36</v>
      </c>
      <c r="H61" s="53" t="s">
        <v>160</v>
      </c>
      <c r="I61" s="53" t="s">
        <v>159</v>
      </c>
      <c r="J61" s="53" t="s">
        <v>38</v>
      </c>
      <c r="K61" s="53" t="s">
        <v>161</v>
      </c>
      <c r="L61" s="53">
        <v>3</v>
      </c>
      <c r="N61" s="53">
        <v>1</v>
      </c>
      <c r="O61" s="53">
        <v>0.6</v>
      </c>
      <c r="P61" s="53">
        <v>0.6</v>
      </c>
      <c r="Q61" s="74">
        <f t="shared" si="0"/>
        <v>0.6</v>
      </c>
      <c r="R61" s="53">
        <v>20.100000000000001</v>
      </c>
      <c r="S61" s="53">
        <v>122</v>
      </c>
      <c r="T61" s="16">
        <f t="shared" si="1"/>
        <v>30</v>
      </c>
      <c r="U61" s="53">
        <v>149</v>
      </c>
      <c r="V61" s="16">
        <f t="shared" si="2"/>
        <v>4470</v>
      </c>
      <c r="W61" s="53">
        <v>7</v>
      </c>
      <c r="X61" s="53" t="s">
        <v>46</v>
      </c>
      <c r="Y61" s="53" t="s">
        <v>55</v>
      </c>
      <c r="Z61" s="53" t="s">
        <v>69</v>
      </c>
      <c r="AA61" s="53" t="s">
        <v>86</v>
      </c>
      <c r="AB61" s="53" t="s">
        <v>284</v>
      </c>
    </row>
    <row r="62" spans="1:28" x14ac:dyDescent="0.15">
      <c r="A62" s="53" t="s">
        <v>34</v>
      </c>
      <c r="B62" s="53" t="s">
        <v>232</v>
      </c>
      <c r="C62" s="53">
        <v>2019</v>
      </c>
      <c r="D62" s="176" t="s">
        <v>369</v>
      </c>
      <c r="E62" s="53" t="s">
        <v>383</v>
      </c>
      <c r="F62" s="53" t="s">
        <v>384</v>
      </c>
      <c r="G62" s="53" t="s">
        <v>36</v>
      </c>
      <c r="H62" s="53" t="s">
        <v>160</v>
      </c>
      <c r="I62" s="53" t="s">
        <v>159</v>
      </c>
      <c r="J62" s="53" t="s">
        <v>38</v>
      </c>
      <c r="K62" s="53" t="s">
        <v>161</v>
      </c>
      <c r="L62" s="53">
        <v>1</v>
      </c>
      <c r="N62" s="53">
        <v>4</v>
      </c>
      <c r="O62" s="53">
        <v>0.45</v>
      </c>
      <c r="P62" s="53">
        <v>0.45</v>
      </c>
      <c r="Q62" s="74">
        <f t="shared" si="0"/>
        <v>0.45</v>
      </c>
      <c r="R62" s="53">
        <v>18</v>
      </c>
      <c r="S62" s="53">
        <v>96</v>
      </c>
      <c r="T62" s="16">
        <f t="shared" si="1"/>
        <v>36</v>
      </c>
      <c r="U62" s="53">
        <v>429</v>
      </c>
      <c r="V62" s="16">
        <f t="shared" si="2"/>
        <v>3861</v>
      </c>
      <c r="W62" s="53">
        <v>7</v>
      </c>
      <c r="X62" s="53" t="s">
        <v>46</v>
      </c>
      <c r="Y62" s="53" t="s">
        <v>55</v>
      </c>
      <c r="Z62" s="53" t="s">
        <v>69</v>
      </c>
      <c r="AA62" s="53" t="s">
        <v>86</v>
      </c>
      <c r="AB62" s="53" t="s">
        <v>284</v>
      </c>
    </row>
    <row r="63" spans="1:28" x14ac:dyDescent="0.15">
      <c r="A63" s="53" t="s">
        <v>34</v>
      </c>
      <c r="B63" s="53" t="s">
        <v>232</v>
      </c>
      <c r="C63" s="53">
        <v>2019</v>
      </c>
      <c r="D63" s="176" t="s">
        <v>369</v>
      </c>
      <c r="E63" s="53" t="s">
        <v>383</v>
      </c>
      <c r="F63" s="53" t="s">
        <v>384</v>
      </c>
      <c r="G63" s="53" t="s">
        <v>36</v>
      </c>
      <c r="H63" s="53" t="s">
        <v>160</v>
      </c>
      <c r="I63" s="53" t="s">
        <v>159</v>
      </c>
      <c r="J63" s="53" t="s">
        <v>38</v>
      </c>
      <c r="K63" s="53" t="s">
        <v>161</v>
      </c>
      <c r="L63" s="53">
        <v>2</v>
      </c>
      <c r="N63" s="53">
        <v>4</v>
      </c>
      <c r="O63" s="53">
        <v>0.7</v>
      </c>
      <c r="P63" s="53">
        <v>0.65</v>
      </c>
      <c r="Q63" s="74">
        <f t="shared" si="0"/>
        <v>0.67500000000000004</v>
      </c>
      <c r="R63" s="53">
        <v>18.100000000000001</v>
      </c>
      <c r="S63" s="53">
        <v>100</v>
      </c>
      <c r="T63" s="16">
        <f t="shared" si="1"/>
        <v>33</v>
      </c>
      <c r="U63" s="53">
        <v>429</v>
      </c>
      <c r="V63" s="16">
        <f t="shared" si="2"/>
        <v>3539.25</v>
      </c>
      <c r="W63" s="53">
        <v>7</v>
      </c>
      <c r="X63" s="53" t="s">
        <v>46</v>
      </c>
      <c r="Y63" s="53" t="s">
        <v>55</v>
      </c>
      <c r="Z63" s="53" t="s">
        <v>69</v>
      </c>
      <c r="AA63" s="53" t="s">
        <v>86</v>
      </c>
      <c r="AB63" s="53" t="s">
        <v>284</v>
      </c>
    </row>
    <row r="64" spans="1:28" x14ac:dyDescent="0.15">
      <c r="A64" s="53" t="s">
        <v>34</v>
      </c>
      <c r="B64" s="53" t="s">
        <v>232</v>
      </c>
      <c r="C64" s="53">
        <v>2019</v>
      </c>
      <c r="D64" s="176" t="s">
        <v>369</v>
      </c>
      <c r="E64" s="53" t="s">
        <v>383</v>
      </c>
      <c r="F64" s="53" t="s">
        <v>384</v>
      </c>
      <c r="G64" s="53" t="s">
        <v>36</v>
      </c>
      <c r="H64" s="53" t="s">
        <v>160</v>
      </c>
      <c r="I64" s="53" t="s">
        <v>159</v>
      </c>
      <c r="J64" s="53" t="s">
        <v>38</v>
      </c>
      <c r="K64" s="53" t="s">
        <v>161</v>
      </c>
      <c r="L64" s="53">
        <v>3</v>
      </c>
      <c r="N64" s="53">
        <v>4</v>
      </c>
      <c r="O64" s="53">
        <v>0.6</v>
      </c>
      <c r="P64" s="53">
        <v>0.8</v>
      </c>
      <c r="Q64" s="74">
        <f t="shared" si="0"/>
        <v>0.7</v>
      </c>
      <c r="R64" s="53">
        <v>13.7</v>
      </c>
      <c r="S64" s="53">
        <v>99</v>
      </c>
      <c r="T64" s="16">
        <f t="shared" si="1"/>
        <v>33</v>
      </c>
      <c r="U64" s="53">
        <v>429</v>
      </c>
      <c r="V64" s="16">
        <f t="shared" si="2"/>
        <v>3539.25</v>
      </c>
      <c r="W64" s="53">
        <v>7</v>
      </c>
      <c r="X64" s="53" t="s">
        <v>46</v>
      </c>
      <c r="Y64" s="53" t="s">
        <v>55</v>
      </c>
      <c r="Z64" s="53" t="s">
        <v>69</v>
      </c>
      <c r="AA64" s="53" t="s">
        <v>86</v>
      </c>
      <c r="AB64" s="53" t="s">
        <v>284</v>
      </c>
    </row>
    <row r="65" spans="1:28" x14ac:dyDescent="0.15">
      <c r="A65" s="53" t="s">
        <v>34</v>
      </c>
      <c r="B65" s="53" t="s">
        <v>232</v>
      </c>
      <c r="C65" s="53">
        <v>2019</v>
      </c>
      <c r="D65" s="176" t="s">
        <v>369</v>
      </c>
      <c r="E65" s="53" t="s">
        <v>383</v>
      </c>
      <c r="F65" s="53" t="s">
        <v>384</v>
      </c>
      <c r="G65" s="53" t="s">
        <v>36</v>
      </c>
      <c r="H65" s="53" t="s">
        <v>160</v>
      </c>
      <c r="I65" s="53" t="s">
        <v>165</v>
      </c>
      <c r="J65" s="53" t="s">
        <v>38</v>
      </c>
      <c r="K65" s="53" t="s">
        <v>161</v>
      </c>
      <c r="L65" s="53">
        <v>1</v>
      </c>
      <c r="N65" s="53">
        <v>4</v>
      </c>
      <c r="O65" s="53">
        <v>0.5</v>
      </c>
      <c r="P65" s="53">
        <v>0.2</v>
      </c>
      <c r="Q65" s="74">
        <f t="shared" si="0"/>
        <v>0.35</v>
      </c>
      <c r="R65" s="53">
        <v>21.5</v>
      </c>
      <c r="S65" s="53">
        <v>116</v>
      </c>
      <c r="T65" s="16">
        <f t="shared" si="1"/>
        <v>30</v>
      </c>
      <c r="U65" s="53">
        <v>537</v>
      </c>
      <c r="V65" s="16">
        <f t="shared" si="2"/>
        <v>4027.5</v>
      </c>
      <c r="W65" s="53">
        <v>7</v>
      </c>
      <c r="X65" s="53" t="s">
        <v>46</v>
      </c>
      <c r="Y65" s="53" t="s">
        <v>55</v>
      </c>
      <c r="Z65" s="53" t="s">
        <v>69</v>
      </c>
      <c r="AA65" s="53" t="s">
        <v>86</v>
      </c>
      <c r="AB65" s="53" t="s">
        <v>284</v>
      </c>
    </row>
    <row r="66" spans="1:28" x14ac:dyDescent="0.15">
      <c r="A66" s="53" t="s">
        <v>34</v>
      </c>
      <c r="B66" s="53" t="s">
        <v>232</v>
      </c>
      <c r="C66" s="53">
        <v>2019</v>
      </c>
      <c r="D66" s="176" t="s">
        <v>369</v>
      </c>
      <c r="E66" s="53" t="s">
        <v>383</v>
      </c>
      <c r="F66" s="53" t="s">
        <v>384</v>
      </c>
      <c r="G66" s="53" t="s">
        <v>36</v>
      </c>
      <c r="H66" s="53" t="s">
        <v>160</v>
      </c>
      <c r="I66" s="53" t="s">
        <v>165</v>
      </c>
      <c r="J66" s="53" t="s">
        <v>38</v>
      </c>
      <c r="K66" s="53" t="s">
        <v>161</v>
      </c>
      <c r="L66" s="53">
        <v>2</v>
      </c>
      <c r="N66" s="53">
        <v>4</v>
      </c>
      <c r="O66" s="53">
        <v>0.45</v>
      </c>
      <c r="P66" s="53">
        <v>0.5</v>
      </c>
      <c r="Q66" s="74">
        <f t="shared" si="0"/>
        <v>0.47499999999999998</v>
      </c>
      <c r="R66" s="53">
        <v>18</v>
      </c>
      <c r="S66" s="53">
        <v>110</v>
      </c>
      <c r="T66" s="16">
        <f t="shared" si="1"/>
        <v>33</v>
      </c>
      <c r="U66" s="53">
        <v>537</v>
      </c>
      <c r="V66" s="16">
        <f t="shared" si="2"/>
        <v>4430.25</v>
      </c>
      <c r="W66" s="53">
        <v>7</v>
      </c>
      <c r="X66" s="53" t="s">
        <v>46</v>
      </c>
      <c r="Y66" s="53" t="s">
        <v>55</v>
      </c>
      <c r="Z66" s="53" t="s">
        <v>69</v>
      </c>
      <c r="AA66" s="53" t="s">
        <v>86</v>
      </c>
      <c r="AB66" s="53" t="s">
        <v>284</v>
      </c>
    </row>
    <row r="67" spans="1:28" x14ac:dyDescent="0.15">
      <c r="A67" s="53" t="s">
        <v>34</v>
      </c>
      <c r="B67" s="53" t="s">
        <v>232</v>
      </c>
      <c r="C67" s="53">
        <v>2019</v>
      </c>
      <c r="D67" s="176" t="s">
        <v>369</v>
      </c>
      <c r="E67" s="53" t="s">
        <v>383</v>
      </c>
      <c r="F67" s="53" t="s">
        <v>384</v>
      </c>
      <c r="G67" s="53" t="s">
        <v>36</v>
      </c>
      <c r="H67" s="53" t="s">
        <v>160</v>
      </c>
      <c r="I67" s="53" t="s">
        <v>165</v>
      </c>
      <c r="J67" s="53" t="s">
        <v>38</v>
      </c>
      <c r="K67" s="53" t="s">
        <v>161</v>
      </c>
      <c r="L67" s="53">
        <v>3</v>
      </c>
      <c r="N67" s="53">
        <v>4</v>
      </c>
      <c r="O67" s="53">
        <v>0.45</v>
      </c>
      <c r="P67" s="53">
        <v>0.6</v>
      </c>
      <c r="Q67" s="74">
        <f t="shared" si="0"/>
        <v>0.52500000000000002</v>
      </c>
      <c r="R67" s="53">
        <v>20.5</v>
      </c>
      <c r="S67" s="53">
        <v>109</v>
      </c>
      <c r="T67" s="16">
        <f t="shared" si="1"/>
        <v>33</v>
      </c>
      <c r="U67" s="53">
        <v>537</v>
      </c>
      <c r="V67" s="16">
        <f t="shared" si="2"/>
        <v>4430.25</v>
      </c>
      <c r="W67" s="53">
        <v>7</v>
      </c>
      <c r="X67" s="53" t="s">
        <v>46</v>
      </c>
      <c r="Y67" s="53" t="s">
        <v>55</v>
      </c>
      <c r="Z67" s="53" t="s">
        <v>69</v>
      </c>
      <c r="AA67" s="53" t="s">
        <v>86</v>
      </c>
      <c r="AB67" s="53" t="s">
        <v>284</v>
      </c>
    </row>
    <row r="68" spans="1:28" x14ac:dyDescent="0.15">
      <c r="A68" s="53" t="s">
        <v>34</v>
      </c>
      <c r="B68" s="53" t="s">
        <v>232</v>
      </c>
      <c r="C68" s="53">
        <v>2019</v>
      </c>
      <c r="D68" s="176" t="s">
        <v>369</v>
      </c>
      <c r="E68" s="53" t="s">
        <v>373</v>
      </c>
      <c r="F68" s="53" t="s">
        <v>372</v>
      </c>
      <c r="G68" s="53" t="s">
        <v>36</v>
      </c>
      <c r="H68" s="53" t="s">
        <v>164</v>
      </c>
      <c r="I68" s="53" t="s">
        <v>159</v>
      </c>
      <c r="J68" s="53" t="s">
        <v>38</v>
      </c>
      <c r="K68" s="53" t="s">
        <v>161</v>
      </c>
      <c r="L68" s="53">
        <v>1</v>
      </c>
      <c r="N68" s="53">
        <v>1</v>
      </c>
      <c r="O68" s="53">
        <v>0.75</v>
      </c>
      <c r="P68" s="53">
        <v>0.65</v>
      </c>
      <c r="Q68" s="74">
        <f t="shared" si="0"/>
        <v>0.7</v>
      </c>
      <c r="R68" s="53">
        <v>15.9</v>
      </c>
      <c r="S68" s="53">
        <v>133</v>
      </c>
      <c r="T68" s="16">
        <f t="shared" si="1"/>
        <v>30</v>
      </c>
      <c r="U68" s="53">
        <v>105</v>
      </c>
      <c r="V68" s="16">
        <f t="shared" si="2"/>
        <v>3150</v>
      </c>
      <c r="W68" s="53">
        <v>2</v>
      </c>
      <c r="X68" s="53" t="s">
        <v>46</v>
      </c>
      <c r="Y68" s="53" t="s">
        <v>55</v>
      </c>
      <c r="Z68" s="53" t="s">
        <v>86</v>
      </c>
      <c r="AA68" s="53" t="s">
        <v>69</v>
      </c>
      <c r="AB68" s="53" t="s">
        <v>284</v>
      </c>
    </row>
    <row r="69" spans="1:28" x14ac:dyDescent="0.15">
      <c r="A69" s="53" t="s">
        <v>34</v>
      </c>
      <c r="B69" s="53" t="s">
        <v>232</v>
      </c>
      <c r="C69" s="53">
        <v>2019</v>
      </c>
      <c r="D69" s="176" t="s">
        <v>369</v>
      </c>
      <c r="E69" s="53" t="s">
        <v>373</v>
      </c>
      <c r="F69" s="53" t="s">
        <v>372</v>
      </c>
      <c r="G69" s="53" t="s">
        <v>36</v>
      </c>
      <c r="H69" s="53" t="s">
        <v>164</v>
      </c>
      <c r="I69" s="53" t="s">
        <v>159</v>
      </c>
      <c r="J69" s="53" t="s">
        <v>38</v>
      </c>
      <c r="K69" s="53" t="s">
        <v>161</v>
      </c>
      <c r="L69" s="53">
        <v>2</v>
      </c>
      <c r="N69" s="53">
        <v>1</v>
      </c>
      <c r="O69" s="53">
        <v>0.8</v>
      </c>
      <c r="P69" s="53">
        <v>0.7</v>
      </c>
      <c r="Q69" s="74">
        <f t="shared" si="0"/>
        <v>0.75</v>
      </c>
      <c r="R69" s="53">
        <v>16.7</v>
      </c>
      <c r="S69" s="53">
        <v>130</v>
      </c>
      <c r="T69" s="16">
        <f t="shared" si="1"/>
        <v>30</v>
      </c>
      <c r="U69" s="53">
        <v>105</v>
      </c>
      <c r="V69" s="16">
        <f t="shared" si="2"/>
        <v>3150</v>
      </c>
      <c r="W69" s="53">
        <v>2</v>
      </c>
      <c r="X69" s="53" t="s">
        <v>46</v>
      </c>
      <c r="Y69" s="53" t="s">
        <v>55</v>
      </c>
      <c r="Z69" s="53" t="s">
        <v>86</v>
      </c>
      <c r="AA69" s="53" t="s">
        <v>69</v>
      </c>
      <c r="AB69" s="53" t="s">
        <v>284</v>
      </c>
    </row>
    <row r="70" spans="1:28" x14ac:dyDescent="0.15">
      <c r="A70" s="53" t="s">
        <v>34</v>
      </c>
      <c r="B70" s="53" t="s">
        <v>232</v>
      </c>
      <c r="C70" s="53">
        <v>2019</v>
      </c>
      <c r="D70" s="176" t="s">
        <v>369</v>
      </c>
      <c r="E70" s="53" t="s">
        <v>373</v>
      </c>
      <c r="F70" s="53" t="s">
        <v>372</v>
      </c>
      <c r="G70" s="53" t="s">
        <v>36</v>
      </c>
      <c r="H70" s="53" t="s">
        <v>164</v>
      </c>
      <c r="I70" s="53" t="s">
        <v>159</v>
      </c>
      <c r="J70" s="53" t="s">
        <v>38</v>
      </c>
      <c r="K70" s="53" t="s">
        <v>161</v>
      </c>
      <c r="L70" s="53">
        <v>3</v>
      </c>
      <c r="N70" s="53">
        <v>1</v>
      </c>
      <c r="O70" s="53">
        <v>0.7</v>
      </c>
      <c r="P70" s="53">
        <v>0.7</v>
      </c>
      <c r="Q70" s="74">
        <f t="shared" si="0"/>
        <v>0.7</v>
      </c>
      <c r="R70" s="53">
        <v>16.899999999999999</v>
      </c>
      <c r="S70" s="53">
        <v>130</v>
      </c>
      <c r="T70" s="16">
        <f t="shared" si="1"/>
        <v>30</v>
      </c>
      <c r="U70" s="53">
        <v>105</v>
      </c>
      <c r="V70" s="16">
        <f t="shared" si="2"/>
        <v>3150</v>
      </c>
      <c r="W70" s="53">
        <v>2</v>
      </c>
      <c r="X70" s="53" t="s">
        <v>46</v>
      </c>
      <c r="Y70" s="53" t="s">
        <v>55</v>
      </c>
      <c r="Z70" s="53" t="s">
        <v>86</v>
      </c>
      <c r="AA70" s="53" t="s">
        <v>69</v>
      </c>
      <c r="AB70" s="53" t="s">
        <v>284</v>
      </c>
    </row>
    <row r="71" spans="1:28" x14ac:dyDescent="0.15">
      <c r="A71" s="53" t="s">
        <v>34</v>
      </c>
      <c r="B71" s="53" t="s">
        <v>232</v>
      </c>
      <c r="C71" s="53">
        <v>2019</v>
      </c>
      <c r="D71" s="176" t="s">
        <v>369</v>
      </c>
      <c r="E71" s="53" t="s">
        <v>373</v>
      </c>
      <c r="F71" s="53" t="s">
        <v>372</v>
      </c>
      <c r="G71" s="53" t="s">
        <v>36</v>
      </c>
      <c r="H71" s="53" t="s">
        <v>164</v>
      </c>
      <c r="I71" s="53" t="s">
        <v>159</v>
      </c>
      <c r="J71" s="53" t="s">
        <v>38</v>
      </c>
      <c r="K71" s="53" t="s">
        <v>161</v>
      </c>
      <c r="L71" s="53">
        <v>1</v>
      </c>
      <c r="N71" s="53">
        <v>4</v>
      </c>
      <c r="O71" s="53">
        <v>0.2</v>
      </c>
      <c r="P71" s="53">
        <v>0.2</v>
      </c>
      <c r="Q71" s="74">
        <f t="shared" si="0"/>
        <v>0.2</v>
      </c>
      <c r="R71" s="53">
        <v>17.5</v>
      </c>
      <c r="S71" s="53">
        <v>83</v>
      </c>
      <c r="T71" s="16">
        <f t="shared" si="1"/>
        <v>39</v>
      </c>
      <c r="U71" s="53">
        <v>321</v>
      </c>
      <c r="V71" s="16">
        <f t="shared" si="2"/>
        <v>3129.75</v>
      </c>
      <c r="W71" s="53">
        <v>2</v>
      </c>
      <c r="X71" s="53" t="s">
        <v>46</v>
      </c>
      <c r="Y71" s="53" t="s">
        <v>55</v>
      </c>
      <c r="Z71" s="53" t="s">
        <v>86</v>
      </c>
      <c r="AA71" s="53" t="s">
        <v>69</v>
      </c>
      <c r="AB71" s="53" t="s">
        <v>284</v>
      </c>
    </row>
    <row r="72" spans="1:28" x14ac:dyDescent="0.15">
      <c r="A72" s="53" t="s">
        <v>34</v>
      </c>
      <c r="B72" s="53" t="s">
        <v>232</v>
      </c>
      <c r="C72" s="53">
        <v>2019</v>
      </c>
      <c r="D72" s="176" t="s">
        <v>369</v>
      </c>
      <c r="E72" s="53" t="s">
        <v>373</v>
      </c>
      <c r="F72" s="53" t="s">
        <v>372</v>
      </c>
      <c r="G72" s="53" t="s">
        <v>36</v>
      </c>
      <c r="H72" s="53" t="s">
        <v>164</v>
      </c>
      <c r="I72" s="53" t="s">
        <v>159</v>
      </c>
      <c r="J72" s="53" t="s">
        <v>38</v>
      </c>
      <c r="K72" s="53" t="s">
        <v>161</v>
      </c>
      <c r="L72" s="53">
        <v>2</v>
      </c>
      <c r="N72" s="53">
        <v>4</v>
      </c>
      <c r="O72" s="53">
        <v>0.2</v>
      </c>
      <c r="P72" s="53">
        <v>0.2</v>
      </c>
      <c r="Q72" s="74">
        <f t="shared" si="0"/>
        <v>0.2</v>
      </c>
      <c r="R72" s="53">
        <v>17.399999999999999</v>
      </c>
      <c r="S72" s="53">
        <v>85</v>
      </c>
      <c r="T72" s="16">
        <f t="shared" si="1"/>
        <v>36</v>
      </c>
      <c r="U72" s="53">
        <v>321</v>
      </c>
      <c r="V72" s="16">
        <f t="shared" si="2"/>
        <v>2889</v>
      </c>
      <c r="W72" s="53">
        <v>2</v>
      </c>
      <c r="X72" s="53" t="s">
        <v>46</v>
      </c>
      <c r="Y72" s="53" t="s">
        <v>55</v>
      </c>
      <c r="Z72" s="53" t="s">
        <v>86</v>
      </c>
      <c r="AA72" s="53" t="s">
        <v>69</v>
      </c>
      <c r="AB72" s="53" t="s">
        <v>284</v>
      </c>
    </row>
    <row r="73" spans="1:28" x14ac:dyDescent="0.15">
      <c r="A73" s="53" t="s">
        <v>34</v>
      </c>
      <c r="B73" s="53" t="s">
        <v>232</v>
      </c>
      <c r="C73" s="53">
        <v>2019</v>
      </c>
      <c r="D73" s="176" t="s">
        <v>369</v>
      </c>
      <c r="E73" s="53" t="s">
        <v>373</v>
      </c>
      <c r="F73" s="53" t="s">
        <v>372</v>
      </c>
      <c r="G73" s="53" t="s">
        <v>36</v>
      </c>
      <c r="H73" s="53" t="s">
        <v>164</v>
      </c>
      <c r="I73" s="53" t="s">
        <v>159</v>
      </c>
      <c r="J73" s="53" t="s">
        <v>38</v>
      </c>
      <c r="K73" s="53" t="s">
        <v>161</v>
      </c>
      <c r="L73" s="53">
        <v>3</v>
      </c>
      <c r="N73" s="53">
        <v>4</v>
      </c>
      <c r="O73" s="53">
        <v>0.55000000000000004</v>
      </c>
      <c r="P73" s="53">
        <v>0.6</v>
      </c>
      <c r="Q73" s="74">
        <f t="shared" si="0"/>
        <v>0.57499999999999996</v>
      </c>
      <c r="R73" s="53">
        <v>18.7</v>
      </c>
      <c r="S73" s="53">
        <v>99</v>
      </c>
      <c r="T73" s="16">
        <f t="shared" si="1"/>
        <v>33</v>
      </c>
      <c r="U73" s="53">
        <v>321</v>
      </c>
      <c r="V73" s="16">
        <f t="shared" si="2"/>
        <v>2648.25</v>
      </c>
      <c r="W73" s="53">
        <v>2</v>
      </c>
      <c r="X73" s="53" t="s">
        <v>46</v>
      </c>
      <c r="Y73" s="53" t="s">
        <v>55</v>
      </c>
      <c r="Z73" s="53" t="s">
        <v>86</v>
      </c>
      <c r="AA73" s="53" t="s">
        <v>69</v>
      </c>
      <c r="AB73" s="53" t="s">
        <v>284</v>
      </c>
    </row>
    <row r="74" spans="1:28" x14ac:dyDescent="0.15">
      <c r="A74" s="53" t="s">
        <v>34</v>
      </c>
      <c r="B74" s="53" t="s">
        <v>232</v>
      </c>
      <c r="C74" s="53">
        <v>2019</v>
      </c>
      <c r="D74" s="176" t="s">
        <v>369</v>
      </c>
      <c r="E74" s="53" t="s">
        <v>373</v>
      </c>
      <c r="F74" s="53" t="s">
        <v>372</v>
      </c>
      <c r="G74" s="53" t="s">
        <v>36</v>
      </c>
      <c r="H74" s="53" t="s">
        <v>160</v>
      </c>
      <c r="I74" s="53" t="s">
        <v>159</v>
      </c>
      <c r="J74" s="53" t="s">
        <v>38</v>
      </c>
      <c r="K74" s="53" t="s">
        <v>161</v>
      </c>
      <c r="L74" s="53">
        <v>1</v>
      </c>
      <c r="N74" s="53">
        <v>1</v>
      </c>
      <c r="O74" s="53">
        <v>0.65</v>
      </c>
      <c r="P74" s="53">
        <v>0.65</v>
      </c>
      <c r="Q74" s="74">
        <f t="shared" si="0"/>
        <v>0.65</v>
      </c>
      <c r="R74" s="53">
        <v>17.5</v>
      </c>
      <c r="S74" s="53">
        <v>128</v>
      </c>
      <c r="T74" s="16">
        <f t="shared" si="1"/>
        <v>30</v>
      </c>
      <c r="U74" s="53">
        <v>105</v>
      </c>
      <c r="V74" s="16">
        <f t="shared" si="2"/>
        <v>3150</v>
      </c>
      <c r="W74" s="53">
        <v>8</v>
      </c>
      <c r="X74" s="53" t="s">
        <v>46</v>
      </c>
      <c r="Y74" s="53" t="s">
        <v>55</v>
      </c>
      <c r="Z74" s="53" t="s">
        <v>86</v>
      </c>
      <c r="AA74" s="53" t="s">
        <v>69</v>
      </c>
      <c r="AB74" s="53" t="s">
        <v>284</v>
      </c>
    </row>
    <row r="75" spans="1:28" x14ac:dyDescent="0.15">
      <c r="A75" s="53" t="s">
        <v>34</v>
      </c>
      <c r="B75" s="53" t="s">
        <v>232</v>
      </c>
      <c r="C75" s="53">
        <v>2019</v>
      </c>
      <c r="D75" s="176" t="s">
        <v>369</v>
      </c>
      <c r="E75" s="53" t="s">
        <v>373</v>
      </c>
      <c r="F75" s="53" t="s">
        <v>372</v>
      </c>
      <c r="G75" s="53" t="s">
        <v>36</v>
      </c>
      <c r="H75" s="53" t="s">
        <v>160</v>
      </c>
      <c r="I75" s="53" t="s">
        <v>159</v>
      </c>
      <c r="J75" s="53" t="s">
        <v>38</v>
      </c>
      <c r="K75" s="53" t="s">
        <v>161</v>
      </c>
      <c r="L75" s="53">
        <v>2</v>
      </c>
      <c r="N75" s="53">
        <v>1</v>
      </c>
      <c r="O75" s="53">
        <v>0.2</v>
      </c>
      <c r="P75" s="53">
        <v>0.45</v>
      </c>
      <c r="Q75" s="74">
        <f t="shared" si="0"/>
        <v>0.32500000000000001</v>
      </c>
      <c r="R75" s="53">
        <v>18.3</v>
      </c>
      <c r="S75" s="53">
        <v>116</v>
      </c>
      <c r="T75" s="16">
        <f t="shared" si="1"/>
        <v>30</v>
      </c>
      <c r="U75" s="53">
        <v>105</v>
      </c>
      <c r="V75" s="16">
        <f t="shared" si="2"/>
        <v>3150</v>
      </c>
      <c r="W75" s="53">
        <v>8</v>
      </c>
      <c r="X75" s="53" t="s">
        <v>46</v>
      </c>
      <c r="Y75" s="53" t="s">
        <v>55</v>
      </c>
      <c r="Z75" s="53" t="s">
        <v>86</v>
      </c>
      <c r="AA75" s="53" t="s">
        <v>69</v>
      </c>
      <c r="AB75" s="53" t="s">
        <v>284</v>
      </c>
    </row>
    <row r="76" spans="1:28" x14ac:dyDescent="0.15">
      <c r="A76" s="53" t="s">
        <v>34</v>
      </c>
      <c r="B76" s="53" t="s">
        <v>232</v>
      </c>
      <c r="C76" s="53">
        <v>2019</v>
      </c>
      <c r="D76" s="176" t="s">
        <v>369</v>
      </c>
      <c r="E76" s="53" t="s">
        <v>373</v>
      </c>
      <c r="F76" s="53" t="s">
        <v>372</v>
      </c>
      <c r="G76" s="53" t="s">
        <v>36</v>
      </c>
      <c r="H76" s="53" t="s">
        <v>160</v>
      </c>
      <c r="I76" s="53" t="s">
        <v>159</v>
      </c>
      <c r="J76" s="53" t="s">
        <v>38</v>
      </c>
      <c r="K76" s="53" t="s">
        <v>161</v>
      </c>
      <c r="L76" s="53">
        <v>3</v>
      </c>
      <c r="N76" s="53">
        <v>1</v>
      </c>
      <c r="O76" s="53">
        <v>0.65</v>
      </c>
      <c r="P76" s="53">
        <v>0.65</v>
      </c>
      <c r="Q76" s="74">
        <f t="shared" si="0"/>
        <v>0.65</v>
      </c>
      <c r="R76" s="53">
        <v>18</v>
      </c>
      <c r="S76" s="53">
        <v>130</v>
      </c>
      <c r="T76" s="16">
        <f t="shared" si="1"/>
        <v>30</v>
      </c>
      <c r="U76" s="53">
        <v>105</v>
      </c>
      <c r="V76" s="16">
        <f t="shared" si="2"/>
        <v>3150</v>
      </c>
      <c r="W76" s="53">
        <v>8</v>
      </c>
      <c r="X76" s="53" t="s">
        <v>46</v>
      </c>
      <c r="Y76" s="53" t="s">
        <v>55</v>
      </c>
      <c r="Z76" s="53" t="s">
        <v>86</v>
      </c>
      <c r="AA76" s="53" t="s">
        <v>69</v>
      </c>
      <c r="AB76" s="53" t="s">
        <v>284</v>
      </c>
    </row>
    <row r="77" spans="1:28" x14ac:dyDescent="0.15">
      <c r="A77" s="53" t="s">
        <v>34</v>
      </c>
      <c r="B77" s="53" t="s">
        <v>232</v>
      </c>
      <c r="C77" s="53">
        <v>2019</v>
      </c>
      <c r="D77" s="176" t="s">
        <v>369</v>
      </c>
      <c r="E77" s="53" t="s">
        <v>373</v>
      </c>
      <c r="F77" s="53" t="s">
        <v>372</v>
      </c>
      <c r="G77" s="53" t="s">
        <v>36</v>
      </c>
      <c r="H77" s="53" t="s">
        <v>160</v>
      </c>
      <c r="I77" s="53" t="s">
        <v>159</v>
      </c>
      <c r="J77" s="53" t="s">
        <v>38</v>
      </c>
      <c r="K77" s="53" t="s">
        <v>161</v>
      </c>
      <c r="L77" s="53">
        <v>1</v>
      </c>
      <c r="N77" s="53">
        <v>4</v>
      </c>
      <c r="O77" s="53">
        <v>0.2</v>
      </c>
      <c r="P77" s="53">
        <v>0.2</v>
      </c>
      <c r="Q77" s="74">
        <f t="shared" si="0"/>
        <v>0.2</v>
      </c>
      <c r="R77" s="53">
        <v>17.7</v>
      </c>
      <c r="S77" s="53">
        <v>118</v>
      </c>
      <c r="T77" s="16">
        <f t="shared" si="1"/>
        <v>30</v>
      </c>
      <c r="U77" s="53">
        <v>429</v>
      </c>
      <c r="V77" s="16">
        <f t="shared" si="2"/>
        <v>3217.5</v>
      </c>
      <c r="W77" s="53">
        <v>8</v>
      </c>
      <c r="X77" s="53" t="s">
        <v>46</v>
      </c>
      <c r="Y77" s="53" t="s">
        <v>55</v>
      </c>
      <c r="Z77" s="53" t="s">
        <v>86</v>
      </c>
      <c r="AA77" s="53" t="s">
        <v>69</v>
      </c>
      <c r="AB77" s="53" t="s">
        <v>284</v>
      </c>
    </row>
    <row r="78" spans="1:28" x14ac:dyDescent="0.15">
      <c r="A78" s="53" t="s">
        <v>34</v>
      </c>
      <c r="B78" s="53" t="s">
        <v>232</v>
      </c>
      <c r="C78" s="53">
        <v>2019</v>
      </c>
      <c r="D78" s="176" t="s">
        <v>369</v>
      </c>
      <c r="E78" s="53" t="s">
        <v>373</v>
      </c>
      <c r="F78" s="53" t="s">
        <v>372</v>
      </c>
      <c r="G78" s="53" t="s">
        <v>36</v>
      </c>
      <c r="H78" s="53" t="s">
        <v>160</v>
      </c>
      <c r="I78" s="53" t="s">
        <v>159</v>
      </c>
      <c r="J78" s="53" t="s">
        <v>38</v>
      </c>
      <c r="K78" s="53" t="s">
        <v>161</v>
      </c>
      <c r="L78" s="53">
        <v>2</v>
      </c>
      <c r="N78" s="53">
        <v>4</v>
      </c>
      <c r="O78" s="53">
        <v>0.2</v>
      </c>
      <c r="P78" s="53">
        <v>0.2</v>
      </c>
      <c r="Q78" s="74">
        <f t="shared" si="0"/>
        <v>0.2</v>
      </c>
      <c r="R78" s="53">
        <v>20.6</v>
      </c>
      <c r="S78" s="53">
        <v>110</v>
      </c>
      <c r="T78" s="16">
        <f t="shared" si="1"/>
        <v>33</v>
      </c>
      <c r="U78" s="53">
        <v>429</v>
      </c>
      <c r="V78" s="16">
        <f t="shared" si="2"/>
        <v>3539.25</v>
      </c>
      <c r="W78" s="53">
        <v>8</v>
      </c>
      <c r="X78" s="53" t="s">
        <v>46</v>
      </c>
      <c r="Y78" s="53" t="s">
        <v>55</v>
      </c>
      <c r="Z78" s="53" t="s">
        <v>86</v>
      </c>
      <c r="AA78" s="53" t="s">
        <v>69</v>
      </c>
      <c r="AB78" s="53" t="s">
        <v>284</v>
      </c>
    </row>
    <row r="79" spans="1:28" x14ac:dyDescent="0.15">
      <c r="A79" s="53" t="s">
        <v>34</v>
      </c>
      <c r="B79" s="53" t="s">
        <v>232</v>
      </c>
      <c r="C79" s="53">
        <v>2019</v>
      </c>
      <c r="D79" s="176" t="s">
        <v>369</v>
      </c>
      <c r="E79" s="53" t="s">
        <v>373</v>
      </c>
      <c r="F79" s="53" t="s">
        <v>372</v>
      </c>
      <c r="G79" s="53" t="s">
        <v>36</v>
      </c>
      <c r="H79" s="53" t="s">
        <v>160</v>
      </c>
      <c r="I79" s="53" t="s">
        <v>159</v>
      </c>
      <c r="J79" s="53" t="s">
        <v>38</v>
      </c>
      <c r="K79" s="53" t="s">
        <v>161</v>
      </c>
      <c r="L79" s="53">
        <v>3</v>
      </c>
      <c r="N79" s="53">
        <v>4</v>
      </c>
      <c r="O79" s="53">
        <v>0.55000000000000004</v>
      </c>
      <c r="P79" s="53">
        <v>0.45</v>
      </c>
      <c r="Q79" s="74">
        <f t="shared" si="0"/>
        <v>0.5</v>
      </c>
      <c r="R79" s="53">
        <v>18.899999999999999</v>
      </c>
      <c r="S79" s="53">
        <v>117</v>
      </c>
      <c r="T79" s="16">
        <f t="shared" si="1"/>
        <v>30</v>
      </c>
      <c r="U79" s="53">
        <v>429</v>
      </c>
      <c r="V79" s="16">
        <f t="shared" si="2"/>
        <v>3217.5</v>
      </c>
      <c r="W79" s="53">
        <v>8</v>
      </c>
      <c r="X79" s="53" t="s">
        <v>46</v>
      </c>
      <c r="Y79" s="53" t="s">
        <v>55</v>
      </c>
      <c r="Z79" s="53" t="s">
        <v>86</v>
      </c>
      <c r="AA79" s="53" t="s">
        <v>69</v>
      </c>
      <c r="AB79" s="53" t="s">
        <v>284</v>
      </c>
    </row>
    <row r="80" spans="1:28" x14ac:dyDescent="0.15">
      <c r="A80" s="53" t="s">
        <v>34</v>
      </c>
      <c r="B80" s="53" t="s">
        <v>232</v>
      </c>
      <c r="C80" s="53">
        <v>2019</v>
      </c>
      <c r="D80" s="176" t="s">
        <v>369</v>
      </c>
      <c r="E80" s="53" t="s">
        <v>361</v>
      </c>
      <c r="F80" s="53" t="s">
        <v>372</v>
      </c>
      <c r="G80" s="53" t="s">
        <v>36</v>
      </c>
      <c r="H80" s="53" t="s">
        <v>164</v>
      </c>
      <c r="I80" s="53" t="s">
        <v>159</v>
      </c>
      <c r="J80" s="53" t="s">
        <v>38</v>
      </c>
      <c r="K80" s="53" t="s">
        <v>161</v>
      </c>
      <c r="L80" s="53">
        <v>1</v>
      </c>
      <c r="N80" s="53">
        <v>1</v>
      </c>
      <c r="O80" s="53">
        <v>0.7</v>
      </c>
      <c r="P80" s="53">
        <v>0.7</v>
      </c>
      <c r="Q80" s="74">
        <f t="shared" si="0"/>
        <v>0.7</v>
      </c>
      <c r="R80" s="53">
        <v>17.5</v>
      </c>
      <c r="S80" s="53">
        <v>105</v>
      </c>
      <c r="T80" s="16">
        <f t="shared" si="1"/>
        <v>33</v>
      </c>
      <c r="U80" s="53">
        <v>101</v>
      </c>
      <c r="V80" s="16">
        <f t="shared" si="2"/>
        <v>3333</v>
      </c>
      <c r="W80" s="53">
        <v>3</v>
      </c>
      <c r="X80" s="53" t="s">
        <v>46</v>
      </c>
      <c r="Y80" s="53" t="s">
        <v>55</v>
      </c>
      <c r="Z80" s="53" t="s">
        <v>90</v>
      </c>
      <c r="AA80" s="53" t="s">
        <v>69</v>
      </c>
      <c r="AB80" s="53" t="s">
        <v>284</v>
      </c>
    </row>
    <row r="81" spans="1:28" x14ac:dyDescent="0.15">
      <c r="A81" s="53" t="s">
        <v>34</v>
      </c>
      <c r="B81" s="53" t="s">
        <v>232</v>
      </c>
      <c r="C81" s="53">
        <v>2019</v>
      </c>
      <c r="D81" s="176" t="s">
        <v>369</v>
      </c>
      <c r="E81" s="53" t="s">
        <v>361</v>
      </c>
      <c r="F81" s="53" t="s">
        <v>372</v>
      </c>
      <c r="G81" s="53" t="s">
        <v>36</v>
      </c>
      <c r="H81" s="53" t="s">
        <v>164</v>
      </c>
      <c r="I81" s="53" t="s">
        <v>159</v>
      </c>
      <c r="J81" s="53" t="s">
        <v>38</v>
      </c>
      <c r="K81" s="53" t="s">
        <v>161</v>
      </c>
      <c r="L81" s="53">
        <v>2</v>
      </c>
      <c r="N81" s="53">
        <v>1</v>
      </c>
      <c r="O81" s="53">
        <v>0.7</v>
      </c>
      <c r="P81" s="53">
        <v>0.7</v>
      </c>
      <c r="Q81" s="74">
        <f t="shared" si="0"/>
        <v>0.7</v>
      </c>
      <c r="R81" s="53">
        <v>18.899999999999999</v>
      </c>
      <c r="S81" s="53">
        <v>106</v>
      </c>
      <c r="T81" s="16">
        <f t="shared" si="1"/>
        <v>33</v>
      </c>
      <c r="U81" s="53">
        <v>101</v>
      </c>
      <c r="V81" s="16">
        <f t="shared" si="2"/>
        <v>3333</v>
      </c>
      <c r="W81" s="53">
        <v>3</v>
      </c>
      <c r="X81" s="53" t="s">
        <v>46</v>
      </c>
      <c r="Y81" s="53" t="s">
        <v>55</v>
      </c>
      <c r="Z81" s="53" t="s">
        <v>90</v>
      </c>
      <c r="AA81" s="53" t="s">
        <v>69</v>
      </c>
      <c r="AB81" s="53" t="s">
        <v>284</v>
      </c>
    </row>
    <row r="82" spans="1:28" x14ac:dyDescent="0.15">
      <c r="A82" s="53" t="s">
        <v>34</v>
      </c>
      <c r="B82" s="53" t="s">
        <v>232</v>
      </c>
      <c r="C82" s="53">
        <v>2019</v>
      </c>
      <c r="D82" s="176" t="s">
        <v>369</v>
      </c>
      <c r="E82" s="53" t="s">
        <v>361</v>
      </c>
      <c r="F82" s="53" t="s">
        <v>372</v>
      </c>
      <c r="G82" s="53" t="s">
        <v>36</v>
      </c>
      <c r="H82" s="53" t="s">
        <v>164</v>
      </c>
      <c r="I82" s="53" t="s">
        <v>159</v>
      </c>
      <c r="J82" s="53" t="s">
        <v>38</v>
      </c>
      <c r="K82" s="53" t="s">
        <v>161</v>
      </c>
      <c r="L82" s="53">
        <v>3</v>
      </c>
      <c r="N82" s="53">
        <v>1</v>
      </c>
      <c r="O82" s="53">
        <v>0.6</v>
      </c>
      <c r="P82" s="53">
        <v>0.7</v>
      </c>
      <c r="Q82" s="74">
        <f t="shared" si="0"/>
        <v>0.64999999999999991</v>
      </c>
      <c r="R82" s="53">
        <v>18.100000000000001</v>
      </c>
      <c r="S82" s="53">
        <v>108</v>
      </c>
      <c r="T82" s="16">
        <f t="shared" si="1"/>
        <v>33</v>
      </c>
      <c r="U82" s="53">
        <v>101</v>
      </c>
      <c r="V82" s="16">
        <f t="shared" si="2"/>
        <v>3333</v>
      </c>
      <c r="W82" s="53">
        <v>3</v>
      </c>
      <c r="X82" s="53" t="s">
        <v>46</v>
      </c>
      <c r="Y82" s="53" t="s">
        <v>55</v>
      </c>
      <c r="Z82" s="53" t="s">
        <v>90</v>
      </c>
      <c r="AA82" s="53" t="s">
        <v>69</v>
      </c>
      <c r="AB82" s="53" t="s">
        <v>284</v>
      </c>
    </row>
    <row r="83" spans="1:28" x14ac:dyDescent="0.15">
      <c r="A83" s="53" t="s">
        <v>34</v>
      </c>
      <c r="B83" s="53" t="s">
        <v>232</v>
      </c>
      <c r="C83" s="53">
        <v>2019</v>
      </c>
      <c r="D83" s="176" t="s">
        <v>369</v>
      </c>
      <c r="E83" s="53" t="s">
        <v>361</v>
      </c>
      <c r="F83" s="53" t="s">
        <v>372</v>
      </c>
      <c r="G83" s="53" t="s">
        <v>36</v>
      </c>
      <c r="H83" s="53" t="s">
        <v>164</v>
      </c>
      <c r="I83" s="53" t="s">
        <v>165</v>
      </c>
      <c r="J83" s="53" t="s">
        <v>38</v>
      </c>
      <c r="K83" s="53" t="s">
        <v>161</v>
      </c>
      <c r="L83" s="53">
        <v>1</v>
      </c>
      <c r="N83" s="53">
        <v>9</v>
      </c>
      <c r="O83" s="53">
        <v>0.2</v>
      </c>
      <c r="P83" s="53">
        <v>0.2</v>
      </c>
      <c r="Q83" s="74">
        <f t="shared" ref="Q83:Q130" si="5">IF(OR(O83="",P83=""),"",AVERAGE(O83,P83))</f>
        <v>0.2</v>
      </c>
      <c r="R83" s="53">
        <v>16.600000000000001</v>
      </c>
      <c r="S83" s="53">
        <v>87</v>
      </c>
      <c r="T83" s="16">
        <f t="shared" ref="T83:T130" si="6">IF(H83="","",IF(OR(H83="GREEN",H83="GK"),IF(S83&gt;=$AX$2,VLOOKUP(S83,$AX$2:$AY$9,2,1),""),IF(S83&gt;=$AZ$2,VLOOKUP(S83,$AZ$2:$BA$9,2,1),"")))</f>
        <v>36</v>
      </c>
      <c r="U83" s="53">
        <v>537</v>
      </c>
      <c r="V83" s="16">
        <f t="shared" ref="V83:V130" si="7">IF(OR(N83="",U83="",T83=""),"",U83/N83*T83)</f>
        <v>2148</v>
      </c>
      <c r="W83" s="53">
        <v>3</v>
      </c>
      <c r="X83" s="53" t="s">
        <v>46</v>
      </c>
      <c r="Y83" s="53" t="s">
        <v>55</v>
      </c>
      <c r="Z83" s="53" t="s">
        <v>90</v>
      </c>
      <c r="AA83" s="53" t="s">
        <v>69</v>
      </c>
      <c r="AB83" s="53" t="s">
        <v>284</v>
      </c>
    </row>
    <row r="84" spans="1:28" x14ac:dyDescent="0.15">
      <c r="A84" s="53" t="s">
        <v>34</v>
      </c>
      <c r="B84" s="53" t="s">
        <v>232</v>
      </c>
      <c r="C84" s="53">
        <v>2019</v>
      </c>
      <c r="D84" s="176" t="s">
        <v>369</v>
      </c>
      <c r="E84" s="53" t="s">
        <v>361</v>
      </c>
      <c r="F84" s="53" t="s">
        <v>372</v>
      </c>
      <c r="G84" s="53" t="s">
        <v>36</v>
      </c>
      <c r="H84" s="53" t="s">
        <v>164</v>
      </c>
      <c r="I84" s="53" t="s">
        <v>165</v>
      </c>
      <c r="J84" s="53" t="s">
        <v>38</v>
      </c>
      <c r="K84" s="53" t="s">
        <v>161</v>
      </c>
      <c r="L84" s="53">
        <v>2</v>
      </c>
      <c r="N84" s="53">
        <v>9</v>
      </c>
      <c r="O84" s="53">
        <v>0.2</v>
      </c>
      <c r="P84" s="53">
        <v>0.2</v>
      </c>
      <c r="Q84" s="74">
        <f t="shared" si="5"/>
        <v>0.2</v>
      </c>
      <c r="R84" s="53">
        <v>12.9</v>
      </c>
      <c r="S84" s="53">
        <v>87</v>
      </c>
      <c r="T84" s="16">
        <f t="shared" si="6"/>
        <v>36</v>
      </c>
      <c r="U84" s="53">
        <v>537</v>
      </c>
      <c r="V84" s="16">
        <f t="shared" si="7"/>
        <v>2148</v>
      </c>
      <c r="W84" s="53">
        <v>3</v>
      </c>
      <c r="X84" s="53" t="s">
        <v>46</v>
      </c>
      <c r="Y84" s="53" t="s">
        <v>55</v>
      </c>
      <c r="Z84" s="53" t="s">
        <v>90</v>
      </c>
      <c r="AA84" s="53" t="s">
        <v>69</v>
      </c>
      <c r="AB84" s="53" t="s">
        <v>284</v>
      </c>
    </row>
    <row r="85" spans="1:28" x14ac:dyDescent="0.15">
      <c r="A85" s="53" t="s">
        <v>34</v>
      </c>
      <c r="B85" s="53" t="s">
        <v>232</v>
      </c>
      <c r="C85" s="53">
        <v>2019</v>
      </c>
      <c r="D85" s="176" t="s">
        <v>369</v>
      </c>
      <c r="E85" s="53" t="s">
        <v>361</v>
      </c>
      <c r="F85" s="53" t="s">
        <v>372</v>
      </c>
      <c r="G85" s="53" t="s">
        <v>36</v>
      </c>
      <c r="H85" s="53" t="s">
        <v>164</v>
      </c>
      <c r="I85" s="53" t="s">
        <v>165</v>
      </c>
      <c r="J85" s="53" t="s">
        <v>38</v>
      </c>
      <c r="K85" s="53" t="s">
        <v>161</v>
      </c>
      <c r="L85" s="53">
        <v>3</v>
      </c>
      <c r="N85" s="53">
        <v>9</v>
      </c>
      <c r="O85" s="53">
        <v>0.2</v>
      </c>
      <c r="P85" s="53">
        <v>0.2</v>
      </c>
      <c r="Q85" s="74">
        <f t="shared" si="5"/>
        <v>0.2</v>
      </c>
      <c r="R85" s="53">
        <v>18.600000000000001</v>
      </c>
      <c r="S85" s="53">
        <v>88</v>
      </c>
      <c r="T85" s="16">
        <f t="shared" si="6"/>
        <v>36</v>
      </c>
      <c r="U85" s="53">
        <v>537</v>
      </c>
      <c r="V85" s="16">
        <f t="shared" si="7"/>
        <v>2148</v>
      </c>
      <c r="W85" s="53">
        <v>3</v>
      </c>
      <c r="X85" s="53" t="s">
        <v>46</v>
      </c>
      <c r="Y85" s="53" t="s">
        <v>55</v>
      </c>
      <c r="Z85" s="53" t="s">
        <v>90</v>
      </c>
      <c r="AA85" s="53" t="s">
        <v>69</v>
      </c>
      <c r="AB85" s="53" t="s">
        <v>284</v>
      </c>
    </row>
    <row r="86" spans="1:28" x14ac:dyDescent="0.15">
      <c r="A86" s="53" t="s">
        <v>34</v>
      </c>
      <c r="B86" s="53" t="s">
        <v>232</v>
      </c>
      <c r="C86" s="53">
        <v>2019</v>
      </c>
      <c r="D86" s="176" t="s">
        <v>369</v>
      </c>
      <c r="E86" s="53" t="s">
        <v>361</v>
      </c>
      <c r="F86" s="53" t="s">
        <v>372</v>
      </c>
      <c r="G86" s="53" t="s">
        <v>36</v>
      </c>
      <c r="H86" s="53" t="s">
        <v>160</v>
      </c>
      <c r="I86" s="53" t="s">
        <v>159</v>
      </c>
      <c r="J86" s="53" t="s">
        <v>38</v>
      </c>
      <c r="K86" s="53" t="s">
        <v>161</v>
      </c>
      <c r="L86" s="53">
        <v>1</v>
      </c>
      <c r="N86" s="53">
        <v>1</v>
      </c>
      <c r="O86" s="53">
        <v>0.2</v>
      </c>
      <c r="P86" s="53">
        <v>0.2</v>
      </c>
      <c r="Q86" s="74">
        <f t="shared" si="5"/>
        <v>0.2</v>
      </c>
      <c r="R86" s="53">
        <v>21.2</v>
      </c>
      <c r="S86" s="53">
        <v>126</v>
      </c>
      <c r="T86" s="16">
        <f t="shared" si="6"/>
        <v>30</v>
      </c>
      <c r="U86" s="53">
        <v>101</v>
      </c>
      <c r="V86" s="16">
        <f t="shared" si="7"/>
        <v>3030</v>
      </c>
      <c r="W86" s="53">
        <v>7</v>
      </c>
      <c r="X86" s="53" t="s">
        <v>46</v>
      </c>
      <c r="Y86" s="53" t="s">
        <v>55</v>
      </c>
      <c r="Z86" s="53" t="s">
        <v>90</v>
      </c>
      <c r="AA86" s="53" t="s">
        <v>69</v>
      </c>
      <c r="AB86" s="53" t="s">
        <v>284</v>
      </c>
    </row>
    <row r="87" spans="1:28" x14ac:dyDescent="0.15">
      <c r="A87" s="53" t="s">
        <v>34</v>
      </c>
      <c r="B87" s="53" t="s">
        <v>232</v>
      </c>
      <c r="C87" s="53">
        <v>2019</v>
      </c>
      <c r="D87" s="176" t="s">
        <v>369</v>
      </c>
      <c r="E87" s="53" t="s">
        <v>361</v>
      </c>
      <c r="F87" s="53" t="s">
        <v>372</v>
      </c>
      <c r="G87" s="53" t="s">
        <v>36</v>
      </c>
      <c r="H87" s="53" t="s">
        <v>160</v>
      </c>
      <c r="I87" s="53" t="s">
        <v>159</v>
      </c>
      <c r="J87" s="53" t="s">
        <v>38</v>
      </c>
      <c r="K87" s="53" t="s">
        <v>161</v>
      </c>
      <c r="L87" s="53">
        <v>2</v>
      </c>
      <c r="N87" s="53">
        <v>1</v>
      </c>
      <c r="O87" s="53">
        <v>0.2</v>
      </c>
      <c r="P87" s="53">
        <v>0.45</v>
      </c>
      <c r="Q87" s="74">
        <f t="shared" si="5"/>
        <v>0.32500000000000001</v>
      </c>
      <c r="R87" s="53">
        <v>18.899999999999999</v>
      </c>
      <c r="S87" s="53">
        <v>125</v>
      </c>
      <c r="T87" s="16">
        <f t="shared" si="6"/>
        <v>30</v>
      </c>
      <c r="U87" s="53">
        <v>101</v>
      </c>
      <c r="V87" s="16">
        <f t="shared" si="7"/>
        <v>3030</v>
      </c>
      <c r="W87" s="53">
        <v>7</v>
      </c>
      <c r="X87" s="53" t="s">
        <v>46</v>
      </c>
      <c r="Y87" s="53" t="s">
        <v>55</v>
      </c>
      <c r="Z87" s="53" t="s">
        <v>90</v>
      </c>
      <c r="AA87" s="53" t="s">
        <v>69</v>
      </c>
      <c r="AB87" s="53" t="s">
        <v>284</v>
      </c>
    </row>
    <row r="88" spans="1:28" x14ac:dyDescent="0.15">
      <c r="A88" s="53" t="s">
        <v>34</v>
      </c>
      <c r="B88" s="53" t="s">
        <v>232</v>
      </c>
      <c r="C88" s="53">
        <v>2019</v>
      </c>
      <c r="D88" s="176" t="s">
        <v>369</v>
      </c>
      <c r="E88" s="53" t="s">
        <v>361</v>
      </c>
      <c r="F88" s="53" t="s">
        <v>372</v>
      </c>
      <c r="G88" s="53" t="s">
        <v>36</v>
      </c>
      <c r="H88" s="53" t="s">
        <v>160</v>
      </c>
      <c r="I88" s="53" t="s">
        <v>159</v>
      </c>
      <c r="J88" s="53" t="s">
        <v>38</v>
      </c>
      <c r="K88" s="53" t="s">
        <v>161</v>
      </c>
      <c r="L88" s="53">
        <v>3</v>
      </c>
      <c r="N88" s="53">
        <v>1</v>
      </c>
      <c r="O88" s="53">
        <v>0.2</v>
      </c>
      <c r="P88" s="53">
        <v>0.2</v>
      </c>
      <c r="Q88" s="74">
        <f t="shared" si="5"/>
        <v>0.2</v>
      </c>
      <c r="R88" s="53">
        <v>19.8</v>
      </c>
      <c r="S88" s="53">
        <v>135</v>
      </c>
      <c r="T88" s="16">
        <f t="shared" si="6"/>
        <v>30</v>
      </c>
      <c r="U88" s="53">
        <v>101</v>
      </c>
      <c r="V88" s="16">
        <f t="shared" si="7"/>
        <v>3030</v>
      </c>
      <c r="W88" s="53">
        <v>7</v>
      </c>
      <c r="X88" s="53" t="s">
        <v>46</v>
      </c>
      <c r="Y88" s="53" t="s">
        <v>55</v>
      </c>
      <c r="Z88" s="53" t="s">
        <v>90</v>
      </c>
      <c r="AA88" s="53" t="s">
        <v>69</v>
      </c>
      <c r="AB88" s="53" t="s">
        <v>284</v>
      </c>
    </row>
    <row r="89" spans="1:28" x14ac:dyDescent="0.15">
      <c r="A89" s="53" t="s">
        <v>34</v>
      </c>
      <c r="B89" s="53" t="s">
        <v>232</v>
      </c>
      <c r="C89" s="53">
        <v>2019</v>
      </c>
      <c r="D89" s="176" t="s">
        <v>369</v>
      </c>
      <c r="E89" s="53" t="s">
        <v>361</v>
      </c>
      <c r="F89" s="53" t="s">
        <v>372</v>
      </c>
      <c r="G89" s="53" t="s">
        <v>36</v>
      </c>
      <c r="H89" s="53" t="s">
        <v>160</v>
      </c>
      <c r="I89" s="53" t="s">
        <v>159</v>
      </c>
      <c r="J89" s="53" t="s">
        <v>38</v>
      </c>
      <c r="K89" s="53" t="s">
        <v>161</v>
      </c>
      <c r="L89" s="53">
        <v>1</v>
      </c>
      <c r="N89" s="53">
        <v>7</v>
      </c>
      <c r="O89" s="53">
        <v>0.55000000000000004</v>
      </c>
      <c r="P89" s="53">
        <v>0.55000000000000004</v>
      </c>
      <c r="Q89" s="74">
        <f t="shared" si="5"/>
        <v>0.55000000000000004</v>
      </c>
      <c r="R89" s="53">
        <v>18.5</v>
      </c>
      <c r="S89" s="53">
        <v>88</v>
      </c>
      <c r="T89" s="16">
        <f t="shared" si="6"/>
        <v>36</v>
      </c>
      <c r="U89" s="53">
        <v>645</v>
      </c>
      <c r="V89" s="16">
        <f t="shared" si="7"/>
        <v>3317.1428571428569</v>
      </c>
      <c r="W89" s="53">
        <v>7</v>
      </c>
      <c r="X89" s="53" t="s">
        <v>46</v>
      </c>
      <c r="Y89" s="53" t="s">
        <v>55</v>
      </c>
      <c r="Z89" s="53" t="s">
        <v>90</v>
      </c>
      <c r="AA89" s="53" t="s">
        <v>69</v>
      </c>
      <c r="AB89" s="53" t="s">
        <v>284</v>
      </c>
    </row>
    <row r="90" spans="1:28" x14ac:dyDescent="0.15">
      <c r="A90" s="53" t="s">
        <v>34</v>
      </c>
      <c r="B90" s="53" t="s">
        <v>232</v>
      </c>
      <c r="C90" s="53">
        <v>2019</v>
      </c>
      <c r="D90" s="176" t="s">
        <v>369</v>
      </c>
      <c r="E90" s="53" t="s">
        <v>361</v>
      </c>
      <c r="F90" s="53" t="s">
        <v>372</v>
      </c>
      <c r="G90" s="53" t="s">
        <v>36</v>
      </c>
      <c r="H90" s="53" t="s">
        <v>160</v>
      </c>
      <c r="I90" s="53" t="s">
        <v>159</v>
      </c>
      <c r="J90" s="53" t="s">
        <v>38</v>
      </c>
      <c r="K90" s="53" t="s">
        <v>161</v>
      </c>
      <c r="L90" s="53">
        <v>2</v>
      </c>
      <c r="N90" s="53">
        <v>7</v>
      </c>
      <c r="O90" s="53">
        <v>0.45</v>
      </c>
      <c r="P90" s="53">
        <v>0.2</v>
      </c>
      <c r="Q90" s="74">
        <f t="shared" si="5"/>
        <v>0.32500000000000001</v>
      </c>
      <c r="R90" s="53">
        <v>17.399999999999999</v>
      </c>
      <c r="S90" s="53">
        <v>93</v>
      </c>
      <c r="T90" s="16">
        <f t="shared" si="6"/>
        <v>36</v>
      </c>
      <c r="U90" s="53">
        <v>645</v>
      </c>
      <c r="V90" s="16">
        <f t="shared" si="7"/>
        <v>3317.1428571428569</v>
      </c>
      <c r="W90" s="53">
        <v>7</v>
      </c>
      <c r="X90" s="53" t="s">
        <v>46</v>
      </c>
      <c r="Y90" s="53" t="s">
        <v>55</v>
      </c>
      <c r="Z90" s="53" t="s">
        <v>90</v>
      </c>
      <c r="AA90" s="53" t="s">
        <v>69</v>
      </c>
      <c r="AB90" s="53" t="s">
        <v>284</v>
      </c>
    </row>
    <row r="91" spans="1:28" x14ac:dyDescent="0.15">
      <c r="A91" s="53" t="s">
        <v>34</v>
      </c>
      <c r="B91" s="53" t="s">
        <v>232</v>
      </c>
      <c r="C91" s="53">
        <v>2019</v>
      </c>
      <c r="D91" s="176" t="s">
        <v>369</v>
      </c>
      <c r="E91" s="53" t="s">
        <v>361</v>
      </c>
      <c r="F91" s="53" t="s">
        <v>372</v>
      </c>
      <c r="G91" s="53" t="s">
        <v>36</v>
      </c>
      <c r="H91" s="53" t="s">
        <v>160</v>
      </c>
      <c r="I91" s="53" t="s">
        <v>159</v>
      </c>
      <c r="J91" s="53" t="s">
        <v>38</v>
      </c>
      <c r="K91" s="53" t="s">
        <v>161</v>
      </c>
      <c r="L91" s="53">
        <v>3</v>
      </c>
      <c r="N91" s="53">
        <v>7</v>
      </c>
      <c r="O91" s="53">
        <v>0.2</v>
      </c>
      <c r="P91" s="53">
        <v>0.2</v>
      </c>
      <c r="Q91" s="74">
        <f t="shared" si="5"/>
        <v>0.2</v>
      </c>
      <c r="R91" s="53">
        <v>18.2</v>
      </c>
      <c r="S91" s="53">
        <v>92</v>
      </c>
      <c r="T91" s="16">
        <f t="shared" si="6"/>
        <v>36</v>
      </c>
      <c r="U91" s="53">
        <v>645</v>
      </c>
      <c r="V91" s="16">
        <f t="shared" si="7"/>
        <v>3317.1428571428569</v>
      </c>
      <c r="W91" s="53">
        <v>7</v>
      </c>
      <c r="X91" s="53" t="s">
        <v>46</v>
      </c>
      <c r="Y91" s="53" t="s">
        <v>55</v>
      </c>
      <c r="Z91" s="53" t="s">
        <v>90</v>
      </c>
      <c r="AA91" s="53" t="s">
        <v>69</v>
      </c>
      <c r="AB91" s="53" t="s">
        <v>284</v>
      </c>
    </row>
    <row r="92" spans="1:28" x14ac:dyDescent="0.15">
      <c r="A92" s="53" t="s">
        <v>34</v>
      </c>
      <c r="B92" s="53" t="s">
        <v>232</v>
      </c>
      <c r="C92" s="53">
        <v>2019</v>
      </c>
      <c r="D92" s="176" t="s">
        <v>369</v>
      </c>
      <c r="E92" s="53" t="s">
        <v>376</v>
      </c>
      <c r="F92" s="53" t="s">
        <v>377</v>
      </c>
      <c r="G92" s="53" t="s">
        <v>36</v>
      </c>
      <c r="H92" s="53" t="s">
        <v>164</v>
      </c>
      <c r="I92" s="53" t="s">
        <v>159</v>
      </c>
      <c r="J92" s="53" t="s">
        <v>38</v>
      </c>
      <c r="K92" s="53" t="s">
        <v>161</v>
      </c>
      <c r="L92" s="53">
        <v>1</v>
      </c>
      <c r="N92" s="53">
        <v>1</v>
      </c>
      <c r="O92" s="53">
        <v>0.45</v>
      </c>
      <c r="P92" s="53">
        <v>0.6</v>
      </c>
      <c r="Q92" s="74">
        <f t="shared" si="5"/>
        <v>0.52500000000000002</v>
      </c>
      <c r="R92" s="53">
        <v>17.8</v>
      </c>
      <c r="S92" s="53">
        <v>129</v>
      </c>
      <c r="T92" s="16">
        <f t="shared" si="6"/>
        <v>30</v>
      </c>
      <c r="U92" s="53">
        <v>95</v>
      </c>
      <c r="V92" s="16">
        <f t="shared" si="7"/>
        <v>2850</v>
      </c>
      <c r="W92" s="53">
        <v>3</v>
      </c>
      <c r="X92" s="53" t="s">
        <v>46</v>
      </c>
      <c r="Y92" s="53" t="s">
        <v>55</v>
      </c>
      <c r="Z92" s="53" t="s">
        <v>69</v>
      </c>
      <c r="AA92" s="53" t="s">
        <v>90</v>
      </c>
      <c r="AB92" s="53" t="s">
        <v>284</v>
      </c>
    </row>
    <row r="93" spans="1:28" x14ac:dyDescent="0.15">
      <c r="A93" s="53" t="s">
        <v>34</v>
      </c>
      <c r="B93" s="53" t="s">
        <v>232</v>
      </c>
      <c r="C93" s="53">
        <v>2019</v>
      </c>
      <c r="D93" s="176" t="s">
        <v>369</v>
      </c>
      <c r="E93" s="53" t="s">
        <v>376</v>
      </c>
      <c r="F93" s="53" t="s">
        <v>377</v>
      </c>
      <c r="G93" s="53" t="s">
        <v>36</v>
      </c>
      <c r="H93" s="53" t="s">
        <v>164</v>
      </c>
      <c r="I93" s="53" t="s">
        <v>159</v>
      </c>
      <c r="J93" s="53" t="s">
        <v>38</v>
      </c>
      <c r="K93" s="53" t="s">
        <v>161</v>
      </c>
      <c r="L93" s="53">
        <v>2</v>
      </c>
      <c r="N93" s="53">
        <v>1</v>
      </c>
      <c r="O93" s="53">
        <v>0.7</v>
      </c>
      <c r="P93" s="53">
        <v>0.7</v>
      </c>
      <c r="Q93" s="74">
        <f t="shared" si="5"/>
        <v>0.7</v>
      </c>
      <c r="R93" s="53">
        <v>17.8</v>
      </c>
      <c r="S93" s="53">
        <v>125</v>
      </c>
      <c r="T93" s="16">
        <f t="shared" si="6"/>
        <v>30</v>
      </c>
      <c r="U93" s="53">
        <v>95</v>
      </c>
      <c r="V93" s="16">
        <f t="shared" si="7"/>
        <v>2850</v>
      </c>
      <c r="W93" s="53">
        <v>3</v>
      </c>
      <c r="X93" s="53" t="s">
        <v>46</v>
      </c>
      <c r="Y93" s="53" t="s">
        <v>55</v>
      </c>
      <c r="Z93" s="53" t="s">
        <v>69</v>
      </c>
      <c r="AA93" s="53" t="s">
        <v>90</v>
      </c>
      <c r="AB93" s="53" t="s">
        <v>284</v>
      </c>
    </row>
    <row r="94" spans="1:28" x14ac:dyDescent="0.15">
      <c r="A94" s="53" t="s">
        <v>34</v>
      </c>
      <c r="B94" s="53" t="s">
        <v>232</v>
      </c>
      <c r="C94" s="53">
        <v>2019</v>
      </c>
      <c r="D94" s="176" t="s">
        <v>369</v>
      </c>
      <c r="E94" s="53" t="s">
        <v>376</v>
      </c>
      <c r="F94" s="53" t="s">
        <v>377</v>
      </c>
      <c r="G94" s="53" t="s">
        <v>36</v>
      </c>
      <c r="H94" s="53" t="s">
        <v>164</v>
      </c>
      <c r="I94" s="53" t="s">
        <v>159</v>
      </c>
      <c r="J94" s="53" t="s">
        <v>38</v>
      </c>
      <c r="K94" s="53" t="s">
        <v>161</v>
      </c>
      <c r="L94" s="53">
        <v>3</v>
      </c>
      <c r="N94" s="53">
        <v>1</v>
      </c>
      <c r="O94" s="53">
        <v>0.65</v>
      </c>
      <c r="P94" s="53">
        <v>0.8</v>
      </c>
      <c r="Q94" s="74">
        <f t="shared" si="5"/>
        <v>0.72500000000000009</v>
      </c>
      <c r="R94" s="53">
        <v>19.100000000000001</v>
      </c>
      <c r="S94" s="53">
        <v>129</v>
      </c>
      <c r="T94" s="16">
        <f t="shared" si="6"/>
        <v>30</v>
      </c>
      <c r="U94" s="53">
        <v>95</v>
      </c>
      <c r="V94" s="16">
        <f t="shared" si="7"/>
        <v>2850</v>
      </c>
      <c r="W94" s="53">
        <v>3</v>
      </c>
      <c r="X94" s="53" t="s">
        <v>46</v>
      </c>
      <c r="Y94" s="53" t="s">
        <v>55</v>
      </c>
      <c r="Z94" s="53" t="s">
        <v>69</v>
      </c>
      <c r="AA94" s="53" t="s">
        <v>90</v>
      </c>
      <c r="AB94" s="53" t="s">
        <v>284</v>
      </c>
    </row>
    <row r="95" spans="1:28" x14ac:dyDescent="0.15">
      <c r="A95" s="53" t="s">
        <v>34</v>
      </c>
      <c r="B95" s="53" t="s">
        <v>232</v>
      </c>
      <c r="C95" s="53">
        <v>2019</v>
      </c>
      <c r="D95" s="176" t="s">
        <v>369</v>
      </c>
      <c r="E95" s="53" t="s">
        <v>376</v>
      </c>
      <c r="F95" s="53" t="s">
        <v>377</v>
      </c>
      <c r="G95" s="53" t="s">
        <v>36</v>
      </c>
      <c r="H95" s="53" t="s">
        <v>164</v>
      </c>
      <c r="I95" s="53" t="s">
        <v>159</v>
      </c>
      <c r="J95" s="53" t="s">
        <v>38</v>
      </c>
      <c r="K95" s="53" t="s">
        <v>161</v>
      </c>
      <c r="L95" s="53">
        <v>1</v>
      </c>
      <c r="N95" s="53">
        <v>4</v>
      </c>
      <c r="O95" s="53">
        <v>0.2</v>
      </c>
      <c r="P95" s="53">
        <v>0.2</v>
      </c>
      <c r="Q95" s="74">
        <f t="shared" si="5"/>
        <v>0.2</v>
      </c>
      <c r="R95" s="53">
        <v>17.8</v>
      </c>
      <c r="S95" s="53">
        <v>88</v>
      </c>
      <c r="T95" s="16">
        <f t="shared" si="6"/>
        <v>36</v>
      </c>
      <c r="U95" s="53">
        <v>321</v>
      </c>
      <c r="V95" s="16">
        <f t="shared" si="7"/>
        <v>2889</v>
      </c>
      <c r="W95" s="53">
        <v>3</v>
      </c>
      <c r="X95" s="53" t="s">
        <v>46</v>
      </c>
      <c r="Y95" s="53" t="s">
        <v>55</v>
      </c>
      <c r="Z95" s="53" t="s">
        <v>69</v>
      </c>
      <c r="AA95" s="53" t="s">
        <v>90</v>
      </c>
      <c r="AB95" s="53" t="s">
        <v>284</v>
      </c>
    </row>
    <row r="96" spans="1:28" x14ac:dyDescent="0.15">
      <c r="A96" s="53" t="s">
        <v>34</v>
      </c>
      <c r="B96" s="53" t="s">
        <v>232</v>
      </c>
      <c r="C96" s="53">
        <v>2019</v>
      </c>
      <c r="D96" s="176" t="s">
        <v>369</v>
      </c>
      <c r="E96" s="53" t="s">
        <v>376</v>
      </c>
      <c r="F96" s="53" t="s">
        <v>377</v>
      </c>
      <c r="G96" s="53" t="s">
        <v>36</v>
      </c>
      <c r="H96" s="53" t="s">
        <v>164</v>
      </c>
      <c r="I96" s="53" t="s">
        <v>159</v>
      </c>
      <c r="J96" s="53" t="s">
        <v>38</v>
      </c>
      <c r="K96" s="53" t="s">
        <v>161</v>
      </c>
      <c r="L96" s="53">
        <v>2</v>
      </c>
      <c r="N96" s="53">
        <v>4</v>
      </c>
      <c r="O96" s="53">
        <v>0.2</v>
      </c>
      <c r="P96" s="53">
        <v>0.2</v>
      </c>
      <c r="Q96" s="74">
        <f t="shared" si="5"/>
        <v>0.2</v>
      </c>
      <c r="R96" s="53">
        <v>17.8</v>
      </c>
      <c r="S96" s="53">
        <v>82</v>
      </c>
      <c r="T96" s="16">
        <f t="shared" si="6"/>
        <v>39</v>
      </c>
      <c r="U96" s="53">
        <v>321</v>
      </c>
      <c r="V96" s="16">
        <f t="shared" si="7"/>
        <v>3129.75</v>
      </c>
      <c r="W96" s="53">
        <v>3</v>
      </c>
      <c r="X96" s="53" t="s">
        <v>46</v>
      </c>
      <c r="Y96" s="53" t="s">
        <v>55</v>
      </c>
      <c r="Z96" s="53" t="s">
        <v>69</v>
      </c>
      <c r="AA96" s="53" t="s">
        <v>90</v>
      </c>
      <c r="AB96" s="53" t="s">
        <v>284</v>
      </c>
    </row>
    <row r="97" spans="1:28" x14ac:dyDescent="0.15">
      <c r="A97" s="53" t="s">
        <v>34</v>
      </c>
      <c r="B97" s="53" t="s">
        <v>232</v>
      </c>
      <c r="C97" s="53">
        <v>2019</v>
      </c>
      <c r="D97" s="176" t="s">
        <v>369</v>
      </c>
      <c r="E97" s="53" t="s">
        <v>376</v>
      </c>
      <c r="F97" s="53" t="s">
        <v>377</v>
      </c>
      <c r="G97" s="53" t="s">
        <v>36</v>
      </c>
      <c r="H97" s="53" t="s">
        <v>164</v>
      </c>
      <c r="I97" s="53" t="s">
        <v>159</v>
      </c>
      <c r="J97" s="53" t="s">
        <v>38</v>
      </c>
      <c r="K97" s="53" t="s">
        <v>161</v>
      </c>
      <c r="L97" s="53">
        <v>3</v>
      </c>
      <c r="N97" s="53">
        <v>4</v>
      </c>
      <c r="O97" s="53">
        <v>0.2</v>
      </c>
      <c r="P97" s="53">
        <v>0.2</v>
      </c>
      <c r="Q97" s="74">
        <f t="shared" si="5"/>
        <v>0.2</v>
      </c>
      <c r="R97" s="53">
        <v>18.5</v>
      </c>
      <c r="S97" s="53">
        <v>85</v>
      </c>
      <c r="T97" s="16">
        <f t="shared" si="6"/>
        <v>36</v>
      </c>
      <c r="U97" s="53">
        <v>321</v>
      </c>
      <c r="V97" s="16">
        <f t="shared" si="7"/>
        <v>2889</v>
      </c>
      <c r="W97" s="53">
        <v>3</v>
      </c>
      <c r="X97" s="53" t="s">
        <v>46</v>
      </c>
      <c r="Y97" s="53" t="s">
        <v>55</v>
      </c>
      <c r="Z97" s="53" t="s">
        <v>69</v>
      </c>
      <c r="AA97" s="53" t="s">
        <v>90</v>
      </c>
      <c r="AB97" s="53" t="s">
        <v>284</v>
      </c>
    </row>
    <row r="98" spans="1:28" x14ac:dyDescent="0.15">
      <c r="A98" s="53" t="s">
        <v>34</v>
      </c>
      <c r="B98" s="53" t="s">
        <v>232</v>
      </c>
      <c r="C98" s="53">
        <v>2019</v>
      </c>
      <c r="D98" s="176" t="s">
        <v>369</v>
      </c>
      <c r="E98" s="53" t="s">
        <v>376</v>
      </c>
      <c r="F98" s="53" t="s">
        <v>377</v>
      </c>
      <c r="G98" s="53" t="s">
        <v>36</v>
      </c>
      <c r="H98" s="53" t="s">
        <v>160</v>
      </c>
      <c r="I98" s="53" t="s">
        <v>159</v>
      </c>
      <c r="J98" s="53" t="s">
        <v>38</v>
      </c>
      <c r="K98" s="53" t="s">
        <v>161</v>
      </c>
      <c r="L98" s="53">
        <v>1</v>
      </c>
      <c r="N98" s="53">
        <v>1</v>
      </c>
      <c r="O98" s="53">
        <v>0.2</v>
      </c>
      <c r="P98" s="53">
        <v>0.2</v>
      </c>
      <c r="Q98" s="74">
        <f t="shared" si="5"/>
        <v>0.2</v>
      </c>
      <c r="R98" s="53">
        <v>19.8</v>
      </c>
      <c r="S98" s="53">
        <v>132</v>
      </c>
      <c r="T98" s="16">
        <f t="shared" si="6"/>
        <v>30</v>
      </c>
      <c r="U98" s="53">
        <v>95</v>
      </c>
      <c r="V98" s="16">
        <f t="shared" si="7"/>
        <v>2850</v>
      </c>
      <c r="W98" s="53">
        <v>9</v>
      </c>
      <c r="X98" s="53" t="s">
        <v>46</v>
      </c>
      <c r="Y98" s="53" t="s">
        <v>55</v>
      </c>
      <c r="Z98" s="53" t="s">
        <v>69</v>
      </c>
      <c r="AA98" s="53" t="s">
        <v>90</v>
      </c>
      <c r="AB98" s="53" t="s">
        <v>284</v>
      </c>
    </row>
    <row r="99" spans="1:28" x14ac:dyDescent="0.15">
      <c r="A99" s="53" t="s">
        <v>34</v>
      </c>
      <c r="B99" s="53" t="s">
        <v>232</v>
      </c>
      <c r="C99" s="53">
        <v>2019</v>
      </c>
      <c r="D99" s="176" t="s">
        <v>369</v>
      </c>
      <c r="E99" s="53" t="s">
        <v>376</v>
      </c>
      <c r="F99" s="53" t="s">
        <v>377</v>
      </c>
      <c r="G99" s="53" t="s">
        <v>36</v>
      </c>
      <c r="H99" s="53" t="s">
        <v>160</v>
      </c>
      <c r="I99" s="53" t="s">
        <v>159</v>
      </c>
      <c r="J99" s="53" t="s">
        <v>38</v>
      </c>
      <c r="K99" s="53" t="s">
        <v>161</v>
      </c>
      <c r="L99" s="53">
        <v>2</v>
      </c>
      <c r="N99" s="53">
        <v>1</v>
      </c>
      <c r="O99" s="53">
        <v>0.45</v>
      </c>
      <c r="P99" s="53">
        <v>0.2</v>
      </c>
      <c r="Q99" s="74">
        <f t="shared" si="5"/>
        <v>0.32500000000000001</v>
      </c>
      <c r="R99" s="53">
        <v>21.2</v>
      </c>
      <c r="S99" s="53">
        <v>132</v>
      </c>
      <c r="T99" s="16">
        <f t="shared" si="6"/>
        <v>30</v>
      </c>
      <c r="U99" s="53">
        <v>95</v>
      </c>
      <c r="V99" s="16">
        <f t="shared" si="7"/>
        <v>2850</v>
      </c>
      <c r="W99" s="53">
        <v>98</v>
      </c>
      <c r="X99" s="53" t="s">
        <v>46</v>
      </c>
      <c r="Y99" s="53" t="s">
        <v>55</v>
      </c>
      <c r="Z99" s="53" t="s">
        <v>69</v>
      </c>
      <c r="AA99" s="53" t="s">
        <v>90</v>
      </c>
      <c r="AB99" s="53" t="s">
        <v>284</v>
      </c>
    </row>
    <row r="100" spans="1:28" x14ac:dyDescent="0.15">
      <c r="A100" s="53" t="s">
        <v>34</v>
      </c>
      <c r="B100" s="53" t="s">
        <v>232</v>
      </c>
      <c r="C100" s="53">
        <v>2019</v>
      </c>
      <c r="D100" s="176" t="s">
        <v>369</v>
      </c>
      <c r="E100" s="53" t="s">
        <v>376</v>
      </c>
      <c r="F100" s="53" t="s">
        <v>377</v>
      </c>
      <c r="G100" s="53" t="s">
        <v>36</v>
      </c>
      <c r="H100" s="53" t="s">
        <v>160</v>
      </c>
      <c r="I100" s="53" t="s">
        <v>159</v>
      </c>
      <c r="J100" s="53" t="s">
        <v>38</v>
      </c>
      <c r="K100" s="53" t="s">
        <v>161</v>
      </c>
      <c r="L100" s="53">
        <v>3</v>
      </c>
      <c r="N100" s="53">
        <v>1</v>
      </c>
      <c r="O100" s="53">
        <v>0.2</v>
      </c>
      <c r="P100" s="53">
        <v>0.2</v>
      </c>
      <c r="Q100" s="74">
        <f t="shared" si="5"/>
        <v>0.2</v>
      </c>
      <c r="R100" s="53">
        <v>21.1</v>
      </c>
      <c r="S100" s="53">
        <v>132</v>
      </c>
      <c r="T100" s="16">
        <f t="shared" si="6"/>
        <v>30</v>
      </c>
      <c r="U100" s="53">
        <v>95</v>
      </c>
      <c r="V100" s="16">
        <f t="shared" si="7"/>
        <v>2850</v>
      </c>
      <c r="W100" s="53">
        <v>9</v>
      </c>
      <c r="X100" s="53" t="s">
        <v>46</v>
      </c>
      <c r="Y100" s="53" t="s">
        <v>55</v>
      </c>
      <c r="Z100" s="53" t="s">
        <v>69</v>
      </c>
      <c r="AA100" s="53" t="s">
        <v>90</v>
      </c>
      <c r="AB100" s="53" t="s">
        <v>284</v>
      </c>
    </row>
    <row r="101" spans="1:28" x14ac:dyDescent="0.15">
      <c r="A101" s="53" t="s">
        <v>34</v>
      </c>
      <c r="B101" s="53" t="s">
        <v>232</v>
      </c>
      <c r="C101" s="53">
        <v>2019</v>
      </c>
      <c r="D101" s="176" t="s">
        <v>369</v>
      </c>
      <c r="E101" s="53" t="s">
        <v>376</v>
      </c>
      <c r="F101" s="53" t="s">
        <v>377</v>
      </c>
      <c r="G101" s="53" t="s">
        <v>36</v>
      </c>
      <c r="H101" s="53" t="s">
        <v>160</v>
      </c>
      <c r="I101" s="53" t="s">
        <v>165</v>
      </c>
      <c r="J101" s="53" t="s">
        <v>38</v>
      </c>
      <c r="K101" s="53" t="s">
        <v>161</v>
      </c>
      <c r="L101" s="53">
        <v>1</v>
      </c>
      <c r="N101" s="53">
        <v>1</v>
      </c>
      <c r="O101" s="53">
        <v>0.2</v>
      </c>
      <c r="P101" s="53">
        <v>0.2</v>
      </c>
      <c r="Q101" s="74">
        <f t="shared" si="5"/>
        <v>0.2</v>
      </c>
      <c r="R101" s="53">
        <v>17.899999999999999</v>
      </c>
      <c r="S101" s="53">
        <v>132</v>
      </c>
      <c r="T101" s="16">
        <f t="shared" si="6"/>
        <v>30</v>
      </c>
      <c r="U101" s="53">
        <v>95</v>
      </c>
      <c r="V101" s="16">
        <f t="shared" si="7"/>
        <v>2850</v>
      </c>
      <c r="W101" s="53">
        <v>9</v>
      </c>
      <c r="X101" s="53" t="s">
        <v>46</v>
      </c>
      <c r="Y101" s="53" t="s">
        <v>55</v>
      </c>
      <c r="Z101" s="53" t="s">
        <v>69</v>
      </c>
      <c r="AA101" s="53" t="s">
        <v>90</v>
      </c>
      <c r="AB101" s="53" t="s">
        <v>284</v>
      </c>
    </row>
    <row r="102" spans="1:28" x14ac:dyDescent="0.15">
      <c r="A102" s="53" t="s">
        <v>34</v>
      </c>
      <c r="B102" s="53" t="s">
        <v>232</v>
      </c>
      <c r="C102" s="53">
        <v>2019</v>
      </c>
      <c r="D102" s="176" t="s">
        <v>369</v>
      </c>
      <c r="E102" s="53" t="s">
        <v>376</v>
      </c>
      <c r="F102" s="53" t="s">
        <v>377</v>
      </c>
      <c r="G102" s="53" t="s">
        <v>36</v>
      </c>
      <c r="H102" s="53" t="s">
        <v>160</v>
      </c>
      <c r="I102" s="53" t="s">
        <v>165</v>
      </c>
      <c r="J102" s="53" t="s">
        <v>38</v>
      </c>
      <c r="K102" s="53" t="s">
        <v>161</v>
      </c>
      <c r="L102" s="53">
        <v>2</v>
      </c>
      <c r="N102" s="53">
        <v>1</v>
      </c>
      <c r="O102" s="53">
        <v>0.2</v>
      </c>
      <c r="P102" s="53">
        <v>0.2</v>
      </c>
      <c r="Q102" s="74">
        <f t="shared" si="5"/>
        <v>0.2</v>
      </c>
      <c r="R102" s="53">
        <v>17.7</v>
      </c>
      <c r="S102" s="53">
        <v>127</v>
      </c>
      <c r="T102" s="16">
        <f t="shared" si="6"/>
        <v>30</v>
      </c>
      <c r="U102" s="53">
        <v>95</v>
      </c>
      <c r="V102" s="16">
        <f t="shared" si="7"/>
        <v>2850</v>
      </c>
      <c r="W102" s="53">
        <v>9</v>
      </c>
      <c r="X102" s="53" t="s">
        <v>46</v>
      </c>
      <c r="Y102" s="53" t="s">
        <v>55</v>
      </c>
      <c r="Z102" s="53" t="s">
        <v>69</v>
      </c>
      <c r="AA102" s="53" t="s">
        <v>90</v>
      </c>
      <c r="AB102" s="53" t="s">
        <v>284</v>
      </c>
    </row>
    <row r="103" spans="1:28" x14ac:dyDescent="0.15">
      <c r="A103" s="53" t="s">
        <v>34</v>
      </c>
      <c r="B103" s="53" t="s">
        <v>232</v>
      </c>
      <c r="C103" s="53">
        <v>2019</v>
      </c>
      <c r="D103" s="176" t="s">
        <v>369</v>
      </c>
      <c r="E103" s="53" t="s">
        <v>376</v>
      </c>
      <c r="F103" s="53" t="s">
        <v>377</v>
      </c>
      <c r="G103" s="53" t="s">
        <v>36</v>
      </c>
      <c r="H103" s="53" t="s">
        <v>160</v>
      </c>
      <c r="I103" s="53" t="s">
        <v>165</v>
      </c>
      <c r="J103" s="53" t="s">
        <v>38</v>
      </c>
      <c r="K103" s="53" t="s">
        <v>161</v>
      </c>
      <c r="L103" s="53">
        <v>3</v>
      </c>
      <c r="N103" s="53">
        <v>1</v>
      </c>
      <c r="O103" s="53">
        <v>0.45</v>
      </c>
      <c r="P103" s="53">
        <v>0.45</v>
      </c>
      <c r="Q103" s="74">
        <f t="shared" si="5"/>
        <v>0.45</v>
      </c>
      <c r="R103" s="53">
        <v>18</v>
      </c>
      <c r="S103" s="53">
        <v>131</v>
      </c>
      <c r="T103" s="16">
        <f t="shared" si="6"/>
        <v>30</v>
      </c>
      <c r="U103" s="53">
        <v>95</v>
      </c>
      <c r="V103" s="16">
        <f t="shared" si="7"/>
        <v>2850</v>
      </c>
      <c r="W103" s="53">
        <v>9</v>
      </c>
      <c r="X103" s="53" t="s">
        <v>46</v>
      </c>
      <c r="Y103" s="53" t="s">
        <v>55</v>
      </c>
      <c r="Z103" s="53" t="s">
        <v>69</v>
      </c>
      <c r="AA103" s="53" t="s">
        <v>90</v>
      </c>
      <c r="AB103" s="53" t="s">
        <v>284</v>
      </c>
    </row>
    <row r="104" spans="1:28" x14ac:dyDescent="0.15">
      <c r="A104" s="53" t="s">
        <v>34</v>
      </c>
      <c r="B104" s="53" t="s">
        <v>232</v>
      </c>
      <c r="C104" s="53">
        <v>2019</v>
      </c>
      <c r="D104" s="176" t="s">
        <v>369</v>
      </c>
      <c r="E104" s="53" t="s">
        <v>376</v>
      </c>
      <c r="F104" s="53" t="s">
        <v>377</v>
      </c>
      <c r="G104" s="53" t="s">
        <v>36</v>
      </c>
      <c r="H104" s="53" t="s">
        <v>160</v>
      </c>
      <c r="I104" s="53" t="s">
        <v>159</v>
      </c>
      <c r="J104" s="53" t="s">
        <v>38</v>
      </c>
      <c r="K104" s="53" t="s">
        <v>161</v>
      </c>
      <c r="L104" s="53">
        <v>1</v>
      </c>
      <c r="N104" s="53">
        <v>4</v>
      </c>
      <c r="O104" s="53">
        <v>0.5</v>
      </c>
      <c r="P104" s="53">
        <v>0.2</v>
      </c>
      <c r="Q104" s="74">
        <f t="shared" si="5"/>
        <v>0.35</v>
      </c>
      <c r="R104" s="53">
        <v>17.100000000000001</v>
      </c>
      <c r="S104" s="53">
        <v>111</v>
      </c>
      <c r="T104" s="16">
        <f t="shared" si="6"/>
        <v>33</v>
      </c>
      <c r="U104" s="53">
        <v>537</v>
      </c>
      <c r="V104" s="16">
        <f t="shared" si="7"/>
        <v>4430.25</v>
      </c>
      <c r="W104" s="53">
        <v>9</v>
      </c>
      <c r="X104" s="53" t="s">
        <v>46</v>
      </c>
      <c r="Y104" s="53" t="s">
        <v>55</v>
      </c>
      <c r="Z104" s="53" t="s">
        <v>69</v>
      </c>
      <c r="AA104" s="53" t="s">
        <v>90</v>
      </c>
      <c r="AB104" s="53" t="s">
        <v>284</v>
      </c>
    </row>
    <row r="105" spans="1:28" x14ac:dyDescent="0.15">
      <c r="A105" s="53" t="s">
        <v>34</v>
      </c>
      <c r="B105" s="53" t="s">
        <v>232</v>
      </c>
      <c r="C105" s="53">
        <v>2019</v>
      </c>
      <c r="D105" s="176" t="s">
        <v>369</v>
      </c>
      <c r="E105" s="53" t="s">
        <v>376</v>
      </c>
      <c r="F105" s="53" t="s">
        <v>377</v>
      </c>
      <c r="G105" s="53" t="s">
        <v>36</v>
      </c>
      <c r="H105" s="53" t="s">
        <v>160</v>
      </c>
      <c r="I105" s="53" t="s">
        <v>159</v>
      </c>
      <c r="J105" s="53" t="s">
        <v>38</v>
      </c>
      <c r="K105" s="53" t="s">
        <v>161</v>
      </c>
      <c r="L105" s="53">
        <v>2</v>
      </c>
      <c r="N105" s="53">
        <v>4</v>
      </c>
      <c r="O105" s="53">
        <v>0.2</v>
      </c>
      <c r="P105" s="53">
        <v>0.2</v>
      </c>
      <c r="Q105" s="74">
        <f t="shared" si="5"/>
        <v>0.2</v>
      </c>
      <c r="R105" s="53">
        <v>17.5</v>
      </c>
      <c r="S105" s="53">
        <v>103</v>
      </c>
      <c r="T105" s="16">
        <f t="shared" si="6"/>
        <v>33</v>
      </c>
      <c r="U105" s="53">
        <v>537</v>
      </c>
      <c r="V105" s="16">
        <f t="shared" si="7"/>
        <v>4430.25</v>
      </c>
      <c r="W105" s="53">
        <v>9</v>
      </c>
      <c r="X105" s="53" t="s">
        <v>46</v>
      </c>
      <c r="Y105" s="53" t="s">
        <v>55</v>
      </c>
      <c r="Z105" s="53" t="s">
        <v>69</v>
      </c>
      <c r="AA105" s="53" t="s">
        <v>90</v>
      </c>
      <c r="AB105" s="53" t="s">
        <v>284</v>
      </c>
    </row>
    <row r="106" spans="1:28" x14ac:dyDescent="0.15">
      <c r="A106" s="53" t="s">
        <v>34</v>
      </c>
      <c r="B106" s="53" t="s">
        <v>232</v>
      </c>
      <c r="C106" s="53">
        <v>2019</v>
      </c>
      <c r="D106" s="176" t="s">
        <v>369</v>
      </c>
      <c r="E106" s="53" t="s">
        <v>376</v>
      </c>
      <c r="F106" s="53" t="s">
        <v>377</v>
      </c>
      <c r="G106" s="53" t="s">
        <v>36</v>
      </c>
      <c r="H106" s="53" t="s">
        <v>160</v>
      </c>
      <c r="I106" s="53" t="s">
        <v>159</v>
      </c>
      <c r="J106" s="53" t="s">
        <v>38</v>
      </c>
      <c r="K106" s="53" t="s">
        <v>161</v>
      </c>
      <c r="L106" s="53">
        <v>3</v>
      </c>
      <c r="N106" s="53">
        <v>4</v>
      </c>
      <c r="O106" s="53">
        <v>0.2</v>
      </c>
      <c r="P106" s="53">
        <v>0.2</v>
      </c>
      <c r="Q106" s="74">
        <f t="shared" si="5"/>
        <v>0.2</v>
      </c>
      <c r="R106" s="53">
        <v>20.9</v>
      </c>
      <c r="S106" s="53">
        <v>92</v>
      </c>
      <c r="T106" s="16">
        <f t="shared" si="6"/>
        <v>36</v>
      </c>
      <c r="U106" s="53">
        <v>537</v>
      </c>
      <c r="V106" s="16">
        <f t="shared" si="7"/>
        <v>4833</v>
      </c>
      <c r="W106" s="53">
        <v>9</v>
      </c>
      <c r="X106" s="53" t="s">
        <v>46</v>
      </c>
      <c r="Y106" s="53" t="s">
        <v>55</v>
      </c>
      <c r="Z106" s="53" t="s">
        <v>69</v>
      </c>
      <c r="AA106" s="53" t="s">
        <v>90</v>
      </c>
      <c r="AB106" s="53" t="s">
        <v>284</v>
      </c>
    </row>
    <row r="107" spans="1:28" x14ac:dyDescent="0.15">
      <c r="A107" s="53" t="s">
        <v>34</v>
      </c>
      <c r="B107" s="53" t="s">
        <v>232</v>
      </c>
      <c r="C107" s="53">
        <v>2019</v>
      </c>
      <c r="D107" s="176" t="s">
        <v>369</v>
      </c>
      <c r="E107" s="53" t="s">
        <v>376</v>
      </c>
      <c r="F107" s="53" t="s">
        <v>377</v>
      </c>
      <c r="G107" s="53" t="s">
        <v>36</v>
      </c>
      <c r="H107" s="53" t="s">
        <v>199</v>
      </c>
      <c r="I107" s="53" t="s">
        <v>159</v>
      </c>
      <c r="J107" s="53" t="s">
        <v>38</v>
      </c>
      <c r="K107" s="53" t="s">
        <v>161</v>
      </c>
      <c r="L107" s="53">
        <v>1</v>
      </c>
      <c r="N107" s="53">
        <v>5</v>
      </c>
      <c r="O107" s="53">
        <v>0.2</v>
      </c>
      <c r="P107" s="53">
        <v>0.2</v>
      </c>
      <c r="Q107" s="74">
        <f t="shared" si="5"/>
        <v>0.2</v>
      </c>
      <c r="R107" s="53">
        <v>21.5</v>
      </c>
      <c r="S107" s="53">
        <v>87</v>
      </c>
      <c r="T107" s="16">
        <f t="shared" si="6"/>
        <v>36</v>
      </c>
      <c r="U107" s="53">
        <v>321</v>
      </c>
      <c r="V107" s="16">
        <f t="shared" si="7"/>
        <v>2311.2000000000003</v>
      </c>
      <c r="W107" s="53">
        <v>1</v>
      </c>
      <c r="X107" s="53" t="s">
        <v>46</v>
      </c>
      <c r="Y107" s="53" t="s">
        <v>55</v>
      </c>
      <c r="Z107" s="53" t="s">
        <v>69</v>
      </c>
      <c r="AA107" s="53" t="s">
        <v>90</v>
      </c>
      <c r="AB107" s="53" t="s">
        <v>284</v>
      </c>
    </row>
    <row r="108" spans="1:28" x14ac:dyDescent="0.15">
      <c r="A108" s="53" t="s">
        <v>34</v>
      </c>
      <c r="B108" s="53" t="s">
        <v>232</v>
      </c>
      <c r="C108" s="53">
        <v>2019</v>
      </c>
      <c r="D108" s="176" t="s">
        <v>369</v>
      </c>
      <c r="E108" s="53" t="s">
        <v>376</v>
      </c>
      <c r="F108" s="53" t="s">
        <v>377</v>
      </c>
      <c r="G108" s="53" t="s">
        <v>36</v>
      </c>
      <c r="H108" s="53" t="s">
        <v>199</v>
      </c>
      <c r="I108" s="53" t="s">
        <v>159</v>
      </c>
      <c r="J108" s="53" t="s">
        <v>38</v>
      </c>
      <c r="K108" s="53" t="s">
        <v>161</v>
      </c>
      <c r="L108" s="53">
        <v>2</v>
      </c>
      <c r="N108" s="53">
        <v>5</v>
      </c>
      <c r="O108" s="53">
        <v>0.2</v>
      </c>
      <c r="P108" s="53">
        <v>0.2</v>
      </c>
      <c r="Q108" s="74">
        <f t="shared" si="5"/>
        <v>0.2</v>
      </c>
      <c r="R108" s="53">
        <v>21.6</v>
      </c>
      <c r="S108" s="53">
        <v>84</v>
      </c>
      <c r="T108" s="16">
        <f t="shared" si="6"/>
        <v>36</v>
      </c>
      <c r="U108" s="53">
        <v>321</v>
      </c>
      <c r="V108" s="16">
        <f t="shared" si="7"/>
        <v>2311.2000000000003</v>
      </c>
      <c r="W108" s="53">
        <v>1</v>
      </c>
      <c r="X108" s="53" t="s">
        <v>46</v>
      </c>
      <c r="Y108" s="53" t="s">
        <v>55</v>
      </c>
      <c r="Z108" s="53" t="s">
        <v>69</v>
      </c>
      <c r="AA108" s="53" t="s">
        <v>90</v>
      </c>
      <c r="AB108" s="53" t="s">
        <v>284</v>
      </c>
    </row>
    <row r="109" spans="1:28" x14ac:dyDescent="0.15">
      <c r="A109" s="53" t="s">
        <v>34</v>
      </c>
      <c r="B109" s="53" t="s">
        <v>232</v>
      </c>
      <c r="C109" s="53">
        <v>2019</v>
      </c>
      <c r="D109" s="176" t="s">
        <v>369</v>
      </c>
      <c r="E109" s="53" t="s">
        <v>376</v>
      </c>
      <c r="F109" s="53" t="s">
        <v>377</v>
      </c>
      <c r="G109" s="53" t="s">
        <v>36</v>
      </c>
      <c r="H109" s="53" t="s">
        <v>199</v>
      </c>
      <c r="I109" s="53" t="s">
        <v>159</v>
      </c>
      <c r="J109" s="53" t="s">
        <v>38</v>
      </c>
      <c r="K109" s="53" t="s">
        <v>161</v>
      </c>
      <c r="L109" s="53">
        <v>3</v>
      </c>
      <c r="N109" s="53">
        <v>5</v>
      </c>
      <c r="O109" s="53">
        <v>0.2</v>
      </c>
      <c r="P109" s="53">
        <v>0.2</v>
      </c>
      <c r="Q109" s="74">
        <f t="shared" si="5"/>
        <v>0.2</v>
      </c>
      <c r="R109" s="53">
        <v>21.1</v>
      </c>
      <c r="S109" s="53">
        <v>92</v>
      </c>
      <c r="T109" s="16">
        <f t="shared" si="6"/>
        <v>36</v>
      </c>
      <c r="U109" s="53">
        <v>321</v>
      </c>
      <c r="V109" s="16">
        <f t="shared" si="7"/>
        <v>2311.2000000000003</v>
      </c>
      <c r="W109" s="53">
        <v>1</v>
      </c>
      <c r="X109" s="53" t="s">
        <v>46</v>
      </c>
      <c r="Y109" s="53" t="s">
        <v>55</v>
      </c>
      <c r="Z109" s="53" t="s">
        <v>69</v>
      </c>
      <c r="AA109" s="53" t="s">
        <v>90</v>
      </c>
      <c r="AB109" s="53" t="s">
        <v>284</v>
      </c>
    </row>
    <row r="110" spans="1:28" x14ac:dyDescent="0.15">
      <c r="A110" s="53" t="s">
        <v>34</v>
      </c>
      <c r="B110" s="53" t="s">
        <v>232</v>
      </c>
      <c r="C110" s="53">
        <v>2019</v>
      </c>
      <c r="D110" s="176" t="s">
        <v>369</v>
      </c>
      <c r="E110" s="53" t="s">
        <v>378</v>
      </c>
      <c r="F110" s="53" t="s">
        <v>379</v>
      </c>
      <c r="G110" s="53" t="s">
        <v>36</v>
      </c>
      <c r="H110" s="53" t="s">
        <v>164</v>
      </c>
      <c r="I110" s="53" t="s">
        <v>159</v>
      </c>
      <c r="J110" s="53" t="s">
        <v>38</v>
      </c>
      <c r="K110" s="53" t="s">
        <v>161</v>
      </c>
      <c r="L110" s="53">
        <v>1</v>
      </c>
      <c r="N110" s="53">
        <v>1</v>
      </c>
      <c r="O110" s="53">
        <v>0.65</v>
      </c>
      <c r="P110" s="53">
        <v>0.55000000000000004</v>
      </c>
      <c r="Q110" s="74">
        <f t="shared" si="5"/>
        <v>0.60000000000000009</v>
      </c>
      <c r="R110" s="53">
        <v>16.899999999999999</v>
      </c>
      <c r="S110" s="53">
        <v>116</v>
      </c>
      <c r="T110" s="16">
        <f t="shared" si="6"/>
        <v>30</v>
      </c>
      <c r="U110" s="53">
        <v>101</v>
      </c>
      <c r="V110" s="16">
        <f t="shared" si="7"/>
        <v>3030</v>
      </c>
      <c r="W110" s="53">
        <v>6</v>
      </c>
      <c r="X110" s="53" t="s">
        <v>46</v>
      </c>
      <c r="Y110" s="53" t="s">
        <v>55</v>
      </c>
      <c r="Z110" s="53" t="s">
        <v>69</v>
      </c>
      <c r="AA110" s="53" t="s">
        <v>47</v>
      </c>
      <c r="AB110" s="53" t="s">
        <v>284</v>
      </c>
    </row>
    <row r="111" spans="1:28" x14ac:dyDescent="0.15">
      <c r="A111" s="53" t="s">
        <v>34</v>
      </c>
      <c r="B111" s="53" t="s">
        <v>232</v>
      </c>
      <c r="C111" s="53">
        <v>2019</v>
      </c>
      <c r="D111" s="176" t="s">
        <v>369</v>
      </c>
      <c r="E111" s="53" t="s">
        <v>378</v>
      </c>
      <c r="F111" s="53" t="s">
        <v>379</v>
      </c>
      <c r="G111" s="53" t="s">
        <v>36</v>
      </c>
      <c r="H111" s="53" t="s">
        <v>164</v>
      </c>
      <c r="I111" s="53" t="s">
        <v>159</v>
      </c>
      <c r="J111" s="53" t="s">
        <v>38</v>
      </c>
      <c r="K111" s="53" t="s">
        <v>161</v>
      </c>
      <c r="L111" s="53">
        <v>2</v>
      </c>
      <c r="N111" s="53">
        <v>1</v>
      </c>
      <c r="O111" s="53">
        <v>0.55000000000000004</v>
      </c>
      <c r="P111" s="53">
        <v>0.2</v>
      </c>
      <c r="Q111" s="74">
        <f t="shared" si="5"/>
        <v>0.375</v>
      </c>
      <c r="R111" s="53">
        <v>19.3</v>
      </c>
      <c r="S111" s="53">
        <v>118</v>
      </c>
      <c r="T111" s="16">
        <f t="shared" si="6"/>
        <v>30</v>
      </c>
      <c r="U111" s="53">
        <v>101</v>
      </c>
      <c r="V111" s="16">
        <f t="shared" si="7"/>
        <v>3030</v>
      </c>
      <c r="W111" s="53">
        <v>6</v>
      </c>
      <c r="X111" s="53" t="s">
        <v>46</v>
      </c>
      <c r="Y111" s="53" t="s">
        <v>55</v>
      </c>
      <c r="Z111" s="53" t="s">
        <v>69</v>
      </c>
      <c r="AA111" s="53" t="s">
        <v>47</v>
      </c>
      <c r="AB111" s="53" t="s">
        <v>284</v>
      </c>
    </row>
    <row r="112" spans="1:28" x14ac:dyDescent="0.15">
      <c r="A112" s="53" t="s">
        <v>34</v>
      </c>
      <c r="B112" s="53" t="s">
        <v>232</v>
      </c>
      <c r="C112" s="53">
        <v>2019</v>
      </c>
      <c r="D112" s="176" t="s">
        <v>369</v>
      </c>
      <c r="E112" s="53" t="s">
        <v>378</v>
      </c>
      <c r="F112" s="53" t="s">
        <v>379</v>
      </c>
      <c r="G112" s="53" t="s">
        <v>36</v>
      </c>
      <c r="H112" s="53" t="s">
        <v>164</v>
      </c>
      <c r="I112" s="53" t="s">
        <v>159</v>
      </c>
      <c r="J112" s="53" t="s">
        <v>38</v>
      </c>
      <c r="K112" s="53" t="s">
        <v>161</v>
      </c>
      <c r="L112" s="53">
        <v>3</v>
      </c>
      <c r="N112" s="53">
        <v>1</v>
      </c>
      <c r="O112" s="53">
        <v>0.6</v>
      </c>
      <c r="P112" s="53">
        <v>0.8</v>
      </c>
      <c r="Q112" s="74">
        <f t="shared" si="5"/>
        <v>0.7</v>
      </c>
      <c r="R112" s="53">
        <v>18</v>
      </c>
      <c r="S112" s="53">
        <v>116</v>
      </c>
      <c r="T112" s="16">
        <f t="shared" si="6"/>
        <v>30</v>
      </c>
      <c r="U112" s="53">
        <v>101</v>
      </c>
      <c r="V112" s="16">
        <f t="shared" si="7"/>
        <v>3030</v>
      </c>
      <c r="W112" s="53">
        <v>6</v>
      </c>
      <c r="X112" s="53" t="s">
        <v>46</v>
      </c>
      <c r="Y112" s="53" t="s">
        <v>55</v>
      </c>
      <c r="Z112" s="53" t="s">
        <v>69</v>
      </c>
      <c r="AA112" s="53" t="s">
        <v>47</v>
      </c>
      <c r="AB112" s="53" t="s">
        <v>284</v>
      </c>
    </row>
    <row r="113" spans="1:28" x14ac:dyDescent="0.15">
      <c r="A113" s="53" t="s">
        <v>34</v>
      </c>
      <c r="B113" s="53" t="s">
        <v>232</v>
      </c>
      <c r="C113" s="53">
        <v>2019</v>
      </c>
      <c r="D113" s="176" t="s">
        <v>369</v>
      </c>
      <c r="E113" s="53" t="s">
        <v>378</v>
      </c>
      <c r="F113" s="53" t="s">
        <v>379</v>
      </c>
      <c r="G113" s="53" t="s">
        <v>36</v>
      </c>
      <c r="H113" s="53" t="s">
        <v>164</v>
      </c>
      <c r="I113" s="53" t="s">
        <v>159</v>
      </c>
      <c r="J113" s="53" t="s">
        <v>38</v>
      </c>
      <c r="K113" s="53" t="s">
        <v>161</v>
      </c>
      <c r="L113" s="53">
        <v>1</v>
      </c>
      <c r="N113" s="53">
        <v>8</v>
      </c>
      <c r="O113" s="53">
        <v>0.75</v>
      </c>
      <c r="P113" s="53">
        <v>0.85</v>
      </c>
      <c r="Q113" s="16">
        <f t="shared" si="5"/>
        <v>0.8</v>
      </c>
      <c r="R113" s="53">
        <v>17.2</v>
      </c>
      <c r="S113" s="53">
        <v>86</v>
      </c>
      <c r="T113" s="16">
        <f t="shared" si="6"/>
        <v>36</v>
      </c>
      <c r="U113" s="53">
        <v>645</v>
      </c>
      <c r="V113" s="16">
        <f t="shared" si="7"/>
        <v>2902.5</v>
      </c>
      <c r="W113" s="53">
        <v>6</v>
      </c>
      <c r="X113" s="53" t="s">
        <v>46</v>
      </c>
      <c r="Y113" s="53" t="s">
        <v>55</v>
      </c>
      <c r="Z113" s="53" t="s">
        <v>69</v>
      </c>
      <c r="AA113" s="53" t="s">
        <v>47</v>
      </c>
      <c r="AB113" s="53" t="s">
        <v>284</v>
      </c>
    </row>
    <row r="114" spans="1:28" x14ac:dyDescent="0.15">
      <c r="A114" s="53" t="s">
        <v>34</v>
      </c>
      <c r="B114" s="53" t="s">
        <v>232</v>
      </c>
      <c r="C114" s="53">
        <v>2019</v>
      </c>
      <c r="D114" s="176" t="s">
        <v>369</v>
      </c>
      <c r="E114" s="53" t="s">
        <v>378</v>
      </c>
      <c r="F114" s="53" t="s">
        <v>379</v>
      </c>
      <c r="G114" s="53" t="s">
        <v>36</v>
      </c>
      <c r="H114" s="53" t="s">
        <v>164</v>
      </c>
      <c r="I114" s="53" t="s">
        <v>159</v>
      </c>
      <c r="J114" s="53" t="s">
        <v>38</v>
      </c>
      <c r="K114" s="53" t="s">
        <v>161</v>
      </c>
      <c r="L114" s="53">
        <v>2</v>
      </c>
      <c r="N114" s="53">
        <v>8</v>
      </c>
      <c r="O114" s="53">
        <v>0.7</v>
      </c>
      <c r="P114" s="53">
        <v>0.6</v>
      </c>
      <c r="Q114" s="16">
        <f t="shared" si="5"/>
        <v>0.64999999999999991</v>
      </c>
      <c r="R114" s="53">
        <v>15.4</v>
      </c>
      <c r="S114" s="53">
        <v>83</v>
      </c>
      <c r="T114" s="16">
        <f t="shared" si="6"/>
        <v>39</v>
      </c>
      <c r="U114" s="53">
        <v>645</v>
      </c>
      <c r="V114" s="16">
        <f t="shared" si="7"/>
        <v>3144.375</v>
      </c>
      <c r="W114" s="53">
        <v>6</v>
      </c>
      <c r="X114" s="53" t="s">
        <v>46</v>
      </c>
      <c r="Y114" s="53" t="s">
        <v>55</v>
      </c>
      <c r="Z114" s="53" t="s">
        <v>69</v>
      </c>
      <c r="AA114" s="53" t="s">
        <v>47</v>
      </c>
      <c r="AB114" s="53" t="s">
        <v>284</v>
      </c>
    </row>
    <row r="115" spans="1:28" x14ac:dyDescent="0.15">
      <c r="A115" s="53" t="s">
        <v>34</v>
      </c>
      <c r="B115" s="53" t="s">
        <v>232</v>
      </c>
      <c r="C115" s="53">
        <v>2019</v>
      </c>
      <c r="D115" s="176" t="s">
        <v>369</v>
      </c>
      <c r="E115" s="53" t="s">
        <v>378</v>
      </c>
      <c r="F115" s="53" t="s">
        <v>379</v>
      </c>
      <c r="G115" s="53" t="s">
        <v>36</v>
      </c>
      <c r="H115" s="53" t="s">
        <v>164</v>
      </c>
      <c r="I115" s="53" t="s">
        <v>159</v>
      </c>
      <c r="J115" s="53" t="s">
        <v>38</v>
      </c>
      <c r="K115" s="53" t="s">
        <v>161</v>
      </c>
      <c r="L115" s="53">
        <v>3</v>
      </c>
      <c r="N115" s="53">
        <v>8</v>
      </c>
      <c r="O115" s="53">
        <v>0.85</v>
      </c>
      <c r="P115" s="53">
        <v>0.6</v>
      </c>
      <c r="Q115" s="16">
        <f t="shared" si="5"/>
        <v>0.72499999999999998</v>
      </c>
      <c r="R115" s="53">
        <v>16.7</v>
      </c>
      <c r="S115" s="53">
        <v>93</v>
      </c>
      <c r="T115" s="16">
        <f t="shared" si="6"/>
        <v>36</v>
      </c>
      <c r="U115" s="53">
        <v>645</v>
      </c>
      <c r="V115" s="16">
        <f t="shared" si="7"/>
        <v>2902.5</v>
      </c>
      <c r="W115" s="53">
        <v>6</v>
      </c>
      <c r="X115" s="53" t="s">
        <v>46</v>
      </c>
      <c r="Y115" s="53" t="s">
        <v>55</v>
      </c>
      <c r="Z115" s="53" t="s">
        <v>69</v>
      </c>
      <c r="AA115" s="53" t="s">
        <v>47</v>
      </c>
      <c r="AB115" s="53" t="s">
        <v>284</v>
      </c>
    </row>
    <row r="116" spans="1:28" x14ac:dyDescent="0.15">
      <c r="A116" s="53" t="s">
        <v>34</v>
      </c>
      <c r="B116" s="53" t="s">
        <v>232</v>
      </c>
      <c r="C116" s="53">
        <v>2019</v>
      </c>
      <c r="D116" s="176" t="s">
        <v>369</v>
      </c>
      <c r="E116" s="53" t="s">
        <v>378</v>
      </c>
      <c r="F116" s="53" t="s">
        <v>379</v>
      </c>
      <c r="G116" s="53" t="s">
        <v>36</v>
      </c>
      <c r="H116" s="53" t="s">
        <v>164</v>
      </c>
      <c r="I116" s="53" t="s">
        <v>165</v>
      </c>
      <c r="J116" s="53" t="s">
        <v>80</v>
      </c>
      <c r="K116" s="53" t="s">
        <v>161</v>
      </c>
      <c r="L116" s="53">
        <v>1</v>
      </c>
      <c r="N116" s="53">
        <v>4</v>
      </c>
      <c r="O116" s="53">
        <v>0.5</v>
      </c>
      <c r="P116" s="53">
        <v>0.55000000000000004</v>
      </c>
      <c r="Q116" s="16">
        <f t="shared" si="5"/>
        <v>0.52500000000000002</v>
      </c>
      <c r="R116" s="53">
        <v>16.600000000000001</v>
      </c>
      <c r="S116" s="53">
        <v>90</v>
      </c>
      <c r="T116" s="16">
        <f t="shared" si="6"/>
        <v>36</v>
      </c>
      <c r="U116" s="53">
        <v>429</v>
      </c>
      <c r="V116" s="16">
        <f t="shared" si="7"/>
        <v>3861</v>
      </c>
      <c r="W116" s="53">
        <v>6</v>
      </c>
      <c r="X116" s="53" t="s">
        <v>46</v>
      </c>
      <c r="Y116" s="53" t="s">
        <v>55</v>
      </c>
      <c r="Z116" s="53" t="s">
        <v>69</v>
      </c>
      <c r="AA116" s="53" t="s">
        <v>47</v>
      </c>
      <c r="AB116" s="53" t="s">
        <v>284</v>
      </c>
    </row>
    <row r="117" spans="1:28" x14ac:dyDescent="0.15">
      <c r="A117" s="53" t="s">
        <v>34</v>
      </c>
      <c r="B117" s="53" t="s">
        <v>232</v>
      </c>
      <c r="C117" s="53">
        <v>2019</v>
      </c>
      <c r="D117" s="176" t="s">
        <v>369</v>
      </c>
      <c r="E117" s="53" t="s">
        <v>378</v>
      </c>
      <c r="F117" s="53" t="s">
        <v>379</v>
      </c>
      <c r="G117" s="53" t="s">
        <v>36</v>
      </c>
      <c r="H117" s="53" t="s">
        <v>164</v>
      </c>
      <c r="I117" s="53" t="s">
        <v>165</v>
      </c>
      <c r="J117" s="53" t="s">
        <v>80</v>
      </c>
      <c r="K117" s="53" t="s">
        <v>161</v>
      </c>
      <c r="L117" s="53">
        <v>2</v>
      </c>
      <c r="N117" s="53">
        <v>4</v>
      </c>
      <c r="O117" s="53">
        <v>0.8</v>
      </c>
      <c r="P117" s="53">
        <v>1.1000000000000001</v>
      </c>
      <c r="Q117" s="16">
        <f t="shared" si="5"/>
        <v>0.95000000000000007</v>
      </c>
      <c r="R117" s="53">
        <v>17.399999999999999</v>
      </c>
      <c r="S117" s="53">
        <v>91</v>
      </c>
      <c r="T117" s="16">
        <f t="shared" si="6"/>
        <v>36</v>
      </c>
      <c r="U117" s="53">
        <v>429</v>
      </c>
      <c r="V117" s="16">
        <f t="shared" si="7"/>
        <v>3861</v>
      </c>
      <c r="W117" s="53">
        <v>6</v>
      </c>
      <c r="X117" s="53" t="s">
        <v>46</v>
      </c>
      <c r="Y117" s="53" t="s">
        <v>55</v>
      </c>
      <c r="Z117" s="53" t="s">
        <v>69</v>
      </c>
      <c r="AA117" s="53" t="s">
        <v>47</v>
      </c>
      <c r="AB117" s="53" t="s">
        <v>284</v>
      </c>
    </row>
    <row r="118" spans="1:28" x14ac:dyDescent="0.15">
      <c r="A118" s="53" t="s">
        <v>34</v>
      </c>
      <c r="B118" s="53" t="s">
        <v>232</v>
      </c>
      <c r="C118" s="53">
        <v>2019</v>
      </c>
      <c r="D118" s="176" t="s">
        <v>369</v>
      </c>
      <c r="E118" s="53" t="s">
        <v>378</v>
      </c>
      <c r="F118" s="53" t="s">
        <v>379</v>
      </c>
      <c r="G118" s="53" t="s">
        <v>36</v>
      </c>
      <c r="H118" s="53" t="s">
        <v>164</v>
      </c>
      <c r="I118" s="53" t="s">
        <v>165</v>
      </c>
      <c r="J118" s="53" t="s">
        <v>80</v>
      </c>
      <c r="K118" s="53" t="s">
        <v>161</v>
      </c>
      <c r="L118" s="53">
        <v>3</v>
      </c>
      <c r="N118" s="53">
        <v>4</v>
      </c>
      <c r="O118" s="53">
        <v>0.8</v>
      </c>
      <c r="P118" s="53">
        <v>0.6</v>
      </c>
      <c r="Q118" s="16">
        <f t="shared" si="5"/>
        <v>0.7</v>
      </c>
      <c r="R118" s="53">
        <v>17.8</v>
      </c>
      <c r="S118" s="53">
        <v>89</v>
      </c>
      <c r="T118" s="16">
        <f t="shared" si="6"/>
        <v>36</v>
      </c>
      <c r="U118" s="53">
        <v>429</v>
      </c>
      <c r="V118" s="16">
        <f t="shared" si="7"/>
        <v>3861</v>
      </c>
      <c r="W118" s="53">
        <v>6</v>
      </c>
      <c r="X118" s="53" t="s">
        <v>46</v>
      </c>
      <c r="Y118" s="53" t="s">
        <v>55</v>
      </c>
      <c r="Z118" s="53" t="s">
        <v>69</v>
      </c>
      <c r="AA118" s="53" t="s">
        <v>47</v>
      </c>
      <c r="AB118" s="53" t="s">
        <v>284</v>
      </c>
    </row>
    <row r="119" spans="1:28" x14ac:dyDescent="0.15">
      <c r="A119" s="53" t="s">
        <v>34</v>
      </c>
      <c r="B119" s="53" t="s">
        <v>232</v>
      </c>
      <c r="C119" s="53">
        <v>2019</v>
      </c>
      <c r="D119" s="176" t="s">
        <v>369</v>
      </c>
      <c r="E119" s="53" t="s">
        <v>378</v>
      </c>
      <c r="F119" s="53" t="s">
        <v>379</v>
      </c>
      <c r="G119" s="53" t="s">
        <v>36</v>
      </c>
      <c r="H119" s="53" t="s">
        <v>160</v>
      </c>
      <c r="I119" s="53" t="s">
        <v>159</v>
      </c>
      <c r="J119" s="53" t="s">
        <v>38</v>
      </c>
      <c r="K119" s="53" t="s">
        <v>161</v>
      </c>
      <c r="L119" s="53">
        <v>1</v>
      </c>
      <c r="N119" s="53">
        <v>1</v>
      </c>
      <c r="O119" s="53">
        <v>0.2</v>
      </c>
      <c r="P119" s="53">
        <v>0.2</v>
      </c>
      <c r="Q119" s="16">
        <f t="shared" si="5"/>
        <v>0.2</v>
      </c>
      <c r="R119" s="53">
        <v>17.3</v>
      </c>
      <c r="S119" s="53">
        <v>112</v>
      </c>
      <c r="T119" s="16">
        <f t="shared" si="6"/>
        <v>33</v>
      </c>
      <c r="U119" s="53">
        <v>170</v>
      </c>
      <c r="V119" s="16">
        <f t="shared" si="7"/>
        <v>5610</v>
      </c>
      <c r="W119" s="53">
        <v>6</v>
      </c>
      <c r="X119" s="53" t="s">
        <v>46</v>
      </c>
      <c r="Y119" s="53" t="s">
        <v>55</v>
      </c>
      <c r="Z119" s="53" t="s">
        <v>69</v>
      </c>
      <c r="AA119" s="53" t="s">
        <v>47</v>
      </c>
      <c r="AB119" s="53" t="s">
        <v>284</v>
      </c>
    </row>
    <row r="120" spans="1:28" x14ac:dyDescent="0.15">
      <c r="A120" s="53" t="s">
        <v>34</v>
      </c>
      <c r="B120" s="53" t="s">
        <v>232</v>
      </c>
      <c r="C120" s="53">
        <v>2019</v>
      </c>
      <c r="D120" s="176" t="s">
        <v>369</v>
      </c>
      <c r="E120" s="53" t="s">
        <v>378</v>
      </c>
      <c r="F120" s="53" t="s">
        <v>379</v>
      </c>
      <c r="G120" s="53" t="s">
        <v>36</v>
      </c>
      <c r="H120" s="53" t="s">
        <v>160</v>
      </c>
      <c r="I120" s="53" t="s">
        <v>159</v>
      </c>
      <c r="J120" s="53" t="s">
        <v>38</v>
      </c>
      <c r="K120" s="53" t="s">
        <v>161</v>
      </c>
      <c r="L120" s="53">
        <v>2</v>
      </c>
      <c r="N120" s="53">
        <v>1</v>
      </c>
      <c r="O120" s="53">
        <v>0.55000000000000004</v>
      </c>
      <c r="P120" s="53">
        <v>0.5</v>
      </c>
      <c r="Q120" s="16">
        <f t="shared" si="5"/>
        <v>0.52500000000000002</v>
      </c>
      <c r="R120" s="53">
        <v>17.5</v>
      </c>
      <c r="S120" s="53">
        <v>108</v>
      </c>
      <c r="T120" s="16">
        <f t="shared" si="6"/>
        <v>33</v>
      </c>
      <c r="U120" s="53">
        <v>170</v>
      </c>
      <c r="V120" s="16">
        <f t="shared" si="7"/>
        <v>5610</v>
      </c>
      <c r="W120" s="53">
        <v>6</v>
      </c>
      <c r="X120" s="53" t="s">
        <v>46</v>
      </c>
      <c r="Y120" s="53" t="s">
        <v>55</v>
      </c>
      <c r="Z120" s="53" t="s">
        <v>69</v>
      </c>
      <c r="AA120" s="53" t="s">
        <v>47</v>
      </c>
      <c r="AB120" s="53" t="s">
        <v>284</v>
      </c>
    </row>
    <row r="121" spans="1:28" x14ac:dyDescent="0.15">
      <c r="A121" s="53" t="s">
        <v>34</v>
      </c>
      <c r="B121" s="53" t="s">
        <v>232</v>
      </c>
      <c r="C121" s="53">
        <v>2019</v>
      </c>
      <c r="D121" s="176" t="s">
        <v>369</v>
      </c>
      <c r="E121" s="53" t="s">
        <v>378</v>
      </c>
      <c r="F121" s="53" t="s">
        <v>379</v>
      </c>
      <c r="G121" s="53" t="s">
        <v>36</v>
      </c>
      <c r="H121" s="53" t="s">
        <v>160</v>
      </c>
      <c r="I121" s="53" t="s">
        <v>159</v>
      </c>
      <c r="J121" s="53" t="s">
        <v>38</v>
      </c>
      <c r="K121" s="53" t="s">
        <v>161</v>
      </c>
      <c r="L121" s="53">
        <v>3</v>
      </c>
      <c r="N121" s="53">
        <v>1</v>
      </c>
      <c r="O121" s="53">
        <v>0.5</v>
      </c>
      <c r="P121" s="53">
        <v>0.5</v>
      </c>
      <c r="Q121" s="16">
        <f t="shared" si="5"/>
        <v>0.5</v>
      </c>
      <c r="R121" s="53">
        <v>17.8</v>
      </c>
      <c r="S121" s="53">
        <v>112</v>
      </c>
      <c r="T121" s="16">
        <f t="shared" si="6"/>
        <v>33</v>
      </c>
      <c r="U121" s="53">
        <v>170</v>
      </c>
      <c r="V121" s="16">
        <f t="shared" si="7"/>
        <v>5610</v>
      </c>
      <c r="W121" s="53">
        <v>6</v>
      </c>
      <c r="X121" s="53" t="s">
        <v>46</v>
      </c>
      <c r="Y121" s="53" t="s">
        <v>55</v>
      </c>
      <c r="Z121" s="53" t="s">
        <v>69</v>
      </c>
      <c r="AA121" s="53" t="s">
        <v>47</v>
      </c>
      <c r="AB121" s="53" t="s">
        <v>284</v>
      </c>
    </row>
    <row r="122" spans="1:28" x14ac:dyDescent="0.15">
      <c r="A122" s="53" t="s">
        <v>34</v>
      </c>
      <c r="B122" s="53" t="s">
        <v>232</v>
      </c>
      <c r="C122" s="53">
        <v>2019</v>
      </c>
      <c r="D122" s="176" t="s">
        <v>369</v>
      </c>
      <c r="E122" s="53" t="s">
        <v>268</v>
      </c>
      <c r="F122" s="53" t="s">
        <v>380</v>
      </c>
      <c r="G122" s="53" t="s">
        <v>36</v>
      </c>
      <c r="H122" s="53" t="s">
        <v>164</v>
      </c>
      <c r="I122" s="53" t="s">
        <v>159</v>
      </c>
      <c r="J122" s="53" t="s">
        <v>38</v>
      </c>
      <c r="K122" s="53" t="s">
        <v>161</v>
      </c>
      <c r="L122" s="53">
        <v>1</v>
      </c>
      <c r="N122" s="53">
        <v>1</v>
      </c>
      <c r="O122" s="53">
        <v>0.65</v>
      </c>
      <c r="P122" s="53">
        <v>0.7</v>
      </c>
      <c r="Q122" s="16">
        <f t="shared" si="5"/>
        <v>0.67500000000000004</v>
      </c>
      <c r="R122" s="53">
        <v>16.600000000000001</v>
      </c>
      <c r="S122" s="53">
        <v>125</v>
      </c>
      <c r="T122" s="16">
        <f t="shared" si="6"/>
        <v>30</v>
      </c>
      <c r="U122" s="53">
        <v>138</v>
      </c>
      <c r="V122" s="16">
        <f t="shared" si="7"/>
        <v>4140</v>
      </c>
      <c r="W122" s="53">
        <v>8</v>
      </c>
      <c r="X122" s="53" t="s">
        <v>46</v>
      </c>
      <c r="Y122" s="53" t="s">
        <v>97</v>
      </c>
      <c r="Z122" s="53" t="s">
        <v>55</v>
      </c>
      <c r="AA122" s="53" t="s">
        <v>69</v>
      </c>
      <c r="AB122" s="53" t="s">
        <v>284</v>
      </c>
    </row>
    <row r="123" spans="1:28" x14ac:dyDescent="0.15">
      <c r="A123" s="53" t="s">
        <v>34</v>
      </c>
      <c r="B123" s="53" t="s">
        <v>232</v>
      </c>
      <c r="C123" s="53">
        <v>2019</v>
      </c>
      <c r="D123" s="176" t="s">
        <v>369</v>
      </c>
      <c r="E123" s="53" t="s">
        <v>268</v>
      </c>
      <c r="F123" s="53" t="s">
        <v>380</v>
      </c>
      <c r="G123" s="53" t="s">
        <v>36</v>
      </c>
      <c r="H123" s="53" t="s">
        <v>164</v>
      </c>
      <c r="I123" s="53" t="s">
        <v>159</v>
      </c>
      <c r="J123" s="53" t="s">
        <v>38</v>
      </c>
      <c r="K123" s="53" t="s">
        <v>161</v>
      </c>
      <c r="L123" s="53">
        <v>2</v>
      </c>
      <c r="N123" s="53">
        <v>1</v>
      </c>
      <c r="O123" s="53">
        <v>0.6</v>
      </c>
      <c r="P123" s="53">
        <v>0.55000000000000004</v>
      </c>
      <c r="Q123" s="16">
        <f t="shared" si="5"/>
        <v>0.57499999999999996</v>
      </c>
      <c r="R123" s="53">
        <v>16.899999999999999</v>
      </c>
      <c r="S123" s="53">
        <v>128</v>
      </c>
      <c r="T123" s="16">
        <f t="shared" si="6"/>
        <v>30</v>
      </c>
      <c r="U123" s="53">
        <v>138</v>
      </c>
      <c r="V123" s="16">
        <f t="shared" si="7"/>
        <v>4140</v>
      </c>
      <c r="W123" s="53">
        <v>8</v>
      </c>
      <c r="X123" s="53" t="s">
        <v>46</v>
      </c>
      <c r="Y123" s="53" t="s">
        <v>97</v>
      </c>
      <c r="Z123" s="53" t="s">
        <v>55</v>
      </c>
      <c r="AA123" s="53" t="s">
        <v>69</v>
      </c>
      <c r="AB123" s="53" t="s">
        <v>284</v>
      </c>
    </row>
    <row r="124" spans="1:28" x14ac:dyDescent="0.15">
      <c r="A124" s="53" t="s">
        <v>34</v>
      </c>
      <c r="B124" s="53" t="s">
        <v>232</v>
      </c>
      <c r="C124" s="53">
        <v>2019</v>
      </c>
      <c r="D124" s="176" t="s">
        <v>369</v>
      </c>
      <c r="E124" s="53" t="s">
        <v>268</v>
      </c>
      <c r="F124" s="53" t="s">
        <v>380</v>
      </c>
      <c r="G124" s="53" t="s">
        <v>36</v>
      </c>
      <c r="H124" s="53" t="s">
        <v>164</v>
      </c>
      <c r="I124" s="53" t="s">
        <v>159</v>
      </c>
      <c r="J124" s="53" t="s">
        <v>38</v>
      </c>
      <c r="K124" s="53" t="s">
        <v>161</v>
      </c>
      <c r="L124" s="53">
        <v>3</v>
      </c>
      <c r="N124" s="53">
        <v>1</v>
      </c>
      <c r="O124" s="53">
        <v>0.65</v>
      </c>
      <c r="P124" s="53">
        <v>0.65</v>
      </c>
      <c r="Q124" s="16">
        <f t="shared" si="5"/>
        <v>0.65</v>
      </c>
      <c r="R124" s="53">
        <v>17.100000000000001</v>
      </c>
      <c r="S124" s="53">
        <v>124</v>
      </c>
      <c r="T124" s="16">
        <f t="shared" si="6"/>
        <v>30</v>
      </c>
      <c r="U124" s="53">
        <v>138</v>
      </c>
      <c r="V124" s="16">
        <f t="shared" si="7"/>
        <v>4140</v>
      </c>
      <c r="W124" s="53">
        <v>8</v>
      </c>
      <c r="X124" s="53" t="s">
        <v>46</v>
      </c>
      <c r="Y124" s="53" t="s">
        <v>97</v>
      </c>
      <c r="Z124" s="53" t="s">
        <v>55</v>
      </c>
      <c r="AA124" s="53" t="s">
        <v>69</v>
      </c>
      <c r="AB124" s="53" t="s">
        <v>284</v>
      </c>
    </row>
    <row r="125" spans="1:28" x14ac:dyDescent="0.15">
      <c r="A125" s="53" t="s">
        <v>34</v>
      </c>
      <c r="B125" s="53" t="s">
        <v>232</v>
      </c>
      <c r="C125" s="53">
        <v>2019</v>
      </c>
      <c r="D125" s="176" t="s">
        <v>369</v>
      </c>
      <c r="E125" s="53" t="s">
        <v>268</v>
      </c>
      <c r="F125" s="53" t="s">
        <v>380</v>
      </c>
      <c r="G125" s="53" t="s">
        <v>36</v>
      </c>
      <c r="H125" s="53" t="s">
        <v>164</v>
      </c>
      <c r="I125" s="53" t="s">
        <v>159</v>
      </c>
      <c r="J125" s="53" t="s">
        <v>38</v>
      </c>
      <c r="K125" s="53" t="s">
        <v>161</v>
      </c>
      <c r="L125" s="53">
        <v>1</v>
      </c>
      <c r="N125" s="53">
        <v>7</v>
      </c>
      <c r="O125" s="53">
        <v>0.45</v>
      </c>
      <c r="P125" s="53">
        <v>0.5</v>
      </c>
      <c r="Q125" s="16">
        <f t="shared" si="5"/>
        <v>0.47499999999999998</v>
      </c>
      <c r="R125" s="53">
        <v>17.5</v>
      </c>
      <c r="S125" s="53">
        <v>82</v>
      </c>
      <c r="T125" s="16">
        <f t="shared" si="6"/>
        <v>39</v>
      </c>
      <c r="U125" s="53">
        <v>429</v>
      </c>
      <c r="V125" s="16">
        <f t="shared" si="7"/>
        <v>2390.1428571428569</v>
      </c>
      <c r="W125" s="53">
        <v>8</v>
      </c>
      <c r="X125" s="53" t="s">
        <v>46</v>
      </c>
      <c r="Y125" s="53" t="s">
        <v>97</v>
      </c>
      <c r="Z125" s="53" t="s">
        <v>55</v>
      </c>
      <c r="AA125" s="53" t="s">
        <v>69</v>
      </c>
      <c r="AB125" s="53" t="s">
        <v>284</v>
      </c>
    </row>
    <row r="126" spans="1:28" x14ac:dyDescent="0.15">
      <c r="A126" s="53" t="s">
        <v>34</v>
      </c>
      <c r="B126" s="53" t="s">
        <v>232</v>
      </c>
      <c r="C126" s="53">
        <v>2019</v>
      </c>
      <c r="D126" s="176" t="s">
        <v>369</v>
      </c>
      <c r="E126" s="53" t="s">
        <v>268</v>
      </c>
      <c r="F126" s="53" t="s">
        <v>380</v>
      </c>
      <c r="G126" s="53" t="s">
        <v>36</v>
      </c>
      <c r="H126" s="53" t="s">
        <v>164</v>
      </c>
      <c r="I126" s="53" t="s">
        <v>159</v>
      </c>
      <c r="J126" s="53" t="s">
        <v>38</v>
      </c>
      <c r="K126" s="53" t="s">
        <v>161</v>
      </c>
      <c r="L126" s="53">
        <v>2</v>
      </c>
      <c r="N126" s="53">
        <v>7</v>
      </c>
      <c r="O126" s="53">
        <v>0.55000000000000004</v>
      </c>
      <c r="P126" s="53">
        <v>0.55000000000000004</v>
      </c>
      <c r="Q126" s="16">
        <f t="shared" si="5"/>
        <v>0.55000000000000004</v>
      </c>
      <c r="R126" s="53">
        <v>14.8</v>
      </c>
      <c r="S126" s="53">
        <v>75</v>
      </c>
      <c r="T126" s="16">
        <f t="shared" si="6"/>
        <v>42</v>
      </c>
      <c r="U126" s="53">
        <v>429</v>
      </c>
      <c r="V126" s="16">
        <f t="shared" si="7"/>
        <v>2574</v>
      </c>
      <c r="W126" s="53">
        <v>8</v>
      </c>
      <c r="X126" s="53" t="s">
        <v>46</v>
      </c>
      <c r="Y126" s="53" t="s">
        <v>97</v>
      </c>
      <c r="Z126" s="53" t="s">
        <v>55</v>
      </c>
      <c r="AA126" s="53" t="s">
        <v>69</v>
      </c>
      <c r="AB126" s="53" t="s">
        <v>284</v>
      </c>
    </row>
    <row r="127" spans="1:28" x14ac:dyDescent="0.15">
      <c r="A127" s="53" t="s">
        <v>34</v>
      </c>
      <c r="B127" s="53" t="s">
        <v>232</v>
      </c>
      <c r="C127" s="53">
        <v>2019</v>
      </c>
      <c r="D127" s="176" t="s">
        <v>369</v>
      </c>
      <c r="E127" s="53" t="s">
        <v>268</v>
      </c>
      <c r="F127" s="53" t="s">
        <v>380</v>
      </c>
      <c r="G127" s="53" t="s">
        <v>36</v>
      </c>
      <c r="H127" s="53" t="s">
        <v>164</v>
      </c>
      <c r="I127" s="53" t="s">
        <v>159</v>
      </c>
      <c r="J127" s="53" t="s">
        <v>38</v>
      </c>
      <c r="K127" s="53" t="s">
        <v>161</v>
      </c>
      <c r="L127" s="53">
        <v>3</v>
      </c>
      <c r="N127" s="53">
        <v>7</v>
      </c>
      <c r="O127" s="53">
        <v>0.5</v>
      </c>
      <c r="P127" s="53">
        <v>0.6</v>
      </c>
      <c r="Q127" s="16">
        <f t="shared" si="5"/>
        <v>0.55000000000000004</v>
      </c>
      <c r="R127" s="53">
        <v>17.100000000000001</v>
      </c>
      <c r="S127" s="53">
        <v>76</v>
      </c>
      <c r="T127" s="16">
        <f t="shared" si="6"/>
        <v>39</v>
      </c>
      <c r="U127" s="53">
        <v>429</v>
      </c>
      <c r="V127" s="16">
        <f t="shared" si="7"/>
        <v>2390.1428571428569</v>
      </c>
      <c r="W127" s="53">
        <v>8</v>
      </c>
      <c r="X127" s="53" t="s">
        <v>46</v>
      </c>
      <c r="Y127" s="53" t="s">
        <v>97</v>
      </c>
      <c r="Z127" s="53" t="s">
        <v>55</v>
      </c>
      <c r="AA127" s="53" t="s">
        <v>69</v>
      </c>
      <c r="AB127" s="53" t="s">
        <v>284</v>
      </c>
    </row>
    <row r="128" spans="1:28" x14ac:dyDescent="0.15">
      <c r="A128" s="53" t="s">
        <v>34</v>
      </c>
      <c r="B128" s="53" t="s">
        <v>232</v>
      </c>
      <c r="C128" s="53">
        <v>2019</v>
      </c>
      <c r="D128" s="176" t="s">
        <v>369</v>
      </c>
      <c r="E128" s="53" t="s">
        <v>268</v>
      </c>
      <c r="F128" s="53" t="s">
        <v>380</v>
      </c>
      <c r="G128" s="53" t="s">
        <v>36</v>
      </c>
      <c r="H128" s="53" t="s">
        <v>160</v>
      </c>
      <c r="I128" s="53" t="s">
        <v>159</v>
      </c>
      <c r="J128" s="53" t="s">
        <v>38</v>
      </c>
      <c r="K128" s="53" t="s">
        <v>161</v>
      </c>
      <c r="L128" s="53">
        <v>1</v>
      </c>
      <c r="N128" s="53">
        <v>1</v>
      </c>
      <c r="O128" s="53">
        <v>0.5</v>
      </c>
      <c r="P128" s="53">
        <v>0.5</v>
      </c>
      <c r="Q128" s="16">
        <f t="shared" si="5"/>
        <v>0.5</v>
      </c>
      <c r="R128" s="53">
        <v>17.100000000000001</v>
      </c>
      <c r="S128" s="53">
        <v>88</v>
      </c>
      <c r="T128" s="16">
        <f t="shared" si="6"/>
        <v>36</v>
      </c>
      <c r="U128" s="53">
        <v>105</v>
      </c>
      <c r="V128" s="16">
        <f t="shared" si="7"/>
        <v>3780</v>
      </c>
      <c r="W128" s="53">
        <v>3</v>
      </c>
      <c r="X128" s="53" t="s">
        <v>46</v>
      </c>
      <c r="Y128" s="53" t="s">
        <v>97</v>
      </c>
      <c r="Z128" s="53" t="s">
        <v>55</v>
      </c>
      <c r="AA128" s="53" t="s">
        <v>69</v>
      </c>
      <c r="AB128" s="53" t="s">
        <v>284</v>
      </c>
    </row>
    <row r="129" spans="1:28" x14ac:dyDescent="0.15">
      <c r="A129" s="53" t="s">
        <v>34</v>
      </c>
      <c r="B129" s="53" t="s">
        <v>232</v>
      </c>
      <c r="C129" s="53">
        <v>2019</v>
      </c>
      <c r="D129" s="176" t="s">
        <v>369</v>
      </c>
      <c r="E129" s="53" t="s">
        <v>268</v>
      </c>
      <c r="F129" s="53" t="s">
        <v>380</v>
      </c>
      <c r="G129" s="53" t="s">
        <v>36</v>
      </c>
      <c r="H129" s="53" t="s">
        <v>160</v>
      </c>
      <c r="I129" s="53" t="s">
        <v>159</v>
      </c>
      <c r="J129" s="53" t="s">
        <v>38</v>
      </c>
      <c r="K129" s="53" t="s">
        <v>161</v>
      </c>
      <c r="L129" s="53">
        <v>2</v>
      </c>
      <c r="N129" s="53">
        <v>1</v>
      </c>
      <c r="O129" s="53">
        <v>0.55000000000000004</v>
      </c>
      <c r="P129" s="53">
        <v>0.45</v>
      </c>
      <c r="Q129" s="16">
        <f t="shared" si="5"/>
        <v>0.5</v>
      </c>
      <c r="R129" s="53">
        <v>18.3</v>
      </c>
      <c r="S129" s="53">
        <v>83</v>
      </c>
      <c r="T129" s="16">
        <f t="shared" si="6"/>
        <v>39</v>
      </c>
      <c r="U129" s="53">
        <v>105</v>
      </c>
      <c r="V129" s="16">
        <f t="shared" si="7"/>
        <v>4095</v>
      </c>
      <c r="W129" s="53">
        <v>3</v>
      </c>
      <c r="X129" s="53" t="s">
        <v>46</v>
      </c>
      <c r="Y129" s="53" t="s">
        <v>97</v>
      </c>
      <c r="Z129" s="53" t="s">
        <v>55</v>
      </c>
      <c r="AA129" s="53" t="s">
        <v>69</v>
      </c>
      <c r="AB129" s="53" t="s">
        <v>284</v>
      </c>
    </row>
    <row r="130" spans="1:28" x14ac:dyDescent="0.15">
      <c r="A130" s="53" t="s">
        <v>34</v>
      </c>
      <c r="B130" s="53" t="s">
        <v>232</v>
      </c>
      <c r="C130" s="53">
        <v>2019</v>
      </c>
      <c r="D130" s="176" t="s">
        <v>369</v>
      </c>
      <c r="E130" s="53" t="s">
        <v>268</v>
      </c>
      <c r="F130" s="53" t="s">
        <v>380</v>
      </c>
      <c r="G130" s="53" t="s">
        <v>36</v>
      </c>
      <c r="H130" s="53" t="s">
        <v>160</v>
      </c>
      <c r="I130" s="53" t="s">
        <v>159</v>
      </c>
      <c r="J130" s="53" t="s">
        <v>38</v>
      </c>
      <c r="K130" s="53" t="s">
        <v>161</v>
      </c>
      <c r="L130" s="53">
        <v>3</v>
      </c>
      <c r="N130" s="53">
        <v>1</v>
      </c>
      <c r="O130" s="53">
        <v>0.2</v>
      </c>
      <c r="P130" s="53">
        <v>0.45</v>
      </c>
      <c r="Q130" s="16">
        <f t="shared" si="5"/>
        <v>0.32500000000000001</v>
      </c>
      <c r="R130" s="53">
        <v>18.3</v>
      </c>
      <c r="S130" s="53">
        <v>79</v>
      </c>
      <c r="T130" s="16">
        <f t="shared" si="6"/>
        <v>39</v>
      </c>
      <c r="U130" s="53">
        <v>105</v>
      </c>
      <c r="V130" s="16">
        <f t="shared" si="7"/>
        <v>4095</v>
      </c>
      <c r="W130" s="53">
        <v>3</v>
      </c>
      <c r="X130" s="53" t="s">
        <v>46</v>
      </c>
      <c r="Y130" s="53" t="s">
        <v>97</v>
      </c>
      <c r="Z130" s="53" t="s">
        <v>55</v>
      </c>
      <c r="AA130" s="53" t="s">
        <v>69</v>
      </c>
      <c r="AB130" s="53" t="s">
        <v>284</v>
      </c>
    </row>
  </sheetData>
  <autoFilter ref="A1:BA82" xr:uid="{00000000-0009-0000-0000-000000000000}"/>
  <phoneticPr fontId="3"/>
  <dataValidations count="12">
    <dataValidation type="list" allowBlank="1" showInputMessage="1" showErrorMessage="1" sqref="K2:K723" xr:uid="{B7504B9B-A48B-420F-8A3D-7E457901D7CC}">
      <formula1>$AR$2:$AR$23</formula1>
    </dataValidation>
    <dataValidation type="list" allowBlank="1" showInputMessage="1" showErrorMessage="1" sqref="A2:A410" xr:uid="{3CDFCAD4-9137-45F7-A421-E340CDBA7A49}">
      <formula1>$AE$2:$AE$19</formula1>
    </dataValidation>
    <dataValidation type="list" allowBlank="1" showInputMessage="1" showErrorMessage="1" sqref="Y2:AA411" xr:uid="{DD58CF37-C210-4112-BCB1-FF890C5B13B0}">
      <formula1>$AV$2:$AV$21</formula1>
    </dataValidation>
    <dataValidation type="list" allowBlank="1" showInputMessage="1" showErrorMessage="1" sqref="H2:H411" xr:uid="{6A248A21-2CF1-4BAE-92E1-969A8567A15B}">
      <formula1>$AL$2:$AL$8</formula1>
    </dataValidation>
    <dataValidation type="list" allowBlank="1" showInputMessage="1" showErrorMessage="1" sqref="X2:X411" xr:uid="{9EF0B0DE-C409-42FA-8FC6-B401431B8191}">
      <formula1>$AT$2:$AT$3</formula1>
    </dataValidation>
    <dataValidation type="list" allowBlank="1" showInputMessage="1" showErrorMessage="1" sqref="G2:G411" xr:uid="{56612776-CE4E-4457-98B6-CE43FD881B67}">
      <formula1>$AJ$2:$AJ$4</formula1>
    </dataValidation>
    <dataValidation type="list" allowBlank="1" showInputMessage="1" showErrorMessage="1" sqref="I2:I411" xr:uid="{BD3ED3D6-5737-48B2-BC80-0B29051F3894}">
      <formula1>$AN$5:$AN$6</formula1>
    </dataValidation>
    <dataValidation type="list" allowBlank="1" showInputMessage="1" showErrorMessage="1" sqref="J2:J411" xr:uid="{45790787-D331-488E-87BD-343F7A8A9A5A}">
      <formula1>$AP$2:$AP$24</formula1>
    </dataValidation>
    <dataValidation type="list" allowBlank="1" showInputMessage="1" showErrorMessage="1" sqref="F2:F411" xr:uid="{9752D193-FA00-4EA0-B636-F0190D00E981}">
      <formula1>$AH$2:$AH$11</formula1>
    </dataValidation>
    <dataValidation type="list" allowBlank="1" showInputMessage="1" showErrorMessage="1" sqref="E2:E411" xr:uid="{CBC38ED2-DFE6-4AE9-A41B-618C8EDA1F76}">
      <formula1>$AG$2:$AG$11</formula1>
    </dataValidation>
    <dataValidation type="decimal" allowBlank="1" showInputMessage="1" showErrorMessage="1" error="硬度を正しく入力して下さい。" sqref="O2:P49 O59:P411" xr:uid="{5CC3ECDA-DD32-4341-A3F9-F71031D2AE0D}">
      <formula1>0</formula1>
      <formula2>7</formula2>
    </dataValidation>
    <dataValidation operator="equal" allowBlank="1" showInputMessage="1" showErrorMessage="1" sqref="B2:B130" xr:uid="{C3C96291-A784-44A6-9693-7138C8DCB1CD}"/>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25D6E62-59F2-41DE-9B16-6C00E191E63D}"/>
</file>

<file path=customXml/itemProps2.xml><?xml version="1.0" encoding="utf-8"?>
<ds:datastoreItem xmlns:ds="http://schemas.openxmlformats.org/officeDocument/2006/customXml" ds:itemID="{9F56FF83-EA36-4D76-AC46-8D2C12C0FE44}"/>
</file>

<file path=customXml/itemProps3.xml><?xml version="1.0" encoding="utf-8"?>
<ds:datastoreItem xmlns:ds="http://schemas.openxmlformats.org/officeDocument/2006/customXml" ds:itemID="{F208A010-5BAD-44BC-A389-D552CDDA13E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2019-07-01T03:37:05Z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